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ighborTollShare" sheetId="1" state="visible" r:id="rId3"/>
    <sheet name="Summary" sheetId="2" state="visible" r:id="rId4"/>
    <sheet name="Sheet2" sheetId="3" state="visible" r:id="rId5"/>
    <sheet name="Sheet3" sheetId="4" state="visible" r:id="rId6"/>
    <sheet name="Sheet4" sheetId="5" state="visible" r:id="rId7"/>
    <sheet name="Sheet5" sheetId="6" state="visible" r:id="rId8"/>
    <sheet name="Sheet1" sheetId="7" state="visible" r:id="rId9"/>
    <sheet name="Table" sheetId="8" state="visible" r:id="rId10"/>
    <sheet name="P0A" sheetId="9" state="visible" r:id="rId11"/>
  </sheets>
  <definedNames>
    <definedName function="false" hidden="false" name="RhoCordon" vbProcedure="false">Sheet1!$T$2:$T$53</definedName>
    <definedName function="false" hidden="false" name="Rhoii" vbProcedure="false">Sheet1!$N$2:$N$53</definedName>
    <definedName function="false" hidden="false" name="Rhoij" vbProcedure="false">Sheet1!$O$2:$O$53</definedName>
    <definedName function="false" hidden="false" name="Rhoji" vbProcedure="false">Sheet1!$P$2:$P$53</definedName>
    <definedName function="false" hidden="false" name="RhoOrig" vbProcedure="false">Sheet1!$S$2:$S$53</definedName>
    <definedName function="false" hidden="false" name="RhoTot" vbProcedure="false">Sheet1!$R$2:$R$53</definedName>
  </definedNames>
  <calcPr iterateCount="1" refMode="A1" iterate="true" iterateDelta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<sst xmlns="http://schemas.openxmlformats.org/spreadsheetml/2006/main" count="727" uniqueCount="212">
  <si>
    <t xml:space="preserve">x</t>
  </si>
  <si>
    <t xml:space="preserve">NOTWORK</t>
  </si>
  <si>
    <t xml:space="preserve">WORK</t>
  </si>
  <si>
    <t xml:space="preserve">TOTAL</t>
  </si>
  <si>
    <t xml:space="preserve">alabama</t>
  </si>
  <si>
    <t xml:space="preserve">alaska</t>
  </si>
  <si>
    <t xml:space="preserve">arizona</t>
  </si>
  <si>
    <t xml:space="preserve">arkansas</t>
  </si>
  <si>
    <t xml:space="preserve">califo~1</t>
  </si>
  <si>
    <t xml:space="preserve">colorado</t>
  </si>
  <si>
    <t xml:space="preserve">connec~1</t>
  </si>
  <si>
    <t xml:space="preserve">deleware</t>
  </si>
  <si>
    <t xml:space="preserve">district-of-columbia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</si>
  <si>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</si>
  <si>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</si>
  <si>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</si>
  <si>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</si>
  <si>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</si>
  <si>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</si>
  <si>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</si>
  <si>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</si>
  <si>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</si>
  <si>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louisi~1</t>
  </si>
  <si>
    <t xml:space="preserve">maine</t>
  </si>
  <si>
    <t xml:space="preserve">maryland</t>
  </si>
  <si>
    <t xml:space="preserve">massac~1</t>
  </si>
  <si>
    <t xml:space="preserve">michigan</t>
  </si>
  <si>
    <t xml:space="preserve">minnes~1</t>
  </si>
  <si>
    <t xml:space="preserve">missis~1</t>
  </si>
  <si>
    <t xml:space="preserve">missouri</t>
  </si>
  <si>
    <t xml:space="preserve">montana</t>
  </si>
  <si>
    <t xml:space="preserve">nebraska</t>
  </si>
  <si>
    <t xml:space="preserve">nevada</t>
  </si>
  <si>
    <t xml:space="preserve">new-ha~1</t>
  </si>
  <si>
    <t xml:space="preserve">new-je~1</t>
  </si>
  <si>
    <t xml:space="preserve">new-me~1</t>
  </si>
  <si>
    <t xml:space="preserve">new-york</t>
  </si>
  <si>
    <t xml:space="preserve">north-~1</t>
  </si>
  <si>
    <t xml:space="preserve">north-~2</t>
  </si>
  <si>
    <t xml:space="preserve">ohio</t>
  </si>
  <si>
    <t xml:space="preserve">oklahoma</t>
  </si>
  <si>
    <t xml:space="preserve">oregon</t>
  </si>
  <si>
    <t xml:space="preserve">pennsy~1</t>
  </si>
  <si>
    <t xml:space="preserve">rhode-~1</t>
  </si>
  <si>
    <t xml:space="preserve">south-~1</t>
  </si>
  <si>
    <t xml:space="preserve">south-~2</t>
  </si>
  <si>
    <t xml:space="preserve">tennes~1</t>
  </si>
  <si>
    <t xml:space="preserve">texas</t>
  </si>
  <si>
    <t xml:space="preserve">utah</t>
  </si>
  <si>
    <t xml:space="preserve">vermont</t>
  </si>
  <si>
    <t xml:space="preserve">virginia</t>
  </si>
  <si>
    <t xml:space="preserve">washin~1</t>
  </si>
  <si>
    <t xml:space="preserve">west-v~1</t>
  </si>
  <si>
    <t xml:space="preserve">wiscon~1</t>
  </si>
  <si>
    <t xml:space="preserve">wyoming</t>
  </si>
  <si>
    <t xml:space="preserve">AVG-Neighbor-1</t>
  </si>
  <si>
    <t xml:space="preserve">TollShare</t>
  </si>
  <si>
    <t xml:space="preserve">AVG-Neighbor-2</t>
  </si>
  <si>
    <t xml:space="preserve">WorkersWhoLiveInState</t>
  </si>
  <si>
    <t xml:space="preserve">State</t>
  </si>
  <si>
    <t xml:space="preserve">ResidentsWhoWorkInState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</si>
  <si>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</si>
  <si>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</si>
  <si>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</si>
  <si>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</si>
  <si>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</si>
  <si>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</si>
  <si>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</si>
  <si>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</si>
  <si>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</si>
  <si>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</si>
  <si>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</si>
  <si>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</si>
  <si>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</si>
  <si>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</si>
  <si>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</si>
  <si>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</si>
  <si>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</si>
  <si>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</si>
  <si>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</si>
  <si>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</si>
  <si>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</si>
  <si>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</si>
  <si>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</si>
  <si>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</si>
  <si>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Rhoii/RhoTot</t>
  </si>
  <si>
    <t xml:space="preserve">Rhoij/RhoTot</t>
  </si>
  <si>
    <t xml:space="preserve">Rhoji/RhoTot</t>
  </si>
  <si>
    <t xml:space="preserve">Rhoii/RhoOrig</t>
  </si>
  <si>
    <t xml:space="preserve">Rhoij/RhoOrig</t>
  </si>
  <si>
    <t xml:space="preserve">Rhoij/RhoCordon</t>
  </si>
  <si>
    <t xml:space="preserve">Rhoji/RhoCordon</t>
  </si>
  <si>
    <t xml:space="preserve">NONWORKERS</t>
  </si>
  <si>
    <t xml:space="preserve">WORKERS</t>
  </si>
  <si>
    <t xml:space="preserve">RESIDENTS</t>
  </si>
  <si>
    <t xml:space="preserve">In-State</t>
  </si>
  <si>
    <t xml:space="preserve">Ri</t>
  </si>
  <si>
    <t xml:space="preserve">Ro</t>
  </si>
  <si>
    <t xml:space="preserve">JOBS</t>
  </si>
  <si>
    <t xml:space="preserve">Wi</t>
  </si>
  <si>
    <t xml:space="preserve">Wo</t>
  </si>
  <si>
    <t xml:space="preserve">Rhoii</t>
  </si>
  <si>
    <t xml:space="preserve">Rhoij</t>
  </si>
  <si>
    <t xml:space="preserve">Rhoji</t>
  </si>
  <si>
    <t xml:space="preserve">RhoTot</t>
  </si>
  <si>
    <t xml:space="preserve">RhoOrig</t>
  </si>
  <si>
    <t xml:space="preserve">RhoCordon</t>
  </si>
  <si>
    <t xml:space="preserve">STATE</t>
  </si>
  <si>
    <t xml:space="preserve">FULLNAME</t>
  </si>
  <si>
    <t xml:space="preserve">AL</t>
  </si>
  <si>
    <t xml:space="preserve">ALABAMA</t>
  </si>
  <si>
    <t xml:space="preserve">AK</t>
  </si>
  <si>
    <t xml:space="preserve">ALASKA</t>
  </si>
  <si>
    <t xml:space="preserve">AZ</t>
  </si>
  <si>
    <t xml:space="preserve">ARIZONA</t>
  </si>
  <si>
    <t xml:space="preserve">AR</t>
  </si>
  <si>
    <t xml:space="preserve">ARKANSAS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</si>
  <si>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</si>
  <si>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</si>
  <si>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</si>
  <si>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</si>
  <si>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</si>
  <si>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</si>
  <si>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DE</t>
  </si>
  <si>
    <t xml:space="preserve">DELAWARE</t>
  </si>
  <si>
    <t xml:space="preserve">DC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</si>
  <si>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</si>
  <si>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</si>
  <si>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</si>
  <si>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</si>
  <si>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</si>
  <si>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</si>
  <si>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</si>
  <si>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</si>
  <si>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</si>
  <si>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</si>
  <si>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</si>
  <si>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</si>
  <si>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IA</t>
  </si>
  <si>
    <t xml:space="preserve">IOWA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</si>
  <si>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</si>
  <si>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</si>
  <si>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</si>
  <si>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</si>
  <si>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</si>
  <si>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</si>
  <si>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ME</t>
  </si>
  <si>
    <t xml:space="preserve">MAINE</t>
  </si>
  <si>
    <t xml:space="preserve">MD</t>
  </si>
  <si>
    <t xml:space="preserve">MARYLAND</t>
  </si>
  <si>
    <t xml:space="preserve">MA</t>
  </si>
  <si>
    <t xml:space="preserve">MASSACHUSETTS</t>
  </si>
  <si>
    <t xml:space="preserve">MI</t>
  </si>
  <si>
    <t xml:space="preserve">MICHIGAN</t>
  </si>
  <si>
    <t xml:space="preserve">MN</t>
  </si>
  <si>
    <t xml:space="preserve">MINNESOTA</t>
  </si>
  <si>
    <t xml:space="preserve">MISSISSIPPI</t>
  </si>
  <si>
    <t xml:space="preserve">MO</t>
  </si>
  <si>
    <t xml:space="preserve">MISSOURI</t>
  </si>
  <si>
    <t xml:space="preserve">MT</t>
  </si>
  <si>
    <t xml:space="preserve">MONTANA</t>
  </si>
  <si>
    <t xml:space="preserve">NE</t>
  </si>
  <si>
    <t xml:space="preserve">NEBRASKA</t>
  </si>
  <si>
    <t xml:space="preserve">NV</t>
  </si>
  <si>
    <t xml:space="preserve">NEVADA</t>
  </si>
  <si>
    <t xml:space="preserve">NH</t>
  </si>
  <si>
    <t xml:space="preserve">NEW-HAMPSHIRE</t>
  </si>
  <si>
    <t xml:space="preserve">NJ</t>
  </si>
  <si>
    <t xml:space="preserve">NEW-JERSEY</t>
  </si>
  <si>
    <t xml:space="preserve">NM</t>
  </si>
  <si>
    <t xml:space="preserve">NEW-MEXICO</t>
  </si>
  <si>
    <t xml:space="preserve">NY</t>
  </si>
  <si>
    <t xml:space="preserve">NEW-YORK</t>
  </si>
  <si>
    <t xml:space="preserve">NC</t>
  </si>
  <si>
    <t xml:space="preserve">NORTH-CAROLINA</t>
  </si>
  <si>
    <t xml:space="preserve">ND</t>
  </si>
  <si>
    <t xml:space="preserve">NORTH-DAKOTA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</si>
  <si>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</si>
  <si>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</si>
  <si>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</si>
  <si>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</si>
  <si>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</si>
  <si>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</si>
  <si>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</si>
  <si>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</si>
  <si>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RI</t>
  </si>
  <si>
    <t xml:space="preserve">RHODE-ISLAND</t>
  </si>
  <si>
    <t xml:space="preserve">SC</t>
  </si>
  <si>
    <t xml:space="preserve">SOUTH-CAROLINA</t>
  </si>
  <si>
    <t xml:space="preserve">SD</t>
  </si>
  <si>
    <t xml:space="preserve">SOUTH-DAKOTA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</si>
  <si>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</si>
  <si>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</si>
  <si>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</si>
  <si>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</si>
  <si>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</si>
  <si>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</si>
  <si>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VT</t>
  </si>
  <si>
    <t xml:space="preserve">VERMONT</t>
  </si>
  <si>
    <t xml:space="preserve">VA</t>
  </si>
  <si>
    <t xml:space="preserve">VIRGINIA</t>
  </si>
  <si>
    <t xml:space="preserve">WA</t>
  </si>
  <si>
    <t xml:space="preserve">WASHINGTON</t>
  </si>
  <si>
    <t xml:space="preserve">WV</t>
  </si>
  <si>
    <t xml:space="preserve">WEST-VIRGINIA</t>
  </si>
  <si>
    <t xml:space="preserve">WI</t>
  </si>
  <si>
    <t xml:space="preserve">WISCONSIN</t>
  </si>
  <si>
    <t xml:space="preserve">WY</t>
  </si>
  <si>
    <t xml:space="preserve">WYOMING</t>
  </si>
  <si>
    <t xml:space="preserve">US</t>
  </si>
  <si>
    <t xml:space="preserve">In-StateTot'</t>
  </si>
  <si>
    <t xml:space="preserve">dc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</si>
</sst>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9.99"/>
    <col collapsed="false" customWidth="true" hidden="false" outlineLevel="0" max="3" min="3" style="0" width="12.42"/>
    <col collapsed="false" customWidth="true" hidden="false" outlineLevel="0" max="4" min="4" style="0" width="11.28"/>
    <col collapsed="false" customWidth="true" hidden="false" outlineLevel="0" max="5" min="5" style="0" width="10.85"/>
    <col collapsed="false" customWidth="true" hidden="false" outlineLevel="0" max="58" min="58" style="0" width="8.56"/>
  </cols>
  <sheetData>
    <row r="1" customFormat="false" ht="12.75" hidden="false" customHeight="false" outlineLevel="0" collapsed="false">
      <c r="A1" s="0" t="s">
        <v>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n">
        <v>98</v>
      </c>
      <c r="BF1" s="0" t="s">
        <v>55</v>
      </c>
      <c r="BG1" s="0" t="s">
        <v>56</v>
      </c>
      <c r="BI1" s="0" t="str">
        <f aca="false">A1</f>
        <v>x</v>
      </c>
      <c r="BJ1" s="0" t="str">
        <f aca="false">BF1</f>
        <v>AVG-Neighbor-1</v>
      </c>
      <c r="BL1" s="0" t="s">
        <v>57</v>
      </c>
    </row>
    <row r="2" customFormat="false" ht="12.75" hidden="false" customHeight="false" outlineLevel="0" collapsed="false">
      <c r="A2" s="0" t="s">
        <v>4</v>
      </c>
      <c r="B2" s="0" t="n">
        <v>4032992</v>
      </c>
      <c r="C2" s="0" t="n">
        <v>2299994</v>
      </c>
      <c r="D2" s="0" t="n">
        <v>1732238</v>
      </c>
      <c r="E2" s="0" t="n">
        <v>4032992</v>
      </c>
      <c r="F2" s="1" t="n">
        <v>0</v>
      </c>
      <c r="G2" s="1" t="n">
        <f aca="false">Table!G2*G$55</f>
        <v>0</v>
      </c>
      <c r="H2" s="1" t="n">
        <f aca="false">Table!H2*H$55</f>
        <v>0</v>
      </c>
      <c r="I2" s="1" t="n">
        <f aca="false">Table!I2*I$55</f>
        <v>0</v>
      </c>
      <c r="J2" s="1" t="n">
        <f aca="false">Table!J2*J$55</f>
        <v>16.0252731699664</v>
      </c>
      <c r="K2" s="1" t="n">
        <f aca="false">Table!K2*K$55</f>
        <v>0.0650711092668389</v>
      </c>
      <c r="L2" s="1" t="n">
        <f aca="false">Table!L2*L$55</f>
        <v>0.00337851520838115</v>
      </c>
      <c r="M2" s="1" t="n">
        <f aca="false">Table!M2*M$55</f>
        <v>0</v>
      </c>
      <c r="N2" s="1" t="n">
        <f aca="false">Table!N2*N$55</f>
        <v>0</v>
      </c>
      <c r="O2" s="1" t="n">
        <f aca="false">Table!O2*O$55</f>
        <v>491.207563385001</v>
      </c>
      <c r="P2" s="1" t="n">
        <f aca="false">Table!P2*P$55</f>
        <v>126.62970114833</v>
      </c>
      <c r="Q2" s="1" t="n">
        <f aca="false">Table!Q2*Q$55</f>
        <v>0</v>
      </c>
      <c r="R2" s="1" t="n">
        <f aca="false">Table!R2*R$55</f>
        <v>0</v>
      </c>
      <c r="S2" s="1" t="n">
        <f aca="false">Table!S2*S$55</f>
        <v>33.393231927192</v>
      </c>
      <c r="T2" s="1" t="n">
        <f aca="false">Table!T2*T$55</f>
        <v>2.85238786267849</v>
      </c>
      <c r="U2" s="1" t="n">
        <f aca="false">Table!U2*U$55</f>
        <v>0</v>
      </c>
      <c r="V2" s="1" t="n">
        <f aca="false">Table!V2*V$55</f>
        <v>15.8181855233127</v>
      </c>
      <c r="W2" s="1" t="n">
        <f aca="false">Table!W2*W$55</f>
        <v>1.92734852381316</v>
      </c>
      <c r="X2" s="1" t="n">
        <f aca="false">Table!X2*X$55</f>
        <v>62.7347638340347</v>
      </c>
      <c r="Y2" s="1" t="n">
        <f aca="false">Table!Y2*Y$55</f>
        <v>1.99667804898613</v>
      </c>
      <c r="Z2" s="1" t="n">
        <f aca="false">Table!Z2*Z$55</f>
        <v>6.88527578244191</v>
      </c>
      <c r="AA2" s="1" t="n">
        <f aca="false">Table!AA2*AA$55</f>
        <v>4.36568227902848</v>
      </c>
      <c r="AB2" s="1" t="n">
        <f aca="false">Table!AB2*AB$55</f>
        <v>2.06121771472544</v>
      </c>
      <c r="AC2" s="1" t="n">
        <f aca="false">Table!AC2*AC$55</f>
        <v>0</v>
      </c>
      <c r="AD2" s="1" t="n">
        <f aca="false">Table!AD2*AD$55</f>
        <v>0</v>
      </c>
      <c r="AE2" s="1" t="n">
        <f aca="false">Table!AE2*AE$55</f>
        <v>0.115472241159698</v>
      </c>
      <c r="AF2" s="1" t="n">
        <f aca="false">Table!AF2*AF$55</f>
        <v>0</v>
      </c>
      <c r="AG2" s="1" t="n">
        <f aca="false">Table!AG2*AG$55</f>
        <v>0.0139655815988982</v>
      </c>
      <c r="AH2" s="1" t="n">
        <f aca="false">Table!AH2*AH$55</f>
        <v>0</v>
      </c>
      <c r="AI2" s="1" t="n">
        <f aca="false">Table!AI2*AI$55</f>
        <v>0</v>
      </c>
      <c r="AJ2" s="1" t="n">
        <f aca="false">Table!AJ2*AJ$55</f>
        <v>55.4805813632692</v>
      </c>
      <c r="AK2" s="1" t="n">
        <f aca="false">Table!AK2*AK$55</f>
        <v>0</v>
      </c>
      <c r="AL2" s="1" t="n">
        <f aca="false">Table!AL2*AL$55</f>
        <v>115.474068907249</v>
      </c>
      <c r="AM2" s="1" t="n">
        <f aca="false">Table!AM2*AM$55</f>
        <v>0.508787255965117</v>
      </c>
      <c r="AN2" s="1" t="n">
        <f aca="false">Table!AN2*AN$55</f>
        <v>0</v>
      </c>
      <c r="AO2" s="1" t="n">
        <f aca="false">Table!AO2*AO$55</f>
        <v>8.28469260409974</v>
      </c>
      <c r="AP2" s="1" t="n">
        <f aca="false">Table!AP2*AP$55</f>
        <v>8.96543427251265</v>
      </c>
      <c r="AQ2" s="1" t="n">
        <f aca="false">Table!AQ2*AQ$55</f>
        <v>0.185466409972416</v>
      </c>
      <c r="AR2" s="1" t="n">
        <f aca="false">Table!AR2*AR$55</f>
        <v>26.2028997165643</v>
      </c>
      <c r="AS2" s="1" t="n">
        <f aca="false">Table!AS2*AS$55</f>
        <v>0</v>
      </c>
      <c r="AT2" s="1" t="n">
        <f aca="false">Table!AT2*AT$55</f>
        <v>0</v>
      </c>
      <c r="AU2" s="1" t="n">
        <f aca="false">Table!AU2*AU$55</f>
        <v>0</v>
      </c>
      <c r="AV2" s="1" t="n">
        <f aca="false">Table!AV2*AV$55</f>
        <v>0.367578728828115</v>
      </c>
      <c r="AW2" s="1" t="n">
        <f aca="false">Table!AW2*AW$55</f>
        <v>24.7227210861388</v>
      </c>
      <c r="AX2" s="1" t="n">
        <f aca="false">Table!AX2*AX$55</f>
        <v>0</v>
      </c>
      <c r="AY2" s="1" t="n">
        <f aca="false">Table!AY2*AY$55</f>
        <v>0</v>
      </c>
      <c r="AZ2" s="1" t="n">
        <f aca="false">Table!AZ2*AZ$55</f>
        <v>27.0329816648388</v>
      </c>
      <c r="BA2" s="1" t="n">
        <f aca="false">Table!BA2*BA$55</f>
        <v>3.35563802081351</v>
      </c>
      <c r="BB2" s="1" t="n">
        <f aca="false">Table!BB2*BB$55</f>
        <v>1.0515930611883</v>
      </c>
      <c r="BC2" s="1" t="n">
        <f aca="false">Table!BC2*BC$55</f>
        <v>0.000827327339806383</v>
      </c>
      <c r="BD2" s="1" t="n">
        <f aca="false">Table!BD2*BD$55</f>
        <v>0</v>
      </c>
      <c r="BE2" s="0" t="n">
        <v>760</v>
      </c>
      <c r="BF2" s="2" t="n">
        <f aca="false">SUM(F2:BE2)/(D2)</f>
        <v>0.00103780685279132</v>
      </c>
      <c r="BG2" s="0" t="n">
        <v>0</v>
      </c>
      <c r="BI2" s="0" t="str">
        <f aca="false">A2</f>
        <v>alabama</v>
      </c>
      <c r="BJ2" s="0" t="n">
        <f aca="false">BF2</f>
        <v>0.00103780685279132</v>
      </c>
      <c r="BL2" s="0" t="n">
        <f aca="false">SUM(F2:BD2)/(D2-Table!BG2)</f>
        <v>0.0166414648812586</v>
      </c>
    </row>
    <row r="3" customFormat="false" ht="12.75" hidden="false" customHeight="false" outlineLevel="0" collapsed="false">
      <c r="A3" s="0" t="s">
        <v>5</v>
      </c>
      <c r="B3" s="0" t="n">
        <v>550696</v>
      </c>
      <c r="C3" s="0" t="n">
        <v>286591</v>
      </c>
      <c r="D3" s="0" t="n">
        <v>263887</v>
      </c>
      <c r="E3" s="0" t="n">
        <v>550696</v>
      </c>
      <c r="F3" s="1" t="n">
        <f aca="false">Table!F3*F$55</f>
        <v>0</v>
      </c>
      <c r="G3" s="1" t="n">
        <v>0</v>
      </c>
      <c r="H3" s="1" t="n">
        <f aca="false">Table!H3*H$55</f>
        <v>0</v>
      </c>
      <c r="I3" s="1" t="n">
        <f aca="false">Table!I3*I$55</f>
        <v>0</v>
      </c>
      <c r="J3" s="1" t="n">
        <f aca="false">Table!J3*J$55</f>
        <v>2.57926560255396</v>
      </c>
      <c r="K3" s="1" t="n">
        <f aca="false">Table!K3*K$55</f>
        <v>0</v>
      </c>
      <c r="L3" s="1" t="n">
        <f aca="false">Table!L3*L$55</f>
        <v>0</v>
      </c>
      <c r="M3" s="1" t="n">
        <f aca="false">Table!M3*M$55</f>
        <v>0</v>
      </c>
      <c r="N3" s="1" t="n">
        <f aca="false">Table!N3*N$55</f>
        <v>0</v>
      </c>
      <c r="O3" s="1" t="n">
        <f aca="false">Table!O3*O$55</f>
        <v>0</v>
      </c>
      <c r="P3" s="1" t="n">
        <f aca="false">Table!P3*P$55</f>
        <v>0.0962740687032788</v>
      </c>
      <c r="Q3" s="1" t="n">
        <f aca="false">Table!Q3*Q$55</f>
        <v>0</v>
      </c>
      <c r="R3" s="1" t="n">
        <f aca="false">Table!R3*R$55</f>
        <v>0</v>
      </c>
      <c r="S3" s="1" t="n">
        <f aca="false">Table!S3*S$55</f>
        <v>1.01752230249061</v>
      </c>
      <c r="T3" s="1" t="n">
        <f aca="false">Table!T3*T$55</f>
        <v>0.340583625394446</v>
      </c>
      <c r="U3" s="1" t="n">
        <f aca="false">Table!U3*U$55</f>
        <v>0</v>
      </c>
      <c r="V3" s="1" t="n">
        <f aca="false">Table!V3*V$55</f>
        <v>0</v>
      </c>
      <c r="W3" s="1" t="n">
        <f aca="false">Table!W3*W$55</f>
        <v>0.0591729809942636</v>
      </c>
      <c r="X3" s="1" t="n">
        <f aca="false">Table!X3*X$55</f>
        <v>0</v>
      </c>
      <c r="Y3" s="1" t="n">
        <f aca="false">Table!Y3*Y$55</f>
        <v>0</v>
      </c>
      <c r="Z3" s="1" t="n">
        <f aca="false">Table!Z3*Z$55</f>
        <v>0</v>
      </c>
      <c r="AA3" s="1" t="n">
        <f aca="false">Table!AA3*AA$55</f>
        <v>1.97495150717955</v>
      </c>
      <c r="AB3" s="1" t="n">
        <f aca="false">Table!AB3*AB$55</f>
        <v>0</v>
      </c>
      <c r="AC3" s="1" t="n">
        <f aca="false">Table!AC3*AC$55</f>
        <v>0</v>
      </c>
      <c r="AD3" s="1" t="n">
        <f aca="false">Table!AD3*AD$55</f>
        <v>0</v>
      </c>
      <c r="AE3" s="1" t="n">
        <f aca="false">Table!AE3*AE$55</f>
        <v>0.016713087536272</v>
      </c>
      <c r="AF3" s="1" t="n">
        <f aca="false">Table!AF3*AF$55</f>
        <v>0</v>
      </c>
      <c r="AG3" s="1" t="n">
        <f aca="false">Table!AG3*AG$55</f>
        <v>0</v>
      </c>
      <c r="AH3" s="1" t="n">
        <f aca="false">Table!AH3*AH$55</f>
        <v>0</v>
      </c>
      <c r="AI3" s="1" t="n">
        <f aca="false">Table!AI3*AI$55</f>
        <v>0</v>
      </c>
      <c r="AJ3" s="1" t="n">
        <f aca="false">Table!AJ3*AJ$55</f>
        <v>0</v>
      </c>
      <c r="AK3" s="1" t="n">
        <f aca="false">Table!AK3*AK$55</f>
        <v>0</v>
      </c>
      <c r="AL3" s="1" t="n">
        <f aca="false">Table!AL3*AL$55</f>
        <v>9.95466111269391</v>
      </c>
      <c r="AM3" s="1" t="n">
        <f aca="false">Table!AM3*AM$55</f>
        <v>0.00590754433631486</v>
      </c>
      <c r="AN3" s="1" t="n">
        <f aca="false">Table!AN3*AN$55</f>
        <v>0</v>
      </c>
      <c r="AO3" s="1" t="n">
        <f aca="false">Table!AO3*AO$55</f>
        <v>0.493136464529746</v>
      </c>
      <c r="AP3" s="1" t="n">
        <f aca="false">Table!AP3*AP$55</f>
        <v>1.7474999005745</v>
      </c>
      <c r="AQ3" s="1" t="n">
        <f aca="false">Table!AQ3*AQ$55</f>
        <v>0.0423923222794094</v>
      </c>
      <c r="AR3" s="1" t="n">
        <f aca="false">Table!AR3*AR$55</f>
        <v>0</v>
      </c>
      <c r="AS3" s="1" t="n">
        <f aca="false">Table!AS3*AS$55</f>
        <v>0</v>
      </c>
      <c r="AT3" s="1" t="n">
        <f aca="false">Table!AT3*AT$55</f>
        <v>0</v>
      </c>
      <c r="AU3" s="1" t="n">
        <f aca="false">Table!AU3*AU$55</f>
        <v>0</v>
      </c>
      <c r="AV3" s="1" t="n">
        <f aca="false">Table!AV3*AV$55</f>
        <v>0.000406036153037211</v>
      </c>
      <c r="AW3" s="1" t="n">
        <f aca="false">Table!AW3*AW$55</f>
        <v>1.43535317617222</v>
      </c>
      <c r="AX3" s="1" t="n">
        <f aca="false">Table!AX3*AX$55</f>
        <v>0</v>
      </c>
      <c r="AY3" s="1" t="n">
        <f aca="false">Table!AY3*AY$55</f>
        <v>0</v>
      </c>
      <c r="AZ3" s="1" t="n">
        <f aca="false">Table!AZ3*AZ$55</f>
        <v>0.372226942028762</v>
      </c>
      <c r="BA3" s="1" t="n">
        <f aca="false">Table!BA3*BA$55</f>
        <v>17.6481703316859</v>
      </c>
      <c r="BB3" s="1" t="n">
        <f aca="false">Table!BB3*BB$55</f>
        <v>0</v>
      </c>
      <c r="BC3" s="1" t="n">
        <f aca="false">Table!BC3*BC$55</f>
        <v>0</v>
      </c>
      <c r="BD3" s="1" t="n">
        <f aca="false">Table!BD3*BD$55</f>
        <v>0</v>
      </c>
      <c r="BE3" s="0" t="n">
        <v>218</v>
      </c>
      <c r="BF3" s="2" t="n">
        <f aca="false">SUM(F3:BE3)/(D3)</f>
        <v>0.000969294573075999</v>
      </c>
      <c r="BG3" s="3" t="n">
        <v>0.0628874080123128</v>
      </c>
      <c r="BI3" s="0" t="str">
        <f aca="false">A3</f>
        <v>alaska</v>
      </c>
      <c r="BJ3" s="0" t="n">
        <f aca="false">BF3</f>
        <v>0.000969294573075999</v>
      </c>
      <c r="BL3" s="0" t="n">
        <f aca="false">SUM(F3:BD3)/(D3-Table!BG3)</f>
        <v>0.0324328214637821</v>
      </c>
    </row>
    <row r="4" customFormat="false" ht="12.75" hidden="false" customHeight="false" outlineLevel="0" collapsed="false">
      <c r="A4" s="0" t="s">
        <v>6</v>
      </c>
      <c r="B4" s="0" t="n">
        <v>3652849</v>
      </c>
      <c r="C4" s="0" t="n">
        <v>2060434</v>
      </c>
      <c r="D4" s="0" t="n">
        <v>1591203</v>
      </c>
      <c r="E4" s="0" t="n">
        <v>3652849</v>
      </c>
      <c r="F4" s="1" t="n">
        <f aca="false">Table!F4*F$55</f>
        <v>0</v>
      </c>
      <c r="G4" s="1" t="n">
        <f aca="false">Table!G4*G$55</f>
        <v>6.98050228936672</v>
      </c>
      <c r="H4" s="1" t="n">
        <v>0</v>
      </c>
      <c r="I4" s="1" t="n">
        <f aca="false">Table!I4*I$55</f>
        <v>0</v>
      </c>
      <c r="J4" s="1" t="n">
        <f aca="false">Table!J4*J$55</f>
        <v>159.174514111711</v>
      </c>
      <c r="K4" s="1" t="n">
        <f aca="false">Table!K4*K$55</f>
        <v>1.63565106475282</v>
      </c>
      <c r="L4" s="1" t="n">
        <f aca="false">Table!L4*L$55</f>
        <v>0.0114349745514439</v>
      </c>
      <c r="M4" s="1" t="n">
        <f aca="false">Table!M4*M$55</f>
        <v>0</v>
      </c>
      <c r="N4" s="1" t="n">
        <f aca="false">Table!N4*N$55</f>
        <v>0</v>
      </c>
      <c r="O4" s="1" t="n">
        <f aca="false">Table!O4*O$55</f>
        <v>39.0724444334132</v>
      </c>
      <c r="P4" s="1" t="n">
        <f aca="false">Table!P4*P$55</f>
        <v>1.07575807203229</v>
      </c>
      <c r="Q4" s="1" t="n">
        <f aca="false">Table!Q4*Q$55</f>
        <v>0</v>
      </c>
      <c r="R4" s="1" t="n">
        <f aca="false">Table!R4*R$55</f>
        <v>0</v>
      </c>
      <c r="S4" s="1" t="n">
        <f aca="false">Table!S4*S$55</f>
        <v>60.9588361219377</v>
      </c>
      <c r="T4" s="1" t="n">
        <f aca="false">Table!T4*T$55</f>
        <v>8.13143405629241</v>
      </c>
      <c r="U4" s="1" t="n">
        <f aca="false">Table!U4*U$55</f>
        <v>0.084794571954008</v>
      </c>
      <c r="V4" s="1" t="n">
        <f aca="false">Table!V4*V$55</f>
        <v>12.6545484186501</v>
      </c>
      <c r="W4" s="1" t="n">
        <f aca="false">Table!W4*W$55</f>
        <v>0.617089658940177</v>
      </c>
      <c r="X4" s="1" t="n">
        <f aca="false">Table!X4*X$55</f>
        <v>0</v>
      </c>
      <c r="Y4" s="1" t="n">
        <f aca="false">Table!Y4*Y$55</f>
        <v>0</v>
      </c>
      <c r="Z4" s="1" t="n">
        <f aca="false">Table!Z4*Z$55</f>
        <v>16.1593207138943</v>
      </c>
      <c r="AA4" s="1" t="n">
        <f aca="false">Table!AA4*AA$55</f>
        <v>10.2905368005671</v>
      </c>
      <c r="AB4" s="1" t="n">
        <f aca="false">Table!AB4*AB$55</f>
        <v>1.89868441822379</v>
      </c>
      <c r="AC4" s="1" t="n">
        <f aca="false">Table!AC4*AC$55</f>
        <v>0</v>
      </c>
      <c r="AD4" s="1" t="n">
        <f aca="false">Table!AD4*AD$55</f>
        <v>0</v>
      </c>
      <c r="AE4" s="1" t="n">
        <f aca="false">Table!AE4*AE$55</f>
        <v>0.256014113623804</v>
      </c>
      <c r="AF4" s="1" t="n">
        <f aca="false">Table!AF4*AF$55</f>
        <v>0</v>
      </c>
      <c r="AG4" s="1" t="n">
        <f aca="false">Table!AG4*AG$55</f>
        <v>0.17955747770012</v>
      </c>
      <c r="AH4" s="1" t="n">
        <f aca="false">Table!AH4*AH$55</f>
        <v>0</v>
      </c>
      <c r="AI4" s="1" t="n">
        <f aca="false">Table!AI4*AI$55</f>
        <v>0</v>
      </c>
      <c r="AJ4" s="1" t="n">
        <f aca="false">Table!AJ4*AJ$55</f>
        <v>37.9891665492336</v>
      </c>
      <c r="AK4" s="1" t="n">
        <f aca="false">Table!AK4*AK$55</f>
        <v>0</v>
      </c>
      <c r="AL4" s="1" t="n">
        <f aca="false">Table!AL4*AL$55</f>
        <v>113.8149587218</v>
      </c>
      <c r="AM4" s="1" t="n">
        <f aca="false">Table!AM4*AM$55</f>
        <v>0.0782749624561718</v>
      </c>
      <c r="AN4" s="1" t="n">
        <f aca="false">Table!AN4*AN$55</f>
        <v>0</v>
      </c>
      <c r="AO4" s="1" t="n">
        <f aca="false">Table!AO4*AO$55</f>
        <v>10.1257354050108</v>
      </c>
      <c r="AP4" s="1" t="n">
        <f aca="false">Table!AP4*AP$55</f>
        <v>6.45815180647097</v>
      </c>
      <c r="AQ4" s="1" t="n">
        <f aca="false">Table!AQ4*AQ$55</f>
        <v>0.376231860229758</v>
      </c>
      <c r="AR4" s="1" t="n">
        <f aca="false">Table!AR4*AR$55</f>
        <v>22.2256738667287</v>
      </c>
      <c r="AS4" s="1" t="n">
        <f aca="false">Table!AS4*AS$55</f>
        <v>1.04625129953338</v>
      </c>
      <c r="AT4" s="1" t="n">
        <f aca="false">Table!AT4*AT$55</f>
        <v>0</v>
      </c>
      <c r="AU4" s="1" t="n">
        <f aca="false">Table!AU4*AU$55</f>
        <v>0</v>
      </c>
      <c r="AV4" s="1" t="n">
        <f aca="false">Table!AV4*AV$55</f>
        <v>0.00295826340069968</v>
      </c>
      <c r="AW4" s="1" t="n">
        <f aca="false">Table!AW4*AW$55</f>
        <v>24.6484786804747</v>
      </c>
      <c r="AX4" s="1" t="n">
        <f aca="false">Table!AX4*AX$55</f>
        <v>0.2797208025059</v>
      </c>
      <c r="AY4" s="1" t="n">
        <f aca="false">Table!AY4*AY$55</f>
        <v>0</v>
      </c>
      <c r="AZ4" s="1" t="n">
        <f aca="false">Table!AZ4*AZ$55</f>
        <v>4.8389502463739</v>
      </c>
      <c r="BA4" s="1" t="n">
        <f aca="false">Table!BA4*BA$55</f>
        <v>5.01274321627698</v>
      </c>
      <c r="BB4" s="1" t="n">
        <f aca="false">Table!BB4*BB$55</f>
        <v>0.525796530594149</v>
      </c>
      <c r="BC4" s="1" t="n">
        <f aca="false">Table!BC4*BC$55</f>
        <v>0.00155265541854075</v>
      </c>
      <c r="BD4" s="1" t="n">
        <f aca="false">Table!BD4*BD$55</f>
        <v>0</v>
      </c>
      <c r="BE4" s="0" t="n">
        <v>1212</v>
      </c>
      <c r="BF4" s="2" t="n">
        <f aca="false">SUM(F4:BE4)/(D4)</f>
        <v>0.00110520515997275</v>
      </c>
      <c r="BG4" s="0" t="n">
        <v>0</v>
      </c>
      <c r="BI4" s="0" t="str">
        <f aca="false">A4</f>
        <v>arizona</v>
      </c>
      <c r="BJ4" s="0" t="n">
        <f aca="false">BF4</f>
        <v>0.00110520515997275</v>
      </c>
      <c r="BL4" s="0" t="n">
        <f aca="false">SUM(F4:BD4)/(D4-Table!BG4)</f>
        <v>0.0217355561541323</v>
      </c>
    </row>
    <row r="5" customFormat="false" ht="12.75" hidden="false" customHeight="false" outlineLevel="0" collapsed="false">
      <c r="A5" s="0" t="s">
        <v>7</v>
      </c>
      <c r="B5" s="0" t="n">
        <v>2344205</v>
      </c>
      <c r="C5" s="0" t="n">
        <v>1355487</v>
      </c>
      <c r="D5" s="0" t="n">
        <v>988408</v>
      </c>
      <c r="E5" s="0" t="n">
        <v>2344205</v>
      </c>
      <c r="F5" s="1" t="n">
        <f aca="false">Table!F5*F$55</f>
        <v>0</v>
      </c>
      <c r="G5" s="1" t="n">
        <f aca="false">Table!G5*G$55</f>
        <v>6.72895265731747</v>
      </c>
      <c r="H5" s="1" t="n">
        <f aca="false">Table!H5*H$55</f>
        <v>0</v>
      </c>
      <c r="I5" s="1" t="n">
        <v>0</v>
      </c>
      <c r="J5" s="1" t="n">
        <f aca="false">Table!J5*J$55</f>
        <v>7.48409855167297</v>
      </c>
      <c r="K5" s="1" t="n">
        <f aca="false">Table!K5*K$55</f>
        <v>0.162677773167097</v>
      </c>
      <c r="L5" s="1" t="n">
        <f aca="false">Table!L5*L$55</f>
        <v>0</v>
      </c>
      <c r="M5" s="1" t="n">
        <f aca="false">Table!M5*M$55</f>
        <v>0</v>
      </c>
      <c r="N5" s="1" t="n">
        <f aca="false">Table!N5*N$55</f>
        <v>0</v>
      </c>
      <c r="O5" s="1" t="n">
        <f aca="false">Table!O5*O$55</f>
        <v>30.7442540860522</v>
      </c>
      <c r="P5" s="1" t="n">
        <f aca="false">Table!P5*P$55</f>
        <v>1.08831555925446</v>
      </c>
      <c r="Q5" s="1" t="n">
        <f aca="false">Table!Q5*Q$55</f>
        <v>0</v>
      </c>
      <c r="R5" s="1" t="n">
        <f aca="false">Table!R5*R$55</f>
        <v>0</v>
      </c>
      <c r="S5" s="1" t="n">
        <f aca="false">Table!S5*S$55</f>
        <v>28.8606325797338</v>
      </c>
      <c r="T5" s="1" t="n">
        <f aca="false">Table!T5*T$55</f>
        <v>4.12957645790766</v>
      </c>
      <c r="U5" s="1" t="n">
        <f aca="false">Table!U5*U$55</f>
        <v>0.0547407996158786</v>
      </c>
      <c r="V5" s="1" t="n">
        <f aca="false">Table!V5*V$55</f>
        <v>19.3046427406959</v>
      </c>
      <c r="W5" s="1" t="n">
        <f aca="false">Table!W5*W$55</f>
        <v>0.65935607393608</v>
      </c>
      <c r="X5" s="1" t="n">
        <f aca="false">Table!X5*X$55</f>
        <v>46.2503598476678</v>
      </c>
      <c r="Y5" s="1" t="n">
        <f aca="false">Table!Y5*Y$55</f>
        <v>0</v>
      </c>
      <c r="Z5" s="1" t="n">
        <f aca="false">Table!Z5*Z$55</f>
        <v>6.32321245326298</v>
      </c>
      <c r="AA5" s="1" t="n">
        <f aca="false">Table!AA5*AA$55</f>
        <v>0</v>
      </c>
      <c r="AB5" s="1" t="n">
        <f aca="false">Table!AB5*AB$55</f>
        <v>0.716624080029992</v>
      </c>
      <c r="AC5" s="1" t="n">
        <f aca="false">Table!AC5*AC$55</f>
        <v>0</v>
      </c>
      <c r="AD5" s="1" t="n">
        <f aca="false">Table!AD5*AD$55</f>
        <v>0</v>
      </c>
      <c r="AE5" s="1" t="n">
        <f aca="false">Table!AE5*AE$55</f>
        <v>2.27677833391851</v>
      </c>
      <c r="AF5" s="1" t="n">
        <f aca="false">Table!AF5*AF$55</f>
        <v>0</v>
      </c>
      <c r="AG5" s="1" t="n">
        <f aca="false">Table!AG5*AG$55</f>
        <v>0.143645982160096</v>
      </c>
      <c r="AH5" s="1" t="n">
        <f aca="false">Table!AH5*AH$55</f>
        <v>0</v>
      </c>
      <c r="AI5" s="1" t="n">
        <f aca="false">Table!AI5*AI$55</f>
        <v>0</v>
      </c>
      <c r="AJ5" s="1" t="n">
        <f aca="false">Table!AJ5*AJ$55</f>
        <v>12.8452577540574</v>
      </c>
      <c r="AK5" s="1" t="n">
        <f aca="false">Table!AK5*AK$55</f>
        <v>0</v>
      </c>
      <c r="AL5" s="1" t="n">
        <f aca="false">Table!AL5*AL$55</f>
        <v>13.9365255577715</v>
      </c>
      <c r="AM5" s="1" t="n">
        <f aca="false">Table!AM5*AM$55</f>
        <v>0.0487372407745976</v>
      </c>
      <c r="AN5" s="1" t="n">
        <f aca="false">Table!AN5*AN$55</f>
        <v>0</v>
      </c>
      <c r="AO5" s="1" t="n">
        <f aca="false">Table!AO5*AO$55</f>
        <v>2.66293690846063</v>
      </c>
      <c r="AP5" s="1" t="n">
        <f aca="false">Table!AP5*AP$55</f>
        <v>225.883356713391</v>
      </c>
      <c r="AQ5" s="1" t="n">
        <f aca="false">Table!AQ5*AQ$55</f>
        <v>0.302045296240792</v>
      </c>
      <c r="AR5" s="1" t="n">
        <f aca="false">Table!AR5*AR$55</f>
        <v>2.10559015579535</v>
      </c>
      <c r="AS5" s="1" t="n">
        <f aca="false">Table!AS5*AS$55</f>
        <v>0.112098353521433</v>
      </c>
      <c r="AT5" s="1" t="n">
        <f aca="false">Table!AT5*AT$55</f>
        <v>0</v>
      </c>
      <c r="AU5" s="1" t="n">
        <f aca="false">Table!AU5*AU$55</f>
        <v>0</v>
      </c>
      <c r="AV5" s="1" t="n">
        <f aca="false">Table!AV5*AV$55</f>
        <v>0.618973112722868</v>
      </c>
      <c r="AW5" s="1" t="n">
        <f aca="false">Table!AW5*AW$55</f>
        <v>223.766610671539</v>
      </c>
      <c r="AX5" s="1" t="n">
        <f aca="false">Table!AX5*AX$55</f>
        <v>0</v>
      </c>
      <c r="AY5" s="1" t="n">
        <f aca="false">Table!AY5*AY$55</f>
        <v>0</v>
      </c>
      <c r="AZ5" s="1" t="n">
        <f aca="false">Table!AZ5*AZ$55</f>
        <v>8.88691824093669</v>
      </c>
      <c r="BA5" s="1" t="n">
        <f aca="false">Table!BA5*BA$55</f>
        <v>0.911407857504905</v>
      </c>
      <c r="BB5" s="1" t="n">
        <f aca="false">Table!BB5*BB$55</f>
        <v>0</v>
      </c>
      <c r="BC5" s="1" t="n">
        <f aca="false">Table!BC5*BC$55</f>
        <v>0.000566662561511221</v>
      </c>
      <c r="BD5" s="1" t="n">
        <f aca="false">Table!BD5*BD$55</f>
        <v>0</v>
      </c>
      <c r="BE5" s="0" t="n">
        <v>310</v>
      </c>
      <c r="BF5" s="2" t="n">
        <f aca="false">SUM(F5:BE5)/(D5)</f>
        <v>0.000968232645326292</v>
      </c>
      <c r="BG5" s="0" t="n">
        <v>0</v>
      </c>
      <c r="BI5" s="0" t="str">
        <f aca="false">A5</f>
        <v>arkansas</v>
      </c>
      <c r="BJ5" s="0" t="n">
        <f aca="false">BF5</f>
        <v>0.000968232645326292</v>
      </c>
      <c r="BL5" s="0" t="n">
        <f aca="false">SUM(F5:BD5)/(D5-Table!BG5)</f>
        <v>0.0202684321941504</v>
      </c>
    </row>
    <row r="6" customFormat="false" ht="12.75" hidden="false" customHeight="false" outlineLevel="0" collapsed="false">
      <c r="A6" s="0" t="s">
        <v>8</v>
      </c>
      <c r="B6" s="0" t="n">
        <v>29715727</v>
      </c>
      <c r="C6" s="0" t="n">
        <v>15806498</v>
      </c>
      <c r="D6" s="0" t="n">
        <v>13897185</v>
      </c>
      <c r="E6" s="0" t="n">
        <v>29715727</v>
      </c>
      <c r="F6" s="1" t="n">
        <f aca="false">Table!F6*F$55</f>
        <v>0</v>
      </c>
      <c r="G6" s="1" t="n">
        <f aca="false">Table!G6*G$55</f>
        <v>40.8768152080033</v>
      </c>
      <c r="H6" s="1" t="n">
        <f aca="false">Table!H6*H$55</f>
        <v>0</v>
      </c>
      <c r="I6" s="1" t="n">
        <f aca="false">Table!I6*I$55</f>
        <v>0</v>
      </c>
      <c r="J6" s="1" t="n">
        <v>0</v>
      </c>
      <c r="K6" s="1" t="n">
        <f aca="false">Table!K6*K$55</f>
        <v>4.23257988003848</v>
      </c>
      <c r="L6" s="1" t="n">
        <f aca="false">Table!L6*L$55</f>
        <v>0.0665307610265826</v>
      </c>
      <c r="M6" s="1" t="n">
        <f aca="false">Table!M6*M$55</f>
        <v>18.4390734801186</v>
      </c>
      <c r="N6" s="1" t="n">
        <f aca="false">Table!N6*N$55</f>
        <v>0</v>
      </c>
      <c r="O6" s="1" t="n">
        <f aca="false">Table!O6*O$55</f>
        <v>173.957994638802</v>
      </c>
      <c r="P6" s="1" t="n">
        <f aca="false">Table!P6*P$55</f>
        <v>4.21094404849994</v>
      </c>
      <c r="Q6" s="1" t="n">
        <f aca="false">Table!Q6*Q$55</f>
        <v>0</v>
      </c>
      <c r="R6" s="1" t="n">
        <f aca="false">Table!R6*R$55</f>
        <v>0</v>
      </c>
      <c r="S6" s="1" t="n">
        <f aca="false">Table!S6*S$55</f>
        <v>123.952716848857</v>
      </c>
      <c r="T6" s="1" t="n">
        <f aca="false">Table!T6*T$55</f>
        <v>19.2855477879605</v>
      </c>
      <c r="U6" s="1" t="n">
        <f aca="false">Table!U6*U$55</f>
        <v>0.106261552195529</v>
      </c>
      <c r="V6" s="1" t="n">
        <f aca="false">Table!V6*V$55</f>
        <v>11.4278319903116</v>
      </c>
      <c r="W6" s="1" t="n">
        <f aca="false">Table!W6*W$55</f>
        <v>2.85720965372301</v>
      </c>
      <c r="X6" s="1" t="n">
        <f aca="false">Table!X6*X$55</f>
        <v>14.2806066619864</v>
      </c>
      <c r="Y6" s="1" t="n">
        <f aca="false">Table!Y6*Y$55</f>
        <v>8.72233042451836</v>
      </c>
      <c r="Z6" s="1" t="n">
        <f aca="false">Table!Z6*Z$55</f>
        <v>42.1547496884199</v>
      </c>
      <c r="AA6" s="1" t="n">
        <f aca="false">Table!AA6*AA$55</f>
        <v>91.3674934110961</v>
      </c>
      <c r="AB6" s="1" t="n">
        <f aca="false">Table!AB6*AB$55</f>
        <v>6.08022286458436</v>
      </c>
      <c r="AC6" s="1" t="n">
        <f aca="false">Table!AC6*AC$55</f>
        <v>0</v>
      </c>
      <c r="AD6" s="1" t="n">
        <f aca="false">Table!AD6*AD$55</f>
        <v>0</v>
      </c>
      <c r="AE6" s="1" t="n">
        <f aca="false">Table!AE6*AE$55</f>
        <v>0.577361205798489</v>
      </c>
      <c r="AF6" s="1" t="n">
        <f aca="false">Table!AF6*AF$55</f>
        <v>0</v>
      </c>
      <c r="AG6" s="1" t="n">
        <f aca="false">Table!AG6*AG$55</f>
        <v>0.564608513212599</v>
      </c>
      <c r="AH6" s="1" t="n">
        <f aca="false">Table!AH6*AH$55</f>
        <v>0</v>
      </c>
      <c r="AI6" s="1" t="n">
        <f aca="false">Table!AI6*AI$55</f>
        <v>13.8977295398192</v>
      </c>
      <c r="AJ6" s="1" t="n">
        <f aca="false">Table!AJ6*AJ$55</f>
        <v>242.146773831805</v>
      </c>
      <c r="AK6" s="1" t="n">
        <f aca="false">Table!AK6*AK$55</f>
        <v>0</v>
      </c>
      <c r="AL6" s="1" t="n">
        <f aca="false">Table!AL6*AL$55</f>
        <v>1165.69081629646</v>
      </c>
      <c r="AM6" s="1" t="n">
        <f aca="false">Table!AM6*AM$55</f>
        <v>0.347806672800537</v>
      </c>
      <c r="AN6" s="1" t="n">
        <f aca="false">Table!AN6*AN$55</f>
        <v>0</v>
      </c>
      <c r="AO6" s="1" t="n">
        <f aca="false">Table!AO6*AO$55</f>
        <v>26.4978660273984</v>
      </c>
      <c r="AP6" s="1" t="n">
        <f aca="false">Table!AP6*AP$55</f>
        <v>29.3276070270329</v>
      </c>
      <c r="AQ6" s="1" t="n">
        <f aca="false">Table!AQ6*AQ$55</f>
        <v>10.7358556172604</v>
      </c>
      <c r="AR6" s="1" t="n">
        <f aca="false">Table!AR6*AR$55</f>
        <v>68.6656345251039</v>
      </c>
      <c r="AS6" s="1" t="n">
        <f aca="false">Table!AS6*AS$55</f>
        <v>6.0533110901574</v>
      </c>
      <c r="AT6" s="1" t="n">
        <f aca="false">Table!AT6*AT$55</f>
        <v>0</v>
      </c>
      <c r="AU6" s="1" t="n">
        <f aca="false">Table!AU6*AU$55</f>
        <v>0</v>
      </c>
      <c r="AV6" s="1" t="n">
        <f aca="false">Table!AV6*AV$55</f>
        <v>0.0207078438048977</v>
      </c>
      <c r="AW6" s="1" t="n">
        <f aca="false">Table!AW6*AW$55</f>
        <v>87.606038683615</v>
      </c>
      <c r="AX6" s="1" t="n">
        <f aca="false">Table!AX6*AX$55</f>
        <v>0.69899051316619</v>
      </c>
      <c r="AY6" s="1" t="n">
        <f aca="false">Table!AY6*AY$55</f>
        <v>0</v>
      </c>
      <c r="AZ6" s="1" t="n">
        <f aca="false">Table!AZ6*AZ$55</f>
        <v>51.0416194256939</v>
      </c>
      <c r="BA6" s="1" t="n">
        <f aca="false">Table!BA6*BA$55</f>
        <v>102.077680040549</v>
      </c>
      <c r="BB6" s="1" t="n">
        <f aca="false">Table!BB6*BB$55</f>
        <v>5.52086357123856</v>
      </c>
      <c r="BC6" s="1" t="n">
        <f aca="false">Table!BC6*BC$55</f>
        <v>0.00157532192100119</v>
      </c>
      <c r="BD6" s="1" t="n">
        <f aca="false">Table!BD6*BD$55</f>
        <v>0</v>
      </c>
      <c r="BE6" s="0" t="n">
        <v>12044</v>
      </c>
      <c r="BF6" s="2" t="n">
        <f aca="false">SUM(F6:BE6)/(D6)</f>
        <v>0.00103743972283934</v>
      </c>
      <c r="BG6" s="0" t="n">
        <v>0.0211415213324095</v>
      </c>
      <c r="BI6" s="0" t="str">
        <f aca="false">A6</f>
        <v>califo~1</v>
      </c>
      <c r="BJ6" s="0" t="n">
        <f aca="false">BF6</f>
        <v>0.00103743972283934</v>
      </c>
      <c r="BL6" s="0" t="n">
        <f aca="false">SUM(F6:BD6)/(D6-Table!BG6)</f>
        <v>0.0462867458685396</v>
      </c>
    </row>
    <row r="7" customFormat="false" ht="12.75" hidden="false" customHeight="false" outlineLevel="0" collapsed="false">
      <c r="A7" s="0" t="s">
        <v>9</v>
      </c>
      <c r="B7" s="0" t="n">
        <v>3282756</v>
      </c>
      <c r="C7" s="0" t="n">
        <v>1649976</v>
      </c>
      <c r="D7" s="0" t="n">
        <v>1631955</v>
      </c>
      <c r="E7" s="0" t="n">
        <v>3282756</v>
      </c>
      <c r="F7" s="1" t="n">
        <f aca="false">Table!F7*F$55</f>
        <v>0</v>
      </c>
      <c r="G7" s="1" t="n">
        <f aca="false">Table!G7*G$55</f>
        <v>19.6208712998416</v>
      </c>
      <c r="H7" s="1" t="n">
        <f aca="false">Table!H7*H$55</f>
        <v>0</v>
      </c>
      <c r="I7" s="1" t="n">
        <f aca="false">Table!I7*I$55</f>
        <v>0</v>
      </c>
      <c r="J7" s="1" t="n">
        <f aca="false">Table!J7*J$55</f>
        <v>47.4415738699269</v>
      </c>
      <c r="K7" s="1" t="n">
        <v>0</v>
      </c>
      <c r="L7" s="1" t="n">
        <f aca="false">Table!L7*L$55</f>
        <v>0.00545760149046186</v>
      </c>
      <c r="M7" s="1" t="n">
        <f aca="false">Table!M7*M$55</f>
        <v>11.3665521452786</v>
      </c>
      <c r="N7" s="1" t="n">
        <f aca="false">Table!N7*N$55</f>
        <v>0</v>
      </c>
      <c r="O7" s="1" t="n">
        <f aca="false">Table!O7*O$55</f>
        <v>27.7865790094193</v>
      </c>
      <c r="P7" s="1" t="n">
        <f aca="false">Table!P7*P$55</f>
        <v>0.703219284441341</v>
      </c>
      <c r="Q7" s="1" t="n">
        <f aca="false">Table!Q7*Q$55</f>
        <v>0</v>
      </c>
      <c r="R7" s="1" t="n">
        <f aca="false">Table!R7*R$55</f>
        <v>0</v>
      </c>
      <c r="S7" s="1" t="n">
        <f aca="false">Table!S7*S$55</f>
        <v>78.5342213467756</v>
      </c>
      <c r="T7" s="1" t="n">
        <f aca="false">Table!T7*T$55</f>
        <v>5.23647324043961</v>
      </c>
      <c r="U7" s="1" t="n">
        <f aca="false">Table!U7*U$55</f>
        <v>0.222183245499742</v>
      </c>
      <c r="V7" s="1" t="n">
        <f aca="false">Table!V7*V$55</f>
        <v>53.0716265312777</v>
      </c>
      <c r="W7" s="1" t="n">
        <f aca="false">Table!W7*W$55</f>
        <v>1.16655305388691</v>
      </c>
      <c r="X7" s="1" t="n">
        <f aca="false">Table!X7*X$55</f>
        <v>1.49858218057882</v>
      </c>
      <c r="Y7" s="1" t="n">
        <f aca="false">Table!Y7*Y$55</f>
        <v>0</v>
      </c>
      <c r="Z7" s="1" t="n">
        <f aca="false">Table!Z7*Z$55</f>
        <v>4.21547496884199</v>
      </c>
      <c r="AA7" s="1" t="n">
        <f aca="false">Table!AA7*AA$55</f>
        <v>15.9035568736037</v>
      </c>
      <c r="AB7" s="1" t="n">
        <f aca="false">Table!AB7*AB$55</f>
        <v>0.731399834257414</v>
      </c>
      <c r="AC7" s="1" t="n">
        <f aca="false">Table!AC7*AC$55</f>
        <v>0</v>
      </c>
      <c r="AD7" s="1" t="n">
        <f aca="false">Table!AD7*AD$55</f>
        <v>0</v>
      </c>
      <c r="AE7" s="1" t="n">
        <f aca="false">Table!AE7*AE$55</f>
        <v>0.186882706087406</v>
      </c>
      <c r="AF7" s="1" t="n">
        <f aca="false">Table!AF7*AF$55</f>
        <v>0</v>
      </c>
      <c r="AG7" s="1" t="n">
        <f aca="false">Table!AG7*AG$55</f>
        <v>1.72973703517782</v>
      </c>
      <c r="AH7" s="1" t="n">
        <f aca="false">Table!AH7*AH$55</f>
        <v>0</v>
      </c>
      <c r="AI7" s="1" t="n">
        <f aca="false">Table!AI7*AI$55</f>
        <v>0</v>
      </c>
      <c r="AJ7" s="1" t="n">
        <f aca="false">Table!AJ7*AJ$55</f>
        <v>95.1095680513186</v>
      </c>
      <c r="AK7" s="1" t="n">
        <f aca="false">Table!AK7*AK$55</f>
        <v>0</v>
      </c>
      <c r="AL7" s="1" t="n">
        <f aca="false">Table!AL7*AL$55</f>
        <v>175.202035583413</v>
      </c>
      <c r="AM7" s="1" t="n">
        <f aca="false">Table!AM7*AM$55</f>
        <v>0.0863978359186048</v>
      </c>
      <c r="AN7" s="1" t="n">
        <f aca="false">Table!AN7*AN$55</f>
        <v>0</v>
      </c>
      <c r="AO7" s="1" t="n">
        <f aca="false">Table!AO7*AO$55</f>
        <v>10.0599838764068</v>
      </c>
      <c r="AP7" s="1" t="n">
        <f aca="false">Table!AP7*AP$55</f>
        <v>23.0214117336554</v>
      </c>
      <c r="AQ7" s="1" t="n">
        <f aca="false">Table!AQ7*AQ$55</f>
        <v>0.635884834191141</v>
      </c>
      <c r="AR7" s="1" t="n">
        <f aca="false">Table!AR7*AR$55</f>
        <v>13.3354043200372</v>
      </c>
      <c r="AS7" s="1" t="n">
        <f aca="false">Table!AS7*AS$55</f>
        <v>0</v>
      </c>
      <c r="AT7" s="1" t="n">
        <f aca="false">Table!AT7*AT$55</f>
        <v>0</v>
      </c>
      <c r="AU7" s="1" t="n">
        <f aca="false">Table!AU7*AU$55</f>
        <v>0</v>
      </c>
      <c r="AV7" s="1" t="n">
        <f aca="false">Table!AV7*AV$55</f>
        <v>0.00870077470794023</v>
      </c>
      <c r="AW7" s="1" t="n">
        <f aca="false">Table!AW7*AW$55</f>
        <v>29.2515078316477</v>
      </c>
      <c r="AX7" s="1" t="n">
        <f aca="false">Table!AX7*AX$55</f>
        <v>0.469108606429716</v>
      </c>
      <c r="AY7" s="1" t="n">
        <f aca="false">Table!AY7*AY$55</f>
        <v>0</v>
      </c>
      <c r="AZ7" s="1" t="n">
        <f aca="false">Table!AZ7*AZ$55</f>
        <v>13.8189252228178</v>
      </c>
      <c r="BA7" s="1" t="n">
        <f aca="false">Table!BA7*BA$55</f>
        <v>14.1682494212126</v>
      </c>
      <c r="BB7" s="1" t="n">
        <f aca="false">Table!BB7*BB$55</f>
        <v>0.394347397945611</v>
      </c>
      <c r="BC7" s="1" t="n">
        <f aca="false">Table!BC7*BC$55</f>
        <v>0.00197198571405905</v>
      </c>
      <c r="BD7" s="1" t="n">
        <f aca="false">Table!BD7*BD$55</f>
        <v>0</v>
      </c>
      <c r="BE7" s="0" t="n">
        <v>825</v>
      </c>
      <c r="BF7" s="2" t="n">
        <f aca="false">SUM(F7:BE7)/(D7)</f>
        <v>0.00090075059772006</v>
      </c>
      <c r="BG7" s="0" t="n">
        <v>0.00295777769394722</v>
      </c>
      <c r="BI7" s="0" t="str">
        <f aca="false">A7</f>
        <v>colorado</v>
      </c>
      <c r="BJ7" s="0" t="n">
        <f aca="false">BF7</f>
        <v>0.00090075059772006</v>
      </c>
      <c r="BL7" s="0" t="n">
        <f aca="false">SUM(F7:BD7)/(D7-Table!BG7)</f>
        <v>0.0385571760941081</v>
      </c>
    </row>
    <row r="8" customFormat="false" ht="12.75" hidden="false" customHeight="false" outlineLevel="0" collapsed="false">
      <c r="A8" s="0" t="s">
        <v>10</v>
      </c>
      <c r="B8" s="0" t="n">
        <v>3282130</v>
      </c>
      <c r="C8" s="0" t="n">
        <v>1609151</v>
      </c>
      <c r="D8" s="0" t="n">
        <v>1672230</v>
      </c>
      <c r="E8" s="0" t="n">
        <v>3282130</v>
      </c>
      <c r="F8" s="1" t="n">
        <f aca="false">Table!F8*F$55</f>
        <v>0</v>
      </c>
      <c r="G8" s="1" t="n">
        <f aca="false">Table!G8*G$55</f>
        <v>0</v>
      </c>
      <c r="H8" s="1" t="n">
        <f aca="false">Table!H8*H$55</f>
        <v>0</v>
      </c>
      <c r="I8" s="1" t="n">
        <f aca="false">Table!I8*I$55</f>
        <v>0</v>
      </c>
      <c r="J8" s="1" t="n">
        <f aca="false">Table!J8*J$55</f>
        <v>12.7483373634429</v>
      </c>
      <c r="K8" s="1" t="n">
        <f aca="false">Table!K8*K$55</f>
        <v>0.363806656355509</v>
      </c>
      <c r="L8" s="1" t="n">
        <v>0</v>
      </c>
      <c r="M8" s="1" t="n">
        <f aca="false">Table!M8*M$55</f>
        <v>8.33547157320428</v>
      </c>
      <c r="N8" s="1" t="n">
        <f aca="false">Table!N8*N$55</f>
        <v>0</v>
      </c>
      <c r="O8" s="1" t="n">
        <f aca="false">Table!O8*O$55</f>
        <v>51.6036467317788</v>
      </c>
      <c r="P8" s="1" t="n">
        <f aca="false">Table!P8*P$55</f>
        <v>1.48178349221568</v>
      </c>
      <c r="Q8" s="1" t="n">
        <f aca="false">Table!Q8*Q$55</f>
        <v>0</v>
      </c>
      <c r="R8" s="1" t="n">
        <f aca="false">Table!R8*R$55</f>
        <v>0</v>
      </c>
      <c r="S8" s="1" t="n">
        <f aca="false">Table!S8*S$55</f>
        <v>48.2860583545546</v>
      </c>
      <c r="T8" s="1" t="n">
        <f aca="false">Table!T8*T$55</f>
        <v>4.04443055155905</v>
      </c>
      <c r="U8" s="1" t="n">
        <f aca="false">Table!U8*U$55</f>
        <v>0.0236136782656731</v>
      </c>
      <c r="V8" s="1" t="n">
        <f aca="false">Table!V8*V$55</f>
        <v>0</v>
      </c>
      <c r="W8" s="1" t="n">
        <f aca="false">Table!W8*W$55</f>
        <v>0.253598489975415</v>
      </c>
      <c r="X8" s="1" t="n">
        <f aca="false">Table!X8*X$55</f>
        <v>2.11564543140539</v>
      </c>
      <c r="Y8" s="1" t="n">
        <f aca="false">Table!Y8*Y$55</f>
        <v>9.35286033472451</v>
      </c>
      <c r="Z8" s="1" t="n">
        <f aca="false">Table!Z8*Z$55</f>
        <v>35.1992159898306</v>
      </c>
      <c r="AA8" s="1" t="n">
        <f aca="false">Table!AA8*AA$55</f>
        <v>1241.30899467043</v>
      </c>
      <c r="AB8" s="1" t="n">
        <f aca="false">Table!AB8*AB$55</f>
        <v>0.568866537755767</v>
      </c>
      <c r="AC8" s="1" t="n">
        <f aca="false">Table!AC8*AC$55</f>
        <v>0</v>
      </c>
      <c r="AD8" s="1" t="n">
        <f aca="false">Table!AD8*AD$55</f>
        <v>0</v>
      </c>
      <c r="AE8" s="1" t="n">
        <f aca="false">Table!AE8*AE$55</f>
        <v>0.102557582608942</v>
      </c>
      <c r="AF8" s="1" t="n">
        <f aca="false">Table!AF8*AF$55</f>
        <v>0</v>
      </c>
      <c r="AG8" s="1" t="n">
        <f aca="false">Table!AG8*AG$55</f>
        <v>0</v>
      </c>
      <c r="AH8" s="1" t="n">
        <f aca="false">Table!AH8*AH$55</f>
        <v>0</v>
      </c>
      <c r="AI8" s="1" t="n">
        <f aca="false">Table!AI8*AI$55</f>
        <v>30.5043385662133</v>
      </c>
      <c r="AJ8" s="1" t="n">
        <f aca="false">Table!AJ8*AJ$55</f>
        <v>880.036807831166</v>
      </c>
      <c r="AK8" s="1" t="n">
        <f aca="false">Table!AK8*AK$55</f>
        <v>0</v>
      </c>
      <c r="AL8" s="1" t="n">
        <f aca="false">Table!AL8*AL$55</f>
        <v>18090.6056400986</v>
      </c>
      <c r="AM8" s="1" t="n">
        <f aca="false">Table!AM8*AM$55</f>
        <v>0.133658190609124</v>
      </c>
      <c r="AN8" s="1" t="n">
        <f aca="false">Table!AN8*AN$55</f>
        <v>0</v>
      </c>
      <c r="AO8" s="1" t="n">
        <f aca="false">Table!AO8*AO$55</f>
        <v>5.88476181005497</v>
      </c>
      <c r="AP8" s="1" t="n">
        <f aca="false">Table!AP8*AP$55</f>
        <v>0.835760822013891</v>
      </c>
      <c r="AQ8" s="1" t="n">
        <f aca="false">Table!AQ8*AQ$55</f>
        <v>0.121877926553302</v>
      </c>
      <c r="AR8" s="1" t="n">
        <f aca="false">Table!AR8*AR$55</f>
        <v>76.7370634556527</v>
      </c>
      <c r="AS8" s="1" t="n">
        <f aca="false">Table!AS8*AS$55</f>
        <v>110.043217040207</v>
      </c>
      <c r="AT8" s="1" t="n">
        <f aca="false">Table!AT8*AT$55</f>
        <v>0</v>
      </c>
      <c r="AU8" s="1" t="n">
        <f aca="false">Table!AU8*AU$55</f>
        <v>0</v>
      </c>
      <c r="AV8" s="1" t="n">
        <f aca="false">Table!AV8*AV$55</f>
        <v>0.00591652680139936</v>
      </c>
      <c r="AW8" s="1" t="n">
        <f aca="false">Table!AW8*AW$55</f>
        <v>11.4580779408231</v>
      </c>
      <c r="AX8" s="1" t="n">
        <f aca="false">Table!AX8*AX$55</f>
        <v>0</v>
      </c>
      <c r="AY8" s="1" t="n">
        <f aca="false">Table!AY8*AY$55</f>
        <v>0</v>
      </c>
      <c r="AZ8" s="1" t="n">
        <f aca="false">Table!AZ8*AZ$55</f>
        <v>20.0537265017995</v>
      </c>
      <c r="BA8" s="1" t="n">
        <f aca="false">Table!BA8*BA$55</f>
        <v>2.56851305296837</v>
      </c>
      <c r="BB8" s="1" t="n">
        <f aca="false">Table!BB8*BB$55</f>
        <v>1.64311415810671</v>
      </c>
      <c r="BC8" s="1" t="n">
        <f aca="false">Table!BC8*BC$55</f>
        <v>0.000668661822583241</v>
      </c>
      <c r="BD8" s="1" t="n">
        <f aca="false">Table!BD8*BD$55</f>
        <v>0</v>
      </c>
      <c r="BE8" s="0" t="n">
        <v>749</v>
      </c>
      <c r="BF8" s="2" t="n">
        <f aca="false">SUM(F8:BE8)/(D8)</f>
        <v>0.0127945450267138</v>
      </c>
      <c r="BG8" s="0" t="n">
        <v>0.000259885785260088</v>
      </c>
      <c r="BI8" s="0" t="str">
        <f aca="false">A8</f>
        <v>connec~1</v>
      </c>
      <c r="BJ8" s="0" t="n">
        <f aca="false">BF8</f>
        <v>0.0127945450267138</v>
      </c>
      <c r="BL8" s="0" t="n">
        <f aca="false">SUM(F8:BD8)/(D8-Table!BG8)</f>
        <v>0.260230429297338</v>
      </c>
    </row>
    <row r="9" customFormat="false" ht="12.75" hidden="false" customHeight="false" outlineLevel="0" collapsed="false">
      <c r="A9" s="0" t="s">
        <v>11</v>
      </c>
      <c r="B9" s="0" t="n">
        <v>661667</v>
      </c>
      <c r="C9" s="0" t="n">
        <v>327531</v>
      </c>
      <c r="D9" s="0" t="n">
        <v>333913</v>
      </c>
      <c r="E9" s="0" t="n">
        <v>661667</v>
      </c>
      <c r="F9" s="1" t="n">
        <f aca="false">Table!F9*F$55</f>
        <v>0</v>
      </c>
      <c r="G9" s="1" t="n">
        <f aca="false">Table!G9*G$55</f>
        <v>0</v>
      </c>
      <c r="H9" s="1" t="n">
        <f aca="false">Table!H9*H$55</f>
        <v>0</v>
      </c>
      <c r="I9" s="1" t="n">
        <f aca="false">Table!I9*I$55</f>
        <v>0</v>
      </c>
      <c r="J9" s="1" t="n">
        <f aca="false">Table!J9*J$55</f>
        <v>3.3403603705207</v>
      </c>
      <c r="K9" s="1" t="n">
        <f aca="false">Table!K9*K$55</f>
        <v>0</v>
      </c>
      <c r="L9" s="1" t="n">
        <f aca="false">Table!L9*L$55</f>
        <v>0.0215705201765873</v>
      </c>
      <c r="M9" s="1" t="n">
        <v>0</v>
      </c>
      <c r="N9" s="1" t="n">
        <f aca="false">Table!N9*N$55</f>
        <v>0</v>
      </c>
      <c r="O9" s="1" t="n">
        <f aca="false">Table!O9*O$55</f>
        <v>8.95085878454684</v>
      </c>
      <c r="P9" s="1" t="n">
        <f aca="false">Table!P9*P$55</f>
        <v>0.242778086295225</v>
      </c>
      <c r="Q9" s="1" t="n">
        <f aca="false">Table!Q9*Q$55</f>
        <v>0</v>
      </c>
      <c r="R9" s="1" t="n">
        <f aca="false">Table!R9*R$55</f>
        <v>0</v>
      </c>
      <c r="S9" s="1" t="n">
        <f aca="false">Table!S9*S$55</f>
        <v>9.99021896990785</v>
      </c>
      <c r="T9" s="1" t="n">
        <f aca="false">Table!T9*T$55</f>
        <v>1.74549108014654</v>
      </c>
      <c r="U9" s="1" t="n">
        <f aca="false">Table!U9*U$55</f>
        <v>0</v>
      </c>
      <c r="V9" s="1" t="n">
        <f aca="false">Table!V9*V$55</f>
        <v>0</v>
      </c>
      <c r="W9" s="1" t="n">
        <f aca="false">Table!W9*W$55</f>
        <v>0</v>
      </c>
      <c r="X9" s="1" t="n">
        <f aca="false">Table!X9*X$55</f>
        <v>0</v>
      </c>
      <c r="Y9" s="1" t="n">
        <f aca="false">Table!Y9*Y$55</f>
        <v>0</v>
      </c>
      <c r="Z9" s="1" t="n">
        <f aca="false">Table!Z9*Z$55</f>
        <v>685.36597201756</v>
      </c>
      <c r="AA9" s="1" t="n">
        <f aca="false">Table!AA9*AA$55</f>
        <v>3.74201338202441</v>
      </c>
      <c r="AB9" s="1" t="n">
        <f aca="false">Table!AB9*AB$55</f>
        <v>0.47282413527752</v>
      </c>
      <c r="AC9" s="1" t="n">
        <f aca="false">Table!AC9*AC$55</f>
        <v>0</v>
      </c>
      <c r="AD9" s="1" t="n">
        <f aca="false">Table!AD9*AD$55</f>
        <v>0</v>
      </c>
      <c r="AE9" s="1" t="n">
        <f aca="false">Table!AE9*AE$55</f>
        <v>0.0144340301449622</v>
      </c>
      <c r="AF9" s="1" t="n">
        <f aca="false">Table!AF9*AF$55</f>
        <v>0</v>
      </c>
      <c r="AG9" s="1" t="n">
        <f aca="false">Table!AG9*AG$55</f>
        <v>0.0438918278822515</v>
      </c>
      <c r="AH9" s="1" t="n">
        <f aca="false">Table!AH9*AH$55</f>
        <v>0</v>
      </c>
      <c r="AI9" s="1" t="n">
        <f aca="false">Table!AI9*AI$55</f>
        <v>0</v>
      </c>
      <c r="AJ9" s="1" t="n">
        <f aca="false">Table!AJ9*AJ$55</f>
        <v>963.121028197836</v>
      </c>
      <c r="AK9" s="1" t="n">
        <f aca="false">Table!AK9*AK$55</f>
        <v>0</v>
      </c>
      <c r="AL9" s="1" t="n">
        <f aca="false">Table!AL9*AL$55</f>
        <v>146.001696319511</v>
      </c>
      <c r="AM9" s="1" t="n">
        <f aca="false">Table!AM9*AM$55</f>
        <v>0.0236301773452594</v>
      </c>
      <c r="AN9" s="1" t="n">
        <f aca="false">Table!AN9*AN$55</f>
        <v>0</v>
      </c>
      <c r="AO9" s="1" t="n">
        <f aca="false">Table!AO9*AO$55</f>
        <v>1.87391856521304</v>
      </c>
      <c r="AP9" s="1" t="n">
        <f aca="false">Table!AP9*AP$55</f>
        <v>1.44358687438763</v>
      </c>
      <c r="AQ9" s="1" t="n">
        <f aca="false">Table!AQ9*AQ$55</f>
        <v>0</v>
      </c>
      <c r="AR9" s="1" t="n">
        <f aca="false">Table!AR9*AR$55</f>
        <v>1924.15847070432</v>
      </c>
      <c r="AS9" s="1" t="n">
        <f aca="false">Table!AS9*AS$55</f>
        <v>0</v>
      </c>
      <c r="AT9" s="1" t="n">
        <f aca="false">Table!AT9*AT$55</f>
        <v>0</v>
      </c>
      <c r="AU9" s="1" t="n">
        <f aca="false">Table!AU9*AU$55</f>
        <v>0</v>
      </c>
      <c r="AV9" s="1" t="n">
        <f aca="false">Table!AV9*AV$55</f>
        <v>0</v>
      </c>
      <c r="AW9" s="1" t="n">
        <f aca="false">Table!AW9*AW$55</f>
        <v>0.866161399414273</v>
      </c>
      <c r="AX9" s="1" t="n">
        <f aca="false">Table!AX9*AX$55</f>
        <v>0</v>
      </c>
      <c r="AY9" s="1" t="n">
        <f aca="false">Table!AY9*AY$55</f>
        <v>0</v>
      </c>
      <c r="AZ9" s="1" t="n">
        <f aca="false">Table!AZ9*AZ$55</f>
        <v>16.6106272880335</v>
      </c>
      <c r="BA9" s="1" t="n">
        <f aca="false">Table!BA9*BA$55</f>
        <v>0</v>
      </c>
      <c r="BB9" s="1" t="n">
        <f aca="false">Table!BB9*BB$55</f>
        <v>0</v>
      </c>
      <c r="BC9" s="1" t="n">
        <f aca="false">Table!BC9*BC$55</f>
        <v>0</v>
      </c>
      <c r="BD9" s="1" t="n">
        <f aca="false">Table!BD9*BD$55</f>
        <v>0</v>
      </c>
      <c r="BE9" s="0" t="n">
        <v>223</v>
      </c>
      <c r="BF9" s="2" t="n">
        <f aca="false">SUM(F9:BE9)/(D9)</f>
        <v>0.0119523035423315</v>
      </c>
      <c r="BG9" s="0" t="n">
        <v>0.252590047672857</v>
      </c>
      <c r="BI9" s="0" t="str">
        <f aca="false">A9</f>
        <v>deleware</v>
      </c>
      <c r="BJ9" s="0" t="n">
        <f aca="false">BF9</f>
        <v>0.0119523035423315</v>
      </c>
      <c r="BL9" s="0" t="n">
        <f aca="false">SUM(F9:BD9)/(D9-Table!BG9)</f>
        <v>0.118726708029446</v>
      </c>
    </row>
    <row r="10" customFormat="false" ht="12.75" hidden="false" customHeight="false" outlineLevel="0" collapsed="false">
      <c r="A10" s="0" t="s">
        <v>12</v>
      </c>
      <c r="B10" s="0" t="n">
        <v>609866</v>
      </c>
      <c r="C10" s="0" t="n">
        <v>303582</v>
      </c>
      <c r="D10" s="0" t="n">
        <v>305807</v>
      </c>
      <c r="E10" s="0" t="n">
        <v>609866</v>
      </c>
      <c r="F10" s="1" t="n">
        <f aca="false">Table!F10*F$55</f>
        <v>0</v>
      </c>
      <c r="G10" s="1" t="n">
        <f aca="false">Table!G10*G$55</f>
        <v>0</v>
      </c>
      <c r="H10" s="1" t="n">
        <f aca="false">Table!H10*H$55</f>
        <v>0</v>
      </c>
      <c r="I10" s="1" t="n">
        <f aca="false">Table!I10*I$55</f>
        <v>0</v>
      </c>
      <c r="J10" s="1" t="n">
        <f aca="false">Table!J10*J$55</f>
        <v>4.27058730914672</v>
      </c>
      <c r="K10" s="1" t="n">
        <f aca="false">Table!K10*K$55</f>
        <v>0</v>
      </c>
      <c r="L10" s="1" t="n">
        <f aca="false">Table!L10*L$55</f>
        <v>0.00233897206734079</v>
      </c>
      <c r="M10" s="1" t="n">
        <f aca="false">Table!M10*M$55</f>
        <v>21.21756400452</v>
      </c>
      <c r="N10" s="1" t="n">
        <v>0</v>
      </c>
      <c r="O10" s="1" t="n">
        <f aca="false">Table!O10*O$55</f>
        <v>1.71233820226114</v>
      </c>
      <c r="P10" s="1" t="n">
        <f aca="false">Table!P10*P$55</f>
        <v>0.238592257221169</v>
      </c>
      <c r="Q10" s="1" t="n">
        <f aca="false">Table!Q10*Q$55</f>
        <v>0</v>
      </c>
      <c r="R10" s="1" t="n">
        <f aca="false">Table!R10*R$55</f>
        <v>0</v>
      </c>
      <c r="S10" s="1" t="n">
        <f aca="false">Table!S10*S$55</f>
        <v>1.29502838498805</v>
      </c>
      <c r="T10" s="1" t="n">
        <f aca="false">Table!T10*T$55</f>
        <v>2.85238786267849</v>
      </c>
      <c r="U10" s="1" t="n">
        <f aca="false">Table!U10*U$55</f>
        <v>0</v>
      </c>
      <c r="V10" s="1" t="n">
        <f aca="false">Table!V10*V$55</f>
        <v>2.3243048115888</v>
      </c>
      <c r="W10" s="1" t="n">
        <f aca="false">Table!W10*W$55</f>
        <v>0.16061237698443</v>
      </c>
      <c r="X10" s="1" t="n">
        <f aca="false">Table!X10*X$55</f>
        <v>0.440759464876122</v>
      </c>
      <c r="Y10" s="1" t="n">
        <f aca="false">Table!Y10*Y$55</f>
        <v>3.78317946123688</v>
      </c>
      <c r="Z10" s="1" t="n">
        <f aca="false">Table!Z10*Z$55</f>
        <v>2630.38612264125</v>
      </c>
      <c r="AA10" s="1" t="n">
        <f aca="false">Table!AA10*AA$55</f>
        <v>8.00375084488555</v>
      </c>
      <c r="AB10" s="1" t="n">
        <f aca="false">Table!AB10*AB$55</f>
        <v>0</v>
      </c>
      <c r="AC10" s="1" t="n">
        <f aca="false">Table!AC10*AC$55</f>
        <v>0</v>
      </c>
      <c r="AD10" s="1" t="n">
        <f aca="false">Table!AD10*AD$55</f>
        <v>0</v>
      </c>
      <c r="AE10" s="1" t="n">
        <f aca="false">Table!AE10*AE$55</f>
        <v>0</v>
      </c>
      <c r="AF10" s="1" t="n">
        <f aca="false">Table!AF10*AF$55</f>
        <v>0</v>
      </c>
      <c r="AG10" s="1" t="n">
        <f aca="false">Table!AG10*AG$55</f>
        <v>0</v>
      </c>
      <c r="AH10" s="1" t="n">
        <f aca="false">Table!AH10*AH$55</f>
        <v>0</v>
      </c>
      <c r="AI10" s="1" t="n">
        <f aca="false">Table!AI10*AI$55</f>
        <v>0</v>
      </c>
      <c r="AJ10" s="1" t="n">
        <f aca="false">Table!AJ10*AJ$55</f>
        <v>12.5719543975881</v>
      </c>
      <c r="AK10" s="1" t="n">
        <f aca="false">Table!AK10*AK$55</f>
        <v>0</v>
      </c>
      <c r="AL10" s="1" t="n">
        <f aca="false">Table!AL10*AL$55</f>
        <v>167.570128730347</v>
      </c>
      <c r="AM10" s="1" t="n">
        <f aca="false">Table!AM10*AM$55</f>
        <v>0.11519711455814</v>
      </c>
      <c r="AN10" s="1" t="n">
        <f aca="false">Table!AN10*AN$55</f>
        <v>0</v>
      </c>
      <c r="AO10" s="1" t="n">
        <f aca="false">Table!AO10*AO$55</f>
        <v>2.69581267276261</v>
      </c>
      <c r="AP10" s="1" t="n">
        <f aca="false">Table!AP10*AP$55</f>
        <v>0</v>
      </c>
      <c r="AQ10" s="1" t="n">
        <f aca="false">Table!AQ10*AQ$55</f>
        <v>0</v>
      </c>
      <c r="AR10" s="1" t="n">
        <f aca="false">Table!AR10*AR$55</f>
        <v>47.6097329671504</v>
      </c>
      <c r="AS10" s="1" t="n">
        <f aca="false">Table!AS10*AS$55</f>
        <v>0</v>
      </c>
      <c r="AT10" s="1" t="n">
        <f aca="false">Table!AT10*AT$55</f>
        <v>0</v>
      </c>
      <c r="AU10" s="1" t="n">
        <f aca="false">Table!AU10*AU$55</f>
        <v>0</v>
      </c>
      <c r="AV10" s="1" t="n">
        <f aca="false">Table!AV10*AV$55</f>
        <v>0</v>
      </c>
      <c r="AW10" s="1" t="n">
        <f aca="false">Table!AW10*AW$55</f>
        <v>2.02929242148487</v>
      </c>
      <c r="AX10" s="1" t="n">
        <f aca="false">Table!AX10*AX$55</f>
        <v>0</v>
      </c>
      <c r="AY10" s="1" t="n">
        <f aca="false">Table!AY10*AY$55</f>
        <v>0</v>
      </c>
      <c r="AZ10" s="1" t="n">
        <f aca="false">Table!AZ10*AZ$55</f>
        <v>1363.79298722563</v>
      </c>
      <c r="BA10" s="1" t="n">
        <f aca="false">Table!BA10*BA$55</f>
        <v>7.87124967845145</v>
      </c>
      <c r="BB10" s="1" t="n">
        <f aca="false">Table!BB10*BB$55</f>
        <v>3.74630028048331</v>
      </c>
      <c r="BC10" s="1" t="n">
        <f aca="false">Table!BC10*BC$55</f>
        <v>0.000215331773374264</v>
      </c>
      <c r="BD10" s="1" t="n">
        <f aca="false">Table!BD10*BD$55</f>
        <v>0</v>
      </c>
      <c r="BE10" s="0" t="n">
        <v>477</v>
      </c>
      <c r="BF10" s="2" t="n">
        <f aca="false">SUM(F10:BE10)/(D10)</f>
        <v>0.0155709007230506</v>
      </c>
      <c r="BG10" s="0" t="n">
        <v>0</v>
      </c>
      <c r="BI10" s="0" t="str">
        <f aca="false">A10</f>
        <v>district-of-columbia</v>
      </c>
      <c r="BJ10" s="0" t="n">
        <f aca="false">BF10</f>
        <v>0.0155709007230506</v>
      </c>
      <c r="BL10" s="0" t="n">
        <f aca="false">SUM(F10:BD10)/(D10-Table!BG10)</f>
        <v>0.0621131662957574</v>
      </c>
    </row>
    <row r="11" customFormat="false" ht="12.75" hidden="false" customHeight="false" outlineLevel="0" collapsed="false">
      <c r="A11" s="0" t="s">
        <v>13</v>
      </c>
      <c r="B11" s="0" t="n">
        <v>12922903</v>
      </c>
      <c r="C11" s="0" t="n">
        <v>7132347</v>
      </c>
      <c r="D11" s="0" t="n">
        <v>5786177</v>
      </c>
      <c r="E11" s="0" t="n">
        <v>12922903</v>
      </c>
      <c r="F11" s="1" t="n">
        <f aca="false">Table!F11*F$55</f>
        <v>0</v>
      </c>
      <c r="G11" s="1" t="n">
        <f aca="false">Table!G11*G$55</f>
        <v>8.74134971371148</v>
      </c>
      <c r="H11" s="1" t="n">
        <f aca="false">Table!H11*H$55</f>
        <v>0</v>
      </c>
      <c r="I11" s="1" t="n">
        <f aca="false">Table!I11*I$55</f>
        <v>0</v>
      </c>
      <c r="J11" s="1" t="n">
        <f aca="false">Table!J11*J$55</f>
        <v>50.2111131644726</v>
      </c>
      <c r="K11" s="1" t="n">
        <f aca="false">Table!K11*K$55</f>
        <v>2.15030438349963</v>
      </c>
      <c r="L11" s="1" t="n">
        <f aca="false">Table!L11*L$55</f>
        <v>0.296009909411241</v>
      </c>
      <c r="M11" s="1" t="n">
        <f aca="false">Table!M11*M$55</f>
        <v>50.5180095345714</v>
      </c>
      <c r="N11" s="1" t="n">
        <f aca="false">Table!N11*N$55</f>
        <v>0</v>
      </c>
      <c r="O11" s="1" t="n">
        <v>0</v>
      </c>
      <c r="P11" s="1" t="n">
        <f aca="false">Table!P11*P$55</f>
        <v>40.5230112659323</v>
      </c>
      <c r="Q11" s="1" t="n">
        <f aca="false">Table!Q11*Q$55</f>
        <v>0</v>
      </c>
      <c r="R11" s="1" t="n">
        <f aca="false">Table!R11*R$55</f>
        <v>0</v>
      </c>
      <c r="S11" s="1" t="n">
        <f aca="false">Table!S11*S$55</f>
        <v>198.139342903172</v>
      </c>
      <c r="T11" s="1" t="n">
        <f aca="false">Table!T11*T$55</f>
        <v>33.1217575696099</v>
      </c>
      <c r="U11" s="1" t="n">
        <f aca="false">Table!U11*U$55</f>
        <v>0.200716265258221</v>
      </c>
      <c r="V11" s="1" t="n">
        <f aca="false">Table!V11*V$55</f>
        <v>6.97291443476641</v>
      </c>
      <c r="W11" s="1" t="n">
        <f aca="false">Table!W11*W$55</f>
        <v>5.54535364746242</v>
      </c>
      <c r="X11" s="1" t="n">
        <f aca="false">Table!X11*X$55</f>
        <v>52.4503763202585</v>
      </c>
      <c r="Y11" s="1" t="n">
        <f aca="false">Table!Y11*Y$55</f>
        <v>23.7499599510982</v>
      </c>
      <c r="Z11" s="1" t="n">
        <f aca="false">Table!Z11*Z$55</f>
        <v>78.0565448397241</v>
      </c>
      <c r="AA11" s="1" t="n">
        <f aca="false">Table!AA11*AA$55</f>
        <v>149.784480097144</v>
      </c>
      <c r="AB11" s="1" t="n">
        <f aca="false">Table!AB11*AB$55</f>
        <v>12.0865669580316</v>
      </c>
      <c r="AC11" s="1" t="n">
        <f aca="false">Table!AC11*AC$55</f>
        <v>0</v>
      </c>
      <c r="AD11" s="1" t="n">
        <f aca="false">Table!AD11*AD$55</f>
        <v>0</v>
      </c>
      <c r="AE11" s="1" t="n">
        <f aca="false">Table!AE11*AE$55</f>
        <v>0.324385835363098</v>
      </c>
      <c r="AF11" s="1" t="n">
        <f aca="false">Table!AF11*AF$55</f>
        <v>0</v>
      </c>
      <c r="AG11" s="1" t="n">
        <f aca="false">Table!AG11*AG$55</f>
        <v>0.0199508308555689</v>
      </c>
      <c r="AH11" s="1" t="n">
        <f aca="false">Table!AH11*AH$55</f>
        <v>0</v>
      </c>
      <c r="AI11" s="1" t="n">
        <f aca="false">Table!AI11*AI$55</f>
        <v>23.9088059032483</v>
      </c>
      <c r="AJ11" s="1" t="n">
        <f aca="false">Table!AJ11*AJ$55</f>
        <v>549.339746503306</v>
      </c>
      <c r="AK11" s="1" t="n">
        <f aca="false">Table!AK11*AK$55</f>
        <v>0</v>
      </c>
      <c r="AL11" s="1" t="n">
        <f aca="false">Table!AL11*AL$55</f>
        <v>1856.8761195545</v>
      </c>
      <c r="AM11" s="1" t="n">
        <f aca="false">Table!AM11*AM$55</f>
        <v>1.51528512226476</v>
      </c>
      <c r="AN11" s="1" t="n">
        <f aca="false">Table!AN11*AN$55</f>
        <v>0</v>
      </c>
      <c r="AO11" s="1" t="n">
        <f aca="false">Table!AO11*AO$55</f>
        <v>42.1796055994443</v>
      </c>
      <c r="AP11" s="1" t="n">
        <f aca="false">Table!AP11*AP$55</f>
        <v>23.5532595294824</v>
      </c>
      <c r="AQ11" s="1" t="n">
        <f aca="false">Table!AQ11*AQ$55</f>
        <v>0.408026101939315</v>
      </c>
      <c r="AR11" s="1" t="n">
        <f aca="false">Table!AR11*AR$55</f>
        <v>208.804357116372</v>
      </c>
      <c r="AS11" s="1" t="n">
        <f aca="false">Table!AS11*AS$55</f>
        <v>8.03371533570272</v>
      </c>
      <c r="AT11" s="1" t="n">
        <f aca="false">Table!AT11*AT$55</f>
        <v>0</v>
      </c>
      <c r="AU11" s="1" t="n">
        <f aca="false">Table!AU11*AU$55</f>
        <v>0</v>
      </c>
      <c r="AV11" s="1" t="n">
        <f aca="false">Table!AV11*AV$55</f>
        <v>0.0646757586623557</v>
      </c>
      <c r="AW11" s="1" t="n">
        <f aca="false">Table!AW11*AW$55</f>
        <v>61.0520049244289</v>
      </c>
      <c r="AX11" s="1" t="n">
        <f aca="false">Table!AX11*AX$55</f>
        <v>0.0467239647838362</v>
      </c>
      <c r="AY11" s="1" t="n">
        <f aca="false">Table!AY11*AY$55</f>
        <v>0</v>
      </c>
      <c r="AZ11" s="1" t="n">
        <f aca="false">Table!AZ11*AZ$55</f>
        <v>103.106862941967</v>
      </c>
      <c r="BA11" s="1" t="n">
        <f aca="false">Table!BA11*BA$55</f>
        <v>9.07265094516246</v>
      </c>
      <c r="BB11" s="1" t="n">
        <f aca="false">Table!BB11*BB$55</f>
        <v>20.7032383921446</v>
      </c>
      <c r="BC11" s="1" t="n">
        <f aca="false">Table!BC11*BC$55</f>
        <v>0.00516796256098234</v>
      </c>
      <c r="BD11" s="1" t="n">
        <f aca="false">Table!BD11*BD$55</f>
        <v>0</v>
      </c>
      <c r="BE11" s="0" t="n">
        <v>4379</v>
      </c>
      <c r="BF11" s="2" t="n">
        <f aca="false">SUM(F11:BE11)/(D11)</f>
        <v>0.00138270267108668</v>
      </c>
      <c r="BG11" s="0" t="n">
        <v>0.0778335546482334</v>
      </c>
      <c r="BI11" s="0" t="str">
        <f aca="false">A11</f>
        <v>florida</v>
      </c>
      <c r="BJ11" s="0" t="n">
        <f aca="false">BF11</f>
        <v>0.00138270267108668</v>
      </c>
      <c r="BL11" s="0" t="n">
        <f aca="false">SUM(F11:BD11)/(D11-Table!BG11)</f>
        <v>0.0626719688727428</v>
      </c>
    </row>
    <row r="12" customFormat="false" ht="12.75" hidden="false" customHeight="false" outlineLevel="0" collapsed="false">
      <c r="A12" s="0" t="s">
        <v>14</v>
      </c>
      <c r="B12" s="0" t="n">
        <v>6466023</v>
      </c>
      <c r="C12" s="0" t="n">
        <v>3356359</v>
      </c>
      <c r="D12" s="0" t="n">
        <v>3108090</v>
      </c>
      <c r="E12" s="0" t="n">
        <v>6466023</v>
      </c>
      <c r="F12" s="1" t="n">
        <f aca="false">Table!F12*F$55</f>
        <v>0</v>
      </c>
      <c r="G12" s="1" t="n">
        <f aca="false">Table!G12*G$55</f>
        <v>2.82993336055407</v>
      </c>
      <c r="H12" s="1" t="n">
        <f aca="false">Table!H12*H$55</f>
        <v>0</v>
      </c>
      <c r="I12" s="1" t="n">
        <f aca="false">Table!I12*I$55</f>
        <v>0</v>
      </c>
      <c r="J12" s="1" t="n">
        <f aca="false">Table!J12*J$55</f>
        <v>33.6995850038608</v>
      </c>
      <c r="K12" s="1" t="n">
        <f aca="false">Table!K12*K$55</f>
        <v>1.07367330290284</v>
      </c>
      <c r="L12" s="1" t="n">
        <f aca="false">Table!L12*L$55</f>
        <v>0.0181920049682062</v>
      </c>
      <c r="M12" s="1" t="n">
        <f aca="false">Table!M12*M$55</f>
        <v>0</v>
      </c>
      <c r="N12" s="1" t="n">
        <f aca="false">Table!N12*N$55</f>
        <v>0</v>
      </c>
      <c r="O12" s="1" t="n">
        <f aca="false">Table!O12*O$55</f>
        <v>648.509177329081</v>
      </c>
      <c r="P12" s="1" t="n">
        <v>0</v>
      </c>
      <c r="Q12" s="1" t="n">
        <f aca="false">Table!Q12*Q$55</f>
        <v>0</v>
      </c>
      <c r="R12" s="1" t="n">
        <f aca="false">Table!R12*R$55</f>
        <v>0</v>
      </c>
      <c r="S12" s="1" t="n">
        <f aca="false">Table!S12*S$55</f>
        <v>58.0912732694642</v>
      </c>
      <c r="T12" s="1" t="n">
        <f aca="false">Table!T12*T$55</f>
        <v>8.68488244755838</v>
      </c>
      <c r="U12" s="1" t="n">
        <f aca="false">Table!U12*U$55</f>
        <v>0.0955280620747685</v>
      </c>
      <c r="V12" s="1" t="n">
        <f aca="false">Table!V12*V$55</f>
        <v>10.0719875168848</v>
      </c>
      <c r="W12" s="1" t="n">
        <f aca="false">Table!W12*W$55</f>
        <v>3.44048618066647</v>
      </c>
      <c r="X12" s="1" t="n">
        <f aca="false">Table!X12*X$55</f>
        <v>12.7820244814075</v>
      </c>
      <c r="Y12" s="1" t="n">
        <f aca="false">Table!Y12*Y$55</f>
        <v>7.0409173306353</v>
      </c>
      <c r="Z12" s="1" t="n">
        <f aca="false">Table!Z12*Z$55</f>
        <v>46.2999667411145</v>
      </c>
      <c r="AA12" s="1" t="n">
        <f aca="false">Table!AA12*AA$55</f>
        <v>23.9073077184893</v>
      </c>
      <c r="AB12" s="1" t="n">
        <f aca="false">Table!AB12*AB$55</f>
        <v>3.27282956137408</v>
      </c>
      <c r="AC12" s="1" t="n">
        <f aca="false">Table!AC12*AC$55</f>
        <v>0</v>
      </c>
      <c r="AD12" s="1" t="n">
        <f aca="false">Table!AD12*AD$55</f>
        <v>0</v>
      </c>
      <c r="AE12" s="1" t="n">
        <f aca="false">Table!AE12*AE$55</f>
        <v>0.269688457971663</v>
      </c>
      <c r="AF12" s="1" t="n">
        <f aca="false">Table!AF12*AF$55</f>
        <v>0</v>
      </c>
      <c r="AG12" s="1" t="n">
        <f aca="false">Table!AG12*AG$55</f>
        <v>0.183547643871233</v>
      </c>
      <c r="AH12" s="1" t="n">
        <f aca="false">Table!AH12*AH$55</f>
        <v>0</v>
      </c>
      <c r="AI12" s="1" t="n">
        <f aca="false">Table!AI12*AI$55</f>
        <v>10.5999632083367</v>
      </c>
      <c r="AJ12" s="1" t="n">
        <f aca="false">Table!AJ12*AJ$55</f>
        <v>120.253476846495</v>
      </c>
      <c r="AK12" s="1" t="n">
        <f aca="false">Table!AK12*AK$55</f>
        <v>0</v>
      </c>
      <c r="AL12" s="1" t="n">
        <f aca="false">Table!AL12*AL$55</f>
        <v>355.381401723172</v>
      </c>
      <c r="AM12" s="1" t="n">
        <f aca="false">Table!AM12*AM$55</f>
        <v>2.18431451835242</v>
      </c>
      <c r="AN12" s="1" t="n">
        <f aca="false">Table!AN12*AN$55</f>
        <v>0</v>
      </c>
      <c r="AO12" s="1" t="n">
        <f aca="false">Table!AO12*AO$55</f>
        <v>21.7966317322148</v>
      </c>
      <c r="AP12" s="1" t="n">
        <f aca="false">Table!AP12*AP$55</f>
        <v>11.3207602254609</v>
      </c>
      <c r="AQ12" s="1" t="n">
        <f aca="false">Table!AQ12*AQ$55</f>
        <v>0.190765450257342</v>
      </c>
      <c r="AR12" s="1" t="n">
        <f aca="false">Table!AR12*AR$55</f>
        <v>57.201865899107</v>
      </c>
      <c r="AS12" s="1" t="n">
        <f aca="false">Table!AS12*AS$55</f>
        <v>1.15834965305481</v>
      </c>
      <c r="AT12" s="1" t="n">
        <f aca="false">Table!AT12*AT$55</f>
        <v>0</v>
      </c>
      <c r="AU12" s="1" t="n">
        <f aca="false">Table!AU12*AU$55</f>
        <v>0</v>
      </c>
      <c r="AV12" s="1" t="n">
        <f aca="false">Table!AV12*AV$55</f>
        <v>1.38429325603329</v>
      </c>
      <c r="AW12" s="1" t="n">
        <f aca="false">Table!AW12*AW$55</f>
        <v>29.8454470769604</v>
      </c>
      <c r="AX12" s="1" t="n">
        <f aca="false">Table!AX12*AX$55</f>
        <v>0.0504618819665431</v>
      </c>
      <c r="AY12" s="1" t="n">
        <f aca="false">Table!AY12*AY$55</f>
        <v>0</v>
      </c>
      <c r="AZ12" s="1" t="n">
        <f aca="false">Table!AZ12*AZ$55</f>
        <v>50.7159208514188</v>
      </c>
      <c r="BA12" s="1" t="n">
        <f aca="false">Table!BA12*BA$55</f>
        <v>4.39132876797818</v>
      </c>
      <c r="BB12" s="1" t="n">
        <f aca="false">Table!BB12*BB$55</f>
        <v>4.14064767842892</v>
      </c>
      <c r="BC12" s="1" t="n">
        <f aca="false">Table!BC12*BC$55</f>
        <v>0.0023686495071169</v>
      </c>
      <c r="BD12" s="1" t="n">
        <f aca="false">Table!BD12*BD$55</f>
        <v>0</v>
      </c>
      <c r="BE12" s="0" t="n">
        <v>1574</v>
      </c>
      <c r="BF12" s="2" t="n">
        <f aca="false">SUM(F12:BE12)/(D12)</f>
        <v>0.000998970106345577</v>
      </c>
      <c r="BG12" s="0" t="n">
        <v>0.0041858290740556</v>
      </c>
      <c r="BI12" s="0" t="str">
        <f aca="false">A12</f>
        <v>georgia</v>
      </c>
      <c r="BJ12" s="0" t="n">
        <f aca="false">BF12</f>
        <v>0.000998970106345577</v>
      </c>
      <c r="BL12" s="0" t="n">
        <f aca="false">SUM(F12:BD12)/(D12-Table!BG12)</f>
        <v>0.0206160900363821</v>
      </c>
    </row>
    <row r="13" customFormat="false" ht="12.75" hidden="false" customHeight="false" outlineLevel="0" collapsed="false">
      <c r="A13" s="0" t="s">
        <v>15</v>
      </c>
      <c r="B13" s="0" t="n">
        <v>1104668</v>
      </c>
      <c r="C13" s="0" t="n">
        <v>540368</v>
      </c>
      <c r="D13" s="0" t="n">
        <v>562967</v>
      </c>
      <c r="E13" s="0" t="n">
        <v>1104668</v>
      </c>
      <c r="F13" s="1" t="n">
        <f aca="false">Table!F13*F$55</f>
        <v>0</v>
      </c>
      <c r="G13" s="1" t="n">
        <f aca="false">Table!G13*G$55</f>
        <v>1.57218520030782</v>
      </c>
      <c r="H13" s="1" t="n">
        <f aca="false">Table!H13*H$55</f>
        <v>0</v>
      </c>
      <c r="I13" s="1" t="n">
        <f aca="false">Table!I13*I$55</f>
        <v>0</v>
      </c>
      <c r="J13" s="1" t="n">
        <f aca="false">Table!J13*J$55</f>
        <v>30.9511872306475</v>
      </c>
      <c r="K13" s="1" t="n">
        <f aca="false">Table!K13*K$55</f>
        <v>0.0739444423486806</v>
      </c>
      <c r="L13" s="1" t="n">
        <f aca="false">Table!L13*L$55</f>
        <v>0</v>
      </c>
      <c r="M13" s="1" t="n">
        <f aca="false">Table!M13*M$55</f>
        <v>0</v>
      </c>
      <c r="N13" s="1" t="n">
        <f aca="false">Table!N13*N$55</f>
        <v>0</v>
      </c>
      <c r="O13" s="1" t="n">
        <f aca="false">Table!O13*O$55</f>
        <v>1.79017175690937</v>
      </c>
      <c r="P13" s="1" t="n">
        <f aca="false">Table!P13*P$55</f>
        <v>0.41858290740556</v>
      </c>
      <c r="Q13" s="1" t="n">
        <v>0</v>
      </c>
      <c r="R13" s="1" t="n">
        <f aca="false">Table!R13*R$55</f>
        <v>0</v>
      </c>
      <c r="S13" s="1" t="n">
        <f aca="false">Table!S13*S$55</f>
        <v>5.7351257049471</v>
      </c>
      <c r="T13" s="1" t="n">
        <f aca="false">Table!T13*T$55</f>
        <v>1.4474804079264</v>
      </c>
      <c r="U13" s="1" t="n">
        <f aca="false">Table!U13*U$55</f>
        <v>0</v>
      </c>
      <c r="V13" s="1" t="n">
        <f aca="false">Table!V13*V$55</f>
        <v>0</v>
      </c>
      <c r="W13" s="1" t="n">
        <f aca="false">Table!W13*W$55</f>
        <v>0</v>
      </c>
      <c r="X13" s="1" t="n">
        <f aca="false">Table!X13*X$55</f>
        <v>0.73459910812687</v>
      </c>
      <c r="Y13" s="1" t="n">
        <f aca="false">Table!Y13*Y$55</f>
        <v>0</v>
      </c>
      <c r="Z13" s="1" t="n">
        <f aca="false">Table!Z13*Z$55</f>
        <v>1.19438457450523</v>
      </c>
      <c r="AA13" s="1" t="n">
        <f aca="false">Table!AA13*AA$55</f>
        <v>1.76706187484486</v>
      </c>
      <c r="AB13" s="1" t="n">
        <f aca="false">Table!AB13*AB$55</f>
        <v>0.265963576093605</v>
      </c>
      <c r="AC13" s="1" t="n">
        <f aca="false">Table!AC13*AC$55</f>
        <v>0</v>
      </c>
      <c r="AD13" s="1" t="n">
        <f aca="false">Table!AD13*AD$55</f>
        <v>0</v>
      </c>
      <c r="AE13" s="1" t="n">
        <f aca="false">Table!AE13*AE$55</f>
        <v>0.0235502597102015</v>
      </c>
      <c r="AF13" s="1" t="n">
        <f aca="false">Table!AF13*AF$55</f>
        <v>0</v>
      </c>
      <c r="AG13" s="1" t="n">
        <f aca="false">Table!AG13*AG$55</f>
        <v>0</v>
      </c>
      <c r="AH13" s="1" t="n">
        <f aca="false">Table!AH13*AH$55</f>
        <v>0</v>
      </c>
      <c r="AI13" s="1" t="n">
        <f aca="false">Table!AI13*AI$55</f>
        <v>0</v>
      </c>
      <c r="AJ13" s="1" t="n">
        <f aca="false">Table!AJ13*AJ$55</f>
        <v>22.9574819434217</v>
      </c>
      <c r="AK13" s="1" t="n">
        <f aca="false">Table!AK13*AK$55</f>
        <v>0</v>
      </c>
      <c r="AL13" s="1" t="n">
        <f aca="false">Table!AL13*AL$55</f>
        <v>14.6001696319511</v>
      </c>
      <c r="AM13" s="1" t="n">
        <f aca="false">Table!AM13*AM$55</f>
        <v>0.0251070634293381</v>
      </c>
      <c r="AN13" s="1" t="n">
        <f aca="false">Table!AN13*AN$55</f>
        <v>0</v>
      </c>
      <c r="AO13" s="1" t="n">
        <f aca="false">Table!AO13*AO$55</f>
        <v>1.08490022196544</v>
      </c>
      <c r="AP13" s="1" t="n">
        <f aca="false">Table!AP13*AP$55</f>
        <v>0.607826052373739</v>
      </c>
      <c r="AQ13" s="1" t="n">
        <f aca="false">Table!AQ13*AQ$55</f>
        <v>0.116578886268376</v>
      </c>
      <c r="AR13" s="1" t="n">
        <f aca="false">Table!AR13*AR$55</f>
        <v>0</v>
      </c>
      <c r="AS13" s="1" t="n">
        <f aca="false">Table!AS13*AS$55</f>
        <v>0.597857885447644</v>
      </c>
      <c r="AT13" s="1" t="n">
        <f aca="false">Table!AT13*AT$55</f>
        <v>0</v>
      </c>
      <c r="AU13" s="1" t="n">
        <f aca="false">Table!AU13*AU$55</f>
        <v>0</v>
      </c>
      <c r="AV13" s="1" t="n">
        <f aca="false">Table!AV13*AV$55</f>
        <v>0</v>
      </c>
      <c r="AW13" s="1" t="n">
        <f aca="false">Table!AW13*AW$55</f>
        <v>1.73232279882855</v>
      </c>
      <c r="AX13" s="1" t="n">
        <f aca="false">Table!AX13*AX$55</f>
        <v>0</v>
      </c>
      <c r="AY13" s="1" t="n">
        <f aca="false">Table!AY13*AY$55</f>
        <v>0</v>
      </c>
      <c r="AZ13" s="1" t="n">
        <f aca="false">Table!AZ13*AZ$55</f>
        <v>1.954191445651</v>
      </c>
      <c r="BA13" s="1" t="n">
        <f aca="false">Table!BA13*BA$55</f>
        <v>3.43849328058669</v>
      </c>
      <c r="BB13" s="1" t="n">
        <f aca="false">Table!BB13*BB$55</f>
        <v>0</v>
      </c>
      <c r="BC13" s="1" t="n">
        <f aca="false">Table!BC13*BC$55</f>
        <v>0</v>
      </c>
      <c r="BD13" s="1" t="n">
        <f aca="false">Table!BD13*BD$55</f>
        <v>0</v>
      </c>
      <c r="BE13" s="0" t="n">
        <v>1333</v>
      </c>
      <c r="BF13" s="2" t="n">
        <f aca="false">SUM(F13:BE13)/(D13)</f>
        <v>0.00253316653774324</v>
      </c>
      <c r="BG13" s="0" t="n">
        <v>0</v>
      </c>
      <c r="BI13" s="0" t="str">
        <f aca="false">A13</f>
        <v>hawaii</v>
      </c>
      <c r="BJ13" s="0" t="n">
        <f aca="false">BF13</f>
        <v>0.00253316653774324</v>
      </c>
      <c r="BL13" s="0" t="n">
        <f aca="false">SUM(F13:BD13)/(D13-Table!BG13)</f>
        <v>0.0353682242605231</v>
      </c>
    </row>
    <row r="14" customFormat="false" ht="12.75" hidden="false" customHeight="false" outlineLevel="0" collapsed="false">
      <c r="A14" s="0" t="s">
        <v>16</v>
      </c>
      <c r="B14" s="0" t="n">
        <v>990916</v>
      </c>
      <c r="C14" s="0" t="n">
        <v>557000</v>
      </c>
      <c r="D14" s="0" t="n">
        <v>433860</v>
      </c>
      <c r="E14" s="0" t="n">
        <v>990916</v>
      </c>
      <c r="F14" s="1" t="n">
        <f aca="false">Table!F14*F$55</f>
        <v>0</v>
      </c>
      <c r="G14" s="1" t="n">
        <f aca="false">Table!G14*G$55</f>
        <v>16.8538253472998</v>
      </c>
      <c r="H14" s="1" t="n">
        <f aca="false">Table!H14*H$55</f>
        <v>0</v>
      </c>
      <c r="I14" s="1" t="n">
        <f aca="false">Table!I14*I$55</f>
        <v>0</v>
      </c>
      <c r="J14" s="1" t="n">
        <f aca="false">Table!J14*J$55</f>
        <v>19.619331796476</v>
      </c>
      <c r="K14" s="1" t="n">
        <f aca="false">Table!K14*K$55</f>
        <v>0.189297772412622</v>
      </c>
      <c r="L14" s="1" t="n">
        <f aca="false">Table!L14*L$55</f>
        <v>0</v>
      </c>
      <c r="M14" s="1" t="n">
        <f aca="false">Table!M14*M$55</f>
        <v>5.05180095345714</v>
      </c>
      <c r="N14" s="1" t="n">
        <f aca="false">Table!N14*N$55</f>
        <v>0</v>
      </c>
      <c r="O14" s="1" t="n">
        <f aca="false">Table!O14*O$55</f>
        <v>2.17933953015054</v>
      </c>
      <c r="P14" s="1" t="n">
        <f aca="false">Table!P14*P$55</f>
        <v>0.133946530369779</v>
      </c>
      <c r="Q14" s="1" t="n">
        <f aca="false">Table!Q14*Q$55</f>
        <v>0</v>
      </c>
      <c r="R14" s="1" t="n">
        <v>0</v>
      </c>
      <c r="S14" s="1" t="n">
        <f aca="false">Table!S14*S$55</f>
        <v>5.18011353995222</v>
      </c>
      <c r="T14" s="1" t="n">
        <f aca="false">Table!T14*T$55</f>
        <v>0.51087543809167</v>
      </c>
      <c r="U14" s="1" t="n">
        <f aca="false">Table!U14*U$55</f>
        <v>0</v>
      </c>
      <c r="V14" s="1" t="n">
        <f aca="false">Table!V14*V$55</f>
        <v>0.516512180353067</v>
      </c>
      <c r="W14" s="1" t="n">
        <f aca="false">Table!W14*W$55</f>
        <v>0</v>
      </c>
      <c r="X14" s="1" t="n">
        <f aca="false">Table!X14*X$55</f>
        <v>0</v>
      </c>
      <c r="Y14" s="1" t="n">
        <f aca="false">Table!Y14*Y$55</f>
        <v>0</v>
      </c>
      <c r="Z14" s="1" t="n">
        <f aca="false">Table!Z14*Z$55</f>
        <v>0</v>
      </c>
      <c r="AA14" s="1" t="n">
        <f aca="false">Table!AA14*AA$55</f>
        <v>3.32623411735503</v>
      </c>
      <c r="AB14" s="1" t="n">
        <f aca="false">Table!AB14*AB$55</f>
        <v>0.35461810145814</v>
      </c>
      <c r="AC14" s="1" t="n">
        <f aca="false">Table!AC14*AC$55</f>
        <v>0</v>
      </c>
      <c r="AD14" s="1" t="n">
        <f aca="false">Table!AD14*AD$55</f>
        <v>0</v>
      </c>
      <c r="AE14" s="1" t="n">
        <f aca="false">Table!AE14*AE$55</f>
        <v>0.0030387431884131</v>
      </c>
      <c r="AF14" s="1" t="n">
        <f aca="false">Table!AF14*AF$55</f>
        <v>0</v>
      </c>
      <c r="AG14" s="1" t="n">
        <f aca="false">Table!AG14*AG$55</f>
        <v>0.0638426587378203</v>
      </c>
      <c r="AH14" s="1" t="n">
        <f aca="false">Table!AH14*AH$55</f>
        <v>0</v>
      </c>
      <c r="AI14" s="1" t="n">
        <f aca="false">Table!AI14*AI$55</f>
        <v>0</v>
      </c>
      <c r="AJ14" s="1" t="n">
        <f aca="false">Table!AJ14*AJ$55</f>
        <v>10.9321342587723</v>
      </c>
      <c r="AK14" s="1" t="n">
        <f aca="false">Table!AK14*AK$55</f>
        <v>0</v>
      </c>
      <c r="AL14" s="1" t="n">
        <f aca="false">Table!AL14*AL$55</f>
        <v>14.6001696319511</v>
      </c>
      <c r="AM14" s="1" t="n">
        <f aca="false">Table!AM14*AM$55</f>
        <v>0.00590754433631486</v>
      </c>
      <c r="AN14" s="1" t="n">
        <f aca="false">Table!AN14*AN$55</f>
        <v>0</v>
      </c>
      <c r="AO14" s="1" t="n">
        <f aca="false">Table!AO14*AO$55</f>
        <v>0.789018343247594</v>
      </c>
      <c r="AP14" s="1" t="n">
        <f aca="false">Table!AP14*AP$55</f>
        <v>0</v>
      </c>
      <c r="AQ14" s="1" t="n">
        <f aca="false">Table!AQ14*AQ$55</f>
        <v>17.1900866843005</v>
      </c>
      <c r="AR14" s="1" t="n">
        <f aca="false">Table!AR14*AR$55</f>
        <v>3.74327138808062</v>
      </c>
      <c r="AS14" s="1" t="n">
        <f aca="false">Table!AS14*AS$55</f>
        <v>0.896786828171466</v>
      </c>
      <c r="AT14" s="1" t="n">
        <f aca="false">Table!AT14*AT$55</f>
        <v>0</v>
      </c>
      <c r="AU14" s="1" t="n">
        <f aca="false">Table!AU14*AU$55</f>
        <v>0</v>
      </c>
      <c r="AV14" s="1" t="n">
        <f aca="false">Table!AV14*AV$55</f>
        <v>0</v>
      </c>
      <c r="AW14" s="1" t="n">
        <f aca="false">Table!AW14*AW$55</f>
        <v>2.87070635234445</v>
      </c>
      <c r="AX14" s="1" t="n">
        <f aca="false">Table!AX14*AX$55</f>
        <v>1.11639126523513</v>
      </c>
      <c r="AY14" s="1" t="n">
        <f aca="false">Table!AY14*AY$55</f>
        <v>0</v>
      </c>
      <c r="AZ14" s="1" t="n">
        <f aca="false">Table!AZ14*AZ$55</f>
        <v>0</v>
      </c>
      <c r="BA14" s="1" t="n">
        <f aca="false">Table!BA14*BA$55</f>
        <v>334.403828444527</v>
      </c>
      <c r="BB14" s="1" t="n">
        <f aca="false">Table!BB14*BB$55</f>
        <v>0</v>
      </c>
      <c r="BC14" s="1" t="n">
        <f aca="false">Table!BC14*BC$55</f>
        <v>0.000226665024604488</v>
      </c>
      <c r="BD14" s="1" t="n">
        <f aca="false">Table!BD14*BD$55</f>
        <v>0</v>
      </c>
      <c r="BE14" s="0" t="n">
        <v>56</v>
      </c>
      <c r="BF14" s="2" t="n">
        <f aca="false">SUM(F14:BE14)/(D14)</f>
        <v>0.00114445052347599</v>
      </c>
      <c r="BG14" s="0" t="n">
        <v>0</v>
      </c>
      <c r="BI14" s="0" t="str">
        <f aca="false">A14</f>
        <v>idaho</v>
      </c>
      <c r="BJ14" s="0" t="n">
        <f aca="false">BF14</f>
        <v>0.00114445052347599</v>
      </c>
      <c r="BL14" s="0" t="n">
        <f aca="false">SUM(F14:BD14)/(D14-Table!BG14)</f>
        <v>0.0255232505281166</v>
      </c>
    </row>
    <row r="15" customFormat="false" ht="12.75" hidden="false" customHeight="false" outlineLevel="0" collapsed="false">
      <c r="A15" s="0" t="s">
        <v>17</v>
      </c>
      <c r="B15" s="0" t="n">
        <v>11393796</v>
      </c>
      <c r="C15" s="0" t="n">
        <v>6058554</v>
      </c>
      <c r="D15" s="0" t="n">
        <v>5333793</v>
      </c>
      <c r="E15" s="0" t="n">
        <v>11393796</v>
      </c>
      <c r="F15" s="1" t="n">
        <f aca="false">Table!F15*F$55</f>
        <v>0</v>
      </c>
      <c r="G15" s="1" t="n">
        <f aca="false">Table!G15*G$55</f>
        <v>1.69796001633244</v>
      </c>
      <c r="H15" s="1" t="n">
        <f aca="false">Table!H15*H$55</f>
        <v>0</v>
      </c>
      <c r="I15" s="1" t="n">
        <f aca="false">Table!I15*I$55</f>
        <v>0</v>
      </c>
      <c r="J15" s="1" t="n">
        <f aca="false">Table!J15*J$55</f>
        <v>45.1582895660267</v>
      </c>
      <c r="K15" s="1" t="n">
        <f aca="false">Table!K15*K$55</f>
        <v>0.842966642774959</v>
      </c>
      <c r="L15" s="1" t="n">
        <f aca="false">Table!L15*L$55</f>
        <v>0.0896605959147305</v>
      </c>
      <c r="M15" s="1" t="n">
        <f aca="false">Table!M15*M$55</f>
        <v>23.4908744335757</v>
      </c>
      <c r="N15" s="1" t="n">
        <f aca="false">Table!N15*N$55</f>
        <v>0</v>
      </c>
      <c r="O15" s="1" t="n">
        <f aca="false">Table!O15*O$55</f>
        <v>102.506791471723</v>
      </c>
      <c r="P15" s="1" t="n">
        <f aca="false">Table!P15*P$55</f>
        <v>3.26494667776337</v>
      </c>
      <c r="Q15" s="1" t="n">
        <f aca="false">Table!Q15*Q$55</f>
        <v>0</v>
      </c>
      <c r="R15" s="1" t="n">
        <f aca="false">Table!R15*R$55</f>
        <v>0</v>
      </c>
      <c r="S15" s="1" t="n">
        <v>0</v>
      </c>
      <c r="T15" s="1" t="n">
        <f aca="false">Table!T15*T$55</f>
        <v>920.597539441189</v>
      </c>
      <c r="U15" s="1" t="n">
        <f aca="false">Table!U15*U$55</f>
        <v>24.3725360172109</v>
      </c>
      <c r="V15" s="1" t="n">
        <f aca="false">Table!V15*V$55</f>
        <v>23.8241243187852</v>
      </c>
      <c r="W15" s="1" t="n">
        <f aca="false">Table!W15*W$55</f>
        <v>22.3673868158316</v>
      </c>
      <c r="X15" s="1" t="n">
        <f aca="false">Table!X15*X$55</f>
        <v>12.6057206954571</v>
      </c>
      <c r="Y15" s="1" t="n">
        <f aca="false">Table!Y15*Y$55</f>
        <v>7.88162387757683</v>
      </c>
      <c r="Z15" s="1" t="n">
        <f aca="false">Table!Z15*Z$55</f>
        <v>18.7588636113468</v>
      </c>
      <c r="AA15" s="1" t="n">
        <f aca="false">Table!AA15*AA$55</f>
        <v>41.4739816507706</v>
      </c>
      <c r="AB15" s="1" t="n">
        <f aca="false">Table!AB15*AB$55</f>
        <v>14.2733785836901</v>
      </c>
      <c r="AC15" s="1" t="n">
        <f aca="false">Table!AC15*AC$55</f>
        <v>0</v>
      </c>
      <c r="AD15" s="1" t="n">
        <f aca="false">Table!AD15*AD$55</f>
        <v>0</v>
      </c>
      <c r="AE15" s="1" t="n">
        <f aca="false">Table!AE15*AE$55</f>
        <v>58.4008456523142</v>
      </c>
      <c r="AF15" s="1" t="n">
        <f aca="false">Table!AF15*AF$55</f>
        <v>0</v>
      </c>
      <c r="AG15" s="1" t="n">
        <f aca="false">Table!AG15*AG$55</f>
        <v>0.436923195736958</v>
      </c>
      <c r="AH15" s="1" t="n">
        <f aca="false">Table!AH15*AH$55</f>
        <v>0</v>
      </c>
      <c r="AI15" s="1" t="n">
        <f aca="false">Table!AI15*AI$55</f>
        <v>4.94664949722378</v>
      </c>
      <c r="AJ15" s="1" t="n">
        <f aca="false">Table!AJ15*AJ$55</f>
        <v>180.380215269742</v>
      </c>
      <c r="AK15" s="1" t="n">
        <f aca="false">Table!AK15*AK$55</f>
        <v>0</v>
      </c>
      <c r="AL15" s="1" t="n">
        <f aca="false">Table!AL15*AL$55</f>
        <v>415.109368399336</v>
      </c>
      <c r="AM15" s="1" t="n">
        <f aca="false">Table!AM15*AM$55</f>
        <v>0.381036609692308</v>
      </c>
      <c r="AN15" s="1" t="n">
        <f aca="false">Table!AN15*AN$55</f>
        <v>0</v>
      </c>
      <c r="AO15" s="1" t="n">
        <f aca="false">Table!AO15*AO$55</f>
        <v>53.2587381692126</v>
      </c>
      <c r="AP15" s="1" t="n">
        <f aca="false">Table!AP15*AP$55</f>
        <v>14.3598904873296</v>
      </c>
      <c r="AQ15" s="1" t="n">
        <f aca="false">Table!AQ15*AQ$55</f>
        <v>0.461016504788577</v>
      </c>
      <c r="AR15" s="1" t="n">
        <f aca="false">Table!AR15*AR$55</f>
        <v>83.8726745391814</v>
      </c>
      <c r="AS15" s="1" t="n">
        <f aca="false">Table!AS15*AS$55</f>
        <v>4.93232755494306</v>
      </c>
      <c r="AT15" s="1" t="n">
        <f aca="false">Table!AT15*AT$55</f>
        <v>0</v>
      </c>
      <c r="AU15" s="1" t="n">
        <f aca="false">Table!AU15*AU$55</f>
        <v>0</v>
      </c>
      <c r="AV15" s="1" t="n">
        <f aca="false">Table!AV15*AV$55</f>
        <v>0.0395015171740486</v>
      </c>
      <c r="AW15" s="1" t="n">
        <f aca="false">Table!AW15*AW$55</f>
        <v>23.4606001898494</v>
      </c>
      <c r="AX15" s="1" t="n">
        <f aca="false">Table!AX15*AX$55</f>
        <v>0.0074758343654138</v>
      </c>
      <c r="AY15" s="1" t="n">
        <f aca="false">Table!AY15*AY$55</f>
        <v>0</v>
      </c>
      <c r="AZ15" s="1" t="n">
        <f aca="false">Table!AZ15*AZ$55</f>
        <v>21.9148612119433</v>
      </c>
      <c r="BA15" s="1" t="n">
        <f aca="false">Table!BA15*BA$55</f>
        <v>7.82982204856487</v>
      </c>
      <c r="BB15" s="1" t="n">
        <f aca="false">Table!BB15*BB$55</f>
        <v>3.74630028048331</v>
      </c>
      <c r="BC15" s="1" t="n">
        <f aca="false">Table!BC15*BC$55</f>
        <v>0.106283230037045</v>
      </c>
      <c r="BD15" s="1" t="n">
        <f aca="false">Table!BD15*BD$55</f>
        <v>0</v>
      </c>
      <c r="BE15" s="0" t="n">
        <v>1449</v>
      </c>
      <c r="BF15" s="2" t="n">
        <f aca="false">SUM(F15:BE15)/(D15)</f>
        <v>0.000672289152317663</v>
      </c>
      <c r="BG15" s="0" t="n">
        <v>0.0925020274991467</v>
      </c>
      <c r="BI15" s="0" t="str">
        <f aca="false">A15</f>
        <v>illinois</v>
      </c>
      <c r="BJ15" s="0" t="n">
        <f aca="false">BF15</f>
        <v>0.000672289152317663</v>
      </c>
      <c r="BL15" s="0" t="n">
        <f aca="false">SUM(F15:BD15)/(D15-Table!BG15)</f>
        <v>0.0139671691446418</v>
      </c>
    </row>
    <row r="16" customFormat="false" ht="12.75" hidden="false" customHeight="false" outlineLevel="0" collapsed="false">
      <c r="A16" s="0" t="s">
        <v>18</v>
      </c>
      <c r="B16" s="0" t="n">
        <v>5548329</v>
      </c>
      <c r="C16" s="0" t="n">
        <v>2965742</v>
      </c>
      <c r="D16" s="0" t="n">
        <v>2582095</v>
      </c>
      <c r="E16" s="0" t="n">
        <v>5548329</v>
      </c>
      <c r="F16" s="1" t="n">
        <f aca="false">Table!F16*F$55</f>
        <v>0</v>
      </c>
      <c r="G16" s="1" t="n">
        <f aca="false">Table!G16*G$55</f>
        <v>4.65366819291114</v>
      </c>
      <c r="H16" s="1" t="n">
        <f aca="false">Table!H16*H$55</f>
        <v>0</v>
      </c>
      <c r="I16" s="1" t="n">
        <f aca="false">Table!I16*I$55</f>
        <v>0</v>
      </c>
      <c r="J16" s="1" t="n">
        <f aca="false">Table!J16*J$55</f>
        <v>13.0654601834291</v>
      </c>
      <c r="K16" s="1" t="n">
        <f aca="false">Table!K16*K$55</f>
        <v>0.227748882433936</v>
      </c>
      <c r="L16" s="1" t="n">
        <f aca="false">Table!L16*L$55</f>
        <v>0.0241693780291882</v>
      </c>
      <c r="M16" s="1" t="n">
        <f aca="false">Table!M16*M$55</f>
        <v>7.07252133483999</v>
      </c>
      <c r="N16" s="1" t="n">
        <f aca="false">Table!N16*N$55</f>
        <v>0</v>
      </c>
      <c r="O16" s="1" t="n">
        <f aca="false">Table!O16*O$55</f>
        <v>66.6255227788878</v>
      </c>
      <c r="P16" s="1" t="n">
        <f aca="false">Table!P16*P$55</f>
        <v>1.25156289314262</v>
      </c>
      <c r="Q16" s="1" t="n">
        <f aca="false">Table!Q16*Q$55</f>
        <v>0</v>
      </c>
      <c r="R16" s="1" t="n">
        <f aca="false">Table!R16*R$55</f>
        <v>0</v>
      </c>
      <c r="S16" s="1" t="n">
        <f aca="false">Table!S16*S$55</f>
        <v>4838.59605442537</v>
      </c>
      <c r="T16" s="1" t="n">
        <v>0</v>
      </c>
      <c r="U16" s="1" t="n">
        <f aca="false">Table!U16*U$55</f>
        <v>0.208229708342754</v>
      </c>
      <c r="V16" s="1" t="n">
        <f aca="false">Table!V16*V$55</f>
        <v>12.6545484186501</v>
      </c>
      <c r="W16" s="1" t="n">
        <f aca="false">Table!W16*W$55</f>
        <v>335.434722690482</v>
      </c>
      <c r="X16" s="1" t="n">
        <f aca="false">Table!X16*X$55</f>
        <v>2.40948507465613</v>
      </c>
      <c r="Y16" s="1" t="n">
        <f aca="false">Table!Y16*Y$55</f>
        <v>0</v>
      </c>
      <c r="Z16" s="1" t="n">
        <f aca="false">Table!Z16*Z$55</f>
        <v>7.79862869235768</v>
      </c>
      <c r="AA16" s="1" t="n">
        <f aca="false">Table!AA16*AA$55</f>
        <v>16.0075016897711</v>
      </c>
      <c r="AB16" s="1" t="n">
        <f aca="false">Table!AB16*AB$55</f>
        <v>47.282413527752</v>
      </c>
      <c r="AC16" s="1" t="n">
        <f aca="false">Table!AC16*AC$55</f>
        <v>0</v>
      </c>
      <c r="AD16" s="1" t="n">
        <f aca="false">Table!AD16*AD$55</f>
        <v>0</v>
      </c>
      <c r="AE16" s="1" t="n">
        <f aca="false">Table!AE16*AE$55</f>
        <v>0.188402077681612</v>
      </c>
      <c r="AF16" s="1" t="n">
        <f aca="false">Table!AF16*AF$55</f>
        <v>0</v>
      </c>
      <c r="AG16" s="1" t="n">
        <f aca="false">Table!AG16*AG$55</f>
        <v>0.0817984065078323</v>
      </c>
      <c r="AH16" s="1" t="n">
        <f aca="false">Table!AH16*AH$55</f>
        <v>0</v>
      </c>
      <c r="AI16" s="1" t="n">
        <f aca="false">Table!AI16*AI$55</f>
        <v>0</v>
      </c>
      <c r="AJ16" s="1" t="n">
        <f aca="false">Table!AJ16*AJ$55</f>
        <v>98.6625116854196</v>
      </c>
      <c r="AK16" s="1" t="n">
        <f aca="false">Table!AK16*AK$55</f>
        <v>0</v>
      </c>
      <c r="AL16" s="1" t="n">
        <f aca="false">Table!AL16*AL$55</f>
        <v>134.387925021368</v>
      </c>
      <c r="AM16" s="1" t="n">
        <f aca="false">Table!AM16*AM$55</f>
        <v>0.198641178308587</v>
      </c>
      <c r="AN16" s="1" t="n">
        <f aca="false">Table!AN16*AN$55</f>
        <v>0</v>
      </c>
      <c r="AO16" s="1" t="n">
        <f aca="false">Table!AO16*AO$55</f>
        <v>608.464645701103</v>
      </c>
      <c r="AP16" s="1" t="n">
        <f aca="false">Table!AP16*AP$55</f>
        <v>4.17880411006945</v>
      </c>
      <c r="AQ16" s="1" t="n">
        <f aca="false">Table!AQ16*AQ$55</f>
        <v>0.100681765413597</v>
      </c>
      <c r="AR16" s="1" t="n">
        <f aca="false">Table!AR16*AR$55</f>
        <v>48.5455508141705</v>
      </c>
      <c r="AS16" s="1" t="n">
        <f aca="false">Table!AS16*AS$55</f>
        <v>0.597857885447644</v>
      </c>
      <c r="AT16" s="1" t="n">
        <f aca="false">Table!AT16*AT$55</f>
        <v>0</v>
      </c>
      <c r="AU16" s="1" t="n">
        <f aca="false">Table!AU16*AU$55</f>
        <v>0</v>
      </c>
      <c r="AV16" s="1" t="n">
        <f aca="false">Table!AV16*AV$55</f>
        <v>0.0295826340069968</v>
      </c>
      <c r="AW16" s="1" t="n">
        <f aca="false">Table!AW16*AW$55</f>
        <v>14.6752488529332</v>
      </c>
      <c r="AX16" s="1" t="n">
        <f aca="false">Table!AX16*AX$55</f>
        <v>0.0423630614040115</v>
      </c>
      <c r="AY16" s="1" t="n">
        <f aca="false">Table!AY16*AY$55</f>
        <v>0</v>
      </c>
      <c r="AZ16" s="1" t="n">
        <f aca="false">Table!AZ16*AZ$55</f>
        <v>19.54191445651</v>
      </c>
      <c r="BA16" s="1" t="n">
        <f aca="false">Table!BA16*BA$55</f>
        <v>4.68132217718429</v>
      </c>
      <c r="BB16" s="1" t="n">
        <f aca="false">Table!BB16*BB$55</f>
        <v>0.197173698972806</v>
      </c>
      <c r="BC16" s="1" t="n">
        <f aca="false">Table!BC16*BC$55</f>
        <v>0.00237998275834713</v>
      </c>
      <c r="BD16" s="1" t="n">
        <f aca="false">Table!BD16*BD$55</f>
        <v>0</v>
      </c>
      <c r="BE16" s="0" t="n">
        <v>492</v>
      </c>
      <c r="BF16" s="2" t="n">
        <f aca="false">SUM(F16:BE16)/(D16)</f>
        <v>0.00262573183456856</v>
      </c>
      <c r="BG16" s="0" t="n">
        <v>0.0425729531743058</v>
      </c>
      <c r="BI16" s="0" t="str">
        <f aca="false">A16</f>
        <v>indiana</v>
      </c>
      <c r="BJ16" s="0" t="n">
        <f aca="false">BF16</f>
        <v>0.00262573183456856</v>
      </c>
      <c r="BL16" s="0" t="n">
        <f aca="false">SUM(F16:BD16)/(D16-Table!BG16)</f>
        <v>0.0504285786346856</v>
      </c>
    </row>
    <row r="17" customFormat="false" ht="12.75" hidden="false" customHeight="false" outlineLevel="0" collapsed="false">
      <c r="A17" s="0" t="s">
        <v>19</v>
      </c>
      <c r="B17" s="0" t="n">
        <v>2766658</v>
      </c>
      <c r="C17" s="0" t="n">
        <v>1449735</v>
      </c>
      <c r="D17" s="0" t="n">
        <v>1316719</v>
      </c>
      <c r="E17" s="0" t="n">
        <v>2766658</v>
      </c>
      <c r="F17" s="1" t="n">
        <f aca="false">Table!F17*F$55</f>
        <v>0</v>
      </c>
      <c r="G17" s="1" t="n">
        <f aca="false">Table!G17*G$55</f>
        <v>0.503099264098502</v>
      </c>
      <c r="H17" s="1" t="n">
        <f aca="false">Table!H17*H$55</f>
        <v>0</v>
      </c>
      <c r="I17" s="1" t="n">
        <f aca="false">Table!I17*I$55</f>
        <v>0</v>
      </c>
      <c r="J17" s="1" t="n">
        <f aca="false">Table!J17*J$55</f>
        <v>7.99149506365079</v>
      </c>
      <c r="K17" s="1" t="n">
        <f aca="false">Table!K17*K$55</f>
        <v>0.310566657864459</v>
      </c>
      <c r="L17" s="1" t="n">
        <f aca="false">Table!L17*L$55</f>
        <v>0</v>
      </c>
      <c r="M17" s="1" t="n">
        <f aca="false">Table!M17*M$55</f>
        <v>0</v>
      </c>
      <c r="N17" s="1" t="n">
        <f aca="false">Table!N17*N$55</f>
        <v>0</v>
      </c>
      <c r="O17" s="1" t="n">
        <f aca="false">Table!O17*O$55</f>
        <v>5.29268171607987</v>
      </c>
      <c r="P17" s="1" t="n">
        <f aca="false">Table!P17*P$55</f>
        <v>0.339052154998504</v>
      </c>
      <c r="Q17" s="1" t="n">
        <f aca="false">Table!Q17*Q$55</f>
        <v>0</v>
      </c>
      <c r="R17" s="1" t="n">
        <f aca="false">Table!R17*R$55</f>
        <v>0</v>
      </c>
      <c r="S17" s="1" t="n">
        <f aca="false">Table!S17*S$55</f>
        <v>1873.07355483022</v>
      </c>
      <c r="T17" s="1" t="n">
        <f aca="false">Table!T17*T$55</f>
        <v>8.68488244755838</v>
      </c>
      <c r="U17" s="1" t="n">
        <v>0</v>
      </c>
      <c r="V17" s="1" t="n">
        <f aca="false">Table!V17*V$55</f>
        <v>21.4352554846523</v>
      </c>
      <c r="W17" s="1" t="n">
        <f aca="false">Table!W17*W$55</f>
        <v>0.710075771931163</v>
      </c>
      <c r="X17" s="1" t="n">
        <f aca="false">Table!X17*X$55</f>
        <v>0.617063250826571</v>
      </c>
      <c r="Y17" s="1" t="n">
        <f aca="false">Table!Y17*Y$55</f>
        <v>0</v>
      </c>
      <c r="Z17" s="1" t="n">
        <f aca="false">Table!Z17*Z$55</f>
        <v>1.75644790368416</v>
      </c>
      <c r="AA17" s="1" t="n">
        <f aca="false">Table!AA17*AA$55</f>
        <v>0.831558529338758</v>
      </c>
      <c r="AB17" s="1" t="n">
        <f aca="false">Table!AB17*AB$55</f>
        <v>0.502375643732365</v>
      </c>
      <c r="AC17" s="1" t="n">
        <f aca="false">Table!AC17*AC$55</f>
        <v>0</v>
      </c>
      <c r="AD17" s="1" t="n">
        <f aca="false">Table!AD17*AD$55</f>
        <v>0</v>
      </c>
      <c r="AE17" s="1" t="n">
        <f aca="false">Table!AE17*AE$55</f>
        <v>0.835654376813602</v>
      </c>
      <c r="AF17" s="1" t="n">
        <f aca="false">Table!AF17*AF$55</f>
        <v>0</v>
      </c>
      <c r="AG17" s="1" t="n">
        <f aca="false">Table!AG17*AG$55</f>
        <v>51.782381485629</v>
      </c>
      <c r="AH17" s="1" t="n">
        <f aca="false">Table!AH17*AH$55</f>
        <v>0</v>
      </c>
      <c r="AI17" s="1" t="n">
        <f aca="false">Table!AI17*AI$55</f>
        <v>0</v>
      </c>
      <c r="AJ17" s="1" t="n">
        <f aca="false">Table!AJ17*AJ$55</f>
        <v>22.6841785869524</v>
      </c>
      <c r="AK17" s="1" t="n">
        <f aca="false">Table!AK17*AK$55</f>
        <v>0</v>
      </c>
      <c r="AL17" s="1" t="n">
        <f aca="false">Table!AL17*AL$55</f>
        <v>68.3553396404982</v>
      </c>
      <c r="AM17" s="1" t="n">
        <f aca="false">Table!AM17*AM$55</f>
        <v>0.0509525699007156</v>
      </c>
      <c r="AN17" s="1" t="n">
        <f aca="false">Table!AN17*AN$55</f>
        <v>0</v>
      </c>
      <c r="AO17" s="1" t="n">
        <f aca="false">Table!AO17*AO$55</f>
        <v>6.18064368877282</v>
      </c>
      <c r="AP17" s="1" t="n">
        <f aca="false">Table!AP17*AP$55</f>
        <v>7.59782565467173</v>
      </c>
      <c r="AQ17" s="1" t="n">
        <f aca="false">Table!AQ17*AQ$55</f>
        <v>0</v>
      </c>
      <c r="AR17" s="1" t="n">
        <f aca="false">Table!AR17*AR$55</f>
        <v>8.77329231581395</v>
      </c>
      <c r="AS17" s="1" t="n">
        <f aca="false">Table!AS17*AS$55</f>
        <v>0</v>
      </c>
      <c r="AT17" s="1" t="n">
        <f aca="false">Table!AT17*AT$55</f>
        <v>0</v>
      </c>
      <c r="AU17" s="1" t="n">
        <f aca="false">Table!AU17*AU$55</f>
        <v>0</v>
      </c>
      <c r="AV17" s="1" t="n">
        <f aca="false">Table!AV17*AV$55</f>
        <v>0.00870077470794023</v>
      </c>
      <c r="AW17" s="1" t="n">
        <f aca="false">Table!AW17*AW$55</f>
        <v>7.79545259472845</v>
      </c>
      <c r="AX17" s="1" t="n">
        <f aca="false">Table!AX17*AX$55</f>
        <v>0.0211815307020058</v>
      </c>
      <c r="AY17" s="1" t="n">
        <f aca="false">Table!AY17*AY$55</f>
        <v>0</v>
      </c>
      <c r="AZ17" s="1" t="n">
        <f aca="false">Table!AZ17*AZ$55</f>
        <v>1.72154960688302</v>
      </c>
      <c r="BA17" s="1" t="n">
        <f aca="false">Table!BA17*BA$55</f>
        <v>2.11280912421592</v>
      </c>
      <c r="BB17" s="1" t="n">
        <f aca="false">Table!BB17*BB$55</f>
        <v>0.525796530594149</v>
      </c>
      <c r="BC17" s="1" t="n">
        <f aca="false">Table!BC17*BC$55</f>
        <v>0.0140645647767085</v>
      </c>
      <c r="BD17" s="1" t="n">
        <f aca="false">Table!BD17*BD$55</f>
        <v>0</v>
      </c>
      <c r="BE17" s="0" t="n">
        <v>204</v>
      </c>
      <c r="BF17" s="2" t="n">
        <f aca="false">SUM(F17:BE17)/(D17)</f>
        <v>0.00175018962418276</v>
      </c>
      <c r="BG17" s="0" t="n">
        <v>0.00107334901207605</v>
      </c>
      <c r="BI17" s="0" t="str">
        <f aca="false">A17</f>
        <v>iowa</v>
      </c>
      <c r="BJ17" s="0" t="n">
        <f aca="false">BF17</f>
        <v>0.00175018962418276</v>
      </c>
      <c r="BL17" s="0" t="n">
        <f aca="false">SUM(F17:BD17)/(D17-Table!BG17)</f>
        <v>0.0371121032485432</v>
      </c>
    </row>
    <row r="18" customFormat="false" ht="12.75" hidden="false" customHeight="false" outlineLevel="0" collapsed="false">
      <c r="A18" s="0" t="s">
        <v>20</v>
      </c>
      <c r="B18" s="0" t="n">
        <v>2471342</v>
      </c>
      <c r="C18" s="0" t="n">
        <v>1296974</v>
      </c>
      <c r="D18" s="0" t="n">
        <v>1174154</v>
      </c>
      <c r="E18" s="0" t="n">
        <v>2471342</v>
      </c>
      <c r="F18" s="1" t="n">
        <f aca="false">Table!F18*F$55</f>
        <v>0</v>
      </c>
      <c r="G18" s="1" t="n">
        <f aca="false">Table!G18*G$55</f>
        <v>0</v>
      </c>
      <c r="H18" s="1" t="n">
        <f aca="false">Table!H18*H$55</f>
        <v>0</v>
      </c>
      <c r="I18" s="1" t="n">
        <f aca="false">Table!I18*I$55</f>
        <v>0</v>
      </c>
      <c r="J18" s="1" t="n">
        <f aca="false">Table!J18*J$55</f>
        <v>7.124692689022</v>
      </c>
      <c r="K18" s="1" t="n">
        <f aca="false">Table!K18*K$55</f>
        <v>1.33099996227625</v>
      </c>
      <c r="L18" s="1" t="n">
        <f aca="false">Table!L18*L$55</f>
        <v>0.0244292638144483</v>
      </c>
      <c r="M18" s="1" t="n">
        <f aca="false">Table!M18*M$55</f>
        <v>0</v>
      </c>
      <c r="N18" s="1" t="n">
        <f aca="false">Table!N18*N$55</f>
        <v>0</v>
      </c>
      <c r="O18" s="1" t="n">
        <f aca="false">Table!O18*O$55</f>
        <v>8.32819034736098</v>
      </c>
      <c r="P18" s="1" t="n">
        <f aca="false">Table!P18*P$55</f>
        <v>0.665546822774841</v>
      </c>
      <c r="Q18" s="1" t="n">
        <f aca="false">Table!Q18*Q$55</f>
        <v>0</v>
      </c>
      <c r="R18" s="1" t="n">
        <f aca="false">Table!R18*R$55</f>
        <v>0</v>
      </c>
      <c r="S18" s="1" t="n">
        <f aca="false">Table!S18*S$55</f>
        <v>35.6132805871715</v>
      </c>
      <c r="T18" s="1" t="n">
        <f aca="false">Table!T18*T$55</f>
        <v>8.85517426025561</v>
      </c>
      <c r="U18" s="1" t="n">
        <f aca="false">Table!U18*U$55</f>
        <v>0.350985126948868</v>
      </c>
      <c r="V18" s="1" t="n">
        <v>0</v>
      </c>
      <c r="W18" s="1" t="n">
        <f aca="false">Table!W18*W$55</f>
        <v>0.82842173391969</v>
      </c>
      <c r="X18" s="1" t="n">
        <f aca="false">Table!X18*X$55</f>
        <v>1.46919821625374</v>
      </c>
      <c r="Y18" s="1" t="n">
        <f aca="false">Table!Y18*Y$55</f>
        <v>0</v>
      </c>
      <c r="Z18" s="1" t="n">
        <f aca="false">Table!Z18*Z$55</f>
        <v>8.99301326686291</v>
      </c>
      <c r="AA18" s="1" t="n">
        <f aca="false">Table!AA18*AA$55</f>
        <v>0</v>
      </c>
      <c r="AB18" s="1" t="n">
        <f aca="false">Table!AB18*AB$55</f>
        <v>0.376781732799274</v>
      </c>
      <c r="AC18" s="1" t="n">
        <f aca="false">Table!AC18*AC$55</f>
        <v>0</v>
      </c>
      <c r="AD18" s="1" t="n">
        <f aca="false">Table!AD18*AD$55</f>
        <v>0</v>
      </c>
      <c r="AE18" s="1" t="n">
        <f aca="false">Table!AE18*AE$55</f>
        <v>60.4010983560872</v>
      </c>
      <c r="AF18" s="1" t="n">
        <f aca="false">Table!AF18*AF$55</f>
        <v>0</v>
      </c>
      <c r="AG18" s="1" t="n">
        <f aca="false">Table!AG18*AG$55</f>
        <v>2.58562767888172</v>
      </c>
      <c r="AH18" s="1" t="n">
        <f aca="false">Table!AH18*AH$55</f>
        <v>0</v>
      </c>
      <c r="AI18" s="1" t="n">
        <f aca="false">Table!AI18*AI$55</f>
        <v>0.824441582870631</v>
      </c>
      <c r="AJ18" s="1" t="n">
        <f aca="false">Table!AJ18*AJ$55</f>
        <v>19.6778416657901</v>
      </c>
      <c r="AK18" s="1" t="n">
        <f aca="false">Table!AK18*AK$55</f>
        <v>0</v>
      </c>
      <c r="AL18" s="1" t="n">
        <f aca="false">Table!AL18*AL$55</f>
        <v>24.8866527817348</v>
      </c>
      <c r="AM18" s="1" t="n">
        <f aca="false">Table!AM18*AM$55</f>
        <v>0.141042621029517</v>
      </c>
      <c r="AN18" s="1" t="n">
        <f aca="false">Table!AN18*AN$55</f>
        <v>0</v>
      </c>
      <c r="AO18" s="1" t="n">
        <f aca="false">Table!AO18*AO$55</f>
        <v>1.54516092219321</v>
      </c>
      <c r="AP18" s="1" t="n">
        <f aca="false">Table!AP18*AP$55</f>
        <v>190.781402188807</v>
      </c>
      <c r="AQ18" s="1" t="n">
        <f aca="false">Table!AQ18*AQ$55</f>
        <v>0.339138578235275</v>
      </c>
      <c r="AR18" s="1" t="n">
        <f aca="false">Table!AR18*AR$55</f>
        <v>6.43374769826356</v>
      </c>
      <c r="AS18" s="1" t="n">
        <f aca="false">Table!AS18*AS$55</f>
        <v>0</v>
      </c>
      <c r="AT18" s="1" t="n">
        <f aca="false">Table!AT18*AT$55</f>
        <v>0</v>
      </c>
      <c r="AU18" s="1" t="n">
        <f aca="false">Table!AU18*AU$55</f>
        <v>0</v>
      </c>
      <c r="AV18" s="1" t="n">
        <f aca="false">Table!AV18*AV$55</f>
        <v>0.00330629438901729</v>
      </c>
      <c r="AW18" s="1" t="n">
        <f aca="false">Table!AW18*AW$55</f>
        <v>23.4606001898494</v>
      </c>
      <c r="AX18" s="1" t="n">
        <f aca="false">Table!AX18*AX$55</f>
        <v>0.0242964616875948</v>
      </c>
      <c r="AY18" s="1" t="n">
        <f aca="false">Table!AY18*AY$55</f>
        <v>0</v>
      </c>
      <c r="AZ18" s="1" t="n">
        <f aca="false">Table!AZ18*AZ$55</f>
        <v>8.00287925361838</v>
      </c>
      <c r="BA18" s="1" t="n">
        <f aca="false">Table!BA18*BA$55</f>
        <v>3.31421039092693</v>
      </c>
      <c r="BB18" s="1" t="n">
        <f aca="false">Table!BB18*BB$55</f>
        <v>1.64311415810671</v>
      </c>
      <c r="BC18" s="1" t="n">
        <f aca="false">Table!BC18*BC$55</f>
        <v>0.00182465344806613</v>
      </c>
      <c r="BD18" s="1" t="n">
        <f aca="false">Table!BD18*BD$55</f>
        <v>0</v>
      </c>
      <c r="BE18" s="0" t="n">
        <v>214</v>
      </c>
      <c r="BF18" s="2" t="n">
        <f aca="false">SUM(F18:BE18)/(D18)</f>
        <v>0.000538282967553983</v>
      </c>
      <c r="BG18" s="0" t="n">
        <v>0.0645640225441334</v>
      </c>
      <c r="BI18" s="0" t="str">
        <f aca="false">A18</f>
        <v>kansas</v>
      </c>
      <c r="BJ18" s="0" t="n">
        <f aca="false">BF18</f>
        <v>0.000538282967553983</v>
      </c>
      <c r="BL18" s="0" t="n">
        <f aca="false">SUM(F18:BD18)/(D18-Table!BG18)</f>
        <v>0.0047015824577715</v>
      </c>
    </row>
    <row r="19" customFormat="false" ht="12.75" hidden="false" customHeight="false" outlineLevel="0" collapsed="false">
      <c r="A19" s="0" t="s">
        <v>21</v>
      </c>
      <c r="B19" s="0" t="n">
        <v>3667395</v>
      </c>
      <c r="C19" s="0" t="n">
        <v>2107119</v>
      </c>
      <c r="D19" s="0" t="n">
        <v>1559792</v>
      </c>
      <c r="E19" s="0" t="n">
        <v>3667395</v>
      </c>
      <c r="F19" s="1" t="n">
        <f aca="false">Table!F19*F$55</f>
        <v>0</v>
      </c>
      <c r="G19" s="1" t="n">
        <f aca="false">Table!G19*G$55</f>
        <v>0</v>
      </c>
      <c r="H19" s="1" t="n">
        <f aca="false">Table!H19*H$55</f>
        <v>0</v>
      </c>
      <c r="I19" s="1" t="n">
        <f aca="false">Table!I19*I$55</f>
        <v>0</v>
      </c>
      <c r="J19" s="1" t="n">
        <f aca="false">Table!J19*J$55</f>
        <v>11.6278367328252</v>
      </c>
      <c r="K19" s="1" t="n">
        <f aca="false">Table!K19*K$55</f>
        <v>1.07663108059679</v>
      </c>
      <c r="L19" s="1" t="n">
        <f aca="false">Table!L19*L$55</f>
        <v>0</v>
      </c>
      <c r="M19" s="1" t="n">
        <f aca="false">Table!M19*M$55</f>
        <v>5.30439100113</v>
      </c>
      <c r="N19" s="1" t="n">
        <f aca="false">Table!N19*N$55</f>
        <v>0</v>
      </c>
      <c r="O19" s="1" t="n">
        <f aca="false">Table!O19*O$55</f>
        <v>60.3210048523809</v>
      </c>
      <c r="P19" s="1" t="n">
        <f aca="false">Table!P19*P$55</f>
        <v>2.75008970165453</v>
      </c>
      <c r="Q19" s="1" t="n">
        <f aca="false">Table!Q19*Q$55</f>
        <v>0</v>
      </c>
      <c r="R19" s="1" t="n">
        <f aca="false">Table!R19*R$55</f>
        <v>0</v>
      </c>
      <c r="S19" s="1" t="n">
        <f aca="false">Table!S19*S$55</f>
        <v>204.059472663118</v>
      </c>
      <c r="T19" s="1" t="n">
        <f aca="false">Table!T19*T$55</f>
        <v>832.088369791807</v>
      </c>
      <c r="U19" s="1" t="n">
        <f aca="false">Table!U19*U$55</f>
        <v>0.0976747600989206</v>
      </c>
      <c r="V19" s="1" t="n">
        <f aca="false">Table!V19*V$55</f>
        <v>6.52096627695747</v>
      </c>
      <c r="W19" s="1" t="n">
        <v>0</v>
      </c>
      <c r="X19" s="1" t="n">
        <f aca="false">Table!X19*X$55</f>
        <v>3.76114743360958</v>
      </c>
      <c r="Y19" s="1" t="n">
        <f aca="false">Table!Y19*Y$55</f>
        <v>0</v>
      </c>
      <c r="Z19" s="1" t="n">
        <f aca="false">Table!Z19*Z$55</f>
        <v>9.8361082606313</v>
      </c>
      <c r="AA19" s="1" t="n">
        <f aca="false">Table!AA19*AA$55</f>
        <v>3.74201338202441</v>
      </c>
      <c r="AB19" s="1" t="n">
        <f aca="false">Table!AB19*AB$55</f>
        <v>1.82480564708668</v>
      </c>
      <c r="AC19" s="1" t="n">
        <f aca="false">Table!AC19*AC$55</f>
        <v>0</v>
      </c>
      <c r="AD19" s="1" t="n">
        <f aca="false">Table!AD19*AD$55</f>
        <v>0</v>
      </c>
      <c r="AE19" s="1" t="n">
        <f aca="false">Table!AE19*AE$55</f>
        <v>0.458850221450378</v>
      </c>
      <c r="AF19" s="1" t="n">
        <f aca="false">Table!AF19*AF$55</f>
        <v>0</v>
      </c>
      <c r="AG19" s="1" t="n">
        <f aca="false">Table!AG19*AG$55</f>
        <v>0</v>
      </c>
      <c r="AH19" s="1" t="n">
        <f aca="false">Table!AH19*AH$55</f>
        <v>0</v>
      </c>
      <c r="AI19" s="1" t="n">
        <f aca="false">Table!AI19*AI$55</f>
        <v>2.11999264166734</v>
      </c>
      <c r="AJ19" s="1" t="n">
        <f aca="false">Table!AJ19*AJ$55</f>
        <v>33.3430094892554</v>
      </c>
      <c r="AK19" s="1" t="n">
        <f aca="false">Table!AK19*AK$55</f>
        <v>0</v>
      </c>
      <c r="AL19" s="1" t="n">
        <f aca="false">Table!AL19*AL$55</f>
        <v>67.028051492139</v>
      </c>
      <c r="AM19" s="1" t="n">
        <f aca="false">Table!AM19*AM$55</f>
        <v>0.309407634614491</v>
      </c>
      <c r="AN19" s="1" t="n">
        <f aca="false">Table!AN19*AN$55</f>
        <v>0</v>
      </c>
      <c r="AO19" s="1" t="n">
        <f aca="false">Table!AO19*AO$55</f>
        <v>1895.87957576676</v>
      </c>
      <c r="AP19" s="1" t="n">
        <f aca="false">Table!AP19*AP$55</f>
        <v>5.6983692410038</v>
      </c>
      <c r="AQ19" s="1" t="n">
        <f aca="false">Table!AQ19*AQ$55</f>
        <v>0</v>
      </c>
      <c r="AR19" s="1" t="n">
        <f aca="false">Table!AR19*AR$55</f>
        <v>35.3271237250108</v>
      </c>
      <c r="AS19" s="1" t="n">
        <f aca="false">Table!AS19*AS$55</f>
        <v>2.42879765963105</v>
      </c>
      <c r="AT19" s="1" t="n">
        <f aca="false">Table!AT19*AT$55</f>
        <v>0</v>
      </c>
      <c r="AU19" s="1" t="n">
        <f aca="false">Table!AU19*AU$55</f>
        <v>0</v>
      </c>
      <c r="AV19" s="1" t="n">
        <f aca="false">Table!AV19*AV$55</f>
        <v>0.690087444669099</v>
      </c>
      <c r="AW19" s="1" t="n">
        <f aca="false">Table!AW19*AW$55</f>
        <v>11.1116133810574</v>
      </c>
      <c r="AX19" s="1" t="n">
        <f aca="false">Table!AX19*AX$55</f>
        <v>0.0492159095723075</v>
      </c>
      <c r="AY19" s="1" t="n">
        <f aca="false">Table!AY19*AY$55</f>
        <v>0</v>
      </c>
      <c r="AZ19" s="1" t="n">
        <f aca="false">Table!AZ19*AZ$55</f>
        <v>75.8412394383602</v>
      </c>
      <c r="BA19" s="1" t="n">
        <f aca="false">Table!BA19*BA$55</f>
        <v>2.02995386444274</v>
      </c>
      <c r="BB19" s="1" t="n">
        <f aca="false">Table!BB19*BB$55</f>
        <v>306.539377336389</v>
      </c>
      <c r="BC19" s="1" t="n">
        <f aca="false">Table!BC19*BC$55</f>
        <v>0.00243664901449825</v>
      </c>
      <c r="BD19" s="1" t="n">
        <f aca="false">Table!BD19*BD$55</f>
        <v>0</v>
      </c>
      <c r="BE19" s="0" t="n">
        <v>484</v>
      </c>
      <c r="BF19" s="2" t="n">
        <f aca="false">SUM(F19:BE19)/(D19)</f>
        <v>0.00260667294964903</v>
      </c>
      <c r="BG19" s="0" t="n">
        <v>0.00845328299918051</v>
      </c>
      <c r="BI19" s="0" t="str">
        <f aca="false">A19</f>
        <v>kentucky</v>
      </c>
      <c r="BJ19" s="0" t="n">
        <f aca="false">BF19</f>
        <v>0.00260667294964903</v>
      </c>
      <c r="BL19" s="0" t="n">
        <f aca="false">SUM(F19:BD19)/(D19-Table!BG19)</f>
        <v>0.0342163256066311</v>
      </c>
    </row>
    <row r="20" customFormat="false" ht="12.75" hidden="false" customHeight="false" outlineLevel="0" collapsed="false">
      <c r="A20" s="0" t="s">
        <v>22</v>
      </c>
      <c r="B20" s="0" t="n">
        <v>4188408</v>
      </c>
      <c r="C20" s="0" t="n">
        <v>2563518</v>
      </c>
      <c r="D20" s="0" t="n">
        <v>1623594</v>
      </c>
      <c r="E20" s="0" t="n">
        <v>4188408</v>
      </c>
      <c r="F20" s="1" t="n">
        <f aca="false">Table!F20*F$55</f>
        <v>0</v>
      </c>
      <c r="G20" s="1" t="n">
        <f aca="false">Table!G20*G$55</f>
        <v>7.92381340955141</v>
      </c>
      <c r="H20" s="1" t="n">
        <f aca="false">Table!H20*H$55</f>
        <v>0</v>
      </c>
      <c r="I20" s="1" t="n">
        <f aca="false">Table!I20*I$55</f>
        <v>0</v>
      </c>
      <c r="J20" s="1" t="n">
        <f aca="false">Table!J20*J$55</f>
        <v>19.7884639671353</v>
      </c>
      <c r="K20" s="1" t="n">
        <f aca="false">Table!K20*K$55</f>
        <v>0.559019984156025</v>
      </c>
      <c r="L20" s="1" t="n">
        <f aca="false">Table!L20*L$55</f>
        <v>0.0327456089427711</v>
      </c>
      <c r="M20" s="1" t="n">
        <f aca="false">Table!M20*M$55</f>
        <v>0</v>
      </c>
      <c r="N20" s="1" t="n">
        <f aca="false">Table!N20*N$55</f>
        <v>0</v>
      </c>
      <c r="O20" s="1" t="n">
        <f aca="false">Table!O20*O$55</f>
        <v>76.354717109917</v>
      </c>
      <c r="P20" s="1" t="n">
        <f aca="false">Table!P20*P$55</f>
        <v>2.10965785332402</v>
      </c>
      <c r="Q20" s="1" t="n">
        <f aca="false">Table!Q20*Q$55</f>
        <v>0</v>
      </c>
      <c r="R20" s="1" t="n">
        <f aca="false">Table!R20*R$55</f>
        <v>0</v>
      </c>
      <c r="S20" s="1" t="n">
        <f aca="false">Table!S20*S$55</f>
        <v>30.248162992221</v>
      </c>
      <c r="T20" s="1" t="n">
        <f aca="false">Table!T20*T$55</f>
        <v>4.85331666187086</v>
      </c>
      <c r="U20" s="1" t="n">
        <f aca="false">Table!U20*U$55</f>
        <v>0.0289804233260534</v>
      </c>
      <c r="V20" s="1" t="n">
        <f aca="false">Table!V20*V$55</f>
        <v>0</v>
      </c>
      <c r="W20" s="1" t="n">
        <f aca="false">Table!W20*W$55</f>
        <v>1.14119320488937</v>
      </c>
      <c r="X20" s="1" t="n">
        <v>0</v>
      </c>
      <c r="Y20" s="1" t="n">
        <f aca="false">Table!Y20*Y$55</f>
        <v>1.89158973061844</v>
      </c>
      <c r="Z20" s="1" t="n">
        <f aca="false">Table!Z20*Z$55</f>
        <v>4.42624871728409</v>
      </c>
      <c r="AA20" s="1" t="n">
        <f aca="false">Table!AA20*AA$55</f>
        <v>7.79586121255086</v>
      </c>
      <c r="AB20" s="1" t="n">
        <f aca="false">Table!AB20*AB$55</f>
        <v>1.19683609242122</v>
      </c>
      <c r="AC20" s="1" t="n">
        <f aca="false">Table!AC20*AC$55</f>
        <v>0</v>
      </c>
      <c r="AD20" s="1" t="n">
        <f aca="false">Table!AD20*AD$55</f>
        <v>0</v>
      </c>
      <c r="AE20" s="1" t="n">
        <f aca="false">Table!AE20*AE$55</f>
        <v>0.248417255652771</v>
      </c>
      <c r="AF20" s="1" t="n">
        <f aca="false">Table!AF20*AF$55</f>
        <v>0</v>
      </c>
      <c r="AG20" s="1" t="n">
        <f aca="false">Table!AG20*AG$55</f>
        <v>0.18554272695679</v>
      </c>
      <c r="AH20" s="1" t="n">
        <f aca="false">Table!AH20*AH$55</f>
        <v>0</v>
      </c>
      <c r="AI20" s="1" t="n">
        <f aca="false">Table!AI20*AI$55</f>
        <v>3.179988962501</v>
      </c>
      <c r="AJ20" s="1" t="n">
        <f aca="false">Table!AJ20*AJ$55</f>
        <v>26.2371222210534</v>
      </c>
      <c r="AK20" s="1" t="n">
        <f aca="false">Table!AK20*AK$55</f>
        <v>0</v>
      </c>
      <c r="AL20" s="1" t="n">
        <f aca="false">Table!AL20*AL$55</f>
        <v>246.875595594809</v>
      </c>
      <c r="AM20" s="1" t="n">
        <f aca="false">Table!AM20*AM$55</f>
        <v>0.217102254359571</v>
      </c>
      <c r="AN20" s="1" t="n">
        <f aca="false">Table!AN20*AN$55</f>
        <v>0</v>
      </c>
      <c r="AO20" s="1" t="n">
        <f aca="false">Table!AO20*AO$55</f>
        <v>5.52312840273316</v>
      </c>
      <c r="AP20" s="1" t="n">
        <f aca="false">Table!AP20*AP$55</f>
        <v>13.6760861784091</v>
      </c>
      <c r="AQ20" s="1" t="n">
        <f aca="false">Table!AQ20*AQ$55</f>
        <v>0.222559691966899</v>
      </c>
      <c r="AR20" s="1" t="n">
        <f aca="false">Table!AR20*AR$55</f>
        <v>10.1770190863442</v>
      </c>
      <c r="AS20" s="1" t="n">
        <f aca="false">Table!AS20*AS$55</f>
        <v>0</v>
      </c>
      <c r="AT20" s="1" t="n">
        <f aca="false">Table!AT20*AT$55</f>
        <v>0</v>
      </c>
      <c r="AU20" s="1" t="n">
        <f aca="false">Table!AU20*AU$55</f>
        <v>0</v>
      </c>
      <c r="AV20" s="1" t="n">
        <f aca="false">Table!AV20*AV$55</f>
        <v>0.0264503551121383</v>
      </c>
      <c r="AW20" s="1" t="n">
        <f aca="false">Table!AW20*AW$55</f>
        <v>277.443869966669</v>
      </c>
      <c r="AX20" s="1" t="n">
        <f aca="false">Table!AX20*AX$55</f>
        <v>0.0037379171827069</v>
      </c>
      <c r="AY20" s="1" t="n">
        <f aca="false">Table!AY20*AY$55</f>
        <v>0</v>
      </c>
      <c r="AZ20" s="1" t="n">
        <f aca="false">Table!AZ20*AZ$55</f>
        <v>12.1439039836883</v>
      </c>
      <c r="BA20" s="1" t="n">
        <f aca="false">Table!BA20*BA$55</f>
        <v>3.85276957945255</v>
      </c>
      <c r="BB20" s="1" t="n">
        <f aca="false">Table!BB20*BB$55</f>
        <v>0.985868494864029</v>
      </c>
      <c r="BC20" s="1" t="n">
        <f aca="false">Table!BC20*BC$55</f>
        <v>0.000849993842266832</v>
      </c>
      <c r="BD20" s="1" t="n">
        <f aca="false">Table!BD20*BD$55</f>
        <v>0</v>
      </c>
      <c r="BE20" s="0" t="n">
        <v>1296</v>
      </c>
      <c r="BF20" s="2" t="n">
        <f aca="false">SUM(F20:BE20)/(D20)</f>
        <v>0.00126592646907651</v>
      </c>
      <c r="BG20" s="0" t="n">
        <v>0.0293839643250748</v>
      </c>
      <c r="BI20" s="0" t="str">
        <f aca="false">A20</f>
        <v>louisi~1</v>
      </c>
      <c r="BJ20" s="0" t="n">
        <f aca="false">BF20</f>
        <v>0.00126592646907651</v>
      </c>
      <c r="BL20" s="0" t="n">
        <f aca="false">SUM(F20:BD20)/(D20-Table!BG20)</f>
        <v>0.0243662758193366</v>
      </c>
    </row>
    <row r="21" customFormat="false" ht="12.75" hidden="false" customHeight="false" outlineLevel="0" collapsed="false">
      <c r="A21" s="0" t="s">
        <v>23</v>
      </c>
      <c r="B21" s="0" t="n">
        <v>1226904</v>
      </c>
      <c r="C21" s="0" t="n">
        <v>653357</v>
      </c>
      <c r="D21" s="0" t="n">
        <v>573276</v>
      </c>
      <c r="E21" s="0" t="n">
        <v>1226904</v>
      </c>
      <c r="F21" s="1" t="n">
        <f aca="false">Table!F21*F$55</f>
        <v>0</v>
      </c>
      <c r="G21" s="1" t="n">
        <f aca="false">Table!G21*G$55</f>
        <v>5.53409190508352</v>
      </c>
      <c r="H21" s="1" t="n">
        <f aca="false">Table!H21*H$55</f>
        <v>0</v>
      </c>
      <c r="I21" s="1" t="n">
        <f aca="false">Table!I21*I$55</f>
        <v>0</v>
      </c>
      <c r="J21" s="1" t="n">
        <f aca="false">Table!J21*J$55</f>
        <v>1.45876497193626</v>
      </c>
      <c r="K21" s="1" t="n">
        <f aca="false">Table!K21*K$55</f>
        <v>0.026619999245525</v>
      </c>
      <c r="L21" s="1" t="n">
        <f aca="false">Table!L21*L$55</f>
        <v>0.0652313321002822</v>
      </c>
      <c r="M21" s="1" t="n">
        <f aca="false">Table!M21*M$55</f>
        <v>0</v>
      </c>
      <c r="N21" s="1" t="n">
        <f aca="false">Table!N21*N$55</f>
        <v>0</v>
      </c>
      <c r="O21" s="1" t="n">
        <f aca="false">Table!O21*O$55</f>
        <v>18.2908853423349</v>
      </c>
      <c r="P21" s="1" t="n">
        <f aca="false">Table!P21*P$55</f>
        <v>0.443697881849894</v>
      </c>
      <c r="Q21" s="1" t="n">
        <f aca="false">Table!Q21*Q$55</f>
        <v>0</v>
      </c>
      <c r="R21" s="1" t="n">
        <f aca="false">Table!R21*R$55</f>
        <v>0</v>
      </c>
      <c r="S21" s="1" t="n">
        <f aca="false">Table!S21*S$55</f>
        <v>2.86756285247355</v>
      </c>
      <c r="T21" s="1" t="n">
        <f aca="false">Table!T21*T$55</f>
        <v>1.10689678253195</v>
      </c>
      <c r="U21" s="1" t="n">
        <f aca="false">Table!U21*U$55</f>
        <v>0</v>
      </c>
      <c r="V21" s="1" t="n">
        <f aca="false">Table!V21*V$55</f>
        <v>0</v>
      </c>
      <c r="W21" s="1" t="n">
        <f aca="false">Table!W21*W$55</f>
        <v>0</v>
      </c>
      <c r="X21" s="1" t="n">
        <f aca="false">Table!X21*X$55</f>
        <v>2.40948507465613</v>
      </c>
      <c r="Y21" s="1" t="n">
        <v>0</v>
      </c>
      <c r="Z21" s="1" t="n">
        <f aca="false">Table!Z21*Z$55</f>
        <v>3.72366955581042</v>
      </c>
      <c r="AA21" s="1" t="n">
        <f aca="false">Table!AA21*AA$55</f>
        <v>249.987282882464</v>
      </c>
      <c r="AB21" s="1" t="n">
        <f aca="false">Table!AB21*AB$55</f>
        <v>0.155145419387936</v>
      </c>
      <c r="AC21" s="1" t="n">
        <f aca="false">Table!AC21*AC$55</f>
        <v>0</v>
      </c>
      <c r="AD21" s="1" t="n">
        <f aca="false">Table!AD21*AD$55</f>
        <v>0</v>
      </c>
      <c r="AE21" s="1" t="n">
        <f aca="false">Table!AE21*AE$55</f>
        <v>0.016713087536272</v>
      </c>
      <c r="AF21" s="1" t="n">
        <f aca="false">Table!AF21*AF$55</f>
        <v>0</v>
      </c>
      <c r="AG21" s="1" t="n">
        <f aca="false">Table!AG21*AG$55</f>
        <v>0</v>
      </c>
      <c r="AH21" s="1" t="n">
        <f aca="false">Table!AH21*AH$55</f>
        <v>0</v>
      </c>
      <c r="AI21" s="1" t="n">
        <f aca="false">Table!AI21*AI$55</f>
        <v>1527.21914358335</v>
      </c>
      <c r="AJ21" s="1" t="n">
        <f aca="false">Table!AJ21*AJ$55</f>
        <v>74.8851196725899</v>
      </c>
      <c r="AK21" s="1" t="n">
        <f aca="false">Table!AK21*AK$55</f>
        <v>0</v>
      </c>
      <c r="AL21" s="1" t="n">
        <f aca="false">Table!AL21*AL$55</f>
        <v>124.433263908674</v>
      </c>
      <c r="AM21" s="1" t="n">
        <f aca="false">Table!AM21*AM$55</f>
        <v>0.00664598737835421</v>
      </c>
      <c r="AN21" s="1" t="n">
        <f aca="false">Table!AN21*AN$55</f>
        <v>0</v>
      </c>
      <c r="AO21" s="1" t="n">
        <f aca="false">Table!AO21*AO$55</f>
        <v>1.18352751487139</v>
      </c>
      <c r="AP21" s="1" t="n">
        <f aca="false">Table!AP21*AP$55</f>
        <v>0</v>
      </c>
      <c r="AQ21" s="1" t="n">
        <f aca="false">Table!AQ21*AQ$55</f>
        <v>0</v>
      </c>
      <c r="AR21" s="1" t="n">
        <f aca="false">Table!AR21*AR$55</f>
        <v>14.5051766288124</v>
      </c>
      <c r="AS21" s="1" t="n">
        <f aca="false">Table!AS21*AS$55</f>
        <v>3.06402166291918</v>
      </c>
      <c r="AT21" s="1" t="n">
        <f aca="false">Table!AT21*AT$55</f>
        <v>0</v>
      </c>
      <c r="AU21" s="1" t="n">
        <f aca="false">Table!AU21*AU$55</f>
        <v>0</v>
      </c>
      <c r="AV21" s="1" t="n">
        <f aca="false">Table!AV21*AV$55</f>
        <v>0</v>
      </c>
      <c r="AW21" s="1" t="n">
        <f aca="false">Table!AW21*AW$55</f>
        <v>4.38030193418075</v>
      </c>
      <c r="AX21" s="1" t="n">
        <f aca="false">Table!AX21*AX$55</f>
        <v>0</v>
      </c>
      <c r="AY21" s="1" t="n">
        <f aca="false">Table!AY21*AY$55</f>
        <v>0</v>
      </c>
      <c r="AZ21" s="1" t="n">
        <f aca="false">Table!AZ21*AZ$55</f>
        <v>5.30423392390985</v>
      </c>
      <c r="BA21" s="1" t="n">
        <f aca="false">Table!BA21*BA$55</f>
        <v>2.73422357251472</v>
      </c>
      <c r="BB21" s="1" t="n">
        <f aca="false">Table!BB21*BB$55</f>
        <v>0</v>
      </c>
      <c r="BC21" s="1" t="n">
        <f aca="false">Table!BC21*BC$55</f>
        <v>0</v>
      </c>
      <c r="BD21" s="1" t="n">
        <f aca="false">Table!BD21*BD$55</f>
        <v>0</v>
      </c>
      <c r="BE21" s="0" t="n">
        <v>271</v>
      </c>
      <c r="BF21" s="2" t="n">
        <f aca="false">SUM(F21:BE21)/(D21)</f>
        <v>0.00403784861999563</v>
      </c>
      <c r="BG21" s="0" t="n">
        <v>0.105088318367691</v>
      </c>
      <c r="BI21" s="0" t="str">
        <f aca="false">A21</f>
        <v>maine</v>
      </c>
      <c r="BJ21" s="0" t="n">
        <f aca="false">BF21</f>
        <v>0.00403784861999563</v>
      </c>
      <c r="BL21" s="0" t="n">
        <f aca="false">SUM(F21:BD21)/(D21-Table!BG21)</f>
        <v>0.11374675564763</v>
      </c>
    </row>
    <row r="22" customFormat="false" ht="12.75" hidden="false" customHeight="false" outlineLevel="0" collapsed="false">
      <c r="A22" s="0" t="s">
        <v>24</v>
      </c>
      <c r="B22" s="0" t="n">
        <v>4780796</v>
      </c>
      <c r="C22" s="0" t="n">
        <v>2304040</v>
      </c>
      <c r="D22" s="0" t="n">
        <v>2475649</v>
      </c>
      <c r="E22" s="0" t="n">
        <v>4780796</v>
      </c>
      <c r="F22" s="1" t="n">
        <f aca="false">Table!F22*F$55</f>
        <v>0</v>
      </c>
      <c r="G22" s="1" t="n">
        <f aca="false">Table!G22*G$55</f>
        <v>1.63507260832013</v>
      </c>
      <c r="H22" s="1" t="n">
        <f aca="false">Table!H22*H$55</f>
        <v>0</v>
      </c>
      <c r="I22" s="1" t="n">
        <f aca="false">Table!I22*I$55</f>
        <v>0</v>
      </c>
      <c r="J22" s="1" t="n">
        <f aca="false">Table!J22*J$55</f>
        <v>19.4924826684816</v>
      </c>
      <c r="K22" s="1" t="n">
        <f aca="false">Table!K22*K$55</f>
        <v>0.588597761095498</v>
      </c>
      <c r="L22" s="1" t="n">
        <f aca="false">Table!L22*L$55</f>
        <v>0.0452201266352554</v>
      </c>
      <c r="M22" s="1" t="n">
        <f aca="false">Table!M22*M$55</f>
        <v>4761.8275787287</v>
      </c>
      <c r="N22" s="1" t="n">
        <f aca="false">Table!N22*N$55</f>
        <v>0</v>
      </c>
      <c r="O22" s="1" t="n">
        <f aca="false">Table!O22*O$55</f>
        <v>84.0602390200921</v>
      </c>
      <c r="P22" s="1" t="n">
        <f aca="false">Table!P22*P$55</f>
        <v>2.19756026387919</v>
      </c>
      <c r="Q22" s="1" t="n">
        <f aca="false">Table!Q22*Q$55</f>
        <v>0</v>
      </c>
      <c r="R22" s="1" t="n">
        <f aca="false">Table!R22*R$55</f>
        <v>0</v>
      </c>
      <c r="S22" s="1" t="n">
        <f aca="false">Table!S22*S$55</f>
        <v>35.1507704496758</v>
      </c>
      <c r="T22" s="1" t="n">
        <f aca="false">Table!T22*T$55</f>
        <v>4.72559780234794</v>
      </c>
      <c r="U22" s="1" t="n">
        <f aca="false">Table!U22*U$55</f>
        <v>0.021466980241521</v>
      </c>
      <c r="V22" s="1" t="n">
        <f aca="false">Table!V22*V$55</f>
        <v>2.58256090176534</v>
      </c>
      <c r="W22" s="1" t="n">
        <f aca="false">Table!W22*W$55</f>
        <v>0.777702035924607</v>
      </c>
      <c r="X22" s="1" t="n">
        <f aca="false">Table!X22*X$55</f>
        <v>3.02654832548271</v>
      </c>
      <c r="Y22" s="1" t="n">
        <f aca="false">Table!Y22*Y$55</f>
        <v>10.9291851102399</v>
      </c>
      <c r="Z22" s="1" t="n">
        <v>0</v>
      </c>
      <c r="AA22" s="1" t="n">
        <f aca="false">Table!AA22*AA$55</f>
        <v>30.0400518723626</v>
      </c>
      <c r="AB22" s="1" t="n">
        <f aca="false">Table!AB22*AB$55</f>
        <v>2.21636313411338</v>
      </c>
      <c r="AC22" s="1" t="n">
        <f aca="false">Table!AC22*AC$55</f>
        <v>0</v>
      </c>
      <c r="AD22" s="1" t="n">
        <f aca="false">Table!AD22*AD$55</f>
        <v>0</v>
      </c>
      <c r="AE22" s="1" t="n">
        <f aca="false">Table!AE22*AE$55</f>
        <v>0.0820460660871537</v>
      </c>
      <c r="AF22" s="1" t="n">
        <f aca="false">Table!AF22*AF$55</f>
        <v>0</v>
      </c>
      <c r="AG22" s="1" t="n">
        <f aca="false">Table!AG22*AG$55</f>
        <v>0.159606646844551</v>
      </c>
      <c r="AH22" s="1" t="n">
        <f aca="false">Table!AH22*AH$55</f>
        <v>0</v>
      </c>
      <c r="AI22" s="1" t="n">
        <f aca="false">Table!AI22*AI$55</f>
        <v>8.59774793565086</v>
      </c>
      <c r="AJ22" s="1" t="n">
        <f aca="false">Table!AJ22*AJ$55</f>
        <v>467.348739562514</v>
      </c>
      <c r="AK22" s="1" t="n">
        <f aca="false">Table!AK22*AK$55</f>
        <v>0</v>
      </c>
      <c r="AL22" s="1" t="n">
        <f aca="false">Table!AL22*AL$55</f>
        <v>520.296954156802</v>
      </c>
      <c r="AM22" s="1" t="n">
        <f aca="false">Table!AM22*AM$55</f>
        <v>0.514694800301432</v>
      </c>
      <c r="AN22" s="1" t="n">
        <f aca="false">Table!AN22*AN$55</f>
        <v>0</v>
      </c>
      <c r="AO22" s="1" t="n">
        <f aca="false">Table!AO22*AO$55</f>
        <v>7.0025377963224</v>
      </c>
      <c r="AP22" s="1" t="n">
        <f aca="false">Table!AP22*AP$55</f>
        <v>2.2033694398548</v>
      </c>
      <c r="AQ22" s="1" t="n">
        <f aca="false">Table!AQ22*AQ$55</f>
        <v>0.492810746498134</v>
      </c>
      <c r="AR22" s="1" t="n">
        <f aca="false">Table!AR22*AR$55</f>
        <v>1141.22986444108</v>
      </c>
      <c r="AS22" s="1" t="n">
        <f aca="false">Table!AS22*AS$55</f>
        <v>1.6814753028215</v>
      </c>
      <c r="AT22" s="1" t="n">
        <f aca="false">Table!AT22*AT$55</f>
        <v>0</v>
      </c>
      <c r="AU22" s="1" t="n">
        <f aca="false">Table!AU22*AU$55</f>
        <v>0</v>
      </c>
      <c r="AV22" s="1" t="n">
        <f aca="false">Table!AV22*AV$55</f>
        <v>0.0100928986612107</v>
      </c>
      <c r="AW22" s="1" t="n">
        <f aca="false">Table!AW22*AW$55</f>
        <v>12.3984817459014</v>
      </c>
      <c r="AX22" s="1" t="n">
        <f aca="false">Table!AX22*AX$55</f>
        <v>0.0317722960530086</v>
      </c>
      <c r="AY22" s="1" t="n">
        <f aca="false">Table!AY22*AY$55</f>
        <v>0</v>
      </c>
      <c r="AZ22" s="1" t="n">
        <f aca="false">Table!AZ22*AZ$55</f>
        <v>4408.84201485967</v>
      </c>
      <c r="BA22" s="1" t="n">
        <f aca="false">Table!BA22*BA$55</f>
        <v>5.01274321627698</v>
      </c>
      <c r="BB22" s="1" t="n">
        <f aca="false">Table!BB22*BB$55</f>
        <v>258.3632702207</v>
      </c>
      <c r="BC22" s="1" t="n">
        <f aca="false">Table!BC22*BC$55</f>
        <v>0.00166598793084299</v>
      </c>
      <c r="BD22" s="1" t="n">
        <f aca="false">Table!BD22*BD$55</f>
        <v>0</v>
      </c>
      <c r="BE22" s="0" t="n">
        <v>1107</v>
      </c>
      <c r="BF22" s="2" t="n">
        <f aca="false">SUM(F22:BE22)/(D22)</f>
        <v>0.00521099189986518</v>
      </c>
      <c r="BG22" s="0" t="n">
        <v>0.0702579161473665</v>
      </c>
      <c r="BI22" s="0" t="str">
        <f aca="false">A22</f>
        <v>maryland</v>
      </c>
      <c r="BJ22" s="0" t="n">
        <f aca="false">BF22</f>
        <v>0.00521099189986518</v>
      </c>
      <c r="BL22" s="0" t="n">
        <f aca="false">SUM(F22:BD22)/(D22-Table!BG22)</f>
        <v>0.0274781962774974</v>
      </c>
    </row>
    <row r="23" customFormat="false" ht="12.75" hidden="false" customHeight="false" outlineLevel="0" collapsed="false">
      <c r="A23" s="0" t="s">
        <v>25</v>
      </c>
      <c r="B23" s="0" t="n">
        <v>6015898</v>
      </c>
      <c r="C23" s="0" t="n">
        <v>3031218</v>
      </c>
      <c r="D23" s="0" t="n">
        <v>2983607</v>
      </c>
      <c r="E23" s="0" t="n">
        <v>6015898</v>
      </c>
      <c r="F23" s="1" t="n">
        <f aca="false">Table!F23*F$55</f>
        <v>0</v>
      </c>
      <c r="G23" s="1" t="n">
        <f aca="false">Table!G23*G$55</f>
        <v>0</v>
      </c>
      <c r="H23" s="1" t="n">
        <f aca="false">Table!H23*H$55</f>
        <v>0</v>
      </c>
      <c r="I23" s="1" t="n">
        <f aca="false">Table!I23*I$55</f>
        <v>0</v>
      </c>
      <c r="J23" s="1" t="n">
        <f aca="false">Table!J23*J$55</f>
        <v>23.3402395509801</v>
      </c>
      <c r="K23" s="1" t="n">
        <f aca="false">Table!K23*K$55</f>
        <v>0.804515532753645</v>
      </c>
      <c r="L23" s="1" t="n">
        <f aca="false">Table!L23*L$55</f>
        <v>7.12061063034116</v>
      </c>
      <c r="M23" s="1" t="n">
        <f aca="false">Table!M23*M$55</f>
        <v>7.83029147785856</v>
      </c>
      <c r="N23" s="1" t="n">
        <f aca="false">Table!N23*N$55</f>
        <v>0</v>
      </c>
      <c r="O23" s="1" t="n">
        <f aca="false">Table!O23*O$55</f>
        <v>79.7793935144393</v>
      </c>
      <c r="P23" s="1" t="n">
        <f aca="false">Table!P23*P$55</f>
        <v>1.12598802092096</v>
      </c>
      <c r="Q23" s="1" t="n">
        <f aca="false">Table!Q23*Q$55</f>
        <v>0</v>
      </c>
      <c r="R23" s="1" t="n">
        <f aca="false">Table!R23*R$55</f>
        <v>0</v>
      </c>
      <c r="S23" s="1" t="n">
        <f aca="false">Table!S23*S$55</f>
        <v>31.543191377209</v>
      </c>
      <c r="T23" s="1" t="n">
        <f aca="false">Table!T23*T$55</f>
        <v>4.34244122377919</v>
      </c>
      <c r="U23" s="1" t="n">
        <f aca="false">Table!U23*U$55</f>
        <v>0</v>
      </c>
      <c r="V23" s="1" t="n">
        <f aca="false">Table!V23*V$55</f>
        <v>1.1621524057944</v>
      </c>
      <c r="W23" s="1" t="n">
        <f aca="false">Table!W23*W$55</f>
        <v>0.98903411090412</v>
      </c>
      <c r="X23" s="1" t="n">
        <f aca="false">Table!X23*X$55</f>
        <v>3.76114743360958</v>
      </c>
      <c r="Y23" s="1" t="n">
        <f aca="false">Table!Y23*Y$55</f>
        <v>155.951064457654</v>
      </c>
      <c r="Z23" s="1" t="n">
        <f aca="false">Table!Z23*Z$55</f>
        <v>36.2530847320411</v>
      </c>
      <c r="AA23" s="1" t="n">
        <v>0</v>
      </c>
      <c r="AB23" s="1" t="n">
        <f aca="false">Table!AB23*AB$55</f>
        <v>0.967811901896174</v>
      </c>
      <c r="AC23" s="1" t="n">
        <f aca="false">Table!AC23*AC$55</f>
        <v>0</v>
      </c>
      <c r="AD23" s="1" t="n">
        <f aca="false">Table!AD23*AD$55</f>
        <v>0</v>
      </c>
      <c r="AE23" s="1" t="n">
        <f aca="false">Table!AE23*AE$55</f>
        <v>0.091162295652393</v>
      </c>
      <c r="AF23" s="1" t="n">
        <f aca="false">Table!AF23*AF$55</f>
        <v>0</v>
      </c>
      <c r="AG23" s="1" t="n">
        <f aca="false">Table!AG23*AG$55</f>
        <v>0</v>
      </c>
      <c r="AH23" s="1" t="n">
        <f aca="false">Table!AH23*AH$55</f>
        <v>0</v>
      </c>
      <c r="AI23" s="1" t="n">
        <f aca="false">Table!AI23*AI$55</f>
        <v>2162.86360397661</v>
      </c>
      <c r="AJ23" s="1" t="n">
        <f aca="false">Table!AJ23*AJ$55</f>
        <v>289.428254500995</v>
      </c>
      <c r="AK23" s="1" t="n">
        <f aca="false">Table!AK23*AK$55</f>
        <v>0</v>
      </c>
      <c r="AL23" s="1" t="n">
        <f aca="false">Table!AL23*AL$55</f>
        <v>1629.57802414799</v>
      </c>
      <c r="AM23" s="1" t="n">
        <f aca="false">Table!AM23*AM$55</f>
        <v>0.271747039470483</v>
      </c>
      <c r="AN23" s="1" t="n">
        <f aca="false">Table!AN23*AN$55</f>
        <v>0</v>
      </c>
      <c r="AO23" s="1" t="n">
        <f aca="false">Table!AO23*AO$55</f>
        <v>11.0133810411643</v>
      </c>
      <c r="AP23" s="1" t="n">
        <f aca="false">Table!AP23*AP$55</f>
        <v>1.21565210474748</v>
      </c>
      <c r="AQ23" s="1" t="n">
        <f aca="false">Table!AQ23*AQ$55</f>
        <v>0.206662571112121</v>
      </c>
      <c r="AR23" s="1" t="n">
        <f aca="false">Table!AR23*AR$55</f>
        <v>82.1180160760186</v>
      </c>
      <c r="AS23" s="1" t="n">
        <f aca="false">Table!AS23*AS$55</f>
        <v>1085.18679432315</v>
      </c>
      <c r="AT23" s="1" t="n">
        <f aca="false">Table!AT23*AT$55</f>
        <v>0</v>
      </c>
      <c r="AU23" s="1" t="n">
        <f aca="false">Table!AU23*AU$55</f>
        <v>0</v>
      </c>
      <c r="AV23" s="1" t="n">
        <f aca="false">Table!AV23*AV$55</f>
        <v>0.00539448031892294</v>
      </c>
      <c r="AW23" s="1" t="n">
        <f aca="false">Table!AW23*AW$55</f>
        <v>17.4717127996136</v>
      </c>
      <c r="AX23" s="1" t="n">
        <f aca="false">Table!AX23*AX$55</f>
        <v>0.0143286825337098</v>
      </c>
      <c r="AY23" s="1" t="n">
        <f aca="false">Table!AY23*AY$55</f>
        <v>0</v>
      </c>
      <c r="AZ23" s="1" t="n">
        <f aca="false">Table!AZ23*AZ$55</f>
        <v>27.9635490199107</v>
      </c>
      <c r="BA23" s="1" t="n">
        <f aca="false">Table!BA23*BA$55</f>
        <v>2.85850646217447</v>
      </c>
      <c r="BB23" s="1" t="n">
        <f aca="false">Table!BB23*BB$55</f>
        <v>0</v>
      </c>
      <c r="BC23" s="1" t="n">
        <f aca="false">Table!BC23*BC$55</f>
        <v>0.000645995320122792</v>
      </c>
      <c r="BD23" s="1" t="n">
        <f aca="false">Table!BD23*BD$55</f>
        <v>0</v>
      </c>
      <c r="BE23" s="0" t="n">
        <v>1073</v>
      </c>
      <c r="BF23" s="2" t="n">
        <f aca="false">SUM(F23:BE23)/(D23)</f>
        <v>0.00225842693152515</v>
      </c>
      <c r="BG23" s="0" t="n">
        <v>0.103944816167345</v>
      </c>
      <c r="BI23" s="0" t="str">
        <f aca="false">A23</f>
        <v>massac~1</v>
      </c>
      <c r="BJ23" s="0" t="n">
        <f aca="false">BF23</f>
        <v>0.00225842693152515</v>
      </c>
      <c r="BL23" s="0" t="n">
        <f aca="false">SUM(F23:BD23)/(D23-Table!BG23)</f>
        <v>0.0613123203667421</v>
      </c>
    </row>
    <row r="24" customFormat="false" ht="12.75" hidden="false" customHeight="false" outlineLevel="0" collapsed="false">
      <c r="A24" s="0" t="s">
        <v>26</v>
      </c>
      <c r="B24" s="0" t="n">
        <v>9284810</v>
      </c>
      <c r="C24" s="0" t="n">
        <v>5196906</v>
      </c>
      <c r="D24" s="0" t="n">
        <v>4086456</v>
      </c>
      <c r="E24" s="0" t="n">
        <v>9284810</v>
      </c>
      <c r="F24" s="1" t="n">
        <f aca="false">Table!F24*F$55</f>
        <v>0</v>
      </c>
      <c r="G24" s="1" t="n">
        <f aca="false">Table!G24*G$55</f>
        <v>5.47120449707121</v>
      </c>
      <c r="H24" s="1" t="n">
        <f aca="false">Table!H24*H$55</f>
        <v>0</v>
      </c>
      <c r="I24" s="1" t="n">
        <f aca="false">Table!I24*I$55</f>
        <v>0</v>
      </c>
      <c r="J24" s="1" t="n">
        <f aca="false">Table!J24*J$55</f>
        <v>33.2344715345477</v>
      </c>
      <c r="K24" s="1" t="n">
        <f aca="false">Table!K24*K$55</f>
        <v>0.381553322519192</v>
      </c>
      <c r="L24" s="1" t="n">
        <f aca="false">Table!L24*L$55</f>
        <v>0.0314461800164707</v>
      </c>
      <c r="M24" s="1" t="n">
        <f aca="false">Table!M24*M$55</f>
        <v>9.59842181156856</v>
      </c>
      <c r="N24" s="1" t="n">
        <f aca="false">Table!N24*N$55</f>
        <v>0</v>
      </c>
      <c r="O24" s="1" t="n">
        <f aca="false">Table!O24*O$55</f>
        <v>110.60148115514</v>
      </c>
      <c r="P24" s="1" t="n">
        <f aca="false">Table!P24*P$55</f>
        <v>1.61991585165952</v>
      </c>
      <c r="Q24" s="1" t="n">
        <f aca="false">Table!Q24*Q$55</f>
        <v>0</v>
      </c>
      <c r="R24" s="1" t="n">
        <f aca="false">Table!R24*R$55</f>
        <v>0</v>
      </c>
      <c r="S24" s="1" t="n">
        <f aca="false">Table!S24*S$55</f>
        <v>322.554569889525</v>
      </c>
      <c r="T24" s="1" t="n">
        <f aca="false">Table!T24*T$55</f>
        <v>861.165696809858</v>
      </c>
      <c r="U24" s="1" t="n">
        <f aca="false">Table!U24*U$55</f>
        <v>0.132021928485354</v>
      </c>
      <c r="V24" s="1" t="n">
        <f aca="false">Table!V24*V$55</f>
        <v>9.74916740416414</v>
      </c>
      <c r="W24" s="1" t="n">
        <f aca="false">Table!W24*W$55</f>
        <v>2.75577025773285</v>
      </c>
      <c r="X24" s="1" t="n">
        <f aca="false">Table!X24*X$55</f>
        <v>1.67488596652926</v>
      </c>
      <c r="Y24" s="1" t="n">
        <f aca="false">Table!Y24*Y$55</f>
        <v>0</v>
      </c>
      <c r="Z24" s="1" t="n">
        <f aca="false">Table!Z24*Z$55</f>
        <v>16.5106102946311</v>
      </c>
      <c r="AA24" s="1" t="n">
        <f aca="false">Table!AA24*AA$55</f>
        <v>25.0507006963301</v>
      </c>
      <c r="AB24" s="1" t="n">
        <v>0</v>
      </c>
      <c r="AC24" s="1" t="n">
        <f aca="false">Table!AC24*AC$55</f>
        <v>0</v>
      </c>
      <c r="AD24" s="1" t="n">
        <f aca="false">Table!AD24*AD$55</f>
        <v>0</v>
      </c>
      <c r="AE24" s="1" t="n">
        <f aca="false">Table!AE24*AE$55</f>
        <v>0.310711491015239</v>
      </c>
      <c r="AF24" s="1" t="n">
        <f aca="false">Table!AF24*AF$55</f>
        <v>0</v>
      </c>
      <c r="AG24" s="1" t="n">
        <f aca="false">Table!AG24*AG$55</f>
        <v>0.235419804095713</v>
      </c>
      <c r="AH24" s="1" t="n">
        <f aca="false">Table!AH24*AH$55</f>
        <v>0</v>
      </c>
      <c r="AI24" s="1" t="n">
        <f aca="false">Table!AI24*AI$55</f>
        <v>0</v>
      </c>
      <c r="AJ24" s="1" t="n">
        <f aca="false">Table!AJ24*AJ$55</f>
        <v>92.1032311301562</v>
      </c>
      <c r="AK24" s="1" t="n">
        <f aca="false">Table!AK24*AK$55</f>
        <v>0</v>
      </c>
      <c r="AL24" s="1" t="n">
        <f aca="false">Table!AL24*AL$55</f>
        <v>277.07140096998</v>
      </c>
      <c r="AM24" s="1" t="n">
        <f aca="false">Table!AM24*AM$55</f>
        <v>0.242209317788909</v>
      </c>
      <c r="AN24" s="1" t="n">
        <f aca="false">Table!AN24*AN$55</f>
        <v>0</v>
      </c>
      <c r="AO24" s="1" t="n">
        <f aca="false">Table!AO24*AO$55</f>
        <v>666.030108993875</v>
      </c>
      <c r="AP24" s="1" t="n">
        <f aca="false">Table!AP24*AP$55</f>
        <v>8.88945601596593</v>
      </c>
      <c r="AQ24" s="1" t="n">
        <f aca="false">Table!AQ24*AQ$55</f>
        <v>0.201363530827195</v>
      </c>
      <c r="AR24" s="1" t="n">
        <f aca="false">Table!AR24*AR$55</f>
        <v>59.3074560549023</v>
      </c>
      <c r="AS24" s="1" t="n">
        <f aca="false">Table!AS24*AS$55</f>
        <v>2.0177703633858</v>
      </c>
      <c r="AT24" s="1" t="n">
        <f aca="false">Table!AT24*AT$55</f>
        <v>0</v>
      </c>
      <c r="AU24" s="1" t="n">
        <f aca="false">Table!AU24*AU$55</f>
        <v>0</v>
      </c>
      <c r="AV24" s="1" t="n">
        <f aca="false">Table!AV24*AV$55</f>
        <v>0.031728825101622</v>
      </c>
      <c r="AW24" s="1" t="n">
        <f aca="false">Table!AW24*AW$55</f>
        <v>22.0994894193413</v>
      </c>
      <c r="AX24" s="1" t="n">
        <f aca="false">Table!AX24*AX$55</f>
        <v>0.0218045168991236</v>
      </c>
      <c r="AY24" s="1" t="n">
        <f aca="false">Table!AY24*AY$55</f>
        <v>0</v>
      </c>
      <c r="AZ24" s="1" t="n">
        <f aca="false">Table!AZ24*AZ$55</f>
        <v>19.1231591467276</v>
      </c>
      <c r="BA24" s="1" t="n">
        <f aca="false">Table!BA24*BA$55</f>
        <v>6.66984841174044</v>
      </c>
      <c r="BB24" s="1" t="n">
        <f aca="false">Table!BB24*BB$55</f>
        <v>2.76043178561928</v>
      </c>
      <c r="BC24" s="1" t="n">
        <f aca="false">Table!BC24*BC$55</f>
        <v>0.0584229100918069</v>
      </c>
      <c r="BD24" s="1" t="n">
        <f aca="false">Table!BD24*BD$55</f>
        <v>0</v>
      </c>
      <c r="BE24" s="0" t="n">
        <v>1448</v>
      </c>
      <c r="BF24" s="2" t="n">
        <f aca="false">SUM(F24:BE24)/(D24)</f>
        <v>0.000980239584198947</v>
      </c>
      <c r="BG24" s="0" t="n">
        <v>0.00738787711371125</v>
      </c>
      <c r="BI24" s="0" t="str">
        <f aca="false">A24</f>
        <v>michigan</v>
      </c>
      <c r="BJ24" s="0" t="n">
        <f aca="false">BF24</f>
        <v>0.000980239584198947</v>
      </c>
      <c r="BL24" s="0" t="n">
        <f aca="false">SUM(F24:BD24)/(D24-Table!BG24)</f>
        <v>0.0419633136501008</v>
      </c>
    </row>
    <row r="25" customFormat="false" ht="12.75" hidden="false" customHeight="false" outlineLevel="0" collapsed="false">
      <c r="A25" s="0" t="s">
        <v>27</v>
      </c>
      <c r="B25" s="0" t="n">
        <v>4366568</v>
      </c>
      <c r="C25" s="0" t="n">
        <v>2207656</v>
      </c>
      <c r="D25" s="0" t="n">
        <v>2158427</v>
      </c>
      <c r="E25" s="0" t="n">
        <v>4366568</v>
      </c>
      <c r="F25" s="1" t="n">
        <f aca="false">Table!F25*F$55</f>
        <v>0</v>
      </c>
      <c r="G25" s="1" t="n">
        <f aca="false">Table!G25*G$55</f>
        <v>0</v>
      </c>
      <c r="H25" s="1" t="n">
        <f aca="false">Table!H25*H$55</f>
        <v>0</v>
      </c>
      <c r="I25" s="1" t="n">
        <f aca="false">Table!I25*I$55</f>
        <v>0</v>
      </c>
      <c r="J25" s="1" t="n">
        <f aca="false">Table!J25*J$55</f>
        <v>19.4924826684816</v>
      </c>
      <c r="K25" s="1" t="n">
        <f aca="false">Table!K25*K$55</f>
        <v>0.635922204198653</v>
      </c>
      <c r="L25" s="1" t="n">
        <f aca="false">Table!L25*L$55</f>
        <v>0.0158530329008654</v>
      </c>
      <c r="M25" s="1" t="n">
        <f aca="false">Table!M25*M$55</f>
        <v>0</v>
      </c>
      <c r="N25" s="1" t="n">
        <f aca="false">Table!N25*N$55</f>
        <v>0</v>
      </c>
      <c r="O25" s="1" t="n">
        <f aca="false">Table!O25*O$55</f>
        <v>47.3228012261259</v>
      </c>
      <c r="P25" s="1" t="n">
        <f aca="false">Table!P25*P$55</f>
        <v>0.368352958516893</v>
      </c>
      <c r="Q25" s="1" t="n">
        <f aca="false">Table!Q25*Q$55</f>
        <v>0</v>
      </c>
      <c r="R25" s="1" t="n">
        <f aca="false">Table!R25*R$55</f>
        <v>0</v>
      </c>
      <c r="S25" s="1" t="n">
        <f aca="false">Table!S25*S$55</f>
        <v>138.568037193722</v>
      </c>
      <c r="T25" s="1" t="n">
        <f aca="false">Table!T25*T$55</f>
        <v>2.76724195632988</v>
      </c>
      <c r="U25" s="1" t="n">
        <f aca="false">Table!U25*U$55</f>
        <v>2.79178078040981</v>
      </c>
      <c r="V25" s="1" t="n">
        <f aca="false">Table!V25*V$55</f>
        <v>6.26271018678094</v>
      </c>
      <c r="W25" s="1" t="n">
        <f aca="false">Table!W25*W$55</f>
        <v>1.08202022389511</v>
      </c>
      <c r="X25" s="1" t="n">
        <f aca="false">Table!X25*X$55</f>
        <v>0.940286858402394</v>
      </c>
      <c r="Y25" s="1" t="n">
        <f aca="false">Table!Y25*Y$55</f>
        <v>0</v>
      </c>
      <c r="Z25" s="1" t="n">
        <f aca="false">Table!Z25*Z$55</f>
        <v>0.632321245326298</v>
      </c>
      <c r="AA25" s="1" t="n">
        <f aca="false">Table!AA25*AA$55</f>
        <v>20.6850184173016</v>
      </c>
      <c r="AB25" s="1" t="n">
        <f aca="false">Table!AB25*AB$55</f>
        <v>3.4131992265346</v>
      </c>
      <c r="AC25" s="1" t="n">
        <v>0</v>
      </c>
      <c r="AD25" s="1" t="n">
        <f aca="false">Table!AD25*AD$55</f>
        <v>0</v>
      </c>
      <c r="AE25" s="1" t="n">
        <f aca="false">Table!AE25*AE$55</f>
        <v>0.263610971594836</v>
      </c>
      <c r="AF25" s="1" t="n">
        <f aca="false">Table!AF25*AF$55</f>
        <v>0</v>
      </c>
      <c r="AG25" s="1" t="n">
        <f aca="false">Table!AG25*AG$55</f>
        <v>0.510741269902563</v>
      </c>
      <c r="AH25" s="1" t="n">
        <f aca="false">Table!AH25*AH$55</f>
        <v>0</v>
      </c>
      <c r="AI25" s="1" t="n">
        <f aca="false">Table!AI25*AI$55</f>
        <v>1.05999632083367</v>
      </c>
      <c r="AJ25" s="1" t="n">
        <f aca="false">Table!AJ25*AJ$55</f>
        <v>24.3239987257683</v>
      </c>
      <c r="AK25" s="1" t="n">
        <f aca="false">Table!AK25*AK$55</f>
        <v>0</v>
      </c>
      <c r="AL25" s="1" t="n">
        <f aca="false">Table!AL25*AL$55</f>
        <v>126.092374094123</v>
      </c>
      <c r="AM25" s="1" t="n">
        <f aca="false">Table!AM25*AM$55</f>
        <v>0.0812287346243293</v>
      </c>
      <c r="AN25" s="1" t="n">
        <f aca="false">Table!AN25*AN$55</f>
        <v>0</v>
      </c>
      <c r="AO25" s="1" t="n">
        <f aca="false">Table!AO25*AO$55</f>
        <v>6.77240744620852</v>
      </c>
      <c r="AP25" s="1" t="n">
        <f aca="false">Table!AP25*AP$55</f>
        <v>2.81119549222854</v>
      </c>
      <c r="AQ25" s="1" t="n">
        <f aca="false">Table!AQ25*AQ$55</f>
        <v>0.561698270202174</v>
      </c>
      <c r="AR25" s="1" t="n">
        <f aca="false">Table!AR25*AR$55</f>
        <v>43.0476209629271</v>
      </c>
      <c r="AS25" s="1" t="n">
        <f aca="false">Table!AS25*AS$55</f>
        <v>0</v>
      </c>
      <c r="AT25" s="1" t="n">
        <f aca="false">Table!AT25*AT$55</f>
        <v>0</v>
      </c>
      <c r="AU25" s="1" t="n">
        <f aca="false">Table!AU25*AU$55</f>
        <v>0</v>
      </c>
      <c r="AV25" s="1" t="n">
        <f aca="false">Table!AV25*AV$55</f>
        <v>0.00237821175350366</v>
      </c>
      <c r="AW25" s="1" t="n">
        <f aca="false">Table!AW25*AW$55</f>
        <v>9.1565633652366</v>
      </c>
      <c r="AX25" s="1" t="n">
        <f aca="false">Table!AX25*AX$55</f>
        <v>0.0654135506973708</v>
      </c>
      <c r="AY25" s="1" t="n">
        <f aca="false">Table!AY25*AY$55</f>
        <v>0</v>
      </c>
      <c r="AZ25" s="1" t="n">
        <f aca="false">Table!AZ25*AZ$55</f>
        <v>7.90982251811119</v>
      </c>
      <c r="BA25" s="1" t="n">
        <f aca="false">Table!BA25*BA$55</f>
        <v>6.71127604162703</v>
      </c>
      <c r="BB25" s="1" t="n">
        <f aca="false">Table!BB25*BB$55</f>
        <v>0.591521096918417</v>
      </c>
      <c r="BC25" s="1" t="n">
        <f aca="false">Table!BC25*BC$55</f>
        <v>0.117423815996355</v>
      </c>
      <c r="BD25" s="1" t="n">
        <f aca="false">Table!BD25*BD$55</f>
        <v>0</v>
      </c>
      <c r="BE25" s="0" t="n">
        <v>485</v>
      </c>
      <c r="BF25" s="2" t="n">
        <f aca="false">SUM(F25:BE25)/(D25)</f>
        <v>0.000444794889550436</v>
      </c>
      <c r="BG25" s="0" t="n">
        <v>0</v>
      </c>
      <c r="BI25" s="0" t="str">
        <f aca="false">A25</f>
        <v>minnes~1</v>
      </c>
      <c r="BJ25" s="0" t="n">
        <f aca="false">BF25</f>
        <v>0.000444794889550436</v>
      </c>
      <c r="BL25" s="0" t="n">
        <f aca="false">SUM(F25:BD25)/(D25-Table!BG25)</f>
        <v>0.0124292221309667</v>
      </c>
    </row>
    <row r="26" customFormat="false" ht="12.75" hidden="false" customHeight="false" outlineLevel="0" collapsed="false">
      <c r="A26" s="0" t="s">
        <v>28</v>
      </c>
      <c r="B26" s="0" t="n">
        <v>2560194</v>
      </c>
      <c r="C26" s="0" t="n">
        <v>1537800</v>
      </c>
      <c r="D26" s="0" t="n">
        <v>1021722</v>
      </c>
      <c r="E26" s="0" t="n">
        <v>2560194</v>
      </c>
      <c r="F26" s="1" t="n">
        <f aca="false">Table!F26*F$55</f>
        <v>0</v>
      </c>
      <c r="G26" s="1" t="n">
        <f aca="false">Table!G26*G$55</f>
        <v>5.65986672110815</v>
      </c>
      <c r="H26" s="1" t="n">
        <f aca="false">Table!H26*H$55</f>
        <v>0</v>
      </c>
      <c r="I26" s="1" t="n">
        <f aca="false">Table!I26*I$55</f>
        <v>0</v>
      </c>
      <c r="J26" s="1" t="n">
        <f aca="false">Table!J26*J$55</f>
        <v>4.75684229979214</v>
      </c>
      <c r="K26" s="1" t="n">
        <f aca="false">Table!K26*K$55</f>
        <v>0.115353330063942</v>
      </c>
      <c r="L26" s="1" t="n">
        <f aca="false">Table!L26*L$55</f>
        <v>0.00233897206734079</v>
      </c>
      <c r="M26" s="1" t="n">
        <f aca="false">Table!M26*M$55</f>
        <v>0</v>
      </c>
      <c r="N26" s="1" t="n">
        <f aca="false">Table!N26*N$55</f>
        <v>0</v>
      </c>
      <c r="O26" s="1" t="n">
        <f aca="false">Table!O26*O$55</f>
        <v>51.8371473957235</v>
      </c>
      <c r="P26" s="1" t="n">
        <f aca="false">Table!P26*P$55</f>
        <v>3.12681431831953</v>
      </c>
      <c r="Q26" s="1" t="n">
        <f aca="false">Table!Q26*Q$55</f>
        <v>0</v>
      </c>
      <c r="R26" s="1" t="n">
        <f aca="false">Table!R26*R$55</f>
        <v>0</v>
      </c>
      <c r="S26" s="1" t="n">
        <f aca="false">Table!S26*S$55</f>
        <v>35.5207785596724</v>
      </c>
      <c r="T26" s="1" t="n">
        <f aca="false">Table!T26*T$55</f>
        <v>5.23647324043961</v>
      </c>
      <c r="U26" s="1" t="n">
        <f aca="false">Table!U26*U$55</f>
        <v>0.0354205173985097</v>
      </c>
      <c r="V26" s="1" t="n">
        <f aca="false">Table!V26*V$55</f>
        <v>2.905381014486</v>
      </c>
      <c r="W26" s="1" t="n">
        <f aca="false">Table!W26*W$55</f>
        <v>1.16655305388691</v>
      </c>
      <c r="X26" s="1" t="n">
        <f aca="false">Table!X26*X$55</f>
        <v>445.431515203809</v>
      </c>
      <c r="Y26" s="1" t="n">
        <f aca="false">Table!Y26*Y$55</f>
        <v>4.41370937144303</v>
      </c>
      <c r="Z26" s="1" t="n">
        <f aca="false">Table!Z26*Z$55</f>
        <v>1.4754162390947</v>
      </c>
      <c r="AA26" s="1" t="n">
        <f aca="false">Table!AA26*AA$55</f>
        <v>4.36568227902848</v>
      </c>
      <c r="AB26" s="1" t="n">
        <f aca="false">Table!AB26*AB$55</f>
        <v>0.509763520846077</v>
      </c>
      <c r="AC26" s="1" t="n">
        <f aca="false">Table!AC26*AC$55</f>
        <v>0</v>
      </c>
      <c r="AD26" s="1" t="n">
        <v>0</v>
      </c>
      <c r="AE26" s="1" t="n">
        <f aca="false">Table!AE26*AE$55</f>
        <v>0.136743443478589</v>
      </c>
      <c r="AF26" s="1" t="n">
        <f aca="false">Table!AF26*AF$55</f>
        <v>0</v>
      </c>
      <c r="AG26" s="1" t="n">
        <f aca="false">Table!AG26*AG$55</f>
        <v>0</v>
      </c>
      <c r="AH26" s="1" t="n">
        <f aca="false">Table!AH26*AH$55</f>
        <v>0</v>
      </c>
      <c r="AI26" s="1" t="n">
        <f aca="false">Table!AI26*AI$55</f>
        <v>0</v>
      </c>
      <c r="AJ26" s="1" t="n">
        <f aca="false">Table!AJ26*AJ$55</f>
        <v>9.01901076348711</v>
      </c>
      <c r="AK26" s="1" t="n">
        <f aca="false">Table!AK26*AK$55</f>
        <v>0</v>
      </c>
      <c r="AL26" s="1" t="n">
        <f aca="false">Table!AL26*AL$55</f>
        <v>45.791441118392</v>
      </c>
      <c r="AM26" s="1" t="n">
        <f aca="false">Table!AM26*AM$55</f>
        <v>0.25254752037746</v>
      </c>
      <c r="AN26" s="1" t="n">
        <f aca="false">Table!AN26*AN$55</f>
        <v>0</v>
      </c>
      <c r="AO26" s="1" t="n">
        <f aca="false">Table!AO26*AO$55</f>
        <v>2.36705502974278</v>
      </c>
      <c r="AP26" s="1" t="n">
        <f aca="false">Table!AP26*AP$55</f>
        <v>6.83804308920456</v>
      </c>
      <c r="AQ26" s="1" t="n">
        <f aca="false">Table!AQ26*AQ$55</f>
        <v>0.158971208547785</v>
      </c>
      <c r="AR26" s="1" t="n">
        <f aca="false">Table!AR26*AR$55</f>
        <v>4.91304369685581</v>
      </c>
      <c r="AS26" s="1" t="n">
        <f aca="false">Table!AS26*AS$55</f>
        <v>1.0088851816929</v>
      </c>
      <c r="AT26" s="1" t="n">
        <f aca="false">Table!AT26*AT$55</f>
        <v>0</v>
      </c>
      <c r="AU26" s="1" t="n">
        <f aca="false">Table!AU26*AU$55</f>
        <v>0</v>
      </c>
      <c r="AV26" s="1" t="n">
        <f aca="false">Table!AV26*AV$55</f>
        <v>1.73563053873992</v>
      </c>
      <c r="AW26" s="1" t="n">
        <f aca="false">Table!AW26*AW$55</f>
        <v>57.9090764179828</v>
      </c>
      <c r="AX26" s="1" t="n">
        <f aca="false">Table!AX26*AX$55</f>
        <v>0.016820627322181</v>
      </c>
      <c r="AY26" s="1" t="n">
        <f aca="false">Table!AY26*AY$55</f>
        <v>0</v>
      </c>
      <c r="AZ26" s="1" t="n">
        <f aca="false">Table!AZ26*AZ$55</f>
        <v>6.8396700597785</v>
      </c>
      <c r="BA26" s="1" t="n">
        <f aca="false">Table!BA26*BA$55</f>
        <v>1.36711178625736</v>
      </c>
      <c r="BB26" s="1" t="n">
        <f aca="false">Table!BB26*BB$55</f>
        <v>1.97173698972806</v>
      </c>
      <c r="BC26" s="1" t="n">
        <f aca="false">Table!BC26*BC$55</f>
        <v>0.0010199926107202</v>
      </c>
      <c r="BD26" s="1" t="n">
        <f aca="false">Table!BD26*BD$55</f>
        <v>0</v>
      </c>
      <c r="BE26" s="0" t="n">
        <v>672</v>
      </c>
      <c r="BF26" s="2" t="n">
        <f aca="false">SUM(F26:BE26)/(D26)</f>
        <v>0.00134957049324707</v>
      </c>
      <c r="BG26" s="0" t="n">
        <v>0</v>
      </c>
      <c r="BI26" s="0" t="str">
        <f aca="false">A26</f>
        <v>missis~1</v>
      </c>
      <c r="BJ26" s="0" t="n">
        <f aca="false">BF26</f>
        <v>0.00134957049324707</v>
      </c>
      <c r="BL26" s="0" t="n">
        <f aca="false">SUM(F26:BD26)/(D26-Table!BG26)</f>
        <v>0.0117861455165629</v>
      </c>
    </row>
    <row r="27" customFormat="false" ht="12.75" hidden="false" customHeight="false" outlineLevel="0" collapsed="false">
      <c r="A27" s="0" t="s">
        <v>29</v>
      </c>
      <c r="B27" s="0" t="n">
        <v>5101921</v>
      </c>
      <c r="C27" s="0" t="n">
        <v>2763262</v>
      </c>
      <c r="D27" s="0" t="n">
        <v>2337818</v>
      </c>
      <c r="E27" s="0" t="n">
        <v>5101921</v>
      </c>
      <c r="F27" s="1" t="n">
        <f aca="false">Table!F27*F$55</f>
        <v>0</v>
      </c>
      <c r="G27" s="1" t="n">
        <f aca="false">Table!G27*G$55</f>
        <v>1.50929779229551</v>
      </c>
      <c r="H27" s="1" t="n">
        <f aca="false">Table!H27*H$55</f>
        <v>0</v>
      </c>
      <c r="I27" s="1" t="n">
        <f aca="false">Table!I27*I$55</f>
        <v>0</v>
      </c>
      <c r="J27" s="1" t="n">
        <f aca="false">Table!J27*J$55</f>
        <v>20.6341248204317</v>
      </c>
      <c r="K27" s="1" t="n">
        <f aca="false">Table!K27*K$55</f>
        <v>0.854797753550748</v>
      </c>
      <c r="L27" s="1" t="n">
        <f aca="false">Table!L27*L$55</f>
        <v>0.0337851520838115</v>
      </c>
      <c r="M27" s="1" t="n">
        <f aca="false">Table!M27*M$55</f>
        <v>0</v>
      </c>
      <c r="N27" s="1" t="n">
        <f aca="false">Table!N27*N$55</f>
        <v>0</v>
      </c>
      <c r="O27" s="1" t="n">
        <f aca="false">Table!O27*O$55</f>
        <v>34.6359318184639</v>
      </c>
      <c r="P27" s="1" t="n">
        <f aca="false">Table!P27*P$55</f>
        <v>1.19296128610585</v>
      </c>
      <c r="Q27" s="1" t="n">
        <f aca="false">Table!Q27*Q$55</f>
        <v>0</v>
      </c>
      <c r="R27" s="1" t="n">
        <f aca="false">Table!R27*R$55</f>
        <v>0</v>
      </c>
      <c r="S27" s="1" t="n">
        <f aca="false">Table!S27*S$55</f>
        <v>1740.24064334145</v>
      </c>
      <c r="T27" s="1" t="n">
        <f aca="false">Table!T27*T$55</f>
        <v>18.4766616776487</v>
      </c>
      <c r="U27" s="1" t="n">
        <f aca="false">Table!U27*U$55</f>
        <v>3.99071162689876</v>
      </c>
      <c r="V27" s="1" t="n">
        <f aca="false">Table!V27*V$55</f>
        <v>4587.98400600866</v>
      </c>
      <c r="W27" s="1" t="n">
        <f aca="false">Table!W27*W$55</f>
        <v>5.30020844048618</v>
      </c>
      <c r="X27" s="1" t="n">
        <f aca="false">Table!X27*X$55</f>
        <v>8.43319776129647</v>
      </c>
      <c r="Y27" s="1" t="n">
        <f aca="false">Table!Y27*Y$55</f>
        <v>9.66812528982758</v>
      </c>
      <c r="Z27" s="1" t="n">
        <f aca="false">Table!Z27*Z$55</f>
        <v>7.58785494391558</v>
      </c>
      <c r="AA27" s="1" t="n">
        <f aca="false">Table!AA27*AA$55</f>
        <v>8.21164047722024</v>
      </c>
      <c r="AB27" s="1" t="n">
        <f aca="false">Table!AB27*AB$55</f>
        <v>2.65224788382234</v>
      </c>
      <c r="AC27" s="1" t="n">
        <f aca="false">Table!AC27*AC$55</f>
        <v>0</v>
      </c>
      <c r="AD27" s="1" t="n">
        <f aca="false">Table!AD27*AD$55</f>
        <v>0</v>
      </c>
      <c r="AE27" s="1" t="n">
        <v>0</v>
      </c>
      <c r="AF27" s="1" t="n">
        <f aca="false">Table!AF27*AF$55</f>
        <v>0</v>
      </c>
      <c r="AG27" s="1" t="n">
        <f aca="false">Table!AG27*AG$55</f>
        <v>1.33670566732311</v>
      </c>
      <c r="AH27" s="1" t="n">
        <f aca="false">Table!AH27*AH$55</f>
        <v>0</v>
      </c>
      <c r="AI27" s="1" t="n">
        <f aca="false">Table!AI27*AI$55</f>
        <v>4.35776265231619</v>
      </c>
      <c r="AJ27" s="1" t="n">
        <f aca="false">Table!AJ27*AJ$55</f>
        <v>69.9656592561424</v>
      </c>
      <c r="AK27" s="1" t="n">
        <f aca="false">Table!AK27*AK$55</f>
        <v>0</v>
      </c>
      <c r="AL27" s="1" t="n">
        <f aca="false">Table!AL27*AL$55</f>
        <v>104.523941683286</v>
      </c>
      <c r="AM27" s="1" t="n">
        <f aca="false">Table!AM27*AM$55</f>
        <v>0.0982129245912345</v>
      </c>
      <c r="AN27" s="1" t="n">
        <f aca="false">Table!AN27*AN$55</f>
        <v>0</v>
      </c>
      <c r="AO27" s="1" t="n">
        <f aca="false">Table!AO27*AO$55</f>
        <v>15.7803668649519</v>
      </c>
      <c r="AP27" s="1" t="n">
        <f aca="false">Table!AP27*AP$55</f>
        <v>77.1939086514648</v>
      </c>
      <c r="AQ27" s="1" t="n">
        <f aca="false">Table!AQ27*AQ$55</f>
        <v>0.143074087693007</v>
      </c>
      <c r="AR27" s="1" t="n">
        <f aca="false">Table!AR27*AR$55</f>
        <v>50.7681182008434</v>
      </c>
      <c r="AS27" s="1" t="n">
        <f aca="false">Table!AS27*AS$55</f>
        <v>0.261562824883344</v>
      </c>
      <c r="AT27" s="1" t="n">
        <f aca="false">Table!AT27*AT$55</f>
        <v>0</v>
      </c>
      <c r="AU27" s="1" t="n">
        <f aca="false">Table!AU27*AU$55</f>
        <v>0</v>
      </c>
      <c r="AV27" s="1" t="n">
        <f aca="false">Table!AV27*AV$55</f>
        <v>0.0509285346238101</v>
      </c>
      <c r="AW27" s="1" t="n">
        <f aca="false">Table!AW27*AW$55</f>
        <v>36.7252433351652</v>
      </c>
      <c r="AX27" s="1" t="n">
        <f aca="false">Table!AX27*AX$55</f>
        <v>0.016820627322181</v>
      </c>
      <c r="AY27" s="1" t="n">
        <f aca="false">Table!AY27*AY$55</f>
        <v>0</v>
      </c>
      <c r="AZ27" s="1" t="n">
        <f aca="false">Table!AZ27*AZ$55</f>
        <v>11.2133366286164</v>
      </c>
      <c r="BA27" s="1" t="n">
        <f aca="false">Table!BA27*BA$55</f>
        <v>4.72274980707087</v>
      </c>
      <c r="BB27" s="1" t="n">
        <f aca="false">Table!BB27*BB$55</f>
        <v>0</v>
      </c>
      <c r="BC27" s="1" t="n">
        <f aca="false">Table!BC27*BC$55</f>
        <v>0.00360397389121137</v>
      </c>
      <c r="BD27" s="1" t="n">
        <f aca="false">Table!BD27*BD$55</f>
        <v>0</v>
      </c>
      <c r="BE27" s="0" t="n">
        <v>841</v>
      </c>
      <c r="BF27" s="2" t="n">
        <f aca="false">SUM(F27:BE27)/(D27)</f>
        <v>0.00328065238260393</v>
      </c>
      <c r="BG27" s="0" t="n">
        <v>0.000759685797103275</v>
      </c>
      <c r="BI27" s="0" t="str">
        <f aca="false">A27</f>
        <v>missouri</v>
      </c>
      <c r="BJ27" s="0" t="n">
        <f aca="false">BF27</f>
        <v>0.00328065238260393</v>
      </c>
      <c r="BL27" s="0" t="n">
        <f aca="false">SUM(F27:BD27)/(D27-Table!BG27)</f>
        <v>0.0608954144235067</v>
      </c>
    </row>
    <row r="28" customFormat="false" ht="12.75" hidden="false" customHeight="false" outlineLevel="0" collapsed="false">
      <c r="A28" s="0" t="s">
        <v>30</v>
      </c>
      <c r="B28" s="0" t="n">
        <v>796317</v>
      </c>
      <c r="C28" s="0" t="n">
        <v>446885</v>
      </c>
      <c r="D28" s="0" t="n">
        <v>349367</v>
      </c>
      <c r="E28" s="0" t="n">
        <v>796317</v>
      </c>
      <c r="F28" s="1" t="n">
        <f aca="false">Table!F28*F$55</f>
        <v>0</v>
      </c>
      <c r="G28" s="1" t="n">
        <f aca="false">Table!G28*G$55</f>
        <v>10.7537467701055</v>
      </c>
      <c r="H28" s="1" t="n">
        <f aca="false">Table!H28*H$55</f>
        <v>0</v>
      </c>
      <c r="I28" s="1" t="n">
        <f aca="false">Table!I28*I$55</f>
        <v>0</v>
      </c>
      <c r="J28" s="1" t="n">
        <f aca="false">Table!J28*J$55</f>
        <v>12.7271958421105</v>
      </c>
      <c r="K28" s="1" t="n">
        <f aca="false">Table!K28*K$55</f>
        <v>0.100564441594206</v>
      </c>
      <c r="L28" s="1" t="n">
        <f aca="false">Table!L28*L$55</f>
        <v>0.00597737306098203</v>
      </c>
      <c r="M28" s="1" t="n">
        <f aca="false">Table!M28*M$55</f>
        <v>0</v>
      </c>
      <c r="N28" s="1" t="n">
        <f aca="false">Table!N28*N$55</f>
        <v>0</v>
      </c>
      <c r="O28" s="1" t="n">
        <f aca="false">Table!O28*O$55</f>
        <v>4.51434616959754</v>
      </c>
      <c r="P28" s="1" t="n">
        <f aca="false">Table!P28*P$55</f>
        <v>0.439512052775838</v>
      </c>
      <c r="Q28" s="1" t="n">
        <f aca="false">Table!Q28*Q$55</f>
        <v>0</v>
      </c>
      <c r="R28" s="1" t="n">
        <f aca="false">Table!R28*R$55</f>
        <v>0</v>
      </c>
      <c r="S28" s="1" t="n">
        <f aca="false">Table!S28*S$55</f>
        <v>2.68255879747526</v>
      </c>
      <c r="T28" s="1" t="n">
        <f aca="false">Table!T28*T$55</f>
        <v>0</v>
      </c>
      <c r="U28" s="1" t="n">
        <f aca="false">Table!U28*U$55</f>
        <v>0</v>
      </c>
      <c r="V28" s="1" t="n">
        <f aca="false">Table!V28*V$55</f>
        <v>2.45343285667707</v>
      </c>
      <c r="W28" s="1" t="n">
        <f aca="false">Table!W28*W$55</f>
        <v>0.583276526943455</v>
      </c>
      <c r="X28" s="1" t="n">
        <f aca="false">Table!X28*X$55</f>
        <v>0</v>
      </c>
      <c r="Y28" s="1" t="n">
        <f aca="false">Table!Y28*Y$55</f>
        <v>0</v>
      </c>
      <c r="Z28" s="1" t="n">
        <f aca="false">Table!Z28*Z$55</f>
        <v>0</v>
      </c>
      <c r="AA28" s="1" t="n">
        <f aca="false">Table!AA28*AA$55</f>
        <v>3.9499030143591</v>
      </c>
      <c r="AB28" s="1" t="n">
        <f aca="false">Table!AB28*AB$55</f>
        <v>0</v>
      </c>
      <c r="AC28" s="1" t="n">
        <f aca="false">Table!AC28*AC$55</f>
        <v>0</v>
      </c>
      <c r="AD28" s="1" t="n">
        <f aca="false">Table!AD28*AD$55</f>
        <v>0</v>
      </c>
      <c r="AE28" s="1" t="n">
        <f aca="false">Table!AE28*AE$55</f>
        <v>0.0121549727536524</v>
      </c>
      <c r="AF28" s="1" t="n">
        <v>0</v>
      </c>
      <c r="AG28" s="1" t="n">
        <f aca="false">Table!AG28*AG$55</f>
        <v>0</v>
      </c>
      <c r="AH28" s="1" t="n">
        <f aca="false">Table!AH28*AH$55</f>
        <v>0</v>
      </c>
      <c r="AI28" s="1" t="n">
        <f aca="false">Table!AI28*AI$55</f>
        <v>0</v>
      </c>
      <c r="AJ28" s="1" t="n">
        <f aca="false">Table!AJ28*AJ$55</f>
        <v>6.28597719879405</v>
      </c>
      <c r="AK28" s="1" t="n">
        <f aca="false">Table!AK28*AK$55</f>
        <v>0</v>
      </c>
      <c r="AL28" s="1" t="n">
        <f aca="false">Table!AL28*AL$55</f>
        <v>4.97733055634695</v>
      </c>
      <c r="AM28" s="1" t="n">
        <f aca="false">Table!AM28*AM$55</f>
        <v>0.0191995190930233</v>
      </c>
      <c r="AN28" s="1" t="n">
        <f aca="false">Table!AN28*AN$55</f>
        <v>0</v>
      </c>
      <c r="AO28" s="1" t="n">
        <f aca="false">Table!AO28*AO$55</f>
        <v>0.394509171623797</v>
      </c>
      <c r="AP28" s="1" t="n">
        <f aca="false">Table!AP28*AP$55</f>
        <v>1.7474999005745</v>
      </c>
      <c r="AQ28" s="1" t="n">
        <f aca="false">Table!AQ28*AQ$55</f>
        <v>1.18698502382346</v>
      </c>
      <c r="AR28" s="1" t="n">
        <f aca="false">Table!AR28*AR$55</f>
        <v>5.38095262036589</v>
      </c>
      <c r="AS28" s="1" t="n">
        <f aca="false">Table!AS28*AS$55</f>
        <v>0</v>
      </c>
      <c r="AT28" s="1" t="n">
        <f aca="false">Table!AT28*AT$55</f>
        <v>0</v>
      </c>
      <c r="AU28" s="1" t="n">
        <f aca="false">Table!AU28*AU$55</f>
        <v>0</v>
      </c>
      <c r="AV28" s="1" t="n">
        <f aca="false">Table!AV28*AV$55</f>
        <v>0</v>
      </c>
      <c r="AW28" s="1" t="n">
        <f aca="false">Table!AW28*AW$55</f>
        <v>1.08888861640651</v>
      </c>
      <c r="AX28" s="1" t="n">
        <f aca="false">Table!AX28*AX$55</f>
        <v>0.127712170409152</v>
      </c>
      <c r="AY28" s="1" t="n">
        <f aca="false">Table!AY28*AY$55</f>
        <v>0</v>
      </c>
      <c r="AZ28" s="1" t="n">
        <f aca="false">Table!AZ28*AZ$55</f>
        <v>0</v>
      </c>
      <c r="BA28" s="1" t="n">
        <f aca="false">Table!BA28*BA$55</f>
        <v>26.3894002377557</v>
      </c>
      <c r="BB28" s="1" t="n">
        <f aca="false">Table!BB28*BB$55</f>
        <v>0</v>
      </c>
      <c r="BC28" s="1" t="n">
        <f aca="false">Table!BC28*BC$55</f>
        <v>0.000736661329964587</v>
      </c>
      <c r="BD28" s="1" t="n">
        <f aca="false">Table!BD28*BD$55</f>
        <v>0</v>
      </c>
      <c r="BE28" s="0" t="n">
        <v>65</v>
      </c>
      <c r="BF28" s="2" t="n">
        <f aca="false">SUM(F28:BE28)/(D28)</f>
        <v>0.000431700362352415</v>
      </c>
      <c r="BG28" s="0" t="n">
        <v>0</v>
      </c>
      <c r="BI28" s="0" t="str">
        <f aca="false">A28</f>
        <v>montana</v>
      </c>
      <c r="BJ28" s="0" t="n">
        <f aca="false">BF28</f>
        <v>0.000431700362352415</v>
      </c>
      <c r="BL28" s="0" t="n">
        <f aca="false">SUM(F28:BD28)/(D28-Table!BG28)</f>
        <v>0.0198386177748442</v>
      </c>
    </row>
    <row r="29" customFormat="false" ht="12.75" hidden="false" customHeight="false" outlineLevel="0" collapsed="false">
      <c r="A29" s="0" t="s">
        <v>31</v>
      </c>
      <c r="B29" s="0" t="n">
        <v>1578049</v>
      </c>
      <c r="C29" s="0" t="n">
        <v>803789</v>
      </c>
      <c r="D29" s="0" t="n">
        <v>774005</v>
      </c>
      <c r="E29" s="0" t="n">
        <v>1578049</v>
      </c>
      <c r="F29" s="1" t="n">
        <f aca="false">Table!F29*F$55</f>
        <v>0</v>
      </c>
      <c r="G29" s="1" t="n">
        <f aca="false">Table!G29*G$55</f>
        <v>0.503099264098502</v>
      </c>
      <c r="H29" s="1" t="n">
        <f aca="false">Table!H29*H$55</f>
        <v>0</v>
      </c>
      <c r="I29" s="1" t="n">
        <f aca="false">Table!I29*I$55</f>
        <v>0</v>
      </c>
      <c r="J29" s="1" t="n">
        <f aca="false">Table!J29*J$55</f>
        <v>9.5559676422491</v>
      </c>
      <c r="K29" s="1" t="n">
        <f aca="false">Table!K29*K$55</f>
        <v>1.62086217628308</v>
      </c>
      <c r="L29" s="1" t="n">
        <f aca="false">Table!L29*L$55</f>
        <v>0</v>
      </c>
      <c r="M29" s="1" t="n">
        <f aca="false">Table!M29*M$55</f>
        <v>0</v>
      </c>
      <c r="N29" s="1" t="n">
        <f aca="false">Table!N29*N$55</f>
        <v>0</v>
      </c>
      <c r="O29" s="1" t="n">
        <f aca="false">Table!O29*O$55</f>
        <v>4.2030119510046</v>
      </c>
      <c r="P29" s="1" t="n">
        <f aca="false">Table!P29*P$55</f>
        <v>0.267893060739559</v>
      </c>
      <c r="Q29" s="1" t="n">
        <f aca="false">Table!Q29*Q$55</f>
        <v>0</v>
      </c>
      <c r="R29" s="1" t="n">
        <f aca="false">Table!R29*R$55</f>
        <v>0</v>
      </c>
      <c r="S29" s="1" t="n">
        <f aca="false">Table!S29*S$55</f>
        <v>24.2355312047764</v>
      </c>
      <c r="T29" s="1" t="n">
        <f aca="false">Table!T29*T$55</f>
        <v>1.27718859522917</v>
      </c>
      <c r="U29" s="1" t="n">
        <f aca="false">Table!U29*U$55</f>
        <v>11.8755334696094</v>
      </c>
      <c r="V29" s="1" t="n">
        <f aca="false">Table!V29*V$55</f>
        <v>73.5384216777679</v>
      </c>
      <c r="W29" s="1" t="n">
        <f aca="false">Table!W29*W$55</f>
        <v>0.0676262639934441</v>
      </c>
      <c r="X29" s="1" t="n">
        <f aca="false">Table!X29*X$55</f>
        <v>0</v>
      </c>
      <c r="Y29" s="1" t="n">
        <f aca="false">Table!Y29*Y$55</f>
        <v>0</v>
      </c>
      <c r="Z29" s="1" t="n">
        <f aca="false">Table!Z29*Z$55</f>
        <v>0</v>
      </c>
      <c r="AA29" s="1" t="n">
        <f aca="false">Table!AA29*AA$55</f>
        <v>5.19724080836724</v>
      </c>
      <c r="AB29" s="1" t="n">
        <f aca="false">Table!AB29*AB$55</f>
        <v>0</v>
      </c>
      <c r="AC29" s="1" t="n">
        <f aca="false">Table!AC29*AC$55</f>
        <v>0</v>
      </c>
      <c r="AD29" s="1" t="n">
        <f aca="false">Table!AD29*AD$55</f>
        <v>0</v>
      </c>
      <c r="AE29" s="1" t="n">
        <f aca="false">Table!AE29*AE$55</f>
        <v>0.470245508406927</v>
      </c>
      <c r="AF29" s="1" t="n">
        <f aca="false">Table!AF29*AF$55</f>
        <v>0</v>
      </c>
      <c r="AG29" s="1" t="n">
        <v>0</v>
      </c>
      <c r="AH29" s="1" t="n">
        <f aca="false">Table!AH29*AH$55</f>
        <v>0</v>
      </c>
      <c r="AI29" s="1" t="n">
        <f aca="false">Table!AI29*AI$55</f>
        <v>0</v>
      </c>
      <c r="AJ29" s="1" t="n">
        <f aca="false">Table!AJ29*AJ$55</f>
        <v>7.92579733760988</v>
      </c>
      <c r="AK29" s="1" t="n">
        <f aca="false">Table!AK29*AK$55</f>
        <v>0</v>
      </c>
      <c r="AL29" s="1" t="n">
        <f aca="false">Table!AL29*AL$55</f>
        <v>36.8322461169675</v>
      </c>
      <c r="AM29" s="1" t="n">
        <f aca="false">Table!AM29*AM$55</f>
        <v>0</v>
      </c>
      <c r="AN29" s="1" t="n">
        <f aca="false">Table!AN29*AN$55</f>
        <v>0</v>
      </c>
      <c r="AO29" s="1" t="n">
        <f aca="false">Table!AO29*AO$55</f>
        <v>1.34790633638131</v>
      </c>
      <c r="AP29" s="1" t="n">
        <f aca="false">Table!AP29*AP$55</f>
        <v>8.58554298977906</v>
      </c>
      <c r="AQ29" s="1" t="n">
        <f aca="false">Table!AQ29*AQ$55</f>
        <v>0</v>
      </c>
      <c r="AR29" s="1" t="n">
        <f aca="false">Table!AR29*AR$55</f>
        <v>12.7505181656496</v>
      </c>
      <c r="AS29" s="1" t="n">
        <f aca="false">Table!AS29*AS$55</f>
        <v>0</v>
      </c>
      <c r="AT29" s="1" t="n">
        <f aca="false">Table!AT29*AT$55</f>
        <v>0</v>
      </c>
      <c r="AU29" s="1" t="n">
        <f aca="false">Table!AU29*AU$55</f>
        <v>0</v>
      </c>
      <c r="AV29" s="1" t="n">
        <f aca="false">Table!AV29*AV$55</f>
        <v>0</v>
      </c>
      <c r="AW29" s="1" t="n">
        <f aca="false">Table!AW29*AW$55</f>
        <v>5.04848358515747</v>
      </c>
      <c r="AX29" s="1" t="n">
        <f aca="false">Table!AX29*AX$55</f>
        <v>0.120236336043739</v>
      </c>
      <c r="AY29" s="1" t="n">
        <f aca="false">Table!AY29*AY$55</f>
        <v>0</v>
      </c>
      <c r="AZ29" s="1" t="n">
        <f aca="false">Table!AZ29*AZ$55</f>
        <v>2.32641838767976</v>
      </c>
      <c r="BA29" s="1" t="n">
        <f aca="false">Table!BA29*BA$55</f>
        <v>0</v>
      </c>
      <c r="BB29" s="1" t="n">
        <f aca="false">Table!BB29*BB$55</f>
        <v>0</v>
      </c>
      <c r="BC29" s="1" t="n">
        <f aca="false">Table!BC29*BC$55</f>
        <v>0.00149598916238962</v>
      </c>
      <c r="BD29" s="1" t="n">
        <f aca="false">Table!BD29*BD$55</f>
        <v>0</v>
      </c>
      <c r="BE29" s="0" t="n">
        <v>255</v>
      </c>
      <c r="BF29" s="2" t="n">
        <f aca="false">SUM(F29:BE29)/(D29)</f>
        <v>0.000597865991649868</v>
      </c>
      <c r="BG29" s="0" t="n">
        <v>0.00199508308555689</v>
      </c>
      <c r="BI29" s="0" t="str">
        <f aca="false">A29</f>
        <v>nebraska</v>
      </c>
      <c r="BJ29" s="0" t="n">
        <f aca="false">BF29</f>
        <v>0.000597865991649868</v>
      </c>
      <c r="BL29" s="0" t="n">
        <f aca="false">SUM(F29:BD29)/(D29-Table!BG29)</f>
        <v>0.011502118639517</v>
      </c>
    </row>
    <row r="30" customFormat="false" ht="12.75" hidden="false" customHeight="false" outlineLevel="0" collapsed="false">
      <c r="A30" s="0" t="s">
        <v>32</v>
      </c>
      <c r="B30" s="0" t="n">
        <v>1195956</v>
      </c>
      <c r="C30" s="0" t="n">
        <v>595440</v>
      </c>
      <c r="D30" s="0" t="n">
        <v>600342</v>
      </c>
      <c r="E30" s="0" t="n">
        <v>1195956</v>
      </c>
      <c r="F30" s="1" t="n">
        <f aca="false">Table!F30*F$55</f>
        <v>0</v>
      </c>
      <c r="G30" s="1" t="n">
        <f aca="false">Table!G30*G$55</f>
        <v>4.40211856086189</v>
      </c>
      <c r="H30" s="1" t="n">
        <f aca="false">Table!H30*H$55</f>
        <v>0</v>
      </c>
      <c r="I30" s="1" t="n">
        <f aca="false">Table!I30*I$55</f>
        <v>0</v>
      </c>
      <c r="J30" s="1" t="n">
        <f aca="false">Table!J30*J$55</f>
        <v>99.069168963671</v>
      </c>
      <c r="K30" s="1" t="n">
        <f aca="false">Table!K30*K$55</f>
        <v>0.67141553652602</v>
      </c>
      <c r="L30" s="1" t="n">
        <f aca="false">Table!L30*L$55</f>
        <v>0</v>
      </c>
      <c r="M30" s="1" t="n">
        <f aca="false">Table!M30*M$55</f>
        <v>5.30439100113</v>
      </c>
      <c r="N30" s="1" t="n">
        <f aca="false">Table!N30*N$55</f>
        <v>0</v>
      </c>
      <c r="O30" s="1" t="n">
        <f aca="false">Table!O30*O$55</f>
        <v>9.49569366708448</v>
      </c>
      <c r="P30" s="1" t="n">
        <f aca="false">Table!P30*P$55</f>
        <v>0.175804821110335</v>
      </c>
      <c r="Q30" s="1" t="n">
        <f aca="false">Table!Q30*Q$55</f>
        <v>0</v>
      </c>
      <c r="R30" s="1" t="n">
        <f aca="false">Table!R30*R$55</f>
        <v>0</v>
      </c>
      <c r="S30" s="1" t="n">
        <f aca="false">Table!S30*S$55</f>
        <v>15.1703325098601</v>
      </c>
      <c r="T30" s="1" t="n">
        <f aca="false">Table!T30*T$55</f>
        <v>0</v>
      </c>
      <c r="U30" s="1" t="n">
        <f aca="false">Table!U30*U$55</f>
        <v>0</v>
      </c>
      <c r="V30" s="1" t="n">
        <f aca="false">Table!V30*V$55</f>
        <v>0</v>
      </c>
      <c r="W30" s="1" t="n">
        <f aca="false">Table!W30*W$55</f>
        <v>0.202878791980332</v>
      </c>
      <c r="X30" s="1" t="n">
        <f aca="false">Table!X30*X$55</f>
        <v>0.675831179476721</v>
      </c>
      <c r="Y30" s="1" t="n">
        <f aca="false">Table!Y30*Y$55</f>
        <v>0</v>
      </c>
      <c r="Z30" s="1" t="n">
        <f aca="false">Table!Z30*Z$55</f>
        <v>0</v>
      </c>
      <c r="AA30" s="1" t="n">
        <f aca="false">Table!AA30*AA$55</f>
        <v>0</v>
      </c>
      <c r="AB30" s="1" t="n">
        <f aca="false">Table!AB30*AB$55</f>
        <v>0.11820603381938</v>
      </c>
      <c r="AC30" s="1" t="n">
        <f aca="false">Table!AC30*AC$55</f>
        <v>0</v>
      </c>
      <c r="AD30" s="1" t="n">
        <f aca="false">Table!AD30*AD$55</f>
        <v>0</v>
      </c>
      <c r="AE30" s="1" t="n">
        <f aca="false">Table!AE30*AE$55</f>
        <v>0.0478602052175063</v>
      </c>
      <c r="AF30" s="1" t="n">
        <f aca="false">Table!AF30*AF$55</f>
        <v>0</v>
      </c>
      <c r="AG30" s="1" t="n">
        <f aca="false">Table!AG30*AG$55</f>
        <v>0.0478819940533653</v>
      </c>
      <c r="AH30" s="1" t="n">
        <v>0</v>
      </c>
      <c r="AI30" s="1" t="n">
        <f aca="false">Table!AI30*AI$55</f>
        <v>0</v>
      </c>
      <c r="AJ30" s="1" t="n">
        <f aca="false">Table!AJ30*AJ$55</f>
        <v>10.3855275458336</v>
      </c>
      <c r="AK30" s="1" t="n">
        <f aca="false">Table!AK30*AK$55</f>
        <v>0</v>
      </c>
      <c r="AL30" s="1" t="n">
        <f aca="false">Table!AL30*AL$55</f>
        <v>49.7733055634695</v>
      </c>
      <c r="AM30" s="1" t="n">
        <f aca="false">Table!AM30*AM$55</f>
        <v>0.0155073038828265</v>
      </c>
      <c r="AN30" s="1" t="n">
        <f aca="false">Table!AN30*AN$55</f>
        <v>0</v>
      </c>
      <c r="AO30" s="1" t="n">
        <f aca="false">Table!AO30*AO$55</f>
        <v>2.56430961555468</v>
      </c>
      <c r="AP30" s="1" t="n">
        <f aca="false">Table!AP30*AP$55</f>
        <v>2.35532595294824</v>
      </c>
      <c r="AQ30" s="1" t="n">
        <f aca="false">Table!AQ30*AQ$55</f>
        <v>0.455717464503651</v>
      </c>
      <c r="AR30" s="1" t="n">
        <f aca="false">Table!AR30*AR$55</f>
        <v>2.10559015579535</v>
      </c>
      <c r="AS30" s="1" t="n">
        <f aca="false">Table!AS30*AS$55</f>
        <v>0.298928942723822</v>
      </c>
      <c r="AT30" s="1" t="n">
        <f aca="false">Table!AT30*AT$55</f>
        <v>0</v>
      </c>
      <c r="AU30" s="1" t="n">
        <f aca="false">Table!AU30*AU$55</f>
        <v>0</v>
      </c>
      <c r="AV30" s="1" t="n">
        <f aca="false">Table!AV30*AV$55</f>
        <v>0.00226220142406446</v>
      </c>
      <c r="AW30" s="1" t="n">
        <f aca="false">Table!AW30*AW$55</f>
        <v>3.14292850644608</v>
      </c>
      <c r="AX30" s="1" t="n">
        <f aca="false">Table!AX30*AX$55</f>
        <v>0.133942032380331</v>
      </c>
      <c r="AY30" s="1" t="n">
        <f aca="false">Table!AY30*AY$55</f>
        <v>0</v>
      </c>
      <c r="AZ30" s="1" t="n">
        <f aca="false">Table!AZ30*AZ$55</f>
        <v>4.69936514311312</v>
      </c>
      <c r="BA30" s="1" t="n">
        <f aca="false">Table!BA30*BA$55</f>
        <v>3.64563143001962</v>
      </c>
      <c r="BB30" s="1" t="n">
        <f aca="false">Table!BB30*BB$55</f>
        <v>0</v>
      </c>
      <c r="BC30" s="1" t="n">
        <f aca="false">Table!BC30*BC$55</f>
        <v>0.000498663054129875</v>
      </c>
      <c r="BD30" s="1" t="n">
        <f aca="false">Table!BD30*BD$55</f>
        <v>0</v>
      </c>
      <c r="BE30" s="0" t="n">
        <v>174</v>
      </c>
      <c r="BF30" s="2" t="n">
        <f aca="false">SUM(F30:BE30)/(D30)</f>
        <v>0.000647898071076054</v>
      </c>
      <c r="BG30" s="0" t="n">
        <v>0</v>
      </c>
      <c r="BI30" s="0" t="str">
        <f aca="false">A30</f>
        <v>nevada</v>
      </c>
      <c r="BJ30" s="0" t="n">
        <f aca="false">BF30</f>
        <v>0.000647898071076054</v>
      </c>
      <c r="BL30" s="0" t="n">
        <f aca="false">SUM(F30:BD30)/(D30-Table!BG30)</f>
        <v>0.0289080720529774</v>
      </c>
    </row>
    <row r="31" customFormat="false" ht="12.75" hidden="false" customHeight="false" outlineLevel="0" collapsed="false">
      <c r="A31" s="0" t="s">
        <v>33</v>
      </c>
      <c r="B31" s="0" t="n">
        <v>1104242</v>
      </c>
      <c r="C31" s="0" t="n">
        <v>539361</v>
      </c>
      <c r="D31" s="0" t="n">
        <v>564611</v>
      </c>
      <c r="E31" s="0" t="n">
        <v>1104242</v>
      </c>
      <c r="F31" s="1" t="n">
        <f aca="false">Table!F31*F$55</f>
        <v>0</v>
      </c>
      <c r="G31" s="1" t="n">
        <f aca="false">Table!G31*G$55</f>
        <v>2.13817187241863</v>
      </c>
      <c r="H31" s="1" t="n">
        <f aca="false">Table!H31*H$55</f>
        <v>0</v>
      </c>
      <c r="I31" s="1" t="n">
        <f aca="false">Table!I31*I$55</f>
        <v>0</v>
      </c>
      <c r="J31" s="1" t="n">
        <f aca="false">Table!J31*J$55</f>
        <v>4.05917209582263</v>
      </c>
      <c r="K31" s="1" t="n">
        <f aca="false">Table!K31*K$55</f>
        <v>0.0798599977365751</v>
      </c>
      <c r="L31" s="1" t="n">
        <f aca="false">Table!L31*L$55</f>
        <v>0.179061306044201</v>
      </c>
      <c r="M31" s="1" t="n">
        <f aca="false">Table!M31*M$55</f>
        <v>7.07252133483999</v>
      </c>
      <c r="N31" s="1" t="n">
        <f aca="false">Table!N31*N$55</f>
        <v>0</v>
      </c>
      <c r="O31" s="1" t="n">
        <f aca="false">Table!O31*O$55</f>
        <v>17.1233820226114</v>
      </c>
      <c r="P31" s="1" t="n">
        <f aca="false">Table!P31*P$55</f>
        <v>0.397653762035282</v>
      </c>
      <c r="Q31" s="1" t="n">
        <f aca="false">Table!Q31*Q$55</f>
        <v>0</v>
      </c>
      <c r="R31" s="1" t="n">
        <f aca="false">Table!R31*R$55</f>
        <v>0</v>
      </c>
      <c r="S31" s="1" t="n">
        <f aca="false">Table!S31*S$55</f>
        <v>7.21515814493345</v>
      </c>
      <c r="T31" s="1" t="n">
        <f aca="false">Table!T31*T$55</f>
        <v>1.02175087618334</v>
      </c>
      <c r="U31" s="1" t="n">
        <f aca="false">Table!U31*U$55</f>
        <v>0</v>
      </c>
      <c r="V31" s="1" t="n">
        <f aca="false">Table!V31*V$55</f>
        <v>0</v>
      </c>
      <c r="W31" s="1" t="n">
        <f aca="false">Table!W31*W$55</f>
        <v>1.09047350689429</v>
      </c>
      <c r="X31" s="1" t="n">
        <f aca="false">Table!X31*X$55</f>
        <v>0.205687750275524</v>
      </c>
      <c r="Y31" s="1" t="n">
        <f aca="false">Table!Y31*Y$55</f>
        <v>862.564917162008</v>
      </c>
      <c r="Z31" s="1" t="n">
        <f aca="false">Table!Z31*Z$55</f>
        <v>6.67450203399981</v>
      </c>
      <c r="AA31" s="1" t="n">
        <f aca="false">Table!AA31*AA$55</f>
        <v>7801.16239817539</v>
      </c>
      <c r="AB31" s="1" t="n">
        <f aca="false">Table!AB31*AB$55</f>
        <v>0.29551508454845</v>
      </c>
      <c r="AC31" s="1" t="n">
        <f aca="false">Table!AC31*AC$55</f>
        <v>0</v>
      </c>
      <c r="AD31" s="1" t="n">
        <f aca="false">Table!AD31*AD$55</f>
        <v>0</v>
      </c>
      <c r="AE31" s="1" t="n">
        <f aca="false">Table!AE31*AE$55</f>
        <v>0.00531780057972292</v>
      </c>
      <c r="AF31" s="1" t="n">
        <f aca="false">Table!AF31*AF$55</f>
        <v>0</v>
      </c>
      <c r="AG31" s="1" t="n">
        <f aca="false">Table!AG31*AG$55</f>
        <v>0</v>
      </c>
      <c r="AH31" s="1" t="n">
        <f aca="false">Table!AH31*AH$55</f>
        <v>0</v>
      </c>
      <c r="AI31" s="1" t="n">
        <v>0</v>
      </c>
      <c r="AJ31" s="1" t="n">
        <f aca="false">Table!AJ31*AJ$55</f>
        <v>71.0588726820196</v>
      </c>
      <c r="AK31" s="1" t="n">
        <f aca="false">Table!AK31*AK$55</f>
        <v>0</v>
      </c>
      <c r="AL31" s="1" t="n">
        <f aca="false">Table!AL31*AL$55</f>
        <v>244.22101929809</v>
      </c>
      <c r="AM31" s="1" t="n">
        <f aca="false">Table!AM31*AM$55</f>
        <v>0.0450450255644008</v>
      </c>
      <c r="AN31" s="1" t="n">
        <f aca="false">Table!AN31*AN$55</f>
        <v>0</v>
      </c>
      <c r="AO31" s="1" t="n">
        <f aca="false">Table!AO31*AO$55</f>
        <v>3.94509171623797</v>
      </c>
      <c r="AP31" s="1" t="n">
        <f aca="false">Table!AP31*AP$55</f>
        <v>0.531847795827021</v>
      </c>
      <c r="AQ31" s="1" t="n">
        <f aca="false">Table!AQ31*AQ$55</f>
        <v>0.0370932819944832</v>
      </c>
      <c r="AR31" s="1" t="n">
        <f aca="false">Table!AR31*AR$55</f>
        <v>15.4409944758326</v>
      </c>
      <c r="AS31" s="1" t="n">
        <f aca="false">Table!AS31*AS$55</f>
        <v>19.5798457484103</v>
      </c>
      <c r="AT31" s="1" t="n">
        <f aca="false">Table!AT31*AT$55</f>
        <v>0</v>
      </c>
      <c r="AU31" s="1" t="n">
        <f aca="false">Table!AU31*AU$55</f>
        <v>0</v>
      </c>
      <c r="AV31" s="1" t="n">
        <f aca="false">Table!AV31*AV$55</f>
        <v>0.00232020658878406</v>
      </c>
      <c r="AW31" s="1" t="n">
        <f aca="false">Table!AW31*AW$55</f>
        <v>1.16313102207059</v>
      </c>
      <c r="AX31" s="1" t="n">
        <f aca="false">Table!AX31*AX$55</f>
        <v>0.00436090337982472</v>
      </c>
      <c r="AY31" s="1" t="n">
        <f aca="false">Table!AY31*AY$55</f>
        <v>0</v>
      </c>
      <c r="AZ31" s="1" t="n">
        <f aca="false">Table!AZ31*AZ$55</f>
        <v>6.23480127898176</v>
      </c>
      <c r="BA31" s="1" t="n">
        <f aca="false">Table!BA31*BA$55</f>
        <v>0</v>
      </c>
      <c r="BB31" s="1" t="n">
        <f aca="false">Table!BB31*BB$55</f>
        <v>1.77456329075525</v>
      </c>
      <c r="BC31" s="1" t="n">
        <f aca="false">Table!BC31*BC$55</f>
        <v>0</v>
      </c>
      <c r="BD31" s="1" t="n">
        <f aca="false">Table!BD31*BD$55</f>
        <v>0</v>
      </c>
      <c r="BE31" s="0" t="n">
        <v>270</v>
      </c>
      <c r="BF31" s="2" t="n">
        <f aca="false">SUM(F31:BE31)/(D31)</f>
        <v>0.0165517932340179</v>
      </c>
      <c r="BG31" s="0" t="n">
        <v>0.117777368981519</v>
      </c>
      <c r="BI31" s="0" t="str">
        <f aca="false">A31</f>
        <v>new-ha~1</v>
      </c>
      <c r="BJ31" s="0" t="n">
        <f aca="false">BF31</f>
        <v>0.0165517932340179</v>
      </c>
      <c r="BL31" s="0" t="n">
        <f aca="false">SUM(F31:BD31)/(D31-Table!BG31)</f>
        <v>0.095689886543289</v>
      </c>
    </row>
    <row r="32" customFormat="false" ht="12.75" hidden="false" customHeight="false" outlineLevel="0" collapsed="false">
      <c r="A32" s="0" t="s">
        <v>34</v>
      </c>
      <c r="B32" s="0" t="n">
        <v>7698998</v>
      </c>
      <c r="C32" s="0" t="n">
        <v>3899647</v>
      </c>
      <c r="D32" s="0" t="n">
        <v>3797719</v>
      </c>
      <c r="E32" s="0" t="n">
        <v>7698998</v>
      </c>
      <c r="F32" s="1" t="n">
        <f aca="false">Table!F32*F$55</f>
        <v>0</v>
      </c>
      <c r="G32" s="1" t="n">
        <f aca="false">Table!G32*G$55</f>
        <v>2.32683409645557</v>
      </c>
      <c r="H32" s="1" t="n">
        <f aca="false">Table!H32*H$55</f>
        <v>0</v>
      </c>
      <c r="I32" s="1" t="n">
        <f aca="false">Table!I32*I$55</f>
        <v>0</v>
      </c>
      <c r="J32" s="1" t="n">
        <f aca="false">Table!J32*J$55</f>
        <v>27.103430348149</v>
      </c>
      <c r="K32" s="1" t="n">
        <f aca="false">Table!K32*K$55</f>
        <v>0.517611096440764</v>
      </c>
      <c r="L32" s="1" t="n">
        <f aca="false">Table!L32*L$55</f>
        <v>0.649714463150221</v>
      </c>
      <c r="M32" s="1" t="n">
        <f aca="false">Table!M32*M$55</f>
        <v>1705.7405919348</v>
      </c>
      <c r="N32" s="1" t="n">
        <f aca="false">Table!N32*N$55</f>
        <v>0</v>
      </c>
      <c r="O32" s="1" t="n">
        <f aca="false">Table!O32*O$55</f>
        <v>105.30879943906</v>
      </c>
      <c r="P32" s="1" t="n">
        <f aca="false">Table!P32*P$55</f>
        <v>2.38173674313764</v>
      </c>
      <c r="Q32" s="1" t="n">
        <f aca="false">Table!Q32*Q$55</f>
        <v>0</v>
      </c>
      <c r="R32" s="1" t="n">
        <f aca="false">Table!R32*R$55</f>
        <v>0</v>
      </c>
      <c r="S32" s="1" t="n">
        <f aca="false">Table!S32*S$55</f>
        <v>63.1788847819172</v>
      </c>
      <c r="T32" s="1" t="n">
        <f aca="false">Table!T32*T$55</f>
        <v>8.77002835390699</v>
      </c>
      <c r="U32" s="1" t="n">
        <f aca="false">Table!U32*U$55</f>
        <v>0.0279070743139773</v>
      </c>
      <c r="V32" s="1" t="n">
        <f aca="false">Table!V32*V$55</f>
        <v>4.39035353300107</v>
      </c>
      <c r="W32" s="1" t="n">
        <f aca="false">Table!W32*W$55</f>
        <v>0.608636375940997</v>
      </c>
      <c r="X32" s="1" t="n">
        <f aca="false">Table!X32*X$55</f>
        <v>2.52702093195643</v>
      </c>
      <c r="Y32" s="1" t="n">
        <f aca="false">Table!Y32*Y$55</f>
        <v>6.09512246532608</v>
      </c>
      <c r="Z32" s="1" t="n">
        <f aca="false">Table!Z32*Z$55</f>
        <v>100.328304258439</v>
      </c>
      <c r="AA32" s="1" t="n">
        <f aca="false">Table!AA32*AA$55</f>
        <v>108.206553630206</v>
      </c>
      <c r="AB32" s="1" t="n">
        <f aca="false">Table!AB32*AB$55</f>
        <v>2.57836911268523</v>
      </c>
      <c r="AC32" s="1" t="n">
        <f aca="false">Table!AC32*AC$55</f>
        <v>0</v>
      </c>
      <c r="AD32" s="1" t="n">
        <f aca="false">Table!AD32*AD$55</f>
        <v>0</v>
      </c>
      <c r="AE32" s="1" t="n">
        <f aca="false">Table!AE32*AE$55</f>
        <v>0.113193183768388</v>
      </c>
      <c r="AF32" s="1" t="n">
        <f aca="false">Table!AF32*AF$55</f>
        <v>0</v>
      </c>
      <c r="AG32" s="1" t="n">
        <f aca="false">Table!AG32*AG$55</f>
        <v>0.0359114955400239</v>
      </c>
      <c r="AH32" s="1" t="n">
        <f aca="false">Table!AH32*AH$55</f>
        <v>0</v>
      </c>
      <c r="AI32" s="1" t="n">
        <f aca="false">Table!AI32*AI$55</f>
        <v>13.6621748018562</v>
      </c>
      <c r="AJ32" s="1" t="n">
        <v>0</v>
      </c>
      <c r="AK32" s="1" t="n">
        <f aca="false">Table!AK32*AK$55</f>
        <v>0</v>
      </c>
      <c r="AL32" s="1" t="n">
        <f aca="false">Table!AL32*AL$55</f>
        <v>102251.956195332</v>
      </c>
      <c r="AM32" s="1" t="n">
        <f aca="false">Table!AM32*AM$55</f>
        <v>0.372175293187836</v>
      </c>
      <c r="AN32" s="1" t="n">
        <f aca="false">Table!AN32*AN$55</f>
        <v>0</v>
      </c>
      <c r="AO32" s="1" t="n">
        <f aca="false">Table!AO32*AO$55</f>
        <v>20.9418618603632</v>
      </c>
      <c r="AP32" s="1" t="n">
        <f aca="false">Table!AP32*AP$55</f>
        <v>2.43130420949495</v>
      </c>
      <c r="AQ32" s="1" t="n">
        <f aca="false">Table!AQ32*AQ$55</f>
        <v>0.344437618520201</v>
      </c>
      <c r="AR32" s="1" t="n">
        <f aca="false">Table!AR32*AR$55</f>
        <v>13295.8660160006</v>
      </c>
      <c r="AS32" s="1" t="n">
        <f aca="false">Table!AS32*AS$55</f>
        <v>6.72590121128599</v>
      </c>
      <c r="AT32" s="1" t="n">
        <f aca="false">Table!AT32*AT$55</f>
        <v>0</v>
      </c>
      <c r="AU32" s="1" t="n">
        <f aca="false">Table!AU32*AU$55</f>
        <v>0</v>
      </c>
      <c r="AV32" s="1" t="n">
        <f aca="false">Table!AV32*AV$55</f>
        <v>0.0194317301810665</v>
      </c>
      <c r="AW32" s="1" t="n">
        <f aca="false">Table!AW32*AW$55</f>
        <v>17.7934298908246</v>
      </c>
      <c r="AX32" s="1" t="n">
        <f aca="false">Table!AX32*AX$55</f>
        <v>0.0411170890097759</v>
      </c>
      <c r="AY32" s="1" t="n">
        <f aca="false">Table!AY32*AY$55</f>
        <v>0</v>
      </c>
      <c r="AZ32" s="1" t="n">
        <f aca="false">Table!AZ32*AZ$55</f>
        <v>55.5548710977927</v>
      </c>
      <c r="BA32" s="1" t="n">
        <f aca="false">Table!BA32*BA$55</f>
        <v>3.68705905990621</v>
      </c>
      <c r="BB32" s="1" t="n">
        <f aca="false">Table!BB32*BB$55</f>
        <v>3.61485114783477</v>
      </c>
      <c r="BC32" s="1" t="n">
        <f aca="false">Table!BC32*BC$55</f>
        <v>0.00122399113286424</v>
      </c>
      <c r="BD32" s="1" t="n">
        <f aca="false">Table!BD32*BD$55</f>
        <v>0</v>
      </c>
      <c r="BE32" s="0" t="n">
        <v>1632</v>
      </c>
      <c r="BF32" s="2" t="n">
        <f aca="false">SUM(F32:BE32)/(D32)</f>
        <v>0.0314520113398733</v>
      </c>
      <c r="BG32" s="0" t="n">
        <v>0.273303356469306</v>
      </c>
      <c r="BI32" s="0" t="str">
        <f aca="false">A32</f>
        <v>new-je~1</v>
      </c>
      <c r="BJ32" s="0" t="n">
        <f aca="false">BF32</f>
        <v>0.0314520113398733</v>
      </c>
      <c r="BL32" s="0" t="n">
        <f aca="false">SUM(F32:BD32)/(D32-Table!BG32)</f>
        <v>0.264967672481142</v>
      </c>
    </row>
    <row r="33" customFormat="false" ht="12.75" hidden="false" customHeight="false" outlineLevel="0" collapsed="false">
      <c r="A33" s="0" t="s">
        <v>35</v>
      </c>
      <c r="B33" s="0" t="n">
        <v>1507146</v>
      </c>
      <c r="C33" s="0" t="n">
        <v>876153</v>
      </c>
      <c r="D33" s="0" t="n">
        <v>630531</v>
      </c>
      <c r="E33" s="0" t="n">
        <v>1507146</v>
      </c>
      <c r="F33" s="1" t="n">
        <f aca="false">Table!F33*F$55</f>
        <v>0</v>
      </c>
      <c r="G33" s="1" t="n">
        <f aca="false">Table!G33*G$55</f>
        <v>5.65986672110815</v>
      </c>
      <c r="H33" s="1" t="n">
        <f aca="false">Table!H33*H$55</f>
        <v>0</v>
      </c>
      <c r="I33" s="1" t="n">
        <f aca="false">Table!I33*I$55</f>
        <v>0</v>
      </c>
      <c r="J33" s="1" t="n">
        <f aca="false">Table!J33*J$55</f>
        <v>12.8117619274402</v>
      </c>
      <c r="K33" s="1" t="n">
        <f aca="false">Table!K33*K$55</f>
        <v>2.28931993511515</v>
      </c>
      <c r="L33" s="1" t="n">
        <f aca="false">Table!L33*L$55</f>
        <v>0.00233897206734079</v>
      </c>
      <c r="M33" s="1" t="n">
        <f aca="false">Table!M33*M$55</f>
        <v>4.54662085811142</v>
      </c>
      <c r="N33" s="1" t="n">
        <f aca="false">Table!N33*N$55</f>
        <v>0</v>
      </c>
      <c r="O33" s="1" t="n">
        <f aca="false">Table!O33*O$55</f>
        <v>9.34002655778801</v>
      </c>
      <c r="P33" s="1" t="n">
        <f aca="false">Table!P33*P$55</f>
        <v>0.464627027220172</v>
      </c>
      <c r="Q33" s="1" t="n">
        <f aca="false">Table!Q33*Q$55</f>
        <v>0</v>
      </c>
      <c r="R33" s="1" t="n">
        <f aca="false">Table!R33*R$55</f>
        <v>0</v>
      </c>
      <c r="S33" s="1" t="n">
        <f aca="false">Table!S33*S$55</f>
        <v>11.6552554648925</v>
      </c>
      <c r="T33" s="1" t="n">
        <f aca="false">Table!T33*T$55</f>
        <v>0</v>
      </c>
      <c r="U33" s="1" t="n">
        <f aca="false">Table!U33*U$55</f>
        <v>0.0161002351811408</v>
      </c>
      <c r="V33" s="1" t="n">
        <f aca="false">Table!V33*V$55</f>
        <v>5.81076202897201</v>
      </c>
      <c r="W33" s="1" t="n">
        <f aca="false">Table!W33*W$55</f>
        <v>0.532556828948372</v>
      </c>
      <c r="X33" s="1" t="n">
        <f aca="false">Table!X33*X$55</f>
        <v>0.617063250826571</v>
      </c>
      <c r="Y33" s="1" t="n">
        <f aca="false">Table!Y33*Y$55</f>
        <v>0</v>
      </c>
      <c r="Z33" s="1" t="n">
        <f aca="false">Table!Z33*Z$55</f>
        <v>6.32321245326298</v>
      </c>
      <c r="AA33" s="1" t="n">
        <f aca="false">Table!AA33*AA$55</f>
        <v>9.043199006559</v>
      </c>
      <c r="AB33" s="1" t="n">
        <f aca="false">Table!AB33*AB$55</f>
        <v>0.265963576093605</v>
      </c>
      <c r="AC33" s="1" t="n">
        <f aca="false">Table!AC33*AC$55</f>
        <v>0</v>
      </c>
      <c r="AD33" s="1" t="n">
        <f aca="false">Table!AD33*AD$55</f>
        <v>0</v>
      </c>
      <c r="AE33" s="1" t="n">
        <f aca="false">Table!AE33*AE$55</f>
        <v>0.052418320000126</v>
      </c>
      <c r="AF33" s="1" t="n">
        <f aca="false">Table!AF33*AF$55</f>
        <v>0</v>
      </c>
      <c r="AG33" s="1" t="n">
        <f aca="false">Table!AG33*AG$55</f>
        <v>0.335173958373557</v>
      </c>
      <c r="AH33" s="1" t="n">
        <f aca="false">Table!AH33*AH$55</f>
        <v>0</v>
      </c>
      <c r="AI33" s="1" t="n">
        <f aca="false">Table!AI33*AI$55</f>
        <v>0</v>
      </c>
      <c r="AJ33" s="1" t="n">
        <f aca="false">Table!AJ33*AJ$55</f>
        <v>9.83892083289503</v>
      </c>
      <c r="AK33" s="1" t="n">
        <v>0</v>
      </c>
      <c r="AL33" s="1" t="n">
        <f aca="false">Table!AL33*AL$55</f>
        <v>41.8095766733144</v>
      </c>
      <c r="AM33" s="1" t="n">
        <f aca="false">Table!AM33*AM$55</f>
        <v>0.0132919747567084</v>
      </c>
      <c r="AN33" s="1" t="n">
        <f aca="false">Table!AN33*AN$55</f>
        <v>0</v>
      </c>
      <c r="AO33" s="1" t="n">
        <f aca="false">Table!AO33*AO$55</f>
        <v>1.47940939358924</v>
      </c>
      <c r="AP33" s="1" t="n">
        <f aca="false">Table!AP33*AP$55</f>
        <v>18.2347815712122</v>
      </c>
      <c r="AQ33" s="1" t="n">
        <f aca="false">Table!AQ33*AQ$55</f>
        <v>0.0953827251286711</v>
      </c>
      <c r="AR33" s="1" t="n">
        <f aca="false">Table!AR33*AR$55</f>
        <v>17.5465846316279</v>
      </c>
      <c r="AS33" s="1" t="n">
        <f aca="false">Table!AS33*AS$55</f>
        <v>0.784688474650033</v>
      </c>
      <c r="AT33" s="1" t="n">
        <f aca="false">Table!AT33*AT$55</f>
        <v>0</v>
      </c>
      <c r="AU33" s="1" t="n">
        <f aca="false">Table!AU33*AU$55</f>
        <v>0</v>
      </c>
      <c r="AV33" s="1" t="n">
        <f aca="false">Table!AV33*AV$55</f>
        <v>0</v>
      </c>
      <c r="AW33" s="1" t="n">
        <f aca="false">Table!AW33*AW$55</f>
        <v>223.469641048882</v>
      </c>
      <c r="AX33" s="1" t="n">
        <f aca="false">Table!AX33*AX$55</f>
        <v>0.0784962608368449</v>
      </c>
      <c r="AY33" s="1" t="n">
        <f aca="false">Table!AY33*AY$55</f>
        <v>0</v>
      </c>
      <c r="AZ33" s="1" t="n">
        <f aca="false">Table!AZ33*AZ$55</f>
        <v>1.25626592934707</v>
      </c>
      <c r="BA33" s="1" t="n">
        <f aca="false">Table!BA33*BA$55</f>
        <v>1.36711178625736</v>
      </c>
      <c r="BB33" s="1" t="n">
        <f aca="false">Table!BB33*BB$55</f>
        <v>0</v>
      </c>
      <c r="BC33" s="1" t="n">
        <f aca="false">Table!BC33*BC$55</f>
        <v>0.000305997783216059</v>
      </c>
      <c r="BD33" s="1" t="n">
        <f aca="false">Table!BD33*BD$55</f>
        <v>0</v>
      </c>
      <c r="BE33" s="0" t="n">
        <v>462</v>
      </c>
      <c r="BF33" s="2" t="n">
        <f aca="false">SUM(F33:BE33)/(D33)</f>
        <v>0.00134448698703512</v>
      </c>
      <c r="BG33" s="0" t="n">
        <v>0</v>
      </c>
      <c r="BI33" s="0" t="str">
        <f aca="false">A33</f>
        <v>new-me~1</v>
      </c>
      <c r="BJ33" s="0" t="n">
        <f aca="false">BF33</f>
        <v>0.00134448698703512</v>
      </c>
      <c r="BL33" s="0" t="n">
        <f aca="false">SUM(F33:BD33)/(D33-Table!BG33)</f>
        <v>0.0243108794619173</v>
      </c>
    </row>
    <row r="34" customFormat="false" ht="12.75" hidden="false" customHeight="false" outlineLevel="0" collapsed="false">
      <c r="A34" s="0" t="s">
        <v>36</v>
      </c>
      <c r="B34" s="0" t="n">
        <v>17919274</v>
      </c>
      <c r="C34" s="0" t="n">
        <v>9723449</v>
      </c>
      <c r="D34" s="0" t="n">
        <v>8192105</v>
      </c>
      <c r="E34" s="0" t="n">
        <v>17919274</v>
      </c>
      <c r="F34" s="1" t="n">
        <f aca="false">Table!F34*F$55</f>
        <v>0</v>
      </c>
      <c r="G34" s="1" t="n">
        <f aca="false">Table!G34*G$55</f>
        <v>8.48980008166222</v>
      </c>
      <c r="H34" s="1" t="n">
        <f aca="false">Table!H34*H$55</f>
        <v>0</v>
      </c>
      <c r="I34" s="1" t="n">
        <f aca="false">Table!I34*I$55</f>
        <v>0</v>
      </c>
      <c r="J34" s="1" t="n">
        <f aca="false">Table!J34*J$55</f>
        <v>62.7903183572562</v>
      </c>
      <c r="K34" s="1" t="n">
        <f aca="false">Table!K34*K$55</f>
        <v>1.05001108135126</v>
      </c>
      <c r="L34" s="1" t="n">
        <f aca="false">Table!L34*L$55</f>
        <v>7.98317155161939</v>
      </c>
      <c r="M34" s="1" t="n">
        <f aca="false">Table!M34*M$55</f>
        <v>72.4933436821099</v>
      </c>
      <c r="N34" s="1" t="n">
        <f aca="false">Table!N34*N$55</f>
        <v>0</v>
      </c>
      <c r="O34" s="1" t="n">
        <f aca="false">Table!O34*O$55</f>
        <v>242.685023393192</v>
      </c>
      <c r="P34" s="1" t="n">
        <f aca="false">Table!P34*P$55</f>
        <v>3.08914185665303</v>
      </c>
      <c r="Q34" s="1" t="n">
        <f aca="false">Table!Q34*Q$55</f>
        <v>0</v>
      </c>
      <c r="R34" s="1" t="n">
        <f aca="false">Table!R34*R$55</f>
        <v>0</v>
      </c>
      <c r="S34" s="1" t="n">
        <f aca="false">Table!S34*S$55</f>
        <v>114.147501933947</v>
      </c>
      <c r="T34" s="1" t="n">
        <f aca="false">Table!T34*T$55</f>
        <v>12.4738752800716</v>
      </c>
      <c r="U34" s="1" t="n">
        <f aca="false">Table!U34*U$55</f>
        <v>0.0472273565313462</v>
      </c>
      <c r="V34" s="1" t="n">
        <f aca="false">Table!V34*V$55</f>
        <v>3.42189319483907</v>
      </c>
      <c r="W34" s="1" t="n">
        <f aca="false">Table!W34*W$55</f>
        <v>1.63993690184102</v>
      </c>
      <c r="X34" s="1" t="n">
        <f aca="false">Table!X34*X$55</f>
        <v>6.90523161639258</v>
      </c>
      <c r="Y34" s="1" t="n">
        <f aca="false">Table!Y34*Y$55</f>
        <v>29.2145525062181</v>
      </c>
      <c r="Z34" s="1" t="n">
        <f aca="false">Table!Z34*Z$55</f>
        <v>72.0143640510506</v>
      </c>
      <c r="AA34" s="1" t="n">
        <f aca="false">Table!AA34*AA$55</f>
        <v>666.28627163268</v>
      </c>
      <c r="AB34" s="1" t="n">
        <f aca="false">Table!AB34*AB$55</f>
        <v>4.25541721749768</v>
      </c>
      <c r="AC34" s="1" t="n">
        <f aca="false">Table!AC34*AC$55</f>
        <v>0</v>
      </c>
      <c r="AD34" s="1" t="n">
        <f aca="false">Table!AD34*AD$55</f>
        <v>0</v>
      </c>
      <c r="AE34" s="1" t="n">
        <f aca="false">Table!AE34*AE$55</f>
        <v>0.320587406377582</v>
      </c>
      <c r="AF34" s="1" t="n">
        <f aca="false">Table!AF34*AF$55</f>
        <v>0</v>
      </c>
      <c r="AG34" s="1" t="n">
        <f aca="false">Table!AG34*AG$55</f>
        <v>0.0119704985133413</v>
      </c>
      <c r="AH34" s="1" t="n">
        <f aca="false">Table!AH34*AH$55</f>
        <v>0</v>
      </c>
      <c r="AI34" s="1" t="n">
        <f aca="false">Table!AI34*AI$55</f>
        <v>34.979878587511</v>
      </c>
      <c r="AJ34" s="1" t="n">
        <f aca="false">Table!AJ34*AJ$55</f>
        <v>34267.0481374781</v>
      </c>
      <c r="AK34" s="1" t="n">
        <f aca="false">Table!AK34*AK$55</f>
        <v>0</v>
      </c>
      <c r="AL34" s="1" t="n">
        <v>0</v>
      </c>
      <c r="AM34" s="1" t="n">
        <f aca="false">Table!AM34*AM$55</f>
        <v>0.725151067282649</v>
      </c>
      <c r="AN34" s="1" t="n">
        <f aca="false">Table!AN34*AN$55</f>
        <v>0</v>
      </c>
      <c r="AO34" s="1" t="n">
        <f aca="false">Table!AO34*AO$55</f>
        <v>41.3905872561967</v>
      </c>
      <c r="AP34" s="1" t="n">
        <f aca="false">Table!AP34*AP$55</f>
        <v>7.67380391121845</v>
      </c>
      <c r="AQ34" s="1" t="n">
        <f aca="false">Table!AQ34*AQ$55</f>
        <v>0.625286753621289</v>
      </c>
      <c r="AR34" s="1" t="n">
        <f aca="false">Table!AR34*AR$55</f>
        <v>1254.11289223788</v>
      </c>
      <c r="AS34" s="1" t="n">
        <f aca="false">Table!AS34*AS$55</f>
        <v>18.7204250380794</v>
      </c>
      <c r="AT34" s="1" t="n">
        <f aca="false">Table!AT34*AT$55</f>
        <v>0</v>
      </c>
      <c r="AU34" s="1" t="n">
        <f aca="false">Table!AU34*AU$55</f>
        <v>0</v>
      </c>
      <c r="AV34" s="1" t="n">
        <f aca="false">Table!AV34*AV$55</f>
        <v>0.0325408974076965</v>
      </c>
      <c r="AW34" s="1" t="n">
        <f aca="false">Table!AW34*AW$55</f>
        <v>28.3853464322334</v>
      </c>
      <c r="AX34" s="1" t="n">
        <f aca="false">Table!AX34*AX$55</f>
        <v>0.0585607025290748</v>
      </c>
      <c r="AY34" s="1" t="n">
        <f aca="false">Table!AY34*AY$55</f>
        <v>0</v>
      </c>
      <c r="AZ34" s="1" t="n">
        <f aca="false">Table!AZ34*AZ$55</f>
        <v>76.0738812771282</v>
      </c>
      <c r="BA34" s="1" t="n">
        <f aca="false">Table!BA34*BA$55</f>
        <v>12.3040060763162</v>
      </c>
      <c r="BB34" s="1" t="n">
        <f aca="false">Table!BB34*BB$55</f>
        <v>8.1498462242093</v>
      </c>
      <c r="BC34" s="1" t="n">
        <f aca="false">Table!BC34*BC$55</f>
        <v>0.00370597315228339</v>
      </c>
      <c r="BD34" s="1" t="n">
        <f aca="false">Table!BD34*BD$55</f>
        <v>0</v>
      </c>
      <c r="BE34" s="0" t="n">
        <v>3720</v>
      </c>
      <c r="BF34" s="2" t="n">
        <f aca="false">SUM(F34:BE34)/(D34)</f>
        <v>0.00497791516216072</v>
      </c>
      <c r="BG34" s="0" t="n">
        <v>0.331822037089797</v>
      </c>
      <c r="BI34" s="0" t="str">
        <f aca="false">A34</f>
        <v>new-york</v>
      </c>
      <c r="BJ34" s="0" t="n">
        <f aca="false">BF34</f>
        <v>0.00497791516216072</v>
      </c>
      <c r="BL34" s="0" t="n">
        <f aca="false">SUM(F34:BD34)/(D34-Table!BG34)</f>
        <v>0.185769873927339</v>
      </c>
    </row>
    <row r="35" customFormat="false" ht="12.75" hidden="false" customHeight="false" outlineLevel="0" collapsed="false">
      <c r="A35" s="0" t="s">
        <v>37</v>
      </c>
      <c r="B35" s="0" t="n">
        <v>6612198</v>
      </c>
      <c r="C35" s="0" t="n">
        <v>3321672</v>
      </c>
      <c r="D35" s="0" t="n">
        <v>3288867</v>
      </c>
      <c r="E35" s="0" t="n">
        <v>6612198</v>
      </c>
      <c r="F35" s="1" t="n">
        <f aca="false">Table!F35*F$55</f>
        <v>0</v>
      </c>
      <c r="G35" s="1" t="n">
        <f aca="false">Table!G35*G$55</f>
        <v>0.377324448073877</v>
      </c>
      <c r="H35" s="1" t="n">
        <f aca="false">Table!H35*H$55</f>
        <v>0</v>
      </c>
      <c r="I35" s="1" t="n">
        <f aca="false">Table!I35*I$55</f>
        <v>0</v>
      </c>
      <c r="J35" s="1" t="n">
        <f aca="false">Table!J35*J$55</f>
        <v>20.549558735102</v>
      </c>
      <c r="K35" s="1" t="n">
        <f aca="false">Table!K35*K$55</f>
        <v>0.461413320255767</v>
      </c>
      <c r="L35" s="1" t="n">
        <f aca="false">Table!L35*L$55</f>
        <v>0.0241693780291882</v>
      </c>
      <c r="M35" s="1" t="n">
        <f aca="false">Table!M35*M$55</f>
        <v>46.9817488671514</v>
      </c>
      <c r="N35" s="1" t="n">
        <f aca="false">Table!N35*N$55</f>
        <v>0</v>
      </c>
      <c r="O35" s="1" t="n">
        <f aca="false">Table!O35*O$55</f>
        <v>134.963383760037</v>
      </c>
      <c r="P35" s="1" t="n">
        <f aca="false">Table!P35*P$55</f>
        <v>16.5758831332602</v>
      </c>
      <c r="Q35" s="1" t="n">
        <f aca="false">Table!Q35*Q$55</f>
        <v>0</v>
      </c>
      <c r="R35" s="1" t="n">
        <f aca="false">Table!R35*R$55</f>
        <v>0</v>
      </c>
      <c r="S35" s="1" t="n">
        <f aca="false">Table!S35*S$55</f>
        <v>36.0757907246672</v>
      </c>
      <c r="T35" s="1" t="n">
        <f aca="false">Table!T35*T$55</f>
        <v>9.96207104278756</v>
      </c>
      <c r="U35" s="1" t="n">
        <f aca="false">Table!U35*U$55</f>
        <v>0.138462022557811</v>
      </c>
      <c r="V35" s="1" t="n">
        <f aca="false">Table!V35*V$55</f>
        <v>2.5179968792212</v>
      </c>
      <c r="W35" s="1" t="n">
        <f aca="false">Table!W35*W$55</f>
        <v>2.28238640977874</v>
      </c>
      <c r="X35" s="1" t="n">
        <f aca="false">Table!X35*X$55</f>
        <v>5.90617682934004</v>
      </c>
      <c r="Y35" s="1" t="n">
        <f aca="false">Table!Y35*Y$55</f>
        <v>2.83738459592766</v>
      </c>
      <c r="Z35" s="1" t="n">
        <f aca="false">Table!Z35*Z$55</f>
        <v>61.9674820419772</v>
      </c>
      <c r="AA35" s="1" t="n">
        <f aca="false">Table!AA35*AA$55</f>
        <v>20.5810736011343</v>
      </c>
      <c r="AB35" s="1" t="n">
        <f aca="false">Table!AB35*AB$55</f>
        <v>1.28549061778576</v>
      </c>
      <c r="AC35" s="1" t="n">
        <f aca="false">Table!AC35*AC$55</f>
        <v>0</v>
      </c>
      <c r="AD35" s="1" t="n">
        <f aca="false">Table!AD35*AD$55</f>
        <v>0</v>
      </c>
      <c r="AE35" s="1" t="n">
        <f aca="false">Table!AE35*AE$55</f>
        <v>0.107115697391562</v>
      </c>
      <c r="AF35" s="1" t="n">
        <f aca="false">Table!AF35*AF$55</f>
        <v>0</v>
      </c>
      <c r="AG35" s="1" t="n">
        <f aca="false">Table!AG35*AG$55</f>
        <v>0.137660732903425</v>
      </c>
      <c r="AH35" s="1" t="n">
        <f aca="false">Table!AH35*AH$55</f>
        <v>0</v>
      </c>
      <c r="AI35" s="1" t="n">
        <f aca="false">Table!AI35*AI$55</f>
        <v>5.29998160416834</v>
      </c>
      <c r="AJ35" s="1" t="n">
        <f aca="false">Table!AJ35*AJ$55</f>
        <v>234.494279850665</v>
      </c>
      <c r="AK35" s="1" t="n">
        <f aca="false">Table!AK35*AK$55</f>
        <v>0</v>
      </c>
      <c r="AL35" s="1" t="n">
        <f aca="false">Table!AL35*AL$55</f>
        <v>372.304325614752</v>
      </c>
      <c r="AM35" s="1" t="n">
        <v>0</v>
      </c>
      <c r="AN35" s="1" t="n">
        <f aca="false">Table!AN35*AN$55</f>
        <v>0</v>
      </c>
      <c r="AO35" s="1" t="n">
        <f aca="false">Table!AO35*AO$55</f>
        <v>21.5993771464029</v>
      </c>
      <c r="AP35" s="1" t="n">
        <f aca="false">Table!AP35*AP$55</f>
        <v>14.8157600266099</v>
      </c>
      <c r="AQ35" s="1" t="n">
        <f aca="false">Table!AQ35*AQ$55</f>
        <v>0</v>
      </c>
      <c r="AR35" s="1" t="n">
        <f aca="false">Table!AR35*AR$55</f>
        <v>84.5745379244465</v>
      </c>
      <c r="AS35" s="1" t="n">
        <f aca="false">Table!AS35*AS$55</f>
        <v>0.448393414085733</v>
      </c>
      <c r="AT35" s="1" t="n">
        <f aca="false">Table!AT35*AT$55</f>
        <v>0</v>
      </c>
      <c r="AU35" s="1" t="n">
        <f aca="false">Table!AU35*AU$55</f>
        <v>0</v>
      </c>
      <c r="AV35" s="1" t="n">
        <f aca="false">Table!AV35*AV$55</f>
        <v>0.108063621872618</v>
      </c>
      <c r="AW35" s="1" t="n">
        <f aca="false">Table!AW35*AW$55</f>
        <v>16.4818140574259</v>
      </c>
      <c r="AX35" s="1" t="n">
        <f aca="false">Table!AX35*AX$55</f>
        <v>0.0411170890097759</v>
      </c>
      <c r="AY35" s="1" t="n">
        <f aca="false">Table!AY35*AY$55</f>
        <v>0</v>
      </c>
      <c r="AZ35" s="1" t="n">
        <f aca="false">Table!AZ35*AZ$55</f>
        <v>979.04991427115</v>
      </c>
      <c r="BA35" s="1" t="n">
        <f aca="false">Table!BA35*BA$55</f>
        <v>5.34416425536967</v>
      </c>
      <c r="BB35" s="1" t="n">
        <f aca="false">Table!BB35*BB$55</f>
        <v>16.1682433157701</v>
      </c>
      <c r="BC35" s="1" t="n">
        <f aca="false">Table!BC35*BC$55</f>
        <v>0.00163198817715232</v>
      </c>
      <c r="BD35" s="1" t="n">
        <f aca="false">Table!BD35*BD$55</f>
        <v>0</v>
      </c>
      <c r="BE35" s="0" t="n">
        <v>1659</v>
      </c>
      <c r="BF35" s="2" t="n">
        <f aca="false">SUM(F35:BE35)/(D35)</f>
        <v>0.00114734471689408</v>
      </c>
      <c r="BG35" s="0" t="n">
        <v>0.000738443042039357</v>
      </c>
      <c r="BI35" s="0" t="str">
        <f aca="false">A35</f>
        <v>north-~1</v>
      </c>
      <c r="BJ35" s="0" t="n">
        <f aca="false">BF35</f>
        <v>0.00114734471689408</v>
      </c>
      <c r="BL35" s="0" t="n">
        <f aca="false">SUM(F35:BD35)/(D35-Table!BG35)</f>
        <v>0.0363048002647108</v>
      </c>
    </row>
    <row r="36" customFormat="false" ht="12.75" hidden="false" customHeight="false" outlineLevel="0" collapsed="false">
      <c r="A36" s="0" t="s">
        <v>38</v>
      </c>
      <c r="B36" s="0" t="n">
        <v>635095</v>
      </c>
      <c r="C36" s="0" t="n">
        <v>340720</v>
      </c>
      <c r="D36" s="0" t="n">
        <v>294310</v>
      </c>
      <c r="E36" s="0" t="n">
        <v>635095</v>
      </c>
      <c r="F36" s="1" t="n">
        <f aca="false">Table!F36*F$55</f>
        <v>0</v>
      </c>
      <c r="G36" s="1" t="n">
        <f aca="false">Table!G36*G$55</f>
        <v>6.28874080123128</v>
      </c>
      <c r="H36" s="1" t="n">
        <f aca="false">Table!H36*H$55</f>
        <v>0</v>
      </c>
      <c r="I36" s="1" t="n">
        <f aca="false">Table!I36*I$55</f>
        <v>0</v>
      </c>
      <c r="J36" s="1" t="n">
        <f aca="false">Table!J36*J$55</f>
        <v>0.634245639972285</v>
      </c>
      <c r="K36" s="1" t="n">
        <f aca="false">Table!K36*K$55</f>
        <v>0.399299988682875</v>
      </c>
      <c r="L36" s="1" t="n">
        <f aca="false">Table!L36*L$55</f>
        <v>0</v>
      </c>
      <c r="M36" s="1" t="n">
        <f aca="false">Table!M36*M$55</f>
        <v>0</v>
      </c>
      <c r="N36" s="1" t="n">
        <f aca="false">Table!N36*N$55</f>
        <v>0</v>
      </c>
      <c r="O36" s="1" t="n">
        <f aca="false">Table!O36*O$55</f>
        <v>0.778335546482334</v>
      </c>
      <c r="P36" s="1" t="n">
        <f aca="false">Table!P36*P$55</f>
        <v>0</v>
      </c>
      <c r="Q36" s="1" t="n">
        <f aca="false">Table!Q36*Q$55</f>
        <v>0</v>
      </c>
      <c r="R36" s="1" t="n">
        <f aca="false">Table!R36*R$55</f>
        <v>0</v>
      </c>
      <c r="S36" s="1" t="n">
        <f aca="false">Table!S36*S$55</f>
        <v>12.4877737123848</v>
      </c>
      <c r="T36" s="1" t="n">
        <f aca="false">Table!T36*T$55</f>
        <v>0.425729531743058</v>
      </c>
      <c r="U36" s="1" t="n">
        <f aca="false">Table!U36*U$55</f>
        <v>0.0483007055434223</v>
      </c>
      <c r="V36" s="1" t="n">
        <f aca="false">Table!V36*V$55</f>
        <v>1.61410056360334</v>
      </c>
      <c r="W36" s="1" t="n">
        <f aca="false">Table!W36*W$55</f>
        <v>0.0845328299918051</v>
      </c>
      <c r="X36" s="1" t="n">
        <f aca="false">Table!X36*X$55</f>
        <v>0</v>
      </c>
      <c r="Y36" s="1" t="n">
        <f aca="false">Table!Y36*Y$55</f>
        <v>0</v>
      </c>
      <c r="Z36" s="1" t="n">
        <f aca="false">Table!Z36*Z$55</f>
        <v>0</v>
      </c>
      <c r="AA36" s="1" t="n">
        <f aca="false">Table!AA36*AA$55</f>
        <v>6.23668897004069</v>
      </c>
      <c r="AB36" s="1" t="n">
        <f aca="false">Table!AB36*AB$55</f>
        <v>0.443272626822675</v>
      </c>
      <c r="AC36" s="1" t="n">
        <f aca="false">Table!AC36*AC$55</f>
        <v>0</v>
      </c>
      <c r="AD36" s="1" t="n">
        <f aca="false">Table!AD36*AD$55</f>
        <v>0</v>
      </c>
      <c r="AE36" s="1" t="n">
        <f aca="false">Table!AE36*AE$55</f>
        <v>0.0227905739130982</v>
      </c>
      <c r="AF36" s="1" t="n">
        <f aca="false">Table!AF36*AF$55</f>
        <v>0</v>
      </c>
      <c r="AG36" s="1" t="n">
        <f aca="false">Table!AG36*AG$55</f>
        <v>0.139655815988982</v>
      </c>
      <c r="AH36" s="1" t="n">
        <f aca="false">Table!AH36*AH$55</f>
        <v>0</v>
      </c>
      <c r="AI36" s="1" t="n">
        <f aca="false">Table!AI36*AI$55</f>
        <v>0</v>
      </c>
      <c r="AJ36" s="1" t="n">
        <f aca="false">Table!AJ36*AJ$55</f>
        <v>0</v>
      </c>
      <c r="AK36" s="1" t="n">
        <f aca="false">Table!AK36*AK$55</f>
        <v>0</v>
      </c>
      <c r="AL36" s="1" t="n">
        <f aca="false">Table!AL36*AL$55</f>
        <v>13.2728814835919</v>
      </c>
      <c r="AM36" s="1" t="n">
        <f aca="false">Table!AM36*AM$55</f>
        <v>0</v>
      </c>
      <c r="AN36" s="1" t="n">
        <v>0</v>
      </c>
      <c r="AO36" s="1" t="n">
        <f aca="false">Table!AO36*AO$55</f>
        <v>1.15065175056941</v>
      </c>
      <c r="AP36" s="1" t="n">
        <f aca="false">Table!AP36*AP$55</f>
        <v>4.93858667553663</v>
      </c>
      <c r="AQ36" s="1" t="n">
        <f aca="false">Table!AQ36*AQ$55</f>
        <v>0.158971208547785</v>
      </c>
      <c r="AR36" s="1" t="n">
        <f aca="false">Table!AR36*AR$55</f>
        <v>3.50931692632558</v>
      </c>
      <c r="AS36" s="1" t="n">
        <f aca="false">Table!AS36*AS$55</f>
        <v>0</v>
      </c>
      <c r="AT36" s="1" t="n">
        <f aca="false">Table!AT36*AT$55</f>
        <v>0</v>
      </c>
      <c r="AU36" s="1" t="n">
        <f aca="false">Table!AU36*AU$55</f>
        <v>0</v>
      </c>
      <c r="AV36" s="1" t="n">
        <f aca="false">Table!AV36*AV$55</f>
        <v>0</v>
      </c>
      <c r="AW36" s="1" t="n">
        <f aca="false">Table!AW36*AW$55</f>
        <v>1.36111077050814</v>
      </c>
      <c r="AX36" s="1" t="n">
        <f aca="false">Table!AX36*AX$55</f>
        <v>0.0155746549279454</v>
      </c>
      <c r="AY36" s="1" t="n">
        <f aca="false">Table!AY36*AY$55</f>
        <v>0</v>
      </c>
      <c r="AZ36" s="1" t="n">
        <f aca="false">Table!AZ36*AZ$55</f>
        <v>1.86113471014381</v>
      </c>
      <c r="BA36" s="1" t="n">
        <f aca="false">Table!BA36*BA$55</f>
        <v>0.414276298865866</v>
      </c>
      <c r="BB36" s="1" t="n">
        <f aca="false">Table!BB36*BB$55</f>
        <v>0</v>
      </c>
      <c r="BC36" s="1" t="n">
        <f aca="false">Table!BC36*BC$55</f>
        <v>0.00113332512302244</v>
      </c>
      <c r="BD36" s="1" t="n">
        <f aca="false">Table!BD36*BD$55</f>
        <v>0</v>
      </c>
      <c r="BE36" s="0" t="n">
        <v>65</v>
      </c>
      <c r="BF36" s="2" t="n">
        <f aca="false">SUM(F36:BE36)/(D36)</f>
        <v>0.000412106639633518</v>
      </c>
      <c r="BG36" s="0" t="n">
        <v>0</v>
      </c>
      <c r="BI36" s="0" t="str">
        <f aca="false">A36</f>
        <v>north-~2</v>
      </c>
      <c r="BJ36" s="0" t="n">
        <f aca="false">BF36</f>
        <v>0.000412106639633518</v>
      </c>
      <c r="BL36" s="0" t="n">
        <f aca="false">SUM(F36:BD36)/(D36-Table!BG36)</f>
        <v>0.00521176899171673</v>
      </c>
    </row>
    <row r="37" customFormat="false" ht="12.75" hidden="false" customHeight="false" outlineLevel="0" collapsed="false">
      <c r="A37" s="0" t="s">
        <v>39</v>
      </c>
      <c r="B37" s="0" t="n">
        <v>10832284</v>
      </c>
      <c r="C37" s="0" t="n">
        <v>6001391</v>
      </c>
      <c r="D37" s="0" t="n">
        <v>4829648</v>
      </c>
      <c r="E37" s="0" t="n">
        <v>10832284</v>
      </c>
      <c r="F37" s="1" t="n">
        <f aca="false">Table!F37*F$55</f>
        <v>0</v>
      </c>
      <c r="G37" s="1" t="n">
        <f aca="false">Table!G37*G$55</f>
        <v>2.20105928043095</v>
      </c>
      <c r="H37" s="1" t="n">
        <f aca="false">Table!H37*H$55</f>
        <v>0</v>
      </c>
      <c r="I37" s="1" t="n">
        <f aca="false">Table!I37*I$55</f>
        <v>0</v>
      </c>
      <c r="J37" s="1" t="n">
        <f aca="false">Table!J37*J$55</f>
        <v>28.5833368414177</v>
      </c>
      <c r="K37" s="1" t="n">
        <f aca="false">Table!K37*K$55</f>
        <v>1.08550441367863</v>
      </c>
      <c r="L37" s="1" t="n">
        <f aca="false">Table!L37*L$55</f>
        <v>0.0714685909465243</v>
      </c>
      <c r="M37" s="1" t="n">
        <f aca="false">Table!M37*M$55</f>
        <v>16.9235331940814</v>
      </c>
      <c r="N37" s="1" t="n">
        <f aca="false">Table!N37*N$55</f>
        <v>0</v>
      </c>
      <c r="O37" s="1" t="n">
        <f aca="false">Table!O37*O$55</f>
        <v>130.526871145087</v>
      </c>
      <c r="P37" s="1" t="n">
        <f aca="false">Table!P37*P$55</f>
        <v>3.02216859146814</v>
      </c>
      <c r="Q37" s="1" t="n">
        <f aca="false">Table!Q37*Q$55</f>
        <v>0</v>
      </c>
      <c r="R37" s="1" t="n">
        <f aca="false">Table!R37*R$55</f>
        <v>0</v>
      </c>
      <c r="S37" s="1" t="n">
        <f aca="false">Table!S37*S$55</f>
        <v>177.78889685336</v>
      </c>
      <c r="T37" s="1" t="n">
        <f aca="false">Table!T37*T$55</f>
        <v>601.981557884684</v>
      </c>
      <c r="U37" s="1" t="n">
        <f aca="false">Table!U37*U$55</f>
        <v>0.162075700823484</v>
      </c>
      <c r="V37" s="1" t="n">
        <f aca="false">Table!V37*V$55</f>
        <v>18.4653104476222</v>
      </c>
      <c r="W37" s="1" t="n">
        <f aca="false">Table!W37*W$55</f>
        <v>202.210982623397</v>
      </c>
      <c r="X37" s="1" t="n">
        <f aca="false">Table!X37*X$55</f>
        <v>3.58484364765913</v>
      </c>
      <c r="Y37" s="1" t="n">
        <f aca="false">Table!Y37*Y$55</f>
        <v>0</v>
      </c>
      <c r="Z37" s="1" t="n">
        <f aca="false">Table!Z37*Z$55</f>
        <v>43.2086184306304</v>
      </c>
      <c r="AA37" s="1" t="n">
        <f aca="false">Table!AA37*AA$55</f>
        <v>51.1408495543336</v>
      </c>
      <c r="AB37" s="1" t="n">
        <f aca="false">Table!AB37*AB$55</f>
        <v>68.7146450346284</v>
      </c>
      <c r="AC37" s="1" t="n">
        <f aca="false">Table!AC37*AC$55</f>
        <v>0</v>
      </c>
      <c r="AD37" s="1" t="n">
        <f aca="false">Table!AD37*AD$55</f>
        <v>0</v>
      </c>
      <c r="AE37" s="1" t="n">
        <f aca="false">Table!AE37*AE$55</f>
        <v>0.404152844058942</v>
      </c>
      <c r="AF37" s="1" t="n">
        <f aca="false">Table!AF37*AF$55</f>
        <v>0</v>
      </c>
      <c r="AG37" s="1" t="n">
        <f aca="false">Table!AG37*AG$55</f>
        <v>0.26933621655018</v>
      </c>
      <c r="AH37" s="1" t="n">
        <f aca="false">Table!AH37*AH$55</f>
        <v>0</v>
      </c>
      <c r="AI37" s="1" t="n">
        <f aca="false">Table!AI37*AI$55</f>
        <v>2.59110211759341</v>
      </c>
      <c r="AJ37" s="1" t="n">
        <f aca="false">Table!AJ37*AJ$55</f>
        <v>240.23365033652</v>
      </c>
      <c r="AK37" s="1" t="n">
        <f aca="false">Table!AK37*AK$55</f>
        <v>0</v>
      </c>
      <c r="AL37" s="1" t="n">
        <f aca="false">Table!AL37*AL$55</f>
        <v>439.332377106891</v>
      </c>
      <c r="AM37" s="1" t="n">
        <f aca="false">Table!AM37*AM$55</f>
        <v>0.575985572790699</v>
      </c>
      <c r="AN37" s="1" t="n">
        <f aca="false">Table!AN37*AN$55</f>
        <v>0</v>
      </c>
      <c r="AO37" s="1" t="n">
        <v>0</v>
      </c>
      <c r="AP37" s="1" t="n">
        <f aca="false">Table!AP37*AP$55</f>
        <v>7.74978216776517</v>
      </c>
      <c r="AQ37" s="1" t="n">
        <f aca="false">Table!AQ37*AQ$55</f>
        <v>0.217260651681973</v>
      </c>
      <c r="AR37" s="1" t="n">
        <f aca="false">Table!AR37*AR$55</f>
        <v>1419.75265116045</v>
      </c>
      <c r="AS37" s="1" t="n">
        <f aca="false">Table!AS37*AS$55</f>
        <v>2.65299436667392</v>
      </c>
      <c r="AT37" s="1" t="n">
        <f aca="false">Table!AT37*AT$55</f>
        <v>0</v>
      </c>
      <c r="AU37" s="1" t="n">
        <f aca="false">Table!AU37*AU$55</f>
        <v>0</v>
      </c>
      <c r="AV37" s="1" t="n">
        <f aca="false">Table!AV37*AV$55</f>
        <v>0.054002808353949</v>
      </c>
      <c r="AW37" s="1" t="n">
        <f aca="false">Table!AW37*AW$55</f>
        <v>25.6383774226625</v>
      </c>
      <c r="AX37" s="1" t="n">
        <f aca="false">Table!AX37*AX$55</f>
        <v>0.0797422332310805</v>
      </c>
      <c r="AY37" s="1" t="n">
        <f aca="false">Table!AY37*AY$55</f>
        <v>0</v>
      </c>
      <c r="AZ37" s="1" t="n">
        <f aca="false">Table!AZ37*AZ$55</f>
        <v>38.4789601322232</v>
      </c>
      <c r="BA37" s="1" t="n">
        <f aca="false">Table!BA37*BA$55</f>
        <v>3.27278276104034</v>
      </c>
      <c r="BB37" s="1" t="n">
        <f aca="false">Table!BB37*BB$55</f>
        <v>1991.65153332431</v>
      </c>
      <c r="BC37" s="1" t="n">
        <f aca="false">Table!BC37*BC$55</f>
        <v>0.00598395664955849</v>
      </c>
      <c r="BD37" s="1" t="n">
        <f aca="false">Table!BD37*BD$55</f>
        <v>0</v>
      </c>
      <c r="BE37" s="0" t="n">
        <v>1245</v>
      </c>
      <c r="BF37" s="2" t="n">
        <f aca="false">SUM(F37:BE37)/(D37)</f>
        <v>0.0014012682492417</v>
      </c>
      <c r="BG37" s="0" t="n">
        <v>0.0328757643019831</v>
      </c>
      <c r="BI37" s="0" t="str">
        <f aca="false">A37</f>
        <v>ohio</v>
      </c>
      <c r="BJ37" s="0" t="n">
        <f aca="false">BF37</f>
        <v>0.0014012682492417</v>
      </c>
      <c r="BL37" s="0" t="n">
        <f aca="false">SUM(F37:BD37)/(D37-Table!BG37)</f>
        <v>0.0513408485554598</v>
      </c>
    </row>
    <row r="38" customFormat="false" ht="12.75" hidden="false" customHeight="false" outlineLevel="0" collapsed="false">
      <c r="A38" s="0" t="s">
        <v>40</v>
      </c>
      <c r="B38" s="0" t="n">
        <v>3137119</v>
      </c>
      <c r="C38" s="0" t="n">
        <v>1768425</v>
      </c>
      <c r="D38" s="0" t="n">
        <v>1368128</v>
      </c>
      <c r="E38" s="0" t="n">
        <v>3137119</v>
      </c>
      <c r="F38" s="1" t="n">
        <f aca="false">Table!F38*F$55</f>
        <v>0</v>
      </c>
      <c r="G38" s="1" t="n">
        <f aca="false">Table!G38*G$55</f>
        <v>5.21965486502196</v>
      </c>
      <c r="H38" s="1" t="n">
        <f aca="false">Table!H38*H$55</f>
        <v>0</v>
      </c>
      <c r="I38" s="1" t="n">
        <f aca="false">Table!I38*I$55</f>
        <v>0</v>
      </c>
      <c r="J38" s="1" t="n">
        <f aca="false">Table!J38*J$55</f>
        <v>16.2366883832905</v>
      </c>
      <c r="K38" s="1" t="n">
        <f aca="false">Table!K38*K$55</f>
        <v>0.606344427259181</v>
      </c>
      <c r="L38" s="1" t="n">
        <f aca="false">Table!L38*L$55</f>
        <v>0.017672233397686</v>
      </c>
      <c r="M38" s="1" t="n">
        <f aca="false">Table!M38*M$55</f>
        <v>0</v>
      </c>
      <c r="N38" s="1" t="n">
        <f aca="false">Table!N38*N$55</f>
        <v>0</v>
      </c>
      <c r="O38" s="1" t="n">
        <f aca="false">Table!O38*O$55</f>
        <v>15.0997096017573</v>
      </c>
      <c r="P38" s="1" t="n">
        <f aca="false">Table!P38*P$55</f>
        <v>1.64921665517791</v>
      </c>
      <c r="Q38" s="1" t="n">
        <f aca="false">Table!Q38*Q$55</f>
        <v>0</v>
      </c>
      <c r="R38" s="1" t="n">
        <f aca="false">Table!R38*R$55</f>
        <v>0</v>
      </c>
      <c r="S38" s="1" t="n">
        <f aca="false">Table!S38*S$55</f>
        <v>18.5929075273285</v>
      </c>
      <c r="T38" s="1" t="n">
        <f aca="false">Table!T38*T$55</f>
        <v>6.42851592932018</v>
      </c>
      <c r="U38" s="1" t="n">
        <f aca="false">Table!U38*U$55</f>
        <v>0.143828767618191</v>
      </c>
      <c r="V38" s="1" t="n">
        <f aca="false">Table!V38*V$55</f>
        <v>308.80971982859</v>
      </c>
      <c r="W38" s="1" t="n">
        <f aca="false">Table!W38*W$55</f>
        <v>1.53004422285167</v>
      </c>
      <c r="X38" s="1" t="n">
        <f aca="false">Table!X38*X$55</f>
        <v>9.34410065537379</v>
      </c>
      <c r="Y38" s="1" t="n">
        <f aca="false">Table!Y38*Y$55</f>
        <v>2.94247291429535</v>
      </c>
      <c r="Z38" s="1" t="n">
        <f aca="false">Table!Z38*Z$55</f>
        <v>1.6861899875368</v>
      </c>
      <c r="AA38" s="1" t="n">
        <f aca="false">Table!AA38*AA$55</f>
        <v>0</v>
      </c>
      <c r="AB38" s="1" t="n">
        <f aca="false">Table!AB38*AB$55</f>
        <v>0.982587656123597</v>
      </c>
      <c r="AC38" s="1" t="n">
        <f aca="false">Table!AC38*AC$55</f>
        <v>0</v>
      </c>
      <c r="AD38" s="1" t="n">
        <f aca="false">Table!AD38*AD$55</f>
        <v>0</v>
      </c>
      <c r="AE38" s="1" t="n">
        <f aca="false">Table!AE38*AE$55</f>
        <v>2.33071602551285</v>
      </c>
      <c r="AF38" s="1" t="n">
        <f aca="false">Table!AF38*AF$55</f>
        <v>0</v>
      </c>
      <c r="AG38" s="1" t="n">
        <f aca="false">Table!AG38*AG$55</f>
        <v>0.504756020645892</v>
      </c>
      <c r="AH38" s="1" t="n">
        <f aca="false">Table!AH38*AH$55</f>
        <v>0</v>
      </c>
      <c r="AI38" s="1" t="n">
        <f aca="false">Table!AI38*AI$55</f>
        <v>4.00443054537163</v>
      </c>
      <c r="AJ38" s="1" t="n">
        <f aca="false">Table!AJ38*AJ$55</f>
        <v>24.3239987257683</v>
      </c>
      <c r="AK38" s="1" t="n">
        <f aca="false">Table!AK38*AK$55</f>
        <v>0</v>
      </c>
      <c r="AL38" s="1" t="n">
        <f aca="false">Table!AL38*AL$55</f>
        <v>38.4913563024164</v>
      </c>
      <c r="AM38" s="1" t="n">
        <f aca="false">Table!AM38*AM$55</f>
        <v>0.0804902915822899</v>
      </c>
      <c r="AN38" s="1" t="n">
        <f aca="false">Table!AN38*AN$55</f>
        <v>0</v>
      </c>
      <c r="AO38" s="1" t="n">
        <f aca="false">Table!AO38*AO$55</f>
        <v>8.25181683979776</v>
      </c>
      <c r="AP38" s="1" t="n">
        <v>0</v>
      </c>
      <c r="AQ38" s="1" t="n">
        <f aca="false">Table!AQ38*AQ$55</f>
        <v>0.196064490542268</v>
      </c>
      <c r="AR38" s="1" t="n">
        <f aca="false">Table!AR38*AR$55</f>
        <v>16.3768123228527</v>
      </c>
      <c r="AS38" s="1" t="n">
        <f aca="false">Table!AS38*AS$55</f>
        <v>0.784688474650033</v>
      </c>
      <c r="AT38" s="1" t="n">
        <f aca="false">Table!AT38*AT$55</f>
        <v>0</v>
      </c>
      <c r="AU38" s="1" t="n">
        <f aca="false">Table!AU38*AU$55</f>
        <v>0</v>
      </c>
      <c r="AV38" s="1" t="n">
        <f aca="false">Table!AV38*AV$55</f>
        <v>0.0118910587675183</v>
      </c>
      <c r="AW38" s="1" t="n">
        <f aca="false">Table!AW38*AW$55</f>
        <v>237.253981033847</v>
      </c>
      <c r="AX38" s="1" t="n">
        <f aca="false">Table!AX38*AX$55</f>
        <v>0.0280343788703017</v>
      </c>
      <c r="AY38" s="1" t="n">
        <f aca="false">Table!AY38*AY$55</f>
        <v>0</v>
      </c>
      <c r="AZ38" s="1" t="n">
        <f aca="false">Table!AZ38*AZ$55</f>
        <v>10.4223543768053</v>
      </c>
      <c r="BA38" s="1" t="n">
        <f aca="false">Table!BA38*BA$55</f>
        <v>0.994263117278078</v>
      </c>
      <c r="BB38" s="1" t="n">
        <f aca="false">Table!BB38*BB$55</f>
        <v>1.84028785707952</v>
      </c>
      <c r="BC38" s="1" t="n">
        <f aca="false">Table!BC38*BC$55</f>
        <v>0.00107665886687132</v>
      </c>
      <c r="BD38" s="1" t="n">
        <f aca="false">Table!BD38*BD$55</f>
        <v>0</v>
      </c>
      <c r="BE38" s="0" t="n">
        <v>566</v>
      </c>
      <c r="BF38" s="2" t="n">
        <f aca="false">SUM(F38:BE38)/(D38)</f>
        <v>0.000951070858995355</v>
      </c>
      <c r="BG38" s="0" t="n">
        <v>0.0759782565467173</v>
      </c>
      <c r="BI38" s="0" t="str">
        <f aca="false">A38</f>
        <v>oklahoma</v>
      </c>
      <c r="BJ38" s="0" t="n">
        <f aca="false">BF38</f>
        <v>0.000951070858995355</v>
      </c>
      <c r="BL38" s="0" t="n">
        <f aca="false">SUM(F38:BD38)/(D38-Table!BG38)</f>
        <v>0.0183732361717298</v>
      </c>
    </row>
    <row r="39" customFormat="false" ht="12.75" hidden="false" customHeight="false" outlineLevel="0" collapsed="false">
      <c r="A39" s="0" t="s">
        <v>41</v>
      </c>
      <c r="B39" s="0" t="n">
        <v>2832819</v>
      </c>
      <c r="C39" s="0" t="n">
        <v>1538425</v>
      </c>
      <c r="D39" s="0" t="n">
        <v>1293876</v>
      </c>
      <c r="E39" s="0" t="n">
        <v>2832819</v>
      </c>
      <c r="F39" s="1" t="n">
        <f aca="false">Table!F39*F$55</f>
        <v>0</v>
      </c>
      <c r="G39" s="1" t="n">
        <f aca="false">Table!G39*G$55</f>
        <v>49.3037278816532</v>
      </c>
      <c r="H39" s="1" t="n">
        <f aca="false">Table!H39*H$55</f>
        <v>0</v>
      </c>
      <c r="I39" s="1" t="n">
        <f aca="false">Table!I39*I$55</f>
        <v>0</v>
      </c>
      <c r="J39" s="1" t="n">
        <f aca="false">Table!J39*J$55</f>
        <v>89.8937487054052</v>
      </c>
      <c r="K39" s="1" t="n">
        <f aca="false">Table!K39*K$55</f>
        <v>0.387468877907086</v>
      </c>
      <c r="L39" s="1" t="n">
        <f aca="false">Table!L39*L$55</f>
        <v>0</v>
      </c>
      <c r="M39" s="1" t="n">
        <f aca="false">Table!M39*M$55</f>
        <v>0</v>
      </c>
      <c r="N39" s="1" t="n">
        <f aca="false">Table!N39*N$55</f>
        <v>0</v>
      </c>
      <c r="O39" s="1" t="n">
        <f aca="false">Table!O39*O$55</f>
        <v>0.544834882537634</v>
      </c>
      <c r="P39" s="1" t="n">
        <f aca="false">Table!P39*P$55</f>
        <v>0.602759386664007</v>
      </c>
      <c r="Q39" s="1" t="n">
        <f aca="false">Table!Q39*Q$55</f>
        <v>0</v>
      </c>
      <c r="R39" s="1" t="n">
        <f aca="false">Table!R39*R$55</f>
        <v>0</v>
      </c>
      <c r="S39" s="1" t="n">
        <f aca="false">Table!S39*S$55</f>
        <v>0</v>
      </c>
      <c r="T39" s="1" t="n">
        <f aca="false">Table!T39*T$55</f>
        <v>0.851459063486116</v>
      </c>
      <c r="U39" s="1" t="n">
        <f aca="false">Table!U39*U$55</f>
        <v>0.0654742897366391</v>
      </c>
      <c r="V39" s="1" t="n">
        <f aca="false">Table!V39*V$55</f>
        <v>2.00148469886814</v>
      </c>
      <c r="W39" s="1" t="n">
        <f aca="false">Table!W39*W$55</f>
        <v>0.109892678989347</v>
      </c>
      <c r="X39" s="1" t="n">
        <f aca="false">Table!X39*X$55</f>
        <v>0</v>
      </c>
      <c r="Y39" s="1" t="n">
        <f aca="false">Table!Y39*Y$55</f>
        <v>0</v>
      </c>
      <c r="Z39" s="1" t="n">
        <f aca="false">Table!Z39*Z$55</f>
        <v>3.37237997507359</v>
      </c>
      <c r="AA39" s="1" t="n">
        <f aca="false">Table!AA39*AA$55</f>
        <v>0</v>
      </c>
      <c r="AB39" s="1" t="n">
        <f aca="false">Table!AB39*AB$55</f>
        <v>0.288127207434739</v>
      </c>
      <c r="AC39" s="1" t="n">
        <f aca="false">Table!AC39*AC$55</f>
        <v>0</v>
      </c>
      <c r="AD39" s="1" t="n">
        <f aca="false">Table!AD39*AD$55</f>
        <v>0</v>
      </c>
      <c r="AE39" s="1" t="n">
        <f aca="false">Table!AE39*AE$55</f>
        <v>0.0554570631885391</v>
      </c>
      <c r="AF39" s="1" t="n">
        <f aca="false">Table!AF39*AF$55</f>
        <v>0</v>
      </c>
      <c r="AG39" s="1" t="n">
        <f aca="false">Table!AG39*AG$55</f>
        <v>0</v>
      </c>
      <c r="AH39" s="1" t="n">
        <f aca="false">Table!AH39*AH$55</f>
        <v>0</v>
      </c>
      <c r="AI39" s="1" t="n">
        <f aca="false">Table!AI39*AI$55</f>
        <v>0</v>
      </c>
      <c r="AJ39" s="1" t="n">
        <f aca="false">Table!AJ39*AJ$55</f>
        <v>6.01267384232474</v>
      </c>
      <c r="AK39" s="1" t="n">
        <f aca="false">Table!AK39*AK$55</f>
        <v>0</v>
      </c>
      <c r="AL39" s="1" t="n">
        <f aca="false">Table!AL39*AL$55</f>
        <v>66.3644074179594</v>
      </c>
      <c r="AM39" s="1" t="n">
        <f aca="false">Table!AM39*AM$55</f>
        <v>0.0568601142370305</v>
      </c>
      <c r="AN39" s="1" t="n">
        <f aca="false">Table!AN39*AN$55</f>
        <v>0</v>
      </c>
      <c r="AO39" s="1" t="n">
        <f aca="false">Table!AO39*AO$55</f>
        <v>0</v>
      </c>
      <c r="AP39" s="1" t="n">
        <f aca="false">Table!AP39*AP$55</f>
        <v>4.10282585352274</v>
      </c>
      <c r="AQ39" s="1" t="n">
        <v>0</v>
      </c>
      <c r="AR39" s="1" t="n">
        <f aca="false">Table!AR39*AR$55</f>
        <v>12.0486547803845</v>
      </c>
      <c r="AS39" s="1" t="n">
        <f aca="false">Table!AS39*AS$55</f>
        <v>0</v>
      </c>
      <c r="AT39" s="1" t="n">
        <f aca="false">Table!AT39*AT$55</f>
        <v>0</v>
      </c>
      <c r="AU39" s="1" t="n">
        <f aca="false">Table!AU39*AU$55</f>
        <v>0</v>
      </c>
      <c r="AV39" s="1" t="n">
        <f aca="false">Table!AV39*AV$55</f>
        <v>0.00110209812967243</v>
      </c>
      <c r="AW39" s="1" t="n">
        <f aca="false">Table!AW39*AW$55</f>
        <v>4.85050383671993</v>
      </c>
      <c r="AX39" s="1" t="n">
        <f aca="false">Table!AX39*AX$55</f>
        <v>0.153254604490983</v>
      </c>
      <c r="AY39" s="1" t="n">
        <f aca="false">Table!AY39*AY$55</f>
        <v>0</v>
      </c>
      <c r="AZ39" s="1" t="n">
        <f aca="false">Table!AZ39*AZ$55</f>
        <v>4.74589351086671</v>
      </c>
      <c r="BA39" s="1" t="n">
        <f aca="false">Table!BA39*BA$55</f>
        <v>739.317482956024</v>
      </c>
      <c r="BB39" s="1" t="n">
        <f aca="false">Table!BB39*BB$55</f>
        <v>0</v>
      </c>
      <c r="BC39" s="1" t="n">
        <f aca="false">Table!BC39*BC$55</f>
        <v>0.0019946522165195</v>
      </c>
      <c r="BD39" s="1" t="n">
        <f aca="false">Table!BD39*BD$55</f>
        <v>0</v>
      </c>
      <c r="BE39" s="0" t="n">
        <v>518</v>
      </c>
      <c r="BF39" s="2" t="n">
        <f aca="false">SUM(F39:BE39)/(D39)</f>
        <v>0.00116172837920931</v>
      </c>
      <c r="BG39" s="0" t="n">
        <v>0.00529904028492617</v>
      </c>
      <c r="BI39" s="0" t="str">
        <f aca="false">A39</f>
        <v>oregon</v>
      </c>
      <c r="BJ39" s="0" t="n">
        <f aca="false">BF39</f>
        <v>0.00116172837920931</v>
      </c>
      <c r="BL39" s="0" t="n">
        <f aca="false">SUM(F39:BD39)/(D39-Table!BG39)</f>
        <v>0.0359708061626984</v>
      </c>
    </row>
    <row r="40" customFormat="false" ht="12.75" hidden="false" customHeight="false" outlineLevel="0" collapsed="false">
      <c r="A40" s="0" t="s">
        <v>42</v>
      </c>
      <c r="B40" s="0" t="n">
        <v>11853450</v>
      </c>
      <c r="C40" s="0" t="n">
        <v>6514916</v>
      </c>
      <c r="D40" s="0" t="n">
        <v>5337143</v>
      </c>
      <c r="E40" s="0" t="n">
        <v>11853450</v>
      </c>
      <c r="F40" s="1" t="n">
        <f aca="false">Table!F40*F$55</f>
        <v>0</v>
      </c>
      <c r="G40" s="1" t="n">
        <f aca="false">Table!G40*G$55</f>
        <v>3.4588074406772</v>
      </c>
      <c r="H40" s="1" t="n">
        <f aca="false">Table!H40*H$55</f>
        <v>0</v>
      </c>
      <c r="I40" s="1" t="n">
        <f aca="false">Table!I40*I$55</f>
        <v>0</v>
      </c>
      <c r="J40" s="1" t="n">
        <f aca="false">Table!J40*J$55</f>
        <v>33.297896098545</v>
      </c>
      <c r="K40" s="1" t="n">
        <f aca="false">Table!K40*K$55</f>
        <v>0.561977761849973</v>
      </c>
      <c r="L40" s="1" t="n">
        <f aca="false">Table!L40*L$55</f>
        <v>0.212066800772232</v>
      </c>
      <c r="M40" s="1" t="n">
        <f aca="false">Table!M40*M$55</f>
        <v>5351.87793009249</v>
      </c>
      <c r="N40" s="1" t="n">
        <f aca="false">Table!N40*N$55</f>
        <v>0</v>
      </c>
      <c r="O40" s="1" t="n">
        <f aca="false">Table!O40*O$55</f>
        <v>116.983832636295</v>
      </c>
      <c r="P40" s="1" t="n">
        <f aca="false">Table!P40*P$55</f>
        <v>3.4784239605402</v>
      </c>
      <c r="Q40" s="1" t="n">
        <f aca="false">Table!Q40*Q$55</f>
        <v>0</v>
      </c>
      <c r="R40" s="1" t="n">
        <f aca="false">Table!R40*R$55</f>
        <v>0</v>
      </c>
      <c r="S40" s="1" t="n">
        <f aca="false">Table!S40*S$55</f>
        <v>83.2518247492321</v>
      </c>
      <c r="T40" s="1" t="n">
        <f aca="false">Table!T40*T$55</f>
        <v>31.3762664894634</v>
      </c>
      <c r="U40" s="1" t="n">
        <f aca="false">Table!U40*U$55</f>
        <v>0.084794571954008</v>
      </c>
      <c r="V40" s="1" t="n">
        <f aca="false">Table!V40*V$55</f>
        <v>11.2341399226792</v>
      </c>
      <c r="W40" s="1" t="n">
        <f aca="false">Table!W40*W$55</f>
        <v>2.0372412028025</v>
      </c>
      <c r="X40" s="1" t="n">
        <f aca="false">Table!X40*X$55</f>
        <v>4.87773807796242</v>
      </c>
      <c r="Y40" s="1" t="n">
        <f aca="false">Table!Y40*Y$55</f>
        <v>18.3904557143459</v>
      </c>
      <c r="Z40" s="1" t="n">
        <f aca="false">Table!Z40*Z$55</f>
        <v>2242.70294134008</v>
      </c>
      <c r="AA40" s="1" t="n">
        <f aca="false">Table!AA40*AA$55</f>
        <v>103.425092086508</v>
      </c>
      <c r="AB40" s="1" t="n">
        <f aca="false">Table!AB40*AB$55</f>
        <v>4.77995649257118</v>
      </c>
      <c r="AC40" s="1" t="n">
        <f aca="false">Table!AC40*AC$55</f>
        <v>0</v>
      </c>
      <c r="AD40" s="1" t="n">
        <f aca="false">Table!AD40*AD$55</f>
        <v>0</v>
      </c>
      <c r="AE40" s="1" t="n">
        <f aca="false">Table!AE40*AE$55</f>
        <v>0.273486886957179</v>
      </c>
      <c r="AF40" s="1" t="n">
        <f aca="false">Table!AF40*AF$55</f>
        <v>0</v>
      </c>
      <c r="AG40" s="1" t="n">
        <f aca="false">Table!AG40*AG$55</f>
        <v>0.173572228443449</v>
      </c>
      <c r="AH40" s="1" t="n">
        <f aca="false">Table!AH40*AH$55</f>
        <v>0</v>
      </c>
      <c r="AI40" s="1" t="n">
        <f aca="false">Table!AI40*AI$55</f>
        <v>12.6021784810225</v>
      </c>
      <c r="AJ40" s="1" t="n">
        <f aca="false">Table!AJ40*AJ$55</f>
        <v>29347.5877210306</v>
      </c>
      <c r="AK40" s="1" t="n">
        <f aca="false">Table!AK40*AK$55</f>
        <v>0</v>
      </c>
      <c r="AL40" s="1" t="n">
        <f aca="false">Table!AL40*AL$55</f>
        <v>9700.48543228312</v>
      </c>
      <c r="AM40" s="1" t="n">
        <f aca="false">Table!AM40*AM$55</f>
        <v>0.756165675048302</v>
      </c>
      <c r="AN40" s="1" t="n">
        <f aca="false">Table!AN40*AN$55</f>
        <v>0</v>
      </c>
      <c r="AO40" s="1" t="n">
        <f aca="false">Table!AO40*AO$55</f>
        <v>396.580344774822</v>
      </c>
      <c r="AP40" s="1" t="n">
        <f aca="false">Table!AP40*AP$55</f>
        <v>4.33076062316289</v>
      </c>
      <c r="AQ40" s="1" t="n">
        <f aca="false">Table!AQ40*AQ$55</f>
        <v>0.577595391056953</v>
      </c>
      <c r="AR40" s="1" t="n">
        <v>0</v>
      </c>
      <c r="AS40" s="1" t="n">
        <f aca="false">Table!AS40*AS$55</f>
        <v>2.80245883803583</v>
      </c>
      <c r="AT40" s="1" t="n">
        <f aca="false">Table!AT40*AT$55</f>
        <v>0</v>
      </c>
      <c r="AU40" s="1" t="n">
        <f aca="false">Table!AU40*AU$55</f>
        <v>0</v>
      </c>
      <c r="AV40" s="1" t="n">
        <f aca="false">Table!AV40*AV$55</f>
        <v>0.021113879957935</v>
      </c>
      <c r="AW40" s="1" t="n">
        <f aca="false">Table!AW40*AW$55</f>
        <v>25.8611046396547</v>
      </c>
      <c r="AX40" s="1" t="n">
        <f aca="false">Table!AX40*AX$55</f>
        <v>0.0224275030962414</v>
      </c>
      <c r="AY40" s="1" t="n">
        <f aca="false">Table!AY40*AY$55</f>
        <v>0</v>
      </c>
      <c r="AZ40" s="1" t="n">
        <f aca="false">Table!AZ40*AZ$55</f>
        <v>163.407627550626</v>
      </c>
      <c r="BA40" s="1" t="n">
        <f aca="false">Table!BA40*BA$55</f>
        <v>10.3569074716466</v>
      </c>
      <c r="BB40" s="1" t="n">
        <f aca="false">Table!BB40*BB$55</f>
        <v>471.245140545006</v>
      </c>
      <c r="BC40" s="1" t="n">
        <f aca="false">Table!BC40*BC$55</f>
        <v>0.00180198694560568</v>
      </c>
      <c r="BD40" s="1" t="n">
        <f aca="false">Table!BD40*BD$55</f>
        <v>0</v>
      </c>
      <c r="BE40" s="0" t="n">
        <v>1391</v>
      </c>
      <c r="BF40" s="2" t="n">
        <f aca="false">SUM(F40:BE40)/(D40)</f>
        <v>0.00928214162993721</v>
      </c>
      <c r="BG40" s="0" t="n">
        <v>0.116977230877519</v>
      </c>
      <c r="BI40" s="0" t="str">
        <f aca="false">A40</f>
        <v>pennsy~1</v>
      </c>
      <c r="BJ40" s="0" t="n">
        <f aca="false">BF40</f>
        <v>0.00928214162993721</v>
      </c>
      <c r="BL40" s="0" t="n">
        <f aca="false">SUM(F40:BD40)/(D40-Table!BG40)</f>
        <v>0.210983235947242</v>
      </c>
    </row>
    <row r="41" customFormat="false" ht="12.75" hidden="false" customHeight="false" outlineLevel="0" collapsed="false">
      <c r="A41" s="0" t="s">
        <v>43</v>
      </c>
      <c r="B41" s="0" t="n">
        <v>1002334</v>
      </c>
      <c r="C41" s="0" t="n">
        <v>523298</v>
      </c>
      <c r="D41" s="0" t="n">
        <v>478945</v>
      </c>
      <c r="E41" s="0" t="n">
        <v>1002334</v>
      </c>
      <c r="F41" s="1" t="n">
        <f aca="false">Table!F41*F$55</f>
        <v>0</v>
      </c>
      <c r="G41" s="1" t="n">
        <f aca="false">Table!G41*G$55</f>
        <v>1.44641038428319</v>
      </c>
      <c r="H41" s="1" t="n">
        <f aca="false">Table!H41*H$55</f>
        <v>0</v>
      </c>
      <c r="I41" s="1" t="n">
        <f aca="false">Table!I41*I$55</f>
        <v>0</v>
      </c>
      <c r="J41" s="1" t="n">
        <f aca="false">Table!J41*J$55</f>
        <v>2.41013343189468</v>
      </c>
      <c r="K41" s="1" t="n">
        <f aca="false">Table!K41*K$55</f>
        <v>0</v>
      </c>
      <c r="L41" s="1" t="n">
        <f aca="false">Table!L41*L$55</f>
        <v>2.37873459248559</v>
      </c>
      <c r="M41" s="1" t="n">
        <f aca="false">Table!M41*M$55</f>
        <v>0</v>
      </c>
      <c r="N41" s="1" t="n">
        <f aca="false">Table!N41*N$55</f>
        <v>0</v>
      </c>
      <c r="O41" s="1" t="n">
        <f aca="false">Table!O41*O$55</f>
        <v>7.39418769158217</v>
      </c>
      <c r="P41" s="1" t="n">
        <f aca="false">Table!P41*P$55</f>
        <v>0.853909131107343</v>
      </c>
      <c r="Q41" s="1" t="n">
        <f aca="false">Table!Q41*Q$55</f>
        <v>0</v>
      </c>
      <c r="R41" s="1" t="n">
        <f aca="false">Table!R41*R$55</f>
        <v>0</v>
      </c>
      <c r="S41" s="1" t="n">
        <f aca="false">Table!S41*S$55</f>
        <v>5.27261556745136</v>
      </c>
      <c r="T41" s="1" t="n">
        <f aca="false">Table!T41*T$55</f>
        <v>0</v>
      </c>
      <c r="U41" s="1" t="n">
        <f aca="false">Table!U41*U$55</f>
        <v>0</v>
      </c>
      <c r="V41" s="1" t="n">
        <f aca="false">Table!V41*V$55</f>
        <v>1.03302436070613</v>
      </c>
      <c r="W41" s="1" t="n">
        <f aca="false">Table!W41*W$55</f>
        <v>0</v>
      </c>
      <c r="X41" s="1" t="n">
        <f aca="false">Table!X41*X$55</f>
        <v>0</v>
      </c>
      <c r="Y41" s="1" t="n">
        <f aca="false">Table!Y41*Y$55</f>
        <v>14.292011298006</v>
      </c>
      <c r="Z41" s="1" t="n">
        <f aca="false">Table!Z41*Z$55</f>
        <v>1.2646424906526</v>
      </c>
      <c r="AA41" s="1" t="n">
        <f aca="false">Table!AA41*AA$55</f>
        <v>4715.4565854316</v>
      </c>
      <c r="AB41" s="1" t="n">
        <f aca="false">Table!AB41*AB$55</f>
        <v>0.169921173615359</v>
      </c>
      <c r="AC41" s="1" t="n">
        <f aca="false">Table!AC41*AC$55</f>
        <v>0</v>
      </c>
      <c r="AD41" s="1" t="n">
        <f aca="false">Table!AD41*AD$55</f>
        <v>0</v>
      </c>
      <c r="AE41" s="1" t="n">
        <f aca="false">Table!AE41*AE$55</f>
        <v>0.0273486886957179</v>
      </c>
      <c r="AF41" s="1" t="n">
        <f aca="false">Table!AF41*AF$55</f>
        <v>0</v>
      </c>
      <c r="AG41" s="1" t="n">
        <f aca="false">Table!AG41*AG$55</f>
        <v>0.129680400561198</v>
      </c>
      <c r="AH41" s="1" t="n">
        <f aca="false">Table!AH41*AH$55</f>
        <v>0</v>
      </c>
      <c r="AI41" s="1" t="n">
        <f aca="false">Table!AI41*AI$55</f>
        <v>21.4354811546364</v>
      </c>
      <c r="AJ41" s="1" t="n">
        <f aca="false">Table!AJ41*AJ$55</f>
        <v>36.0760430539484</v>
      </c>
      <c r="AK41" s="1" t="n">
        <f aca="false">Table!AK41*AK$55</f>
        <v>0</v>
      </c>
      <c r="AL41" s="1" t="n">
        <f aca="false">Table!AL41*AL$55</f>
        <v>199.425044290968</v>
      </c>
      <c r="AM41" s="1" t="n">
        <f aca="false">Table!AM41*AM$55</f>
        <v>0.0383990381860466</v>
      </c>
      <c r="AN41" s="1" t="n">
        <f aca="false">Table!AN41*AN$55</f>
        <v>0</v>
      </c>
      <c r="AO41" s="1" t="n">
        <f aca="false">Table!AO41*AO$55</f>
        <v>1.24927904347536</v>
      </c>
      <c r="AP41" s="1" t="n">
        <f aca="false">Table!AP41*AP$55</f>
        <v>0</v>
      </c>
      <c r="AQ41" s="1" t="n">
        <f aca="false">Table!AQ41*AQ$55</f>
        <v>0</v>
      </c>
      <c r="AR41" s="1" t="n">
        <f aca="false">Table!AR41*AR$55</f>
        <v>8.42236062318139</v>
      </c>
      <c r="AS41" s="1" t="n">
        <v>0</v>
      </c>
      <c r="AT41" s="1" t="n">
        <f aca="false">Table!AT41*AT$55</f>
        <v>0</v>
      </c>
      <c r="AU41" s="1" t="n">
        <f aca="false">Table!AU41*AU$55</f>
        <v>0</v>
      </c>
      <c r="AV41" s="1" t="n">
        <f aca="false">Table!AV41*AV$55</f>
        <v>0</v>
      </c>
      <c r="AW41" s="1" t="n">
        <f aca="false">Table!AW41*AW$55</f>
        <v>0.519696839648564</v>
      </c>
      <c r="AX41" s="1" t="n">
        <f aca="false">Table!AX41*AX$55</f>
        <v>0</v>
      </c>
      <c r="AY41" s="1" t="n">
        <f aca="false">Table!AY41*AY$55</f>
        <v>0</v>
      </c>
      <c r="AZ41" s="1" t="n">
        <f aca="false">Table!AZ41*AZ$55</f>
        <v>8.42163456340073</v>
      </c>
      <c r="BA41" s="1" t="n">
        <f aca="false">Table!BA41*BA$55</f>
        <v>0</v>
      </c>
      <c r="BB41" s="1" t="n">
        <f aca="false">Table!BB41*BB$55</f>
        <v>0</v>
      </c>
      <c r="BC41" s="1" t="n">
        <f aca="false">Table!BC41*BC$55</f>
        <v>0</v>
      </c>
      <c r="BD41" s="1" t="n">
        <f aca="false">Table!BD41*BD$55</f>
        <v>0</v>
      </c>
      <c r="BE41" s="0" t="n">
        <v>91</v>
      </c>
      <c r="BF41" s="2" t="n">
        <f aca="false">SUM(F41:BE41)/(D41)</f>
        <v>0.0106874842481915</v>
      </c>
      <c r="BG41" s="0" t="n">
        <v>0.0373661178404778</v>
      </c>
      <c r="BI41" s="0" t="str">
        <f aca="false">A41</f>
        <v>rhode-~1</v>
      </c>
      <c r="BJ41" s="0" t="n">
        <f aca="false">BF41</f>
        <v>0.0106874842481915</v>
      </c>
      <c r="BL41" s="0" t="n">
        <f aca="false">SUM(F41:BD41)/(D41-Table!BG41)</f>
        <v>0.0883295351941335</v>
      </c>
    </row>
    <row r="42" customFormat="false" ht="12.75" hidden="false" customHeight="false" outlineLevel="0" collapsed="false">
      <c r="A42" s="0" t="s">
        <v>44</v>
      </c>
      <c r="B42" s="0" t="n">
        <v>693206</v>
      </c>
      <c r="C42" s="0" t="n">
        <v>368679</v>
      </c>
      <c r="D42" s="0" t="n">
        <v>324432</v>
      </c>
      <c r="E42" s="0" t="n">
        <v>693206</v>
      </c>
      <c r="F42" s="1" t="n">
        <f aca="false">Table!F42*F$55</f>
        <v>0</v>
      </c>
      <c r="G42" s="1" t="n">
        <f aca="false">Table!G42*G$55</f>
        <v>1.50929779229551</v>
      </c>
      <c r="H42" s="1" t="n">
        <f aca="false">Table!H42*H$55</f>
        <v>0</v>
      </c>
      <c r="I42" s="1" t="n">
        <f aca="false">Table!I42*I$55</f>
        <v>0</v>
      </c>
      <c r="J42" s="1" t="n">
        <f aca="false">Table!J42*J$55</f>
        <v>3.36150189185311</v>
      </c>
      <c r="K42" s="1" t="n">
        <f aca="false">Table!K42*K$55</f>
        <v>0.230706660127884</v>
      </c>
      <c r="L42" s="1" t="n">
        <f aca="false">Table!L42*L$55</f>
        <v>0</v>
      </c>
      <c r="M42" s="1" t="n">
        <f aca="false">Table!M42*M$55</f>
        <v>0</v>
      </c>
      <c r="N42" s="1" t="n">
        <f aca="false">Table!N42*N$55</f>
        <v>0</v>
      </c>
      <c r="O42" s="1" t="n">
        <f aca="false">Table!O42*O$55</f>
        <v>0</v>
      </c>
      <c r="P42" s="1" t="n">
        <f aca="false">Table!P42*P$55</f>
        <v>0.121389043147612</v>
      </c>
      <c r="Q42" s="1" t="n">
        <f aca="false">Table!Q42*Q$55</f>
        <v>0</v>
      </c>
      <c r="R42" s="1" t="n">
        <f aca="false">Table!R42*R$55</f>
        <v>0</v>
      </c>
      <c r="S42" s="1" t="n">
        <f aca="false">Table!S42*S$55</f>
        <v>0</v>
      </c>
      <c r="T42" s="1" t="n">
        <f aca="false">Table!T42*T$55</f>
        <v>1.4474804079264</v>
      </c>
      <c r="U42" s="1" t="n">
        <f aca="false">Table!U42*U$55</f>
        <v>1.71521172129753</v>
      </c>
      <c r="V42" s="1" t="n">
        <f aca="false">Table!V42*V$55</f>
        <v>5.55250593879547</v>
      </c>
      <c r="W42" s="1" t="n">
        <f aca="false">Table!W42*W$55</f>
        <v>0</v>
      </c>
      <c r="X42" s="1" t="n">
        <f aca="false">Table!X42*X$55</f>
        <v>0</v>
      </c>
      <c r="Y42" s="1" t="n">
        <f aca="false">Table!Y42*Y$55</f>
        <v>0</v>
      </c>
      <c r="Z42" s="1" t="n">
        <f aca="false">Table!Z42*Z$55</f>
        <v>0</v>
      </c>
      <c r="AA42" s="1" t="n">
        <f aca="false">Table!AA42*AA$55</f>
        <v>1.87100669101221</v>
      </c>
      <c r="AB42" s="1" t="n">
        <f aca="false">Table!AB42*AB$55</f>
        <v>0.0664908940234013</v>
      </c>
      <c r="AC42" s="1" t="n">
        <f aca="false">Table!AC42*AC$55</f>
        <v>0</v>
      </c>
      <c r="AD42" s="1" t="n">
        <f aca="false">Table!AD42*AD$55</f>
        <v>0</v>
      </c>
      <c r="AE42" s="1" t="n">
        <f aca="false">Table!AE42*AE$55</f>
        <v>0.0395036614493703</v>
      </c>
      <c r="AF42" s="1" t="n">
        <f aca="false">Table!AF42*AF$55</f>
        <v>0</v>
      </c>
      <c r="AG42" s="1" t="n">
        <f aca="false">Table!AG42*AG$55</f>
        <v>1.75168294911895</v>
      </c>
      <c r="AH42" s="1" t="n">
        <f aca="false">Table!AH42*AH$55</f>
        <v>0</v>
      </c>
      <c r="AI42" s="1" t="n">
        <f aca="false">Table!AI42*AI$55</f>
        <v>0</v>
      </c>
      <c r="AJ42" s="1" t="n">
        <f aca="false">Table!AJ42*AJ$55</f>
        <v>0</v>
      </c>
      <c r="AK42" s="1" t="n">
        <f aca="false">Table!AK42*AK$55</f>
        <v>0</v>
      </c>
      <c r="AL42" s="1" t="n">
        <f aca="false">Table!AL42*AL$55</f>
        <v>7.96372889015512</v>
      </c>
      <c r="AM42" s="1" t="n">
        <f aca="false">Table!AM42*AM$55</f>
        <v>0</v>
      </c>
      <c r="AN42" s="1" t="n">
        <f aca="false">Table!AN42*AN$55</f>
        <v>0</v>
      </c>
      <c r="AO42" s="1" t="n">
        <f aca="false">Table!AO42*AO$55</f>
        <v>1.7424155080051</v>
      </c>
      <c r="AP42" s="1" t="n">
        <f aca="false">Table!AP42*AP$55</f>
        <v>0</v>
      </c>
      <c r="AQ42" s="1" t="n">
        <f aca="false">Table!AQ42*AQ$55</f>
        <v>0.0529904028492617</v>
      </c>
      <c r="AR42" s="1" t="n">
        <f aca="false">Table!AR42*AR$55</f>
        <v>0</v>
      </c>
      <c r="AS42" s="1" t="n">
        <f aca="false">Table!AS42*AS$55</f>
        <v>0</v>
      </c>
      <c r="AT42" s="1" t="n">
        <v>0</v>
      </c>
      <c r="AU42" s="1" t="n">
        <f aca="false">Table!AU42*AU$55</f>
        <v>0</v>
      </c>
      <c r="AV42" s="1" t="n">
        <f aca="false">Table!AV42*AV$55</f>
        <v>0</v>
      </c>
      <c r="AW42" s="1" t="n">
        <f aca="false">Table!AW42*AW$55</f>
        <v>4.77626143105585</v>
      </c>
      <c r="AX42" s="1" t="n">
        <f aca="false">Table!AX42*AX$55</f>
        <v>0</v>
      </c>
      <c r="AY42" s="1" t="n">
        <f aca="false">Table!AY42*AY$55</f>
        <v>0</v>
      </c>
      <c r="AZ42" s="1" t="n">
        <f aca="false">Table!AZ42*AZ$55</f>
        <v>0</v>
      </c>
      <c r="BA42" s="1" t="n">
        <f aca="false">Table!BA42*BA$55</f>
        <v>2.7756512024013</v>
      </c>
      <c r="BB42" s="1" t="n">
        <f aca="false">Table!BB42*BB$55</f>
        <v>0</v>
      </c>
      <c r="BC42" s="1" t="n">
        <f aca="false">Table!BC42*BC$55</f>
        <v>0.000430663546748528</v>
      </c>
      <c r="BD42" s="1" t="n">
        <f aca="false">Table!BD42*BD$55</f>
        <v>0</v>
      </c>
      <c r="BE42" s="0" t="n">
        <v>95</v>
      </c>
      <c r="BF42" s="2" t="n">
        <f aca="false">SUM(F42:BE42)/(D42)</f>
        <v>0.000400633278311205</v>
      </c>
      <c r="BG42" s="0" t="n">
        <v>0</v>
      </c>
      <c r="BI42" s="0" t="str">
        <f aca="false">A42</f>
        <v>south-~1</v>
      </c>
      <c r="BJ42" s="0" t="n">
        <f aca="false">BF42</f>
        <v>0.000400633278311205</v>
      </c>
      <c r="BL42" s="0" t="n">
        <f aca="false">SUM(F42:BD42)/(D42-Table!BG42)</f>
        <v>0.0059124840684687</v>
      </c>
    </row>
    <row r="43" customFormat="false" ht="12.75" hidden="false" customHeight="false" outlineLevel="0" collapsed="false">
      <c r="A43" s="0" t="s">
        <v>45</v>
      </c>
      <c r="B43" s="0" t="n">
        <v>3480936</v>
      </c>
      <c r="C43" s="0" t="n">
        <v>1849878</v>
      </c>
      <c r="D43" s="0" t="n">
        <v>1628991</v>
      </c>
      <c r="E43" s="0" t="n">
        <v>3480936</v>
      </c>
      <c r="F43" s="1" t="n">
        <f aca="false">Table!F43*F$55</f>
        <v>0</v>
      </c>
      <c r="G43" s="1" t="n">
        <f aca="false">Table!G43*G$55</f>
        <v>1.13197334422163</v>
      </c>
      <c r="H43" s="1" t="n">
        <f aca="false">Table!H43*H$55</f>
        <v>0</v>
      </c>
      <c r="I43" s="1" t="n">
        <f aca="false">Table!I43*I$55</f>
        <v>0</v>
      </c>
      <c r="J43" s="1" t="n">
        <f aca="false">Table!J43*J$55</f>
        <v>6.72300378370622</v>
      </c>
      <c r="K43" s="1" t="n">
        <f aca="false">Table!K43*K$55</f>
        <v>0.275073325537092</v>
      </c>
      <c r="L43" s="1" t="n">
        <f aca="false">Table!L43*L$55</f>
        <v>0.0327456089427711</v>
      </c>
      <c r="M43" s="1" t="n">
        <f aca="false">Table!M43*M$55</f>
        <v>17.4287132894271</v>
      </c>
      <c r="N43" s="1" t="n">
        <f aca="false">Table!N43*N$55</f>
        <v>0</v>
      </c>
      <c r="O43" s="1" t="n">
        <f aca="false">Table!O43*O$55</f>
        <v>96.4357742091612</v>
      </c>
      <c r="P43" s="1" t="n">
        <f aca="false">Table!P43*P$55</f>
        <v>73.0594606585665</v>
      </c>
      <c r="Q43" s="1" t="n">
        <f aca="false">Table!Q43*Q$55</f>
        <v>0</v>
      </c>
      <c r="R43" s="1" t="n">
        <f aca="false">Table!R43*R$55</f>
        <v>0</v>
      </c>
      <c r="S43" s="1" t="n">
        <f aca="false">Table!S43*S$55</f>
        <v>43.8459610345956</v>
      </c>
      <c r="T43" s="1" t="n">
        <f aca="false">Table!T43*T$55</f>
        <v>1.02175087618334</v>
      </c>
      <c r="U43" s="1" t="n">
        <f aca="false">Table!U43*U$55</f>
        <v>0.0611808936883349</v>
      </c>
      <c r="V43" s="1" t="n">
        <f aca="false">Table!V43*V$55</f>
        <v>1.936920676324</v>
      </c>
      <c r="W43" s="1" t="n">
        <f aca="false">Table!W43*W$55</f>
        <v>1.06511365789674</v>
      </c>
      <c r="X43" s="1" t="n">
        <f aca="false">Table!X43*X$55</f>
        <v>3.70237950495943</v>
      </c>
      <c r="Y43" s="1" t="n">
        <f aca="false">Table!Y43*Y$55</f>
        <v>2.83738459592766</v>
      </c>
      <c r="Z43" s="1" t="n">
        <f aca="false">Table!Z43*Z$55</f>
        <v>12.0141036611997</v>
      </c>
      <c r="AA43" s="1" t="n">
        <f aca="false">Table!AA43*AA$55</f>
        <v>19.6455702556282</v>
      </c>
      <c r="AB43" s="1" t="n">
        <f aca="false">Table!AB43*AB$55</f>
        <v>0.509763520846077</v>
      </c>
      <c r="AC43" s="1" t="n">
        <f aca="false">Table!AC43*AC$55</f>
        <v>0</v>
      </c>
      <c r="AD43" s="1" t="n">
        <f aca="false">Table!AD43*AD$55</f>
        <v>0</v>
      </c>
      <c r="AE43" s="1" t="n">
        <f aca="false">Table!AE43*AE$55</f>
        <v>0.0319068034783375</v>
      </c>
      <c r="AF43" s="1" t="n">
        <f aca="false">Table!AF43*AF$55</f>
        <v>0</v>
      </c>
      <c r="AG43" s="1" t="n">
        <f aca="false">Table!AG43*AG$55</f>
        <v>0.0478819940533653</v>
      </c>
      <c r="AH43" s="1" t="n">
        <f aca="false">Table!AH43*AH$55</f>
        <v>0</v>
      </c>
      <c r="AI43" s="1" t="n">
        <f aca="false">Table!AI43*AI$55</f>
        <v>0</v>
      </c>
      <c r="AJ43" s="1" t="n">
        <f aca="false">Table!AJ43*AJ$55</f>
        <v>74.6118163161206</v>
      </c>
      <c r="AK43" s="1" t="n">
        <f aca="false">Table!AK43*AK$55</f>
        <v>0</v>
      </c>
      <c r="AL43" s="1" t="n">
        <f aca="false">Table!AL43*AL$55</f>
        <v>204.070552810225</v>
      </c>
      <c r="AM43" s="1" t="n">
        <f aca="false">Table!AM43*AM$55</f>
        <v>29.6433190365859</v>
      </c>
      <c r="AN43" s="1" t="n">
        <f aca="false">Table!AN43*AN$55</f>
        <v>0</v>
      </c>
      <c r="AO43" s="1" t="n">
        <f aca="false">Table!AO43*AO$55</f>
        <v>7.49567426085214</v>
      </c>
      <c r="AP43" s="1" t="n">
        <f aca="false">Table!AP43*AP$55</f>
        <v>11.1688037123674</v>
      </c>
      <c r="AQ43" s="1" t="n">
        <f aca="false">Table!AQ43*AQ$55</f>
        <v>0</v>
      </c>
      <c r="AR43" s="1" t="n">
        <f aca="false">Table!AR43*AR$55</f>
        <v>38.2515544969488</v>
      </c>
      <c r="AS43" s="1" t="n">
        <f aca="false">Table!AS43*AS$55</f>
        <v>1.0088851816929</v>
      </c>
      <c r="AT43" s="1" t="n">
        <f aca="false">Table!AT43*AT$55</f>
        <v>0</v>
      </c>
      <c r="AU43" s="1" t="n">
        <v>0</v>
      </c>
      <c r="AV43" s="1" t="n">
        <f aca="false">Table!AV43*AV$55</f>
        <v>0.0156613944742924</v>
      </c>
      <c r="AW43" s="1" t="n">
        <f aca="false">Table!AW43*AW$55</f>
        <v>9.42878551933822</v>
      </c>
      <c r="AX43" s="1" t="n">
        <f aca="false">Table!AX43*AX$55</f>
        <v>0.0130827101394741</v>
      </c>
      <c r="AY43" s="1" t="n">
        <f aca="false">Table!AY43*AY$55</f>
        <v>0</v>
      </c>
      <c r="AZ43" s="1" t="n">
        <f aca="false">Table!AZ43*AZ$55</f>
        <v>47.7381053151887</v>
      </c>
      <c r="BA43" s="1" t="n">
        <f aca="false">Table!BA43*BA$55</f>
        <v>5.96557870366847</v>
      </c>
      <c r="BB43" s="1" t="n">
        <f aca="false">Table!BB43*BB$55</f>
        <v>4.14064767842892</v>
      </c>
      <c r="BC43" s="1" t="n">
        <f aca="false">Table!BC43*BC$55</f>
        <v>0.00108799211810154</v>
      </c>
      <c r="BD43" s="1" t="n">
        <f aca="false">Table!BD43*BD$55</f>
        <v>0</v>
      </c>
      <c r="BE43" s="0" t="n">
        <v>2067</v>
      </c>
      <c r="BF43" s="2" t="n">
        <f aca="false">SUM(F43:BE43)/(D43)</f>
        <v>0.00170802675817269</v>
      </c>
      <c r="BG43" s="0" t="n">
        <v>0</v>
      </c>
      <c r="BI43" s="0" t="str">
        <f aca="false">A43</f>
        <v>south-~2</v>
      </c>
      <c r="BJ43" s="0" t="n">
        <f aca="false">BF43</f>
        <v>0.00170802675817269</v>
      </c>
      <c r="BL43" s="0" t="n">
        <f aca="false">SUM(F43:BD43)/(D43-Table!BG43)</f>
        <v>0.0109357214220361</v>
      </c>
    </row>
    <row r="44" customFormat="false" ht="12.75" hidden="false" customHeight="false" outlineLevel="0" collapsed="false">
      <c r="A44" s="0" t="s">
        <v>46</v>
      </c>
      <c r="B44" s="0" t="n">
        <v>4861437</v>
      </c>
      <c r="C44" s="0" t="n">
        <v>2619519</v>
      </c>
      <c r="D44" s="0" t="n">
        <v>2241495</v>
      </c>
      <c r="E44" s="0" t="n">
        <v>4861437</v>
      </c>
      <c r="F44" s="1" t="n">
        <f aca="false">Table!F44*F$55</f>
        <v>0</v>
      </c>
      <c r="G44" s="1" t="n">
        <f aca="false">Table!G44*G$55</f>
        <v>4.71655560092346</v>
      </c>
      <c r="H44" s="1" t="n">
        <f aca="false">Table!H44*H$55</f>
        <v>0</v>
      </c>
      <c r="I44" s="1" t="n">
        <f aca="false">Table!I44*I$55</f>
        <v>0</v>
      </c>
      <c r="J44" s="1" t="n">
        <f aca="false">Table!J44*J$55</f>
        <v>18.583397251188</v>
      </c>
      <c r="K44" s="1" t="n">
        <f aca="false">Table!K44*K$55</f>
        <v>0.452539987173925</v>
      </c>
      <c r="L44" s="1" t="n">
        <f aca="false">Table!L44*L$55</f>
        <v>0.0249490353849685</v>
      </c>
      <c r="M44" s="1" t="n">
        <f aca="false">Table!M44*M$55</f>
        <v>12.8820924313157</v>
      </c>
      <c r="N44" s="1" t="n">
        <f aca="false">Table!N44*N$55</f>
        <v>0</v>
      </c>
      <c r="O44" s="1" t="n">
        <f aca="false">Table!O44*O$55</f>
        <v>79.1567250772534</v>
      </c>
      <c r="P44" s="1" t="n">
        <f aca="false">Table!P44*P$55</f>
        <v>50.1043740164456</v>
      </c>
      <c r="Q44" s="1" t="n">
        <f aca="false">Table!Q44*Q$55</f>
        <v>0</v>
      </c>
      <c r="R44" s="1" t="n">
        <f aca="false">Table!R44*R$55</f>
        <v>0</v>
      </c>
      <c r="S44" s="1" t="n">
        <f aca="false">Table!S44*S$55</f>
        <v>71.5965692843396</v>
      </c>
      <c r="T44" s="1" t="n">
        <f aca="false">Table!T44*T$55</f>
        <v>35.1226863688023</v>
      </c>
      <c r="U44" s="1" t="n">
        <f aca="false">Table!U44*U$55</f>
        <v>0.164222398847636</v>
      </c>
      <c r="V44" s="1" t="n">
        <f aca="false">Table!V44*V$55</f>
        <v>7.16660650239881</v>
      </c>
      <c r="W44" s="1" t="n">
        <f aca="false">Table!W44*W$55</f>
        <v>163.317427544168</v>
      </c>
      <c r="X44" s="1" t="n">
        <f aca="false">Table!X44*X$55</f>
        <v>18.864505096698</v>
      </c>
      <c r="Y44" s="1" t="n">
        <f aca="false">Table!Y44*Y$55</f>
        <v>0.630529910206147</v>
      </c>
      <c r="Z44" s="1" t="n">
        <f aca="false">Table!Z44*Z$55</f>
        <v>17.07267362381</v>
      </c>
      <c r="AA44" s="1" t="n">
        <f aca="false">Table!AA44*AA$55</f>
        <v>9.9787023520651</v>
      </c>
      <c r="AB44" s="1" t="n">
        <f aca="false">Table!AB44*AB$55</f>
        <v>3.56834464592253</v>
      </c>
      <c r="AC44" s="1" t="n">
        <f aca="false">Table!AC44*AC$55</f>
        <v>0</v>
      </c>
      <c r="AD44" s="1" t="n">
        <f aca="false">Table!AD44*AD$55</f>
        <v>0</v>
      </c>
      <c r="AE44" s="1" t="n">
        <f aca="false">Table!AE44*AE$55</f>
        <v>0.3942769286966</v>
      </c>
      <c r="AF44" s="1" t="n">
        <f aca="false">Table!AF44*AF$55</f>
        <v>0</v>
      </c>
      <c r="AG44" s="1" t="n">
        <f aca="false">Table!AG44*AG$55</f>
        <v>0.239409970266826</v>
      </c>
      <c r="AH44" s="1" t="n">
        <f aca="false">Table!AH44*AH$55</f>
        <v>0</v>
      </c>
      <c r="AI44" s="1" t="n">
        <f aca="false">Table!AI44*AI$55</f>
        <v>2.47332474861189</v>
      </c>
      <c r="AJ44" s="1" t="n">
        <f aca="false">Table!AJ44*AJ$55</f>
        <v>15.5782913187505</v>
      </c>
      <c r="AK44" s="1" t="n">
        <f aca="false">Table!AK44*AK$55</f>
        <v>0</v>
      </c>
      <c r="AL44" s="1" t="n">
        <f aca="false">Table!AL44*AL$55</f>
        <v>200.088688365148</v>
      </c>
      <c r="AM44" s="1" t="n">
        <f aca="false">Table!AM44*AM$55</f>
        <v>2.54319783678355</v>
      </c>
      <c r="AN44" s="1" t="n">
        <f aca="false">Table!AN44*AN$55</f>
        <v>0</v>
      </c>
      <c r="AO44" s="1" t="n">
        <f aca="false">Table!AO44*AO$55</f>
        <v>21.9938863180267</v>
      </c>
      <c r="AP44" s="1" t="n">
        <f aca="false">Table!AP44*AP$55</f>
        <v>9.57326032488638</v>
      </c>
      <c r="AQ44" s="1" t="n">
        <f aca="false">Table!AQ44*AQ$55</f>
        <v>0.11127984598345</v>
      </c>
      <c r="AR44" s="1" t="n">
        <f aca="false">Table!AR44*AR$55</f>
        <v>23.8633550990139</v>
      </c>
      <c r="AS44" s="1" t="n">
        <f aca="false">Table!AS44*AS$55</f>
        <v>0</v>
      </c>
      <c r="AT44" s="1" t="n">
        <f aca="false">Table!AT44*AT$55</f>
        <v>0</v>
      </c>
      <c r="AU44" s="1" t="n">
        <f aca="false">Table!AU44*AU$55</f>
        <v>0</v>
      </c>
      <c r="AV44" s="1" t="n">
        <v>0</v>
      </c>
      <c r="AW44" s="1" t="n">
        <f aca="false">Table!AW44*AW$55</f>
        <v>19.8969647179736</v>
      </c>
      <c r="AX44" s="1" t="n">
        <f aca="false">Table!AX44*AX$55</f>
        <v>0.0112137515481207</v>
      </c>
      <c r="AY44" s="1" t="n">
        <f aca="false">Table!AY44*AY$55</f>
        <v>0</v>
      </c>
      <c r="AZ44" s="1" t="n">
        <f aca="false">Table!AZ44*AZ$55</f>
        <v>425.874150048657</v>
      </c>
      <c r="BA44" s="1" t="n">
        <f aca="false">Table!BA44*BA$55</f>
        <v>4.47418402775135</v>
      </c>
      <c r="BB44" s="1" t="n">
        <f aca="false">Table!BB44*BB$55</f>
        <v>7.49260056096662</v>
      </c>
      <c r="BC44" s="1" t="n">
        <f aca="false">Table!BC44*BC$55</f>
        <v>0.00248198201941915</v>
      </c>
      <c r="BD44" s="1" t="n">
        <f aca="false">Table!BD44*BD$55</f>
        <v>0</v>
      </c>
      <c r="BE44" s="0" t="n">
        <v>423</v>
      </c>
      <c r="BF44" s="2" t="n">
        <f aca="false">SUM(F44:BE44)/(D44)</f>
        <v>0.000736567990101261</v>
      </c>
      <c r="BG44" s="0" t="n">
        <v>5.80051647196015E-005</v>
      </c>
      <c r="BI44" s="0" t="str">
        <f aca="false">A44</f>
        <v>tennes~1</v>
      </c>
      <c r="BJ44" s="0" t="n">
        <f aca="false">BF44</f>
        <v>0.000736567990101261</v>
      </c>
      <c r="BL44" s="0" t="n">
        <f aca="false">SUM(F44:BD44)/(D44-Table!BG44)</f>
        <v>0.0166026291755834</v>
      </c>
    </row>
    <row r="45" customFormat="false" ht="12.75" hidden="false" customHeight="false" outlineLevel="0" collapsed="false">
      <c r="A45" s="0" t="s">
        <v>47</v>
      </c>
      <c r="B45" s="0" t="n">
        <v>16763610</v>
      </c>
      <c r="C45" s="0" t="n">
        <v>9237172</v>
      </c>
      <c r="D45" s="0" t="n">
        <v>7519296</v>
      </c>
      <c r="E45" s="0" t="n">
        <v>16763610</v>
      </c>
      <c r="F45" s="1" t="n">
        <f aca="false">Table!F45*F$55</f>
        <v>0</v>
      </c>
      <c r="G45" s="1" t="n">
        <f aca="false">Table!G45*G$55</f>
        <v>19.495096483817</v>
      </c>
      <c r="H45" s="1" t="n">
        <f aca="false">Table!H45*H$55</f>
        <v>0</v>
      </c>
      <c r="I45" s="1" t="n">
        <f aca="false">Table!I45*I$55</f>
        <v>0</v>
      </c>
      <c r="J45" s="1" t="n">
        <f aca="false">Table!J45*J$55</f>
        <v>105.580757534053</v>
      </c>
      <c r="K45" s="1" t="n">
        <f aca="false">Table!K45*K$55</f>
        <v>3.02284880321406</v>
      </c>
      <c r="L45" s="1" t="n">
        <f aca="false">Table!L45*L$55</f>
        <v>0.0683499615234032</v>
      </c>
      <c r="M45" s="1" t="n">
        <f aca="false">Table!M45*M$55</f>
        <v>14.6502227650257</v>
      </c>
      <c r="N45" s="1" t="n">
        <f aca="false">Table!N45*N$55</f>
        <v>0</v>
      </c>
      <c r="O45" s="1" t="n">
        <f aca="false">Table!O45*O$55</f>
        <v>199.331733454126</v>
      </c>
      <c r="P45" s="1" t="n">
        <f aca="false">Table!P45*P$55</f>
        <v>6.45873426126779</v>
      </c>
      <c r="Q45" s="1" t="n">
        <f aca="false">Table!Q45*Q$55</f>
        <v>0</v>
      </c>
      <c r="R45" s="1" t="n">
        <f aca="false">Table!R45*R$55</f>
        <v>0</v>
      </c>
      <c r="S45" s="1" t="n">
        <f aca="false">Table!S45*S$55</f>
        <v>167.058661663459</v>
      </c>
      <c r="T45" s="1" t="n">
        <f aca="false">Table!T45*T$55</f>
        <v>24.4368751220515</v>
      </c>
      <c r="U45" s="1" t="n">
        <f aca="false">Table!U45*U$55</f>
        <v>0.354205173985097</v>
      </c>
      <c r="V45" s="1" t="n">
        <f aca="false">Table!V45*V$55</f>
        <v>50.2953735618799</v>
      </c>
      <c r="W45" s="1" t="n">
        <f aca="false">Table!W45*W$55</f>
        <v>2.56979803175088</v>
      </c>
      <c r="X45" s="1" t="n">
        <f aca="false">Table!X45*X$55</f>
        <v>258.578886060658</v>
      </c>
      <c r="Y45" s="1" t="n">
        <f aca="false">Table!Y45*Y$55</f>
        <v>7.88162387757683</v>
      </c>
      <c r="Z45" s="1" t="n">
        <f aca="false">Table!Z45*Z$55</f>
        <v>49.9533783807776</v>
      </c>
      <c r="AA45" s="1" t="n">
        <f aca="false">Table!AA45*AA$55</f>
        <v>52.2842425321744</v>
      </c>
      <c r="AB45" s="1" t="n">
        <f aca="false">Table!AB45*AB$55</f>
        <v>5.46702906414633</v>
      </c>
      <c r="AC45" s="1" t="n">
        <f aca="false">Table!AC45*AC$55</f>
        <v>0</v>
      </c>
      <c r="AD45" s="1" t="n">
        <f aca="false">Table!AD45*AD$55</f>
        <v>0</v>
      </c>
      <c r="AE45" s="1" t="n">
        <f aca="false">Table!AE45*AE$55</f>
        <v>1.02861456927783</v>
      </c>
      <c r="AF45" s="1" t="n">
        <f aca="false">Table!AF45*AF$55</f>
        <v>0</v>
      </c>
      <c r="AG45" s="1" t="n">
        <f aca="false">Table!AG45*AG$55</f>
        <v>1.08333011545739</v>
      </c>
      <c r="AH45" s="1" t="n">
        <f aca="false">Table!AH45*AH$55</f>
        <v>0</v>
      </c>
      <c r="AI45" s="1" t="n">
        <f aca="false">Table!AI45*AI$55</f>
        <v>8.47997056666934</v>
      </c>
      <c r="AJ45" s="1" t="n">
        <f aca="false">Table!AJ45*AJ$55</f>
        <v>213.996528115467</v>
      </c>
      <c r="AK45" s="1" t="n">
        <f aca="false">Table!AK45*AK$55</f>
        <v>0</v>
      </c>
      <c r="AL45" s="1" t="n">
        <f aca="false">Table!AL45*AL$55</f>
        <v>453.932546738842</v>
      </c>
      <c r="AM45" s="1" t="n">
        <f aca="false">Table!AM45*AM$55</f>
        <v>0.696351788643114</v>
      </c>
      <c r="AN45" s="1" t="n">
        <f aca="false">Table!AN45*AN$55</f>
        <v>0</v>
      </c>
      <c r="AO45" s="1" t="n">
        <f aca="false">Table!AO45*AO$55</f>
        <v>33.3360250022108</v>
      </c>
      <c r="AP45" s="1" t="n">
        <f aca="false">Table!AP45*AP$55</f>
        <v>311.054982302261</v>
      </c>
      <c r="AQ45" s="1" t="n">
        <f aca="false">Table!AQ45*AQ$55</f>
        <v>0.710071398180107</v>
      </c>
      <c r="AR45" s="1" t="n">
        <f aca="false">Table!AR45*AR$55</f>
        <v>124.697728115436</v>
      </c>
      <c r="AS45" s="1" t="n">
        <f aca="false">Table!AS45*AS$55</f>
        <v>1.60674306714054</v>
      </c>
      <c r="AT45" s="1" t="n">
        <f aca="false">Table!AT45*AT$55</f>
        <v>0</v>
      </c>
      <c r="AU45" s="1" t="n">
        <f aca="false">Table!AU45*AU$55</f>
        <v>0</v>
      </c>
      <c r="AV45" s="1" t="n">
        <f aca="false">Table!AV45*AV$55</f>
        <v>0.0526106844006786</v>
      </c>
      <c r="AW45" s="1" t="n">
        <v>0</v>
      </c>
      <c r="AX45" s="1" t="n">
        <f aca="false">Table!AX45*AX$55</f>
        <v>0.0797422332310805</v>
      </c>
      <c r="AY45" s="1" t="n">
        <f aca="false">Table!AY45*AY$55</f>
        <v>0</v>
      </c>
      <c r="AZ45" s="1" t="n">
        <f aca="false">Table!AZ45*AZ$55</f>
        <v>54.2986051684456</v>
      </c>
      <c r="BA45" s="1" t="n">
        <f aca="false">Table!BA45*BA$55</f>
        <v>23.1580451066019</v>
      </c>
      <c r="BB45" s="1" t="n">
        <f aca="false">Table!BB45*BB$55</f>
        <v>6.24383380080551</v>
      </c>
      <c r="BC45" s="1" t="n">
        <f aca="false">Table!BC45*BC$55</f>
        <v>0.00257264802926094</v>
      </c>
      <c r="BD45" s="1" t="n">
        <f aca="false">Table!BD45*BD$55</f>
        <v>0</v>
      </c>
      <c r="BE45" s="0" t="n">
        <v>7142</v>
      </c>
      <c r="BF45" s="2" t="n">
        <f aca="false">SUM(F45:BE45)/(D45)</f>
        <v>0.00124266236069874</v>
      </c>
      <c r="BG45" s="0" t="n">
        <v>0.0247474685546935</v>
      </c>
      <c r="BI45" s="0" t="str">
        <f aca="false">A45</f>
        <v>texas</v>
      </c>
      <c r="BJ45" s="0" t="n">
        <f aca="false">BF45</f>
        <v>0.00124266236069874</v>
      </c>
      <c r="BL45" s="0" t="n">
        <f aca="false">SUM(F45:BD45)/(D45-Table!BG45)</f>
        <v>0.0366459653194965</v>
      </c>
    </row>
    <row r="46" customFormat="false" ht="12.75" hidden="false" customHeight="false" outlineLevel="0" collapsed="false">
      <c r="A46" s="0" t="s">
        <v>48</v>
      </c>
      <c r="B46" s="0" t="n">
        <v>1721828</v>
      </c>
      <c r="C46" s="0" t="n">
        <v>987951</v>
      </c>
      <c r="D46" s="0" t="n">
        <v>733437</v>
      </c>
      <c r="E46" s="0" t="n">
        <v>1721828</v>
      </c>
      <c r="F46" s="1" t="n">
        <f aca="false">Table!F46*F$55</f>
        <v>0</v>
      </c>
      <c r="G46" s="1" t="n">
        <f aca="false">Table!G46*G$55</f>
        <v>7.48360155346522</v>
      </c>
      <c r="H46" s="1" t="n">
        <f aca="false">Table!H46*H$55</f>
        <v>0</v>
      </c>
      <c r="I46" s="1" t="n">
        <f aca="false">Table!I46*I$55</f>
        <v>0</v>
      </c>
      <c r="J46" s="1" t="n">
        <f aca="false">Table!J46*J$55</f>
        <v>37.8010401423482</v>
      </c>
      <c r="K46" s="1" t="n">
        <f aca="false">Table!K46*K$55</f>
        <v>1.41973329309467</v>
      </c>
      <c r="L46" s="1" t="n">
        <f aca="false">Table!L46*L$55</f>
        <v>0.00519771570520177</v>
      </c>
      <c r="M46" s="1" t="n">
        <f aca="false">Table!M46*M$55</f>
        <v>6.81993128716714</v>
      </c>
      <c r="N46" s="1" t="n">
        <f aca="false">Table!N46*N$55</f>
        <v>0</v>
      </c>
      <c r="O46" s="1" t="n">
        <f aca="false">Table!O46*O$55</f>
        <v>1.6345046476129</v>
      </c>
      <c r="P46" s="1" t="n">
        <f aca="false">Table!P46*P$55</f>
        <v>0.280450547961725</v>
      </c>
      <c r="Q46" s="1" t="n">
        <f aca="false">Table!Q46*Q$55</f>
        <v>0</v>
      </c>
      <c r="R46" s="1" t="n">
        <f aca="false">Table!R46*R$55</f>
        <v>0</v>
      </c>
      <c r="S46" s="1" t="n">
        <f aca="false">Table!S46*S$55</f>
        <v>9.71271288741041</v>
      </c>
      <c r="T46" s="1" t="n">
        <f aca="false">Table!T46*T$55</f>
        <v>2.00092879919237</v>
      </c>
      <c r="U46" s="1" t="n">
        <f aca="false">Table!U46*U$55</f>
        <v>0.0225403292535971</v>
      </c>
      <c r="V46" s="1" t="n">
        <f aca="false">Table!V46*V$55</f>
        <v>0</v>
      </c>
      <c r="W46" s="1" t="n">
        <f aca="false">Table!W46*W$55</f>
        <v>0.16906565998361</v>
      </c>
      <c r="X46" s="1" t="n">
        <f aca="false">Table!X46*X$55</f>
        <v>0.705215143801796</v>
      </c>
      <c r="Y46" s="1" t="n">
        <f aca="false">Table!Y46*Y$55</f>
        <v>0</v>
      </c>
      <c r="Z46" s="1" t="n">
        <f aca="false">Table!Z46*Z$55</f>
        <v>4.42624871728409</v>
      </c>
      <c r="AA46" s="1" t="n">
        <f aca="false">Table!AA46*AA$55</f>
        <v>5.30118562453458</v>
      </c>
      <c r="AB46" s="1" t="n">
        <f aca="false">Table!AB46*AB$55</f>
        <v>0.221636313411338</v>
      </c>
      <c r="AC46" s="1" t="n">
        <f aca="false">Table!AC46*AC$55</f>
        <v>0</v>
      </c>
      <c r="AD46" s="1" t="n">
        <f aca="false">Table!AD46*AD$55</f>
        <v>0</v>
      </c>
      <c r="AE46" s="1" t="n">
        <f aca="false">Table!AE46*AE$55</f>
        <v>0.0615345495653653</v>
      </c>
      <c r="AF46" s="1" t="n">
        <f aca="false">Table!AF46*AF$55</f>
        <v>0</v>
      </c>
      <c r="AG46" s="1" t="n">
        <f aca="false">Table!AG46*AG$55</f>
        <v>0.165591896101222</v>
      </c>
      <c r="AH46" s="1" t="n">
        <f aca="false">Table!AH46*AH$55</f>
        <v>0</v>
      </c>
      <c r="AI46" s="1" t="n">
        <f aca="false">Table!AI46*AI$55</f>
        <v>0</v>
      </c>
      <c r="AJ46" s="1" t="n">
        <f aca="false">Table!AJ46*AJ$55</f>
        <v>3.00633692116237</v>
      </c>
      <c r="AK46" s="1" t="n">
        <f aca="false">Table!AK46*AK$55</f>
        <v>0</v>
      </c>
      <c r="AL46" s="1" t="n">
        <f aca="false">Table!AL46*AL$55</f>
        <v>34.1776698202491</v>
      </c>
      <c r="AM46" s="1" t="n">
        <f aca="false">Table!AM46*AM$55</f>
        <v>0.0177226330089446</v>
      </c>
      <c r="AN46" s="1" t="n">
        <f aca="false">Table!AN46*AN$55</f>
        <v>0</v>
      </c>
      <c r="AO46" s="1" t="n">
        <f aca="false">Table!AO46*AO$55</f>
        <v>3.74783713042607</v>
      </c>
      <c r="AP46" s="1" t="n">
        <f aca="false">Table!AP46*AP$55</f>
        <v>2.27934769640152</v>
      </c>
      <c r="AQ46" s="1" t="n">
        <f aca="false">Table!AQ46*AQ$55</f>
        <v>0.535203068777544</v>
      </c>
      <c r="AR46" s="1" t="n">
        <f aca="false">Table!AR46*AR$55</f>
        <v>3.15838523369302</v>
      </c>
      <c r="AS46" s="1" t="n">
        <f aca="false">Table!AS46*AS$55</f>
        <v>0</v>
      </c>
      <c r="AT46" s="1" t="n">
        <f aca="false">Table!AT46*AT$55</f>
        <v>0</v>
      </c>
      <c r="AU46" s="1" t="n">
        <f aca="false">Table!AU46*AU$55</f>
        <v>0</v>
      </c>
      <c r="AV46" s="1" t="n">
        <f aca="false">Table!AV46*AV$55</f>
        <v>0.000406036153037211</v>
      </c>
      <c r="AW46" s="1" t="n">
        <f aca="false">Table!AW46*AW$55</f>
        <v>7.02828106953295</v>
      </c>
      <c r="AX46" s="1" t="n">
        <v>0</v>
      </c>
      <c r="AY46" s="1" t="n">
        <f aca="false">Table!AY46*AY$55</f>
        <v>0</v>
      </c>
      <c r="AZ46" s="1" t="n">
        <f aca="false">Table!AZ46*AZ$55</f>
        <v>3.44309921376605</v>
      </c>
      <c r="BA46" s="1" t="n">
        <f aca="false">Table!BA46*BA$55</f>
        <v>13.6711178625736</v>
      </c>
      <c r="BB46" s="1" t="n">
        <f aca="false">Table!BB46*BB$55</f>
        <v>0</v>
      </c>
      <c r="BC46" s="1" t="n">
        <f aca="false">Table!BC46*BC$55</f>
        <v>0.000725328078734363</v>
      </c>
      <c r="BD46" s="1" t="n">
        <f aca="false">Table!BD46*BD$55</f>
        <v>0</v>
      </c>
      <c r="BE46" s="0" t="n">
        <v>440</v>
      </c>
      <c r="BF46" s="2" t="n">
        <f aca="false">SUM(F46:BE46)/(D46)</f>
        <v>0.000803473578673719</v>
      </c>
      <c r="BG46" s="0" t="n">
        <v>0.000622986197117817</v>
      </c>
      <c r="BI46" s="0" t="str">
        <f aca="false">A46</f>
        <v>utah</v>
      </c>
      <c r="BJ46" s="0" t="n">
        <f aca="false">BF46</f>
        <v>0.000803473578673719</v>
      </c>
      <c r="BL46" s="0" t="n">
        <f aca="false">SUM(F46:BD46)/(D46-Table!BG46)</f>
        <v>0.0153031212711886</v>
      </c>
    </row>
    <row r="47" customFormat="false" ht="12.75" hidden="false" customHeight="false" outlineLevel="0" collapsed="false">
      <c r="A47" s="0" t="s">
        <v>49</v>
      </c>
      <c r="B47" s="0" t="n">
        <v>559333</v>
      </c>
      <c r="C47" s="0" t="n">
        <v>283282</v>
      </c>
      <c r="D47" s="0" t="n">
        <v>275969</v>
      </c>
      <c r="E47" s="0" t="n">
        <v>559333</v>
      </c>
      <c r="F47" s="1" t="n">
        <f aca="false">Table!F47*F$55</f>
        <v>0</v>
      </c>
      <c r="G47" s="1" t="n">
        <f aca="false">Table!G47*G$55</f>
        <v>0.628874080123128</v>
      </c>
      <c r="H47" s="1" t="n">
        <f aca="false">Table!H47*H$55</f>
        <v>0</v>
      </c>
      <c r="I47" s="1" t="n">
        <f aca="false">Table!I47*I$55</f>
        <v>0</v>
      </c>
      <c r="J47" s="1" t="n">
        <f aca="false">Table!J47*J$55</f>
        <v>0.317122819986143</v>
      </c>
      <c r="K47" s="1" t="n">
        <f aca="false">Table!K47*K$55</f>
        <v>0.0147888884697361</v>
      </c>
      <c r="L47" s="1" t="n">
        <f aca="false">Table!L47*L$55</f>
        <v>0.0712087051612642</v>
      </c>
      <c r="M47" s="1" t="n">
        <f aca="false">Table!M47*M$55</f>
        <v>2.52590047672857</v>
      </c>
      <c r="N47" s="1" t="n">
        <f aca="false">Table!N47*N$55</f>
        <v>0</v>
      </c>
      <c r="O47" s="1" t="n">
        <f aca="false">Table!O47*O$55</f>
        <v>4.90351394283871</v>
      </c>
      <c r="P47" s="1" t="n">
        <f aca="false">Table!P47*P$55</f>
        <v>0</v>
      </c>
      <c r="Q47" s="1" t="n">
        <f aca="false">Table!Q47*Q$55</f>
        <v>0</v>
      </c>
      <c r="R47" s="1" t="n">
        <f aca="false">Table!R47*R$55</f>
        <v>0</v>
      </c>
      <c r="S47" s="1" t="n">
        <f aca="false">Table!S47*S$55</f>
        <v>0</v>
      </c>
      <c r="T47" s="1" t="n">
        <f aca="false">Table!T47*T$55</f>
        <v>0</v>
      </c>
      <c r="U47" s="1" t="n">
        <f aca="false">Table!U47*U$55</f>
        <v>0.0279070743139773</v>
      </c>
      <c r="V47" s="1" t="n">
        <f aca="false">Table!V47*V$55</f>
        <v>0</v>
      </c>
      <c r="W47" s="1" t="n">
        <f aca="false">Table!W47*W$55</f>
        <v>0</v>
      </c>
      <c r="X47" s="1" t="n">
        <f aca="false">Table!X47*X$55</f>
        <v>1.38104632327852</v>
      </c>
      <c r="Y47" s="1" t="n">
        <f aca="false">Table!Y47*Y$55</f>
        <v>8.09180051431221</v>
      </c>
      <c r="Z47" s="1" t="n">
        <f aca="false">Table!Z47*Z$55</f>
        <v>3.72366955581042</v>
      </c>
      <c r="AA47" s="1" t="n">
        <f aca="false">Table!AA47*AA$55</f>
        <v>264.747446778227</v>
      </c>
      <c r="AB47" s="1" t="n">
        <f aca="false">Table!AB47*AB$55</f>
        <v>0</v>
      </c>
      <c r="AC47" s="1" t="n">
        <f aca="false">Table!AC47*AC$55</f>
        <v>0</v>
      </c>
      <c r="AD47" s="1" t="n">
        <f aca="false">Table!AD47*AD$55</f>
        <v>0</v>
      </c>
      <c r="AE47" s="1" t="n">
        <f aca="false">Table!AE47*AE$55</f>
        <v>0.0151937159420655</v>
      </c>
      <c r="AF47" s="1" t="n">
        <f aca="false">Table!AF47*AF$55</f>
        <v>0</v>
      </c>
      <c r="AG47" s="1" t="n">
        <f aca="false">Table!AG47*AG$55</f>
        <v>0</v>
      </c>
      <c r="AH47" s="1" t="n">
        <f aca="false">Table!AH47*AH$55</f>
        <v>0</v>
      </c>
      <c r="AI47" s="1" t="n">
        <f aca="false">Table!AI47*AI$55</f>
        <v>1238.42903484067</v>
      </c>
      <c r="AJ47" s="1" t="n">
        <f aca="false">Table!AJ47*AJ$55</f>
        <v>1.36651678234653</v>
      </c>
      <c r="AK47" s="1" t="n">
        <f aca="false">Table!AK47*AK$55</f>
        <v>0</v>
      </c>
      <c r="AL47" s="1" t="n">
        <f aca="false">Table!AL47*AL$55</f>
        <v>731.003947708823</v>
      </c>
      <c r="AM47" s="1" t="n">
        <f aca="false">Table!AM47*AM$55</f>
        <v>0</v>
      </c>
      <c r="AN47" s="1" t="n">
        <f aca="false">Table!AN47*AN$55</f>
        <v>0</v>
      </c>
      <c r="AO47" s="1" t="n">
        <f aca="false">Table!AO47*AO$55</f>
        <v>1.01914869336148</v>
      </c>
      <c r="AP47" s="1" t="n">
        <f aca="false">Table!AP47*AP$55</f>
        <v>0</v>
      </c>
      <c r="AQ47" s="1" t="n">
        <f aca="false">Table!AQ47*AQ$55</f>
        <v>0</v>
      </c>
      <c r="AR47" s="1" t="n">
        <f aca="false">Table!AR47*AR$55</f>
        <v>12.165632011262</v>
      </c>
      <c r="AS47" s="1" t="n">
        <f aca="false">Table!AS47*AS$55</f>
        <v>0</v>
      </c>
      <c r="AT47" s="1" t="n">
        <f aca="false">Table!AT47*AT$55</f>
        <v>0</v>
      </c>
      <c r="AU47" s="1" t="n">
        <f aca="false">Table!AU47*AU$55</f>
        <v>0</v>
      </c>
      <c r="AV47" s="1" t="n">
        <f aca="false">Table!AV47*AV$55</f>
        <v>0</v>
      </c>
      <c r="AW47" s="1" t="n">
        <f aca="false">Table!AW47*AW$55</f>
        <v>0.742424056640805</v>
      </c>
      <c r="AX47" s="1" t="n">
        <f aca="false">Table!AX47*AX$55</f>
        <v>0</v>
      </c>
      <c r="AY47" s="1" t="n">
        <v>0</v>
      </c>
      <c r="AZ47" s="1" t="n">
        <f aca="false">Table!AZ47*AZ$55</f>
        <v>0</v>
      </c>
      <c r="BA47" s="1" t="n">
        <f aca="false">Table!BA47*BA$55</f>
        <v>0</v>
      </c>
      <c r="BB47" s="1" t="n">
        <f aca="false">Table!BB47*BB$55</f>
        <v>0</v>
      </c>
      <c r="BC47" s="1" t="n">
        <f aca="false">Table!BC47*BC$55</f>
        <v>0</v>
      </c>
      <c r="BD47" s="1" t="n">
        <f aca="false">Table!BD47*BD$55</f>
        <v>0</v>
      </c>
      <c r="BE47" s="0" t="n">
        <v>82</v>
      </c>
      <c r="BF47" s="2" t="n">
        <f aca="false">SUM(F47:BE47)/(D47)</f>
        <v>0.0085269547556729</v>
      </c>
      <c r="BG47" s="0" t="n">
        <v>0</v>
      </c>
      <c r="BI47" s="0" t="str">
        <f aca="false">A47</f>
        <v>vermont</v>
      </c>
      <c r="BJ47" s="0" t="n">
        <f aca="false">BF47</f>
        <v>0.0085269547556729</v>
      </c>
      <c r="BL47" s="0" t="n">
        <f aca="false">SUM(F47:BD47)/(D47-Table!BG47)</f>
        <v>0.141040500339582</v>
      </c>
    </row>
    <row r="48" customFormat="false" ht="12.75" hidden="false" customHeight="false" outlineLevel="0" collapsed="false">
      <c r="A48" s="0" t="s">
        <v>50</v>
      </c>
      <c r="B48" s="0" t="n">
        <v>6181215</v>
      </c>
      <c r="C48" s="0" t="n">
        <v>3030855</v>
      </c>
      <c r="D48" s="0" t="n">
        <v>3144282</v>
      </c>
      <c r="E48" s="0" t="n">
        <v>6181215</v>
      </c>
      <c r="F48" s="1" t="n">
        <f aca="false">Table!F48*F$55</f>
        <v>0</v>
      </c>
      <c r="G48" s="1" t="n">
        <f aca="false">Table!G48*G$55</f>
        <v>5.84852894514509</v>
      </c>
      <c r="H48" s="1" t="n">
        <f aca="false">Table!H48*H$55</f>
        <v>0</v>
      </c>
      <c r="I48" s="1" t="n">
        <f aca="false">Table!I48*I$55</f>
        <v>0</v>
      </c>
      <c r="J48" s="1" t="n">
        <f aca="false">Table!J48*J$55</f>
        <v>32.9173487145616</v>
      </c>
      <c r="K48" s="1" t="n">
        <f aca="false">Table!K48*K$55</f>
        <v>1.07367330290284</v>
      </c>
      <c r="L48" s="1" t="n">
        <f aca="false">Table!L48*L$55</f>
        <v>0.105253743030336</v>
      </c>
      <c r="M48" s="1" t="n">
        <f aca="false">Table!M48*M$55</f>
        <v>55.3172204403557</v>
      </c>
      <c r="N48" s="1" t="n">
        <f aca="false">Table!N48*N$55</f>
        <v>0</v>
      </c>
      <c r="O48" s="1" t="n">
        <f aca="false">Table!O48*O$55</f>
        <v>125.623357202249</v>
      </c>
      <c r="P48" s="1" t="n">
        <f aca="false">Table!P48*P$55</f>
        <v>4.83463258053422</v>
      </c>
      <c r="Q48" s="1" t="n">
        <f aca="false">Table!Q48*Q$55</f>
        <v>0</v>
      </c>
      <c r="R48" s="1" t="n">
        <f aca="false">Table!R48*R$55</f>
        <v>0</v>
      </c>
      <c r="S48" s="1" t="n">
        <f aca="false">Table!S48*S$55</f>
        <v>44.6784792820879</v>
      </c>
      <c r="T48" s="1" t="n">
        <f aca="false">Table!T48*T$55</f>
        <v>11.8778539356313</v>
      </c>
      <c r="U48" s="1" t="n">
        <f aca="false">Table!U48*U$55</f>
        <v>0.0257603762898252</v>
      </c>
      <c r="V48" s="1" t="n">
        <f aca="false">Table!V48*V$55</f>
        <v>4.64860962317761</v>
      </c>
      <c r="W48" s="1" t="n">
        <f aca="false">Table!W48*W$55</f>
        <v>15.5709472844905</v>
      </c>
      <c r="X48" s="1" t="n">
        <f aca="false">Table!X48*X$55</f>
        <v>7.2284552239684</v>
      </c>
      <c r="Y48" s="1" t="n">
        <f aca="false">Table!Y48*Y$55</f>
        <v>23.9601365878336</v>
      </c>
      <c r="Z48" s="1" t="n">
        <f aca="false">Table!Z48*Z$55</f>
        <v>3445.72923953144</v>
      </c>
      <c r="AA48" s="1" t="n">
        <f aca="false">Table!AA48*AA$55</f>
        <v>63.926061942917</v>
      </c>
      <c r="AB48" s="1" t="n">
        <f aca="false">Table!AB48*AB$55</f>
        <v>1.86174503265524</v>
      </c>
      <c r="AC48" s="1" t="n">
        <f aca="false">Table!AC48*AC$55</f>
        <v>0</v>
      </c>
      <c r="AD48" s="1" t="n">
        <f aca="false">Table!AD48*AD$55</f>
        <v>0</v>
      </c>
      <c r="AE48" s="1" t="n">
        <f aca="false">Table!AE48*AE$55</f>
        <v>0.186882706087406</v>
      </c>
      <c r="AF48" s="1" t="n">
        <f aca="false">Table!AF48*AF$55</f>
        <v>0</v>
      </c>
      <c r="AG48" s="1" t="n">
        <f aca="false">Table!AG48*AG$55</f>
        <v>0.0418967447966946</v>
      </c>
      <c r="AH48" s="1" t="n">
        <f aca="false">Table!AH48*AH$55</f>
        <v>0</v>
      </c>
      <c r="AI48" s="1" t="n">
        <f aca="false">Table!AI48*AI$55</f>
        <v>9.89329899444757</v>
      </c>
      <c r="AJ48" s="1" t="n">
        <f aca="false">Table!AJ48*AJ$55</f>
        <v>315.665376722049</v>
      </c>
      <c r="AK48" s="1" t="n">
        <f aca="false">Table!AK48*AK$55</f>
        <v>0</v>
      </c>
      <c r="AL48" s="1" t="n">
        <f aca="false">Table!AL48*AL$55</f>
        <v>1161.70895185138</v>
      </c>
      <c r="AM48" s="1" t="n">
        <f aca="false">Table!AM48*AM$55</f>
        <v>9.88258323161272</v>
      </c>
      <c r="AN48" s="1" t="n">
        <f aca="false">Table!AN48*AN$55</f>
        <v>0</v>
      </c>
      <c r="AO48" s="1" t="n">
        <f aca="false">Table!AO48*AO$55</f>
        <v>18.7391856521304</v>
      </c>
      <c r="AP48" s="1" t="n">
        <f aca="false">Table!AP48*AP$55</f>
        <v>7.74978216776517</v>
      </c>
      <c r="AQ48" s="1" t="n">
        <f aca="false">Table!AQ48*AQ$55</f>
        <v>0.349736658805128</v>
      </c>
      <c r="AR48" s="1" t="n">
        <f aca="false">Table!AR48*AR$55</f>
        <v>178.273299857339</v>
      </c>
      <c r="AS48" s="1" t="n">
        <f aca="false">Table!AS48*AS$55</f>
        <v>7.51058968593603</v>
      </c>
      <c r="AT48" s="1" t="n">
        <f aca="false">Table!AT48*AT$55</f>
        <v>0</v>
      </c>
      <c r="AU48" s="1" t="n">
        <f aca="false">Table!AU48*AU$55</f>
        <v>0</v>
      </c>
      <c r="AV48" s="1" t="n">
        <f aca="false">Table!AV48*AV$55</f>
        <v>0.596525113976382</v>
      </c>
      <c r="AW48" s="1" t="n">
        <f aca="false">Table!AW48*AW$55</f>
        <v>22.4212065105523</v>
      </c>
      <c r="AX48" s="1" t="n">
        <f aca="false">Table!AX48*AX$55</f>
        <v>0.0710204264714311</v>
      </c>
      <c r="AY48" s="1" t="n">
        <f aca="false">Table!AY48*AY$55</f>
        <v>0</v>
      </c>
      <c r="AZ48" s="1" t="n">
        <v>0</v>
      </c>
      <c r="BA48" s="1" t="n">
        <f aca="false">Table!BA48*BA$55</f>
        <v>11.4340258486979</v>
      </c>
      <c r="BB48" s="1" t="n">
        <f aca="false">Table!BB48*BB$55</f>
        <v>400.262608914796</v>
      </c>
      <c r="BC48" s="1" t="n">
        <f aca="false">Table!BC48*BC$55</f>
        <v>0.00227798349727511</v>
      </c>
      <c r="BD48" s="1" t="n">
        <f aca="false">Table!BD48*BD$55</f>
        <v>0</v>
      </c>
      <c r="BE48" s="0" t="n">
        <v>6078</v>
      </c>
      <c r="BF48" s="2" t="n">
        <f aca="false">SUM(F48:BE48)/(D48)</f>
        <v>0.003838083401177</v>
      </c>
      <c r="BG48" s="0" t="n">
        <v>0.0465283677535952</v>
      </c>
      <c r="BI48" s="0" t="str">
        <f aca="false">A48</f>
        <v>virginia</v>
      </c>
      <c r="BJ48" s="0" t="n">
        <f aca="false">BF48</f>
        <v>0.003838083401177</v>
      </c>
      <c r="BL48" s="0" t="n">
        <f aca="false">SUM(F48:BD48)/(D48-Table!BG48)</f>
        <v>0.020499083028995</v>
      </c>
    </row>
    <row r="49" customFormat="false" ht="12.75" hidden="false" customHeight="false" outlineLevel="0" collapsed="false">
      <c r="A49" s="0" t="s">
        <v>51</v>
      </c>
      <c r="B49" s="0" t="n">
        <v>4841964</v>
      </c>
      <c r="C49" s="0" t="n">
        <v>2549571</v>
      </c>
      <c r="D49" s="0" t="n">
        <v>2289795</v>
      </c>
      <c r="E49" s="0" t="n">
        <v>4841964</v>
      </c>
      <c r="F49" s="1" t="n">
        <f aca="false">Table!F49*F$55</f>
        <v>0</v>
      </c>
      <c r="G49" s="1" t="n">
        <f aca="false">Table!G49*G$55</f>
        <v>219.791491003033</v>
      </c>
      <c r="H49" s="1" t="n">
        <f aca="false">Table!H49*H$55</f>
        <v>0</v>
      </c>
      <c r="I49" s="1" t="n">
        <f aca="false">Table!I49*I$55</f>
        <v>0</v>
      </c>
      <c r="J49" s="1" t="n">
        <f aca="false">Table!J49*J$55</f>
        <v>73.3822205447934</v>
      </c>
      <c r="K49" s="1" t="n">
        <f aca="false">Table!K49*K$55</f>
        <v>0.896206641266009</v>
      </c>
      <c r="L49" s="1" t="n">
        <f aca="false">Table!L49*L$55</f>
        <v>0.0109152029809237</v>
      </c>
      <c r="M49" s="1" t="n">
        <f aca="false">Table!M49*M$55</f>
        <v>0</v>
      </c>
      <c r="N49" s="1" t="n">
        <f aca="false">Table!N49*N$55</f>
        <v>0</v>
      </c>
      <c r="O49" s="1" t="n">
        <f aca="false">Table!O49*O$55</f>
        <v>14.010039836682</v>
      </c>
      <c r="P49" s="1" t="n">
        <f aca="false">Table!P49*P$55</f>
        <v>0.514856976108839</v>
      </c>
      <c r="Q49" s="1" t="n">
        <f aca="false">Table!Q49*Q$55</f>
        <v>0</v>
      </c>
      <c r="R49" s="1" t="n">
        <f aca="false">Table!R49*R$55</f>
        <v>0</v>
      </c>
      <c r="S49" s="1" t="n">
        <f aca="false">Table!S49*S$55</f>
        <v>30.5256690747184</v>
      </c>
      <c r="T49" s="1" t="n">
        <f aca="false">Table!T49*T$55</f>
        <v>5.74734867853128</v>
      </c>
      <c r="U49" s="1" t="n">
        <f aca="false">Table!U49*U$55</f>
        <v>0</v>
      </c>
      <c r="V49" s="1" t="n">
        <f aca="false">Table!V49*V$55</f>
        <v>4.4549175555452</v>
      </c>
      <c r="W49" s="1" t="n">
        <f aca="false">Table!W49*W$55</f>
        <v>1.11583335589183</v>
      </c>
      <c r="X49" s="1" t="n">
        <f aca="false">Table!X49*X$55</f>
        <v>2.29194921735584</v>
      </c>
      <c r="Y49" s="1" t="n">
        <f aca="false">Table!Y49*Y$55</f>
        <v>0</v>
      </c>
      <c r="Z49" s="1" t="n">
        <f aca="false">Table!Z49*Z$55</f>
        <v>8.85249743456817</v>
      </c>
      <c r="AA49" s="1" t="n">
        <f aca="false">Table!AA49*AA$55</f>
        <v>9.35503345506103</v>
      </c>
      <c r="AB49" s="1" t="n">
        <f aca="false">Table!AB49*AB$55</f>
        <v>1.10818156705669</v>
      </c>
      <c r="AC49" s="1" t="n">
        <f aca="false">Table!AC49*AC$55</f>
        <v>0</v>
      </c>
      <c r="AD49" s="1" t="n">
        <f aca="false">Table!AD49*AD$55</f>
        <v>0</v>
      </c>
      <c r="AE49" s="1" t="n">
        <f aca="false">Table!AE49*AE$55</f>
        <v>0.123069099130731</v>
      </c>
      <c r="AF49" s="1" t="n">
        <f aca="false">Table!AF49*AF$55</f>
        <v>0</v>
      </c>
      <c r="AG49" s="1" t="n">
        <f aca="false">Table!AG49*AG$55</f>
        <v>0.173572228443449</v>
      </c>
      <c r="AH49" s="1" t="n">
        <f aca="false">Table!AH49*AH$55</f>
        <v>0</v>
      </c>
      <c r="AI49" s="1" t="n">
        <f aca="false">Table!AI49*AI$55</f>
        <v>0</v>
      </c>
      <c r="AJ49" s="1" t="n">
        <f aca="false">Table!AJ49*AJ$55</f>
        <v>63.9529854138177</v>
      </c>
      <c r="AK49" s="1" t="n">
        <f aca="false">Table!AK49*AK$55</f>
        <v>0</v>
      </c>
      <c r="AL49" s="1" t="n">
        <f aca="false">Table!AL49*AL$55</f>
        <v>65.7007633437798</v>
      </c>
      <c r="AM49" s="1" t="n">
        <f aca="false">Table!AM49*AM$55</f>
        <v>0.0819671776663686</v>
      </c>
      <c r="AN49" s="1" t="n">
        <f aca="false">Table!AN49*AN$55</f>
        <v>0</v>
      </c>
      <c r="AO49" s="1" t="n">
        <f aca="false">Table!AO49*AO$55</f>
        <v>2.95881878717848</v>
      </c>
      <c r="AP49" s="1" t="n">
        <f aca="false">Table!AP49*AP$55</f>
        <v>4.33076062316289</v>
      </c>
      <c r="AQ49" s="1" t="n">
        <f aca="false">Table!AQ49*AQ$55</f>
        <v>220.461272014069</v>
      </c>
      <c r="AR49" s="1" t="n">
        <f aca="false">Table!AR49*AR$55</f>
        <v>20.0031064800558</v>
      </c>
      <c r="AS49" s="1" t="n">
        <f aca="false">Table!AS49*AS$55</f>
        <v>0.672590121128599</v>
      </c>
      <c r="AT49" s="1" t="n">
        <f aca="false">Table!AT49*AT$55</f>
        <v>0</v>
      </c>
      <c r="AU49" s="1" t="n">
        <f aca="false">Table!AU49*AU$55</f>
        <v>0</v>
      </c>
      <c r="AV49" s="1" t="n">
        <f aca="false">Table!AV49*AV$55</f>
        <v>0.00348030988317609</v>
      </c>
      <c r="AW49" s="1" t="n">
        <f aca="false">Table!AW49*AW$55</f>
        <v>10.2454519816431</v>
      </c>
      <c r="AX49" s="1" t="n">
        <f aca="false">Table!AX49*AX$55</f>
        <v>0.241095658284595</v>
      </c>
      <c r="AY49" s="1" t="n">
        <f aca="false">Table!AY49*AY$55</f>
        <v>0</v>
      </c>
      <c r="AZ49" s="1" t="n">
        <f aca="false">Table!AZ49*AZ$55</f>
        <v>9.21261681521185</v>
      </c>
      <c r="BA49" s="1" t="n">
        <v>0</v>
      </c>
      <c r="BB49" s="1" t="n">
        <f aca="false">Table!BB49*BB$55</f>
        <v>0</v>
      </c>
      <c r="BC49" s="1" t="n">
        <f aca="false">Table!BC49*BC$55</f>
        <v>0.000373997290597406</v>
      </c>
      <c r="BD49" s="1" t="n">
        <f aca="false">Table!BD49*BD$55</f>
        <v>0</v>
      </c>
      <c r="BE49" s="0" t="n">
        <v>2598</v>
      </c>
      <c r="BF49" s="2" t="n">
        <f aca="false">SUM(F49:BE49)/(D49)</f>
        <v>0.0014709697089016</v>
      </c>
      <c r="BG49" s="0" t="n">
        <v>0.0414276298865866</v>
      </c>
      <c r="BI49" s="0" t="str">
        <f aca="false">A49</f>
        <v>washin~1</v>
      </c>
      <c r="BJ49" s="0" t="n">
        <f aca="false">BF49</f>
        <v>0.0014709697089016</v>
      </c>
      <c r="BL49" s="0" t="n">
        <f aca="false">SUM(F49:BD49)/(D49-Table!BG49)</f>
        <v>0.0124407469527925</v>
      </c>
    </row>
    <row r="50" customFormat="false" ht="12.75" hidden="false" customHeight="false" outlineLevel="0" collapsed="false">
      <c r="A50" s="0" t="s">
        <v>52</v>
      </c>
      <c r="B50" s="0" t="n">
        <v>1785999</v>
      </c>
      <c r="C50" s="0" t="n">
        <v>1132742</v>
      </c>
      <c r="D50" s="0" t="n">
        <v>653163</v>
      </c>
      <c r="E50" s="0" t="n">
        <v>1785999</v>
      </c>
      <c r="F50" s="1" t="n">
        <f aca="false">Table!F50*F$55</f>
        <v>0</v>
      </c>
      <c r="G50" s="1" t="n">
        <f aca="false">Table!G50*G$55</f>
        <v>0</v>
      </c>
      <c r="H50" s="1" t="n">
        <f aca="false">Table!H50*H$55</f>
        <v>0</v>
      </c>
      <c r="I50" s="1" t="n">
        <f aca="false">Table!I50*I$55</f>
        <v>0</v>
      </c>
      <c r="J50" s="1" t="n">
        <f aca="false">Table!J50*J$55</f>
        <v>2.19871821857059</v>
      </c>
      <c r="K50" s="1" t="n">
        <f aca="false">Table!K50*K$55</f>
        <v>0.0946488862063112</v>
      </c>
      <c r="L50" s="1" t="n">
        <f aca="false">Table!L50*L$55</f>
        <v>0.0215705201765873</v>
      </c>
      <c r="M50" s="1" t="n">
        <f aca="false">Table!M50*M$55</f>
        <v>0</v>
      </c>
      <c r="N50" s="1" t="n">
        <f aca="false">Table!N50*N$55</f>
        <v>0</v>
      </c>
      <c r="O50" s="1" t="n">
        <f aca="false">Table!O50*O$55</f>
        <v>15.0997096017573</v>
      </c>
      <c r="P50" s="1" t="n">
        <f aca="false">Table!P50*P$55</f>
        <v>0.259521402591447</v>
      </c>
      <c r="Q50" s="1" t="n">
        <f aca="false">Table!Q50*Q$55</f>
        <v>0</v>
      </c>
      <c r="R50" s="1" t="n">
        <f aca="false">Table!R50*R$55</f>
        <v>0</v>
      </c>
      <c r="S50" s="1" t="n">
        <f aca="false">Table!S50*S$55</f>
        <v>9.80521491490955</v>
      </c>
      <c r="T50" s="1" t="n">
        <f aca="false">Table!T50*T$55</f>
        <v>8.8126013070813</v>
      </c>
      <c r="U50" s="1" t="n">
        <f aca="false">Table!U50*U$55</f>
        <v>0.0515207525796504</v>
      </c>
      <c r="V50" s="1" t="n">
        <f aca="false">Table!V50*V$55</f>
        <v>0</v>
      </c>
      <c r="W50" s="1" t="n">
        <f aca="false">Table!W50*W$55</f>
        <v>33.3312948657688</v>
      </c>
      <c r="X50" s="1" t="n">
        <f aca="false">Table!X50*X$55</f>
        <v>0.117535857300299</v>
      </c>
      <c r="Y50" s="1" t="n">
        <f aca="false">Table!Y50*Y$55</f>
        <v>0</v>
      </c>
      <c r="Z50" s="1" t="n">
        <f aca="false">Table!Z50*Z$55</f>
        <v>1029.13795572662</v>
      </c>
      <c r="AA50" s="1" t="n">
        <f aca="false">Table!AA50*AA$55</f>
        <v>3.32623411735503</v>
      </c>
      <c r="AB50" s="1" t="n">
        <f aca="false">Table!AB50*AB$55</f>
        <v>0.605805923324323</v>
      </c>
      <c r="AC50" s="1" t="n">
        <f aca="false">Table!AC50*AC$55</f>
        <v>0</v>
      </c>
      <c r="AD50" s="1" t="n">
        <f aca="false">Table!AD50*AD$55</f>
        <v>0</v>
      </c>
      <c r="AE50" s="1" t="n">
        <f aca="false">Table!AE50*AE$55</f>
        <v>0.116991612753904</v>
      </c>
      <c r="AF50" s="1" t="n">
        <f aca="false">Table!AF50*AF$55</f>
        <v>0</v>
      </c>
      <c r="AG50" s="1" t="n">
        <f aca="false">Table!AG50*AG$55</f>
        <v>0</v>
      </c>
      <c r="AH50" s="1" t="n">
        <f aca="false">Table!AH50*AH$55</f>
        <v>0</v>
      </c>
      <c r="AI50" s="1" t="n">
        <f aca="false">Table!AI50*AI$55</f>
        <v>0</v>
      </c>
      <c r="AJ50" s="1" t="n">
        <f aca="false">Table!AJ50*AJ$55</f>
        <v>72.6986928208355</v>
      </c>
      <c r="AK50" s="1" t="n">
        <f aca="false">Table!AK50*AK$55</f>
        <v>0</v>
      </c>
      <c r="AL50" s="1" t="n">
        <f aca="false">Table!AL50*AL$55</f>
        <v>43.1368648216736</v>
      </c>
      <c r="AM50" s="1" t="n">
        <f aca="false">Table!AM50*AM$55</f>
        <v>0.465957559526834</v>
      </c>
      <c r="AN50" s="1" t="n">
        <f aca="false">Table!AN50*AN$55</f>
        <v>0</v>
      </c>
      <c r="AO50" s="1" t="n">
        <f aca="false">Table!AO50*AO$55</f>
        <v>499.415735511425</v>
      </c>
      <c r="AP50" s="1" t="n">
        <f aca="false">Table!AP50*AP$55</f>
        <v>4.71065190589648</v>
      </c>
      <c r="AQ50" s="1" t="n">
        <f aca="false">Table!AQ50*AQ$55</f>
        <v>0</v>
      </c>
      <c r="AR50" s="1" t="n">
        <f aca="false">Table!AR50*AR$55</f>
        <v>547.336463275913</v>
      </c>
      <c r="AS50" s="1" t="n">
        <f aca="false">Table!AS50*AS$55</f>
        <v>0</v>
      </c>
      <c r="AT50" s="1" t="n">
        <f aca="false">Table!AT50*AT$55</f>
        <v>0</v>
      </c>
      <c r="AU50" s="1" t="n">
        <f aca="false">Table!AU50*AU$55</f>
        <v>0</v>
      </c>
      <c r="AV50" s="1" t="n">
        <f aca="false">Table!AV50*AV$55</f>
        <v>0.00893279536681864</v>
      </c>
      <c r="AW50" s="1" t="n">
        <f aca="false">Table!AW50*AW$55</f>
        <v>2.82121141523506</v>
      </c>
      <c r="AX50" s="1" t="n">
        <f aca="false">Table!AX50*AX$55</f>
        <v>0.0224275030962414</v>
      </c>
      <c r="AY50" s="1" t="n">
        <f aca="false">Table!AY50*AY$55</f>
        <v>0</v>
      </c>
      <c r="AZ50" s="1" t="n">
        <f aca="false">Table!AZ50*AZ$55</f>
        <v>973.60609524398</v>
      </c>
      <c r="BA50" s="1" t="n">
        <f aca="false">Table!BA50*BA$55</f>
        <v>0.579986818412212</v>
      </c>
      <c r="BB50" s="1" t="n">
        <v>0</v>
      </c>
      <c r="BC50" s="1" t="n">
        <f aca="false">Table!BC50*BC$55</f>
        <v>0.000373997290597406</v>
      </c>
      <c r="BD50" s="1" t="n">
        <f aca="false">Table!BD50*BD$55</f>
        <v>0</v>
      </c>
      <c r="BE50" s="0" t="n">
        <v>94</v>
      </c>
      <c r="BF50" s="2" t="n">
        <f aca="false">SUM(F50:BE50)/(D50)</f>
        <v>0.00511630744144364</v>
      </c>
      <c r="BG50" s="0" t="n">
        <v>0.0657245663242686</v>
      </c>
      <c r="BI50" s="0" t="str">
        <f aca="false">A50</f>
        <v>west-v~1</v>
      </c>
      <c r="BJ50" s="0" t="n">
        <f aca="false">BF50</f>
        <v>0.00511630744144364</v>
      </c>
      <c r="BL50" s="0" t="n">
        <f aca="false">SUM(F50:BD50)/(D50-Table!BG50)</f>
        <v>0.051171165724616</v>
      </c>
    </row>
    <row r="51" customFormat="false" ht="12.75" hidden="false" customHeight="false" outlineLevel="0" collapsed="false">
      <c r="A51" s="0" t="s">
        <v>53</v>
      </c>
      <c r="B51" s="0" t="n">
        <v>4881441</v>
      </c>
      <c r="C51" s="0" t="n">
        <v>2533950</v>
      </c>
      <c r="D51" s="0" t="n">
        <v>2347075</v>
      </c>
      <c r="E51" s="0" t="n">
        <v>4881441</v>
      </c>
      <c r="F51" s="1" t="n">
        <f aca="false">Table!F51*F$55</f>
        <v>0</v>
      </c>
      <c r="G51" s="1" t="n">
        <f aca="false">Table!G51*G$55</f>
        <v>2.38972150446789</v>
      </c>
      <c r="H51" s="1" t="n">
        <f aca="false">Table!H51*H$55</f>
        <v>0</v>
      </c>
      <c r="I51" s="1" t="n">
        <f aca="false">Table!I51*I$55</f>
        <v>0</v>
      </c>
      <c r="J51" s="1" t="n">
        <f aca="false">Table!J51*J$55</f>
        <v>10.8244589221937</v>
      </c>
      <c r="K51" s="1" t="n">
        <f aca="false">Table!K51*K$55</f>
        <v>0.860713308938642</v>
      </c>
      <c r="L51" s="1" t="n">
        <f aca="false">Table!L51*L$55</f>
        <v>0.00961577405462327</v>
      </c>
      <c r="M51" s="1" t="n">
        <f aca="false">Table!M51*M$55</f>
        <v>2.52590047672857</v>
      </c>
      <c r="N51" s="1" t="n">
        <f aca="false">Table!N51*N$55</f>
        <v>0</v>
      </c>
      <c r="O51" s="1" t="n">
        <f aca="false">Table!O51*O$55</f>
        <v>30.1994192035146</v>
      </c>
      <c r="P51" s="1" t="n">
        <f aca="false">Table!P51*P$55</f>
        <v>1.17621796980962</v>
      </c>
      <c r="Q51" s="1" t="n">
        <f aca="false">Table!Q51*Q$55</f>
        <v>0</v>
      </c>
      <c r="R51" s="1" t="n">
        <f aca="false">Table!R51*R$55</f>
        <v>0</v>
      </c>
      <c r="S51" s="1" t="n">
        <f aca="false">Table!S51*S$55</f>
        <v>3001.22828220982</v>
      </c>
      <c r="T51" s="1" t="n">
        <f aca="false">Table!T51*T$55</f>
        <v>18.4766616776487</v>
      </c>
      <c r="U51" s="1" t="n">
        <f aca="false">Table!U51*U$55</f>
        <v>3.94885101542779</v>
      </c>
      <c r="V51" s="1" t="n">
        <f aca="false">Table!V51*V$55</f>
        <v>8.07050281801668</v>
      </c>
      <c r="W51" s="1" t="n">
        <f aca="false">Table!W51*W$55</f>
        <v>1.51313765685331</v>
      </c>
      <c r="X51" s="1" t="n">
        <f aca="false">Table!X51*X$55</f>
        <v>1.96872560978001</v>
      </c>
      <c r="Y51" s="1" t="n">
        <f aca="false">Table!Y51*Y$55</f>
        <v>0</v>
      </c>
      <c r="Z51" s="1" t="n">
        <f aca="false">Table!Z51*Z$55</f>
        <v>5.05856996261039</v>
      </c>
      <c r="AA51" s="1" t="n">
        <f aca="false">Table!AA51*AA$55</f>
        <v>1.45522742634283</v>
      </c>
      <c r="AB51" s="1" t="n">
        <f aca="false">Table!AB51*AB$55</f>
        <v>37.4417612122886</v>
      </c>
      <c r="AC51" s="1" t="n">
        <f aca="false">Table!AC51*AC$55</f>
        <v>0</v>
      </c>
      <c r="AD51" s="1" t="n">
        <f aca="false">Table!AD51*AD$55</f>
        <v>0</v>
      </c>
      <c r="AE51" s="1" t="n">
        <f aca="false">Table!AE51*AE$55</f>
        <v>0.135224071884383</v>
      </c>
      <c r="AF51" s="1" t="n">
        <f aca="false">Table!AF51*AF$55</f>
        <v>0</v>
      </c>
      <c r="AG51" s="1" t="n">
        <f aca="false">Table!AG51*AG$55</f>
        <v>0.285296881234635</v>
      </c>
      <c r="AH51" s="1" t="n">
        <f aca="false">Table!AH51*AH$55</f>
        <v>0</v>
      </c>
      <c r="AI51" s="1" t="n">
        <f aca="false">Table!AI51*AI$55</f>
        <v>0</v>
      </c>
      <c r="AJ51" s="1" t="n">
        <f aca="false">Table!AJ51*AJ$55</f>
        <v>23.5040886563603</v>
      </c>
      <c r="AK51" s="1" t="n">
        <f aca="false">Table!AK51*AK$55</f>
        <v>0</v>
      </c>
      <c r="AL51" s="1" t="n">
        <f aca="false">Table!AL51*AL$55</f>
        <v>98.8829670527595</v>
      </c>
      <c r="AM51" s="1" t="n">
        <f aca="false">Table!AM51*AM$55</f>
        <v>0.110028013263864</v>
      </c>
      <c r="AN51" s="1" t="n">
        <f aca="false">Table!AN51*AN$55</f>
        <v>0</v>
      </c>
      <c r="AO51" s="1" t="n">
        <f aca="false">Table!AO51*AO$55</f>
        <v>9.17233824025328</v>
      </c>
      <c r="AP51" s="1" t="n">
        <f aca="false">Table!AP51*AP$55</f>
        <v>5.85032575409723</v>
      </c>
      <c r="AQ51" s="1" t="n">
        <f aca="false">Table!AQ51*AQ$55</f>
        <v>0.100681765413597</v>
      </c>
      <c r="AR51" s="1" t="n">
        <f aca="false">Table!AR51*AR$55</f>
        <v>10.0600418554667</v>
      </c>
      <c r="AS51" s="1" t="n">
        <f aca="false">Table!AS51*AS$55</f>
        <v>0</v>
      </c>
      <c r="AT51" s="1" t="n">
        <f aca="false">Table!AT51*AT$55</f>
        <v>0</v>
      </c>
      <c r="AU51" s="1" t="n">
        <f aca="false">Table!AU51*AU$55</f>
        <v>0</v>
      </c>
      <c r="AV51" s="1" t="n">
        <f aca="false">Table!AV51*AV$55</f>
        <v>0.00510445449532493</v>
      </c>
      <c r="AW51" s="1" t="n">
        <f aca="false">Table!AW51*AW$55</f>
        <v>4.42979687129014</v>
      </c>
      <c r="AX51" s="1" t="n">
        <f aca="false">Table!AX51*AX$55</f>
        <v>0.0242964616875948</v>
      </c>
      <c r="AY51" s="1" t="n">
        <f aca="false">Table!AY51*AY$55</f>
        <v>0</v>
      </c>
      <c r="AZ51" s="1" t="n">
        <f aca="false">Table!AZ51*AZ$55</f>
        <v>10.7945813188341</v>
      </c>
      <c r="BA51" s="1" t="n">
        <f aca="false">Table!BA51*BA$55</f>
        <v>1.5328223058037</v>
      </c>
      <c r="BB51" s="1" t="n">
        <f aca="false">Table!BB51*BB$55</f>
        <v>0</v>
      </c>
      <c r="BC51" s="1" t="n">
        <v>0</v>
      </c>
      <c r="BD51" s="1" t="n">
        <f aca="false">Table!BD51*BD$55</f>
        <v>0</v>
      </c>
      <c r="BE51" s="0" t="n">
        <v>416</v>
      </c>
      <c r="BF51" s="2" t="n">
        <f aca="false">SUM(F51:BE51)/(D51)</f>
        <v>0.00157985380119993</v>
      </c>
      <c r="BG51" s="0" t="n">
        <v>1.13332512302244E-005</v>
      </c>
      <c r="BI51" s="0" t="str">
        <f aca="false">A51</f>
        <v>wiscon~1</v>
      </c>
      <c r="BJ51" s="0" t="n">
        <f aca="false">BF51</f>
        <v>0.00157985380119993</v>
      </c>
      <c r="BL51" s="0" t="n">
        <f aca="false">SUM(F51:BD51)/(D51-Table!BG51)</f>
        <v>0.0435898383333731</v>
      </c>
    </row>
    <row r="52" customFormat="false" ht="12.75" hidden="false" customHeight="false" outlineLevel="0" collapsed="false">
      <c r="A52" s="0" t="s">
        <v>54</v>
      </c>
      <c r="B52" s="0" t="n">
        <v>453189</v>
      </c>
      <c r="C52" s="0" t="n">
        <v>245624</v>
      </c>
      <c r="D52" s="0" t="n">
        <v>207473</v>
      </c>
      <c r="E52" s="0" t="n">
        <v>453189</v>
      </c>
      <c r="F52" s="1" t="n">
        <f aca="false">Table!F52*F$55</f>
        <v>0</v>
      </c>
      <c r="G52" s="1" t="n">
        <f aca="false">Table!G52*G$55</f>
        <v>3.71035707272645</v>
      </c>
      <c r="H52" s="1" t="n">
        <f aca="false">Table!H52*H$55</f>
        <v>0</v>
      </c>
      <c r="I52" s="1" t="n">
        <f aca="false">Table!I52*I$55</f>
        <v>0</v>
      </c>
      <c r="J52" s="1" t="n">
        <f aca="false">Table!J52*J$55</f>
        <v>3.89003992516335</v>
      </c>
      <c r="K52" s="1" t="n">
        <f aca="false">Table!K52*K$55</f>
        <v>2.38396882132146</v>
      </c>
      <c r="L52" s="1" t="n">
        <f aca="false">Table!L52*L$55</f>
        <v>0</v>
      </c>
      <c r="M52" s="1" t="n">
        <f aca="false">Table!M52*M$55</f>
        <v>0</v>
      </c>
      <c r="N52" s="1" t="n">
        <f aca="false">Table!N52*N$55</f>
        <v>0</v>
      </c>
      <c r="O52" s="1" t="n">
        <f aca="false">Table!O52*O$55</f>
        <v>4.2030119510046</v>
      </c>
      <c r="P52" s="1" t="n">
        <f aca="false">Table!P52*P$55</f>
        <v>0.163247333888168</v>
      </c>
      <c r="Q52" s="1" t="n">
        <f aca="false">Table!Q52*Q$55</f>
        <v>0</v>
      </c>
      <c r="R52" s="1" t="n">
        <f aca="false">Table!R52*R$55</f>
        <v>0</v>
      </c>
      <c r="S52" s="1" t="n">
        <f aca="false">Table!S52*S$55</f>
        <v>11.7477574923916</v>
      </c>
      <c r="T52" s="1" t="n">
        <f aca="false">Table!T52*T$55</f>
        <v>0</v>
      </c>
      <c r="U52" s="1" t="n">
        <f aca="false">Table!U52*U$55</f>
        <v>0.0493740545554983</v>
      </c>
      <c r="V52" s="1" t="n">
        <f aca="false">Table!V52*V$55</f>
        <v>0</v>
      </c>
      <c r="W52" s="1" t="n">
        <f aca="false">Table!W52*W$55</f>
        <v>0</v>
      </c>
      <c r="X52" s="1" t="n">
        <f aca="false">Table!X52*X$55</f>
        <v>0</v>
      </c>
      <c r="Y52" s="1" t="n">
        <f aca="false">Table!Y52*Y$55</f>
        <v>3.04756123266304</v>
      </c>
      <c r="Z52" s="1" t="n">
        <f aca="false">Table!Z52*Z$55</f>
        <v>0</v>
      </c>
      <c r="AA52" s="1" t="n">
        <f aca="false">Table!AA52*AA$55</f>
        <v>0</v>
      </c>
      <c r="AB52" s="1" t="n">
        <f aca="false">Table!AB52*AB$55</f>
        <v>0</v>
      </c>
      <c r="AC52" s="1" t="n">
        <f aca="false">Table!AC52*AC$55</f>
        <v>0</v>
      </c>
      <c r="AD52" s="1" t="n">
        <f aca="false">Table!AD52*AD$55</f>
        <v>0</v>
      </c>
      <c r="AE52" s="1" t="n">
        <f aca="false">Table!AE52*AE$55</f>
        <v>0.0463408336232998</v>
      </c>
      <c r="AF52" s="1" t="n">
        <f aca="false">Table!AF52*AF$55</f>
        <v>0</v>
      </c>
      <c r="AG52" s="1" t="n">
        <f aca="false">Table!AG52*AG$55</f>
        <v>1.11924161099741</v>
      </c>
      <c r="AH52" s="1" t="n">
        <f aca="false">Table!AH52*AH$55</f>
        <v>0</v>
      </c>
      <c r="AI52" s="1" t="n">
        <f aca="false">Table!AI52*AI$55</f>
        <v>0.824441582870631</v>
      </c>
      <c r="AJ52" s="1" t="n">
        <f aca="false">Table!AJ52*AJ$55</f>
        <v>0</v>
      </c>
      <c r="AK52" s="1" t="n">
        <f aca="false">Table!AK52*AK$55</f>
        <v>0</v>
      </c>
      <c r="AL52" s="1" t="n">
        <f aca="false">Table!AL52*AL$55</f>
        <v>7.30008481597553</v>
      </c>
      <c r="AM52" s="1" t="n">
        <f aca="false">Table!AM52*AM$55</f>
        <v>0.00590754433631486</v>
      </c>
      <c r="AN52" s="1" t="n">
        <f aca="false">Table!AN52*AN$55</f>
        <v>0</v>
      </c>
      <c r="AO52" s="1" t="n">
        <f aca="false">Table!AO52*AO$55</f>
        <v>0.230130350113882</v>
      </c>
      <c r="AP52" s="1" t="n">
        <f aca="false">Table!AP52*AP$55</f>
        <v>2.96315200532198</v>
      </c>
      <c r="AQ52" s="1" t="n">
        <f aca="false">Table!AQ52*AQ$55</f>
        <v>0.206662571112121</v>
      </c>
      <c r="AR52" s="1" t="n">
        <f aca="false">Table!AR52*AR$55</f>
        <v>0</v>
      </c>
      <c r="AS52" s="1" t="n">
        <f aca="false">Table!AS52*AS$55</f>
        <v>0</v>
      </c>
      <c r="AT52" s="1" t="n">
        <f aca="false">Table!AT52*AT$55</f>
        <v>0</v>
      </c>
      <c r="AU52" s="1" t="n">
        <f aca="false">Table!AU52*AU$55</f>
        <v>0</v>
      </c>
      <c r="AV52" s="1" t="n">
        <f aca="false">Table!AV52*AV$55</f>
        <v>0</v>
      </c>
      <c r="AW52" s="1" t="n">
        <f aca="false">Table!AW52*AW$55</f>
        <v>3.01919116367261</v>
      </c>
      <c r="AX52" s="1" t="n">
        <f aca="false">Table!AX52*AX$55</f>
        <v>0.170075231813164</v>
      </c>
      <c r="AY52" s="1" t="n">
        <f aca="false">Table!AY52*AY$55</f>
        <v>0</v>
      </c>
      <c r="AZ52" s="1" t="n">
        <f aca="false">Table!AZ52*AZ$55</f>
        <v>0</v>
      </c>
      <c r="BA52" s="1" t="n">
        <f aca="false">Table!BA52*BA$55</f>
        <v>1.65710519546346</v>
      </c>
      <c r="BB52" s="1" t="n">
        <f aca="false">Table!BB52*BB$55</f>
        <v>1.18304219383683</v>
      </c>
      <c r="BC52" s="1" t="n">
        <f aca="false">Table!BC52*BC$55</f>
        <v>0.000124665763532469</v>
      </c>
      <c r="BD52" s="1" t="n">
        <v>0</v>
      </c>
      <c r="BE52" s="0" t="n">
        <v>92</v>
      </c>
      <c r="BF52" s="2" t="n">
        <f aca="false">SUM(F52:BE52)/(D52)</f>
        <v>0.000674404947384069</v>
      </c>
      <c r="BG52" s="0" t="n">
        <v>0</v>
      </c>
      <c r="BI52" s="0" t="str">
        <f aca="false">A52</f>
        <v>wyoming</v>
      </c>
      <c r="BJ52" s="0" t="n">
        <f aca="false">BF52</f>
        <v>0.000674404947384069</v>
      </c>
      <c r="BL52" s="0" t="n">
        <f aca="false">SUM(F52:BD52)/(D52-Table!BG52)</f>
        <v>0.0115138917944774</v>
      </c>
    </row>
    <row r="53" customFormat="false" ht="12.75" hidden="false" customHeight="false" outlineLevel="0" collapsed="false">
      <c r="A53" s="0" t="s">
        <v>3</v>
      </c>
      <c r="B53" s="0" t="n">
        <v>247919856</v>
      </c>
      <c r="C53" s="0" t="n">
        <v>133153993</v>
      </c>
      <c r="D53" s="0" t="n">
        <v>114700027</v>
      </c>
      <c r="E53" s="0" t="n">
        <v>247919856</v>
      </c>
      <c r="F53" s="1" t="n">
        <f aca="false">SUM(F2:F52)</f>
        <v>0</v>
      </c>
      <c r="G53" s="1" t="n">
        <f aca="false">SUM(G2:G52)</f>
        <v>508.067369331475</v>
      </c>
      <c r="H53" s="1" t="n">
        <f aca="false">SUM(H2:H52)</f>
        <v>0</v>
      </c>
      <c r="I53" s="1" t="n">
        <f aca="false">SUM(I2:I52)</f>
        <v>0</v>
      </c>
      <c r="J53" s="1" t="n">
        <f aca="false">SUM(J2:J52)</f>
        <v>1330.01310702188</v>
      </c>
      <c r="K53" s="1" t="n">
        <f aca="false">SUM(K2:K52)</f>
        <v>38.2588544712074</v>
      </c>
      <c r="L53" s="1" t="n">
        <f aca="false">SUM(L2:L52)</f>
        <v>19.78458506028</v>
      </c>
      <c r="M53" s="1" t="n">
        <f aca="false">SUM(M2:M52)</f>
        <v>12253.1432126103</v>
      </c>
      <c r="N53" s="1" t="n">
        <f aca="false">SUM(N2:N52)</f>
        <v>0</v>
      </c>
      <c r="O53" s="1" t="n">
        <f aca="false">SUM(O2:O52)</f>
        <v>3593.0303832264</v>
      </c>
      <c r="P53" s="1" t="n">
        <f aca="false">SUM(P2:P52)</f>
        <v>367.670668377822</v>
      </c>
      <c r="Q53" s="1" t="n">
        <f aca="false">SUM(Q2:Q52)</f>
        <v>0</v>
      </c>
      <c r="R53" s="1" t="n">
        <f aca="false">SUM(R2:R52)</f>
        <v>0</v>
      </c>
      <c r="S53" s="1" t="n">
        <f aca="false">SUM(S2:S52)</f>
        <v>13903.4247412318</v>
      </c>
      <c r="T53" s="1" t="n">
        <f aca="false">SUM(T2:T52)</f>
        <v>3548.79623070378</v>
      </c>
      <c r="U53" s="1" t="n">
        <f aca="false">SUM(U2:U52)</f>
        <v>51.8481240283336</v>
      </c>
      <c r="V53" s="1" t="n">
        <f aca="false">SUM(V2:V52)</f>
        <v>5324.65950323723</v>
      </c>
      <c r="W53" s="1" t="n">
        <f aca="false">SUM(W2:W52)</f>
        <v>820.872952201422</v>
      </c>
      <c r="X53" s="1" t="n">
        <f aca="false">SUM(X2:X52)</f>
        <v>1009.30979060199</v>
      </c>
      <c r="Y53" s="1" t="n">
        <f aca="false">SUM(Y2:Y52)</f>
        <v>1228.16717676321</v>
      </c>
      <c r="Z53" s="1" t="n">
        <f aca="false">SUM(Z2:Z52)</f>
        <v>10785.5034815307</v>
      </c>
      <c r="AA53" s="1" t="n">
        <f aca="false">SUM(AA2:AA52)</f>
        <v>15886.5099237523</v>
      </c>
      <c r="AB53" s="1" t="n">
        <f aca="false">SUM(AB2:AB52)</f>
        <v>238.909170103194</v>
      </c>
      <c r="AC53" s="1" t="n">
        <f aca="false">SUM(AC2:AC52)</f>
        <v>0</v>
      </c>
      <c r="AD53" s="1" t="n">
        <f aca="false">SUM(AD2:AD52)</f>
        <v>0</v>
      </c>
      <c r="AE53" s="1" t="n">
        <f aca="false">SUM(AE2:AE52)</f>
        <v>132.023515621187</v>
      </c>
      <c r="AF53" s="1" t="n">
        <f aca="false">SUM(AF2:AF52)</f>
        <v>0</v>
      </c>
      <c r="AG53" s="1" t="n">
        <f aca="false">SUM(AG2:AG52)</f>
        <v>66.950998185118</v>
      </c>
      <c r="AH53" s="1" t="n">
        <f aca="false">SUM(AH2:AH52)</f>
        <v>0</v>
      </c>
      <c r="AI53" s="1" t="n">
        <f aca="false">SUM(AI2:AI52)</f>
        <v>5148.75546239607</v>
      </c>
      <c r="AJ53" s="1" t="n">
        <f aca="false">SUM(AJ2:AJ52)</f>
        <v>69456.4951030401</v>
      </c>
      <c r="AK53" s="1" t="n">
        <f aca="false">SUM(AK2:AK52)</f>
        <v>0</v>
      </c>
      <c r="AL53" s="1" t="n">
        <f aca="false">SUM(AL2:AL52)</f>
        <v>142491.350989138</v>
      </c>
      <c r="AM53" s="1" t="n">
        <f aca="false">SUM(AM2:AM52)</f>
        <v>53.9897861326235</v>
      </c>
      <c r="AN53" s="1" t="n">
        <f aca="false">SUM(AN2:AN52)</f>
        <v>0</v>
      </c>
      <c r="AO53" s="1" t="n">
        <f aca="false">SUM(AO2:AO52)</f>
        <v>4516.17661792772</v>
      </c>
      <c r="AP53" s="1" t="n">
        <f aca="false">SUM(AP2:AP52)</f>
        <v>1105.78754578092</v>
      </c>
      <c r="AQ53" s="1" t="n">
        <f aca="false">SUM(AQ2:AQ52)</f>
        <v>259.615880679388</v>
      </c>
      <c r="AR53" s="1" t="n">
        <f aca="false">SUM(AR2:AR52)</f>
        <v>21145.5061168057</v>
      </c>
      <c r="AS53" s="1" t="n">
        <f aca="false">SUM(AS2:AS52)</f>
        <v>1292.71821280917</v>
      </c>
      <c r="AT53" s="1" t="n">
        <f aca="false">SUM(AT2:AT52)</f>
        <v>0</v>
      </c>
      <c r="AU53" s="1" t="n">
        <f aca="false">SUM(AU2:AU52)</f>
        <v>0</v>
      </c>
      <c r="AV53" s="1" t="n">
        <f aca="false">SUM(AV2:AV52)</f>
        <v>6.04344210180584</v>
      </c>
      <c r="AW53" s="1" t="n">
        <f aca="false">SUM(AW2:AW52)</f>
        <v>1696.2409896758</v>
      </c>
      <c r="AX53" s="1" t="n">
        <f aca="false">SUM(AX2:AX52)</f>
        <v>4.5141579843157</v>
      </c>
      <c r="AY53" s="1" t="n">
        <f aca="false">SUM(AY2:AY52)</f>
        <v>0</v>
      </c>
      <c r="AZ53" s="1" t="n">
        <f aca="false">SUM(AZ2:AZ52)</f>
        <v>9166.08844745826</v>
      </c>
      <c r="BA53" s="1" t="n">
        <f aca="false">SUM(BA2:BA52)</f>
        <v>1431.15890206202</v>
      </c>
      <c r="BB53" s="1" t="n">
        <f aca="false">SUM(BB2:BB52)</f>
        <v>3528.8176905163</v>
      </c>
      <c r="BC53" s="1" t="n">
        <f aca="false">SUM(BC2:BC52)</f>
        <v>0.357802074589415</v>
      </c>
      <c r="BD53" s="1" t="n">
        <f aca="false">SUM(BD2:BD52)</f>
        <v>0</v>
      </c>
      <c r="BE53" s="0" t="n">
        <v>0</v>
      </c>
      <c r="BI53" s="0" t="str">
        <f aca="false">A53</f>
        <v>TOTAL</v>
      </c>
      <c r="BJ53" s="0" t="n">
        <f aca="false">BF53</f>
        <v>0</v>
      </c>
      <c r="BL53" s="0" t="e">
        <f aca="false">SUM(F53:BD53)/Table!BG53</f>
        <v>#DIV/0!</v>
      </c>
    </row>
    <row r="54" customFormat="false" ht="12.75" hidden="false" customHeight="false" outlineLevel="0" collapsed="false">
      <c r="E54" s="0" t="s">
        <v>58</v>
      </c>
      <c r="F54" s="1" t="e">
        <f aca="false">MAX(F2:F52)/F53</f>
        <v>#DIV/0!</v>
      </c>
      <c r="G54" s="1" t="n">
        <f aca="false">MAX(G2:G52)/G53</f>
        <v>0.432603044931303</v>
      </c>
      <c r="H54" s="1" t="e">
        <f aca="false">MAX(H2:H52)/H53</f>
        <v>#DIV/0!</v>
      </c>
      <c r="I54" s="1" t="e">
        <f aca="false">MAX(I2:I52)/I53</f>
        <v>#DIV/0!</v>
      </c>
      <c r="J54" s="1" t="n">
        <f aca="false">MAX(J2:J52)/J53</f>
        <v>0.119678906374185</v>
      </c>
      <c r="K54" s="1" t="n">
        <f aca="false">MAX(K2:K52)/K53</f>
        <v>0.110630073444144</v>
      </c>
      <c r="L54" s="1" t="n">
        <f aca="false">MAX(L2:L52)/L53</f>
        <v>0.403504623791509</v>
      </c>
      <c r="M54" s="1" t="n">
        <f aca="false">MAX(M2:M52)/M53</f>
        <v>0.436775922490208</v>
      </c>
      <c r="N54" s="1" t="e">
        <f aca="false">N10/N53</f>
        <v>#DIV/0!</v>
      </c>
      <c r="O54" s="1" t="n">
        <f aca="false">MAX(O2:O52)/O53</f>
        <v>0.18049086931092</v>
      </c>
      <c r="P54" s="1" t="n">
        <f aca="false">MAX(P2:P52)/P53</f>
        <v>0.344410669763312</v>
      </c>
      <c r="Q54" s="1" t="e">
        <f aca="false">MAX(Q2:Q52)/Q53</f>
        <v>#DIV/0!</v>
      </c>
      <c r="R54" s="1" t="e">
        <f aca="false">MAX(R2:R52)/R53</f>
        <v>#DIV/0!</v>
      </c>
      <c r="S54" s="1" t="n">
        <f aca="false">MAX(S2:S52)/S53</f>
        <v>0.348014690227805</v>
      </c>
      <c r="T54" s="1" t="n">
        <f aca="false">MAX(T2:T52)/T53</f>
        <v>0.259411214280573</v>
      </c>
      <c r="U54" s="1" t="n">
        <f aca="false">MAX(U2:U52)/U53</f>
        <v>0.470075561536073</v>
      </c>
      <c r="V54" s="1" t="n">
        <f aca="false">MAX(V2:V52)/V53</f>
        <v>0.861648336991185</v>
      </c>
      <c r="W54" s="1" t="n">
        <f aca="false">MAX(W2:W52)/W53</f>
        <v>0.408631715530291</v>
      </c>
      <c r="X54" s="1" t="n">
        <f aca="false">MAX(X2:X52)/X53</f>
        <v>0.441322891496113</v>
      </c>
      <c r="Y54" s="1" t="n">
        <f aca="false">MAX(Y2:Y52)/Y53</f>
        <v>0.702318815778215</v>
      </c>
      <c r="Z54" s="1" t="n">
        <f aca="false">MAX(Z2:Z52)/Z53</f>
        <v>0.319477829239218</v>
      </c>
      <c r="AA54" s="1" t="n">
        <f aca="false">MAX(AA2:AA52)/AA53</f>
        <v>0.491055772200267</v>
      </c>
      <c r="AB54" s="1" t="n">
        <f aca="false">MAX(AB2:AB52)/AB53</f>
        <v>0.287618281897458</v>
      </c>
      <c r="AC54" s="1" t="e">
        <f aca="false">MAX(AC2:AC52)/AC53</f>
        <v>#DIV/0!</v>
      </c>
      <c r="AD54" s="1" t="e">
        <f aca="false">MAX(AD2:AD52)/AD53</f>
        <v>#DIV/0!</v>
      </c>
      <c r="AE54" s="1" t="n">
        <f aca="false">MAX(AE2:AE52)/AE53</f>
        <v>0.457502574991225</v>
      </c>
      <c r="AF54" s="1" t="e">
        <f aca="false">MAX(AF2:AF52)/AF53</f>
        <v>#DIV/0!</v>
      </c>
      <c r="AG54" s="1" t="n">
        <f aca="false">MAX(AG2:AG52)/AG53</f>
        <v>0.773437034388223</v>
      </c>
      <c r="AH54" s="1" t="e">
        <f aca="false">MAX(AH2:AH52)/AH53</f>
        <v>#DIV/0!</v>
      </c>
      <c r="AI54" s="1" t="n">
        <f aca="false">MAX(AI2:AI52)/AI53</f>
        <v>0.420075029737396</v>
      </c>
      <c r="AJ54" s="1" t="n">
        <f aca="false">MAX(AJ2:AJ52)/AJ53</f>
        <v>0.493359880694271</v>
      </c>
      <c r="AK54" s="1" t="e">
        <f aca="false">MAX(AK2:AK52)/AK53</f>
        <v>#DIV/0!</v>
      </c>
      <c r="AL54" s="1" t="n">
        <f aca="false">MAX(AL2:AL52)/AL53</f>
        <v>0.717601142002836</v>
      </c>
      <c r="AM54" s="1" t="n">
        <f aca="false">MAX(AM2:AM52)/AM53</f>
        <v>0.549054203766772</v>
      </c>
      <c r="AN54" s="1" t="e">
        <f aca="false">MAX(AN2:AN52)/AN53</f>
        <v>#DIV/0!</v>
      </c>
      <c r="AO54" s="1" t="n">
        <f aca="false">MAX(AO2:AO52)/AO53</f>
        <v>0.419797482729251</v>
      </c>
      <c r="AP54" s="1" t="n">
        <f aca="false">MAX(AP2:AP52)/AP53</f>
        <v>0.28129723787275</v>
      </c>
      <c r="AQ54" s="1" t="n">
        <f aca="false">MAX(AQ2:AQ52)/AQ53</f>
        <v>0.849182536280693</v>
      </c>
      <c r="AR54" s="1" t="n">
        <f aca="false">MAX(AR2:AR52)/AR53</f>
        <v>0.628779748404014</v>
      </c>
      <c r="AS54" s="1" t="n">
        <f aca="false">MAX(AS2:AS52)/AS53</f>
        <v>0.839461209388369</v>
      </c>
      <c r="AT54" s="1" t="e">
        <f aca="false">MAX(AT2:AT52)/AT53</f>
        <v>#DIV/0!</v>
      </c>
      <c r="AU54" s="1" t="e">
        <f aca="false">MAX(AU2:AU52)/AU53</f>
        <v>#DIV/0!</v>
      </c>
      <c r="AV54" s="1" t="n">
        <f aca="false">MAX(AV2:AV52)/AV53</f>
        <v>0.287192382999962</v>
      </c>
      <c r="AW54" s="1" t="n">
        <f aca="false">MAX(AW2:AW52)/AW53</f>
        <v>0.163563946193575</v>
      </c>
      <c r="AX54" s="1" t="n">
        <f aca="false">MAX(AX2:AX52)/AX53</f>
        <v>0.247308860060723</v>
      </c>
      <c r="AY54" s="1" t="e">
        <f aca="false">MAX(AY2:AY52)/AY53</f>
        <v>#DIV/0!</v>
      </c>
      <c r="AZ54" s="1" t="n">
        <f aca="false">MAX(AZ2:AZ52)/AZ53</f>
        <v>0.480994923857868</v>
      </c>
      <c r="BA54" s="1" t="n">
        <f aca="false">MAX(BA2:BA52)/BA53</f>
        <v>0.516586580211891</v>
      </c>
      <c r="BB54" s="1" t="n">
        <f aca="false">MAX(BB2:BB52)/BB53</f>
        <v>0.564396267530871</v>
      </c>
      <c r="BC54" s="1" t="n">
        <f aca="false">MAX(BC2:BC52)/BC53</f>
        <v>0.328180925532926</v>
      </c>
      <c r="BD54" s="1" t="e">
        <f aca="false">MAX(BD2:BD52)/BD53</f>
        <v>#DIV/0!</v>
      </c>
      <c r="BE54" s="0" t="e">
        <f aca="false">MAX(BE2:BE52)/BE53</f>
        <v>#DIV/0!</v>
      </c>
    </row>
    <row r="55" customFormat="false" ht="12.75" hidden="false" customHeight="false" outlineLevel="0" collapsed="false">
      <c r="A55" s="0" t="s">
        <v>56</v>
      </c>
      <c r="F55" s="1" t="n">
        <v>0</v>
      </c>
      <c r="G55" s="1" t="n">
        <v>0.0628874080123128</v>
      </c>
      <c r="H55" s="1" t="n">
        <v>0</v>
      </c>
      <c r="I55" s="1" t="n">
        <v>0</v>
      </c>
      <c r="J55" s="1" t="n">
        <v>0.0211415213324095</v>
      </c>
      <c r="K55" s="1" t="n">
        <v>0.00295777769394722</v>
      </c>
      <c r="L55" s="1" t="n">
        <v>0.000259885785260088</v>
      </c>
      <c r="M55" s="1" t="n">
        <v>0.252590047672857</v>
      </c>
      <c r="N55" s="1" t="n">
        <v>0</v>
      </c>
      <c r="O55" s="1" t="n">
        <v>0.0778335546482334</v>
      </c>
      <c r="P55" s="1" t="n">
        <v>0.0041858290740556</v>
      </c>
      <c r="Q55" s="1" t="n">
        <v>0</v>
      </c>
      <c r="R55" s="1" t="n">
        <v>0</v>
      </c>
      <c r="S55" s="1" t="n">
        <v>0.0925020274991467</v>
      </c>
      <c r="T55" s="1" t="n">
        <v>0.0425729531743058</v>
      </c>
      <c r="U55" s="1" t="n">
        <v>0.00107334901207605</v>
      </c>
      <c r="V55" s="1" t="n">
        <v>0.0645640225441334</v>
      </c>
      <c r="W55" s="1" t="n">
        <v>0.00845328299918051</v>
      </c>
      <c r="X55" s="1" t="n">
        <v>0.0293839643250748</v>
      </c>
      <c r="Y55" s="1" t="n">
        <v>0.105088318367691</v>
      </c>
      <c r="Z55" s="1" t="n">
        <v>0.0702579161473665</v>
      </c>
      <c r="AA55" s="1" t="n">
        <v>0.103944816167345</v>
      </c>
      <c r="AB55" s="1" t="n">
        <v>0.00738787711371125</v>
      </c>
      <c r="AC55" s="1" t="n">
        <v>0</v>
      </c>
      <c r="AD55" s="1" t="n">
        <v>0</v>
      </c>
      <c r="AE55" s="1" t="n">
        <v>0.000759685797103275</v>
      </c>
      <c r="AF55" s="1" t="n">
        <v>0</v>
      </c>
      <c r="AG55" s="1" t="n">
        <v>0.00199508308555689</v>
      </c>
      <c r="AH55" s="1" t="n">
        <v>0</v>
      </c>
      <c r="AI55" s="1" t="n">
        <v>0.117777368981519</v>
      </c>
      <c r="AJ55" s="1" t="n">
        <v>0.273303356469306</v>
      </c>
      <c r="AK55" s="1" t="n">
        <v>0</v>
      </c>
      <c r="AL55" s="1" t="n">
        <v>0.331822037089797</v>
      </c>
      <c r="AM55" s="1" t="n">
        <v>0.000738443042039357</v>
      </c>
      <c r="AN55" s="1" t="n">
        <v>0</v>
      </c>
      <c r="AO55" s="1" t="n">
        <v>0.0328757643019831</v>
      </c>
      <c r="AP55" s="1" t="n">
        <v>0.0759782565467173</v>
      </c>
      <c r="AQ55" s="1" t="n">
        <v>0.00529904028492617</v>
      </c>
      <c r="AR55" s="1" t="n">
        <v>0.116977230877519</v>
      </c>
      <c r="AS55" s="1" t="n">
        <v>0.0373661178404778</v>
      </c>
      <c r="AT55" s="1" t="n">
        <v>0</v>
      </c>
      <c r="AU55" s="1" t="n">
        <v>0</v>
      </c>
      <c r="AV55" s="1" t="n">
        <v>5.80051647196015E-005</v>
      </c>
      <c r="AW55" s="1" t="n">
        <v>0.0247474685546935</v>
      </c>
      <c r="AX55" s="1" t="n">
        <v>0.000622986197117817</v>
      </c>
      <c r="AY55" s="1" t="n">
        <v>0</v>
      </c>
      <c r="AZ55" s="1" t="n">
        <v>0.0465283677535952</v>
      </c>
      <c r="BA55" s="1" t="n">
        <v>0.0414276298865866</v>
      </c>
      <c r="BB55" s="1" t="n">
        <v>0.0657245663242686</v>
      </c>
      <c r="BC55" s="1" t="n">
        <v>1.13332512302244E-005</v>
      </c>
      <c r="BD5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59</v>
      </c>
      <c r="B1" s="0" t="s">
        <v>58</v>
      </c>
      <c r="C1" s="0" t="s">
        <v>60</v>
      </c>
    </row>
    <row r="2" customFormat="false" ht="12.75" hidden="false" customHeight="false" outlineLevel="0" collapsed="false">
      <c r="A2" s="0" t="s">
        <v>4</v>
      </c>
      <c r="B2" s="0" t="n">
        <v>0.976148123293445</v>
      </c>
      <c r="C2" s="0" t="n">
        <v>0.964001482475272</v>
      </c>
    </row>
    <row r="3" customFormat="false" ht="12.75" hidden="false" customHeight="false" outlineLevel="0" collapsed="false">
      <c r="A3" s="0" t="s">
        <v>5</v>
      </c>
      <c r="B3" s="0" t="n">
        <v>0.970166284467192</v>
      </c>
      <c r="C3" s="0" t="n">
        <v>0.995585231557447</v>
      </c>
    </row>
    <row r="4" customFormat="false" ht="12.75" hidden="false" customHeight="false" outlineLevel="0" collapsed="false">
      <c r="A4" s="0" t="s">
        <v>6</v>
      </c>
      <c r="B4" s="0" t="n">
        <v>0.988792812246457</v>
      </c>
      <c r="C4" s="0" t="n">
        <v>0.984195605463288</v>
      </c>
    </row>
    <row r="5" customFormat="false" ht="12.75" hidden="false" customHeight="false" outlineLevel="0" collapsed="false">
      <c r="A5" s="0" t="s">
        <v>7</v>
      </c>
      <c r="B5" s="0" t="n">
        <v>0.959705813002624</v>
      </c>
      <c r="C5" s="0" t="n">
        <v>0.967703620367298</v>
      </c>
    </row>
    <row r="6" customFormat="false" ht="12.75" hidden="false" customHeight="false" outlineLevel="0" collapsed="false">
      <c r="A6" s="0" t="s">
        <v>8</v>
      </c>
      <c r="B6" s="0" t="n">
        <v>0.995476969752352</v>
      </c>
      <c r="C6" s="0" t="n">
        <v>0.996310187998505</v>
      </c>
    </row>
    <row r="7" customFormat="false" ht="12.75" hidden="false" customHeight="false" outlineLevel="0" collapsed="false">
      <c r="A7" s="0" t="s">
        <v>9</v>
      </c>
      <c r="B7" s="0" t="n">
        <v>0.992055458854831</v>
      </c>
      <c r="C7" s="0" t="n">
        <v>0.98974971736353</v>
      </c>
    </row>
    <row r="8" customFormat="false" ht="12.75" hidden="false" customHeight="false" outlineLevel="0" collapsed="false">
      <c r="A8" s="0" t="s">
        <v>10</v>
      </c>
      <c r="B8" s="0" t="n">
        <v>0.954387577373295</v>
      </c>
      <c r="C8" s="0" t="n">
        <v>0.952554971505116</v>
      </c>
    </row>
    <row r="9" customFormat="false" ht="12.75" hidden="false" customHeight="false" outlineLevel="0" collapsed="false">
      <c r="A9" s="0" t="s">
        <v>11</v>
      </c>
      <c r="B9" s="0" t="n">
        <v>0.861671124595792</v>
      </c>
      <c r="C9" s="0" t="n">
        <v>0.904954284499256</v>
      </c>
    </row>
    <row r="10" customFormat="false" ht="12.75" hidden="false" customHeight="false" outlineLevel="0" collapsed="false">
      <c r="A10" s="0" t="s">
        <v>12</v>
      </c>
      <c r="B10" s="0" t="n">
        <v>0.323708753019072</v>
      </c>
      <c r="C10" s="0" t="n">
        <v>0.774426353876792</v>
      </c>
    </row>
    <row r="11" customFormat="false" ht="12.75" hidden="false" customHeight="false" outlineLevel="0" collapsed="false">
      <c r="A11" s="0" t="s">
        <v>13</v>
      </c>
      <c r="B11" s="0" t="n">
        <v>0.992005789538032</v>
      </c>
      <c r="C11" s="0" t="n">
        <v>0.990013095002106</v>
      </c>
    </row>
    <row r="12" customFormat="false" ht="12.75" hidden="false" customHeight="false" outlineLevel="0" collapsed="false">
      <c r="A12" s="0" t="s">
        <v>14</v>
      </c>
      <c r="B12" s="0" t="n">
        <v>0.971862176335103</v>
      </c>
      <c r="C12" s="0" t="n">
        <v>0.976108478197221</v>
      </c>
    </row>
    <row r="13" customFormat="false" ht="12.75" hidden="false" customHeight="false" outlineLevel="0" collapsed="false">
      <c r="A13" s="0" t="s">
        <v>15</v>
      </c>
      <c r="B13" s="0" t="n">
        <v>0.990475904285313</v>
      </c>
      <c r="C13" s="0" t="n">
        <v>0.995324770368423</v>
      </c>
    </row>
    <row r="14" customFormat="false" ht="12.75" hidden="false" customHeight="false" outlineLevel="0" collapsed="false">
      <c r="A14" s="0" t="s">
        <v>16</v>
      </c>
      <c r="B14" s="0" t="n">
        <v>0.973851411687152</v>
      </c>
      <c r="C14" s="0" t="n">
        <v>0.960217581708385</v>
      </c>
    </row>
    <row r="15" customFormat="false" ht="12.75" hidden="false" customHeight="false" outlineLevel="0" collapsed="false">
      <c r="A15" s="0" t="s">
        <v>17</v>
      </c>
      <c r="B15" s="0" t="n">
        <v>0.971806225574956</v>
      </c>
      <c r="C15" s="0" t="n">
        <v>0.971316659645397</v>
      </c>
    </row>
    <row r="16" customFormat="false" ht="12.75" hidden="false" customHeight="false" outlineLevel="0" collapsed="false">
      <c r="A16" s="0" t="s">
        <v>18</v>
      </c>
      <c r="B16" s="0" t="n">
        <v>0.96719175806962</v>
      </c>
      <c r="C16" s="0" t="n">
        <v>0.951710142345653</v>
      </c>
    </row>
    <row r="17" customFormat="false" ht="12.75" hidden="false" customHeight="false" outlineLevel="0" collapsed="false">
      <c r="A17" s="0" t="s">
        <v>19</v>
      </c>
      <c r="B17" s="0" t="n">
        <v>0.963081567533485</v>
      </c>
      <c r="C17" s="0" t="n">
        <v>0.957015126234223</v>
      </c>
    </row>
    <row r="18" customFormat="false" ht="12.75" hidden="false" customHeight="false" outlineLevel="0" collapsed="false">
      <c r="A18" s="0" t="s">
        <v>20</v>
      </c>
      <c r="B18" s="0" t="n">
        <v>0.929373912939224</v>
      </c>
      <c r="C18" s="0" t="n">
        <v>0.924275691263667</v>
      </c>
    </row>
    <row r="19" customFormat="false" ht="12.75" hidden="false" customHeight="false" outlineLevel="0" collapsed="false">
      <c r="A19" s="0" t="s">
        <v>21</v>
      </c>
      <c r="B19" s="0" t="n">
        <v>0.937439763538064</v>
      </c>
      <c r="C19" s="0" t="n">
        <v>0.932886564362428</v>
      </c>
    </row>
    <row r="20" customFormat="false" ht="12.75" hidden="false" customHeight="false" outlineLevel="0" collapsed="false">
      <c r="A20" s="0" t="s">
        <v>22</v>
      </c>
      <c r="B20" s="0" t="n">
        <v>0.978885269603308</v>
      </c>
      <c r="C20" s="0" t="n">
        <v>0.98080554621414</v>
      </c>
    </row>
    <row r="21" customFormat="false" ht="12.75" hidden="false" customHeight="false" outlineLevel="0" collapsed="false">
      <c r="A21" s="0" t="s">
        <v>23</v>
      </c>
      <c r="B21" s="0" t="n">
        <v>0.979387825289465</v>
      </c>
      <c r="C21" s="0" t="n">
        <v>0.968657330849364</v>
      </c>
    </row>
    <row r="22" customFormat="false" ht="12.75" hidden="false" customHeight="false" outlineLevel="0" collapsed="false">
      <c r="A22" s="0" t="s">
        <v>24</v>
      </c>
      <c r="B22" s="0" t="n">
        <v>0.930220221785447</v>
      </c>
      <c r="C22" s="0" t="n">
        <v>0.826632127575436</v>
      </c>
    </row>
    <row r="23" customFormat="false" ht="12.75" hidden="false" customHeight="false" outlineLevel="0" collapsed="false">
      <c r="A23" s="0" t="s">
        <v>25</v>
      </c>
      <c r="B23" s="0" t="n">
        <v>0.949791773637889</v>
      </c>
      <c r="C23" s="0" t="n">
        <v>0.969030773825105</v>
      </c>
    </row>
    <row r="24" customFormat="false" ht="12.75" hidden="false" customHeight="false" outlineLevel="0" collapsed="false">
      <c r="A24" s="0" t="s">
        <v>26</v>
      </c>
      <c r="B24" s="0" t="n">
        <v>0.992030741455497</v>
      </c>
      <c r="C24" s="0" t="n">
        <v>0.985084630790103</v>
      </c>
    </row>
    <row r="25" customFormat="false" ht="12.75" hidden="false" customHeight="false" outlineLevel="0" collapsed="false">
      <c r="A25" s="0" t="s">
        <v>27</v>
      </c>
      <c r="B25" s="0" t="n">
        <v>0.976882839356629</v>
      </c>
      <c r="C25" s="0" t="n">
        <v>0.982292197049055</v>
      </c>
    </row>
    <row r="26" customFormat="false" ht="12.75" hidden="false" customHeight="false" outlineLevel="0" collapsed="false">
      <c r="A26" s="0" t="s">
        <v>28</v>
      </c>
      <c r="B26" s="0" t="n">
        <v>0.969497129550758</v>
      </c>
      <c r="C26" s="0" t="n">
        <v>0.941299100929607</v>
      </c>
    </row>
    <row r="27" customFormat="false" ht="12.75" hidden="false" customHeight="false" outlineLevel="0" collapsed="false">
      <c r="A27" s="0" t="s">
        <v>29</v>
      </c>
      <c r="B27" s="0" t="n">
        <v>0.927572725465509</v>
      </c>
      <c r="C27" s="0" t="n">
        <v>0.952033905120074</v>
      </c>
    </row>
    <row r="28" customFormat="false" ht="12.75" hidden="false" customHeight="false" outlineLevel="0" collapsed="false">
      <c r="A28" s="0" t="s">
        <v>30</v>
      </c>
      <c r="B28" s="0" t="n">
        <v>0.99203590455736</v>
      </c>
      <c r="C28" s="0" t="n">
        <v>0.98761760555519</v>
      </c>
    </row>
    <row r="29" customFormat="false" ht="12.75" hidden="false" customHeight="false" outlineLevel="0" collapsed="false">
      <c r="A29" s="0" t="s">
        <v>31</v>
      </c>
      <c r="B29" s="0" t="n">
        <v>0.957494670684394</v>
      </c>
      <c r="C29" s="0" t="n">
        <v>0.976664233435185</v>
      </c>
    </row>
    <row r="30" customFormat="false" ht="12.75" hidden="false" customHeight="false" outlineLevel="0" collapsed="false">
      <c r="A30" s="0" t="s">
        <v>32</v>
      </c>
      <c r="B30" s="0" t="n">
        <v>0.956650257432963</v>
      </c>
      <c r="C30" s="0" t="n">
        <v>0.987613726842367</v>
      </c>
    </row>
    <row r="31" customFormat="false" ht="12.75" hidden="false" customHeight="false" outlineLevel="0" collapsed="false">
      <c r="A31" s="0" t="s">
        <v>33</v>
      </c>
      <c r="B31" s="0" t="n">
        <v>0.914864280623036</v>
      </c>
      <c r="C31" s="0" t="n">
        <v>0.832024172394799</v>
      </c>
    </row>
    <row r="32" customFormat="false" ht="12.75" hidden="false" customHeight="false" outlineLevel="0" collapsed="false">
      <c r="A32" s="0" t="s">
        <v>34</v>
      </c>
      <c r="B32" s="0" t="n">
        <v>0.92954770445171</v>
      </c>
      <c r="C32" s="0" t="n">
        <v>0.882920510969874</v>
      </c>
    </row>
    <row r="33" customFormat="false" ht="12.75" hidden="false" customHeight="false" outlineLevel="0" collapsed="false">
      <c r="A33" s="0" t="s">
        <v>35</v>
      </c>
      <c r="B33" s="0" t="n">
        <v>0.980904201841597</v>
      </c>
      <c r="C33" s="0" t="n">
        <v>0.9748354957964</v>
      </c>
    </row>
    <row r="34" customFormat="false" ht="12.75" hidden="false" customHeight="false" outlineLevel="0" collapsed="false">
      <c r="A34" s="0" t="s">
        <v>36</v>
      </c>
      <c r="B34" s="0" t="n">
        <v>0.949012198240948</v>
      </c>
      <c r="C34" s="0" t="n">
        <v>0.975648261344307</v>
      </c>
    </row>
    <row r="35" customFormat="false" ht="12.75" hidden="false" customHeight="false" outlineLevel="0" collapsed="false">
      <c r="A35" s="0" t="s">
        <v>37</v>
      </c>
      <c r="B35" s="0" t="n">
        <v>0.97786961314729</v>
      </c>
      <c r="C35" s="0" t="n">
        <v>0.982291165924314</v>
      </c>
    </row>
    <row r="36" customFormat="false" ht="12.75" hidden="false" customHeight="false" outlineLevel="0" collapsed="false">
      <c r="A36" s="0" t="s">
        <v>38</v>
      </c>
      <c r="B36" s="0" t="n">
        <v>0.941418287110828</v>
      </c>
      <c r="C36" s="0" t="n">
        <v>0.963303999184533</v>
      </c>
    </row>
    <row r="37" customFormat="false" ht="12.75" hidden="false" customHeight="false" outlineLevel="0" collapsed="false">
      <c r="A37" s="0" t="s">
        <v>39</v>
      </c>
      <c r="B37" s="0" t="n">
        <v>0.971731168808987</v>
      </c>
      <c r="C37" s="0" t="n">
        <v>0.977727569379797</v>
      </c>
    </row>
    <row r="38" customFormat="false" ht="12.75" hidden="false" customHeight="false" outlineLevel="0" collapsed="false">
      <c r="A38" s="0" t="s">
        <v>40</v>
      </c>
      <c r="B38" s="0" t="n">
        <v>0.989160388122753</v>
      </c>
      <c r="C38" s="0" t="n">
        <v>0.97075273658605</v>
      </c>
    </row>
    <row r="39" customFormat="false" ht="12.75" hidden="false" customHeight="false" outlineLevel="0" collapsed="false">
      <c r="A39" s="0" t="s">
        <v>41</v>
      </c>
      <c r="B39" s="0" t="n">
        <v>0.962756616966253</v>
      </c>
      <c r="C39" s="0" t="n">
        <v>0.97883336579394</v>
      </c>
    </row>
    <row r="40" customFormat="false" ht="12.75" hidden="false" customHeight="false" outlineLevel="0" collapsed="false">
      <c r="A40" s="0" t="s">
        <v>42</v>
      </c>
      <c r="B40" s="0" t="n">
        <v>0.965826769629105</v>
      </c>
      <c r="C40" s="0" t="n">
        <v>0.957240606069577</v>
      </c>
    </row>
    <row r="41" customFormat="false" ht="12.75" hidden="false" customHeight="false" outlineLevel="0" collapsed="false">
      <c r="A41" s="0" t="s">
        <v>43</v>
      </c>
      <c r="B41" s="0" t="n">
        <v>0.924234759242348</v>
      </c>
      <c r="C41" s="0" t="n">
        <v>0.881155456263245</v>
      </c>
    </row>
    <row r="42" customFormat="false" ht="12.75" hidden="false" customHeight="false" outlineLevel="0" collapsed="false">
      <c r="A42" s="0" t="s">
        <v>44</v>
      </c>
      <c r="B42" s="0" t="n">
        <v>0.978784340237232</v>
      </c>
      <c r="C42" s="0" t="n">
        <v>0.981765054002071</v>
      </c>
    </row>
    <row r="43" customFormat="false" ht="12.75" hidden="false" customHeight="false" outlineLevel="0" collapsed="false">
      <c r="A43" s="0" t="s">
        <v>45</v>
      </c>
      <c r="B43" s="0" t="n">
        <v>0.970423837689219</v>
      </c>
      <c r="C43" s="0" t="n">
        <v>0.959843240386227</v>
      </c>
    </row>
    <row r="44" customFormat="false" ht="12.75" hidden="false" customHeight="false" outlineLevel="0" collapsed="false">
      <c r="A44" s="0" t="s">
        <v>46</v>
      </c>
      <c r="B44" s="0" t="n">
        <v>0.954136913120379</v>
      </c>
      <c r="C44" s="0" t="n">
        <v>0.9670019339771</v>
      </c>
    </row>
    <row r="45" customFormat="false" ht="12.75" hidden="false" customHeight="false" outlineLevel="0" collapsed="false">
      <c r="A45" s="0" t="s">
        <v>47</v>
      </c>
      <c r="B45" s="0" t="n">
        <v>0.990894757278768</v>
      </c>
      <c r="C45" s="0" t="n">
        <v>0.992008959349386</v>
      </c>
    </row>
    <row r="46" customFormat="false" ht="12.75" hidden="false" customHeight="false" outlineLevel="0" collapsed="false">
      <c r="A46" s="0" t="s">
        <v>48</v>
      </c>
      <c r="B46" s="0" t="n">
        <v>0.990086561311868</v>
      </c>
      <c r="C46" s="0" t="n">
        <v>0.986698244020959</v>
      </c>
    </row>
    <row r="47" customFormat="false" ht="12.75" hidden="false" customHeight="false" outlineLevel="0" collapsed="false">
      <c r="A47" s="0" t="s">
        <v>49</v>
      </c>
      <c r="B47" s="0" t="n">
        <v>0.950504392863152</v>
      </c>
      <c r="C47" s="0" t="n">
        <v>0.9416492432121</v>
      </c>
    </row>
    <row r="48" customFormat="false" ht="12.75" hidden="false" customHeight="false" outlineLevel="0" collapsed="false">
      <c r="A48" s="0" t="s">
        <v>50</v>
      </c>
      <c r="B48" s="0" t="n">
        <v>0.935390198922755</v>
      </c>
      <c r="C48" s="0" t="n">
        <v>0.907066541741485</v>
      </c>
    </row>
    <row r="49" customFormat="false" ht="12.75" hidden="false" customHeight="false" outlineLevel="0" collapsed="false">
      <c r="A49" s="0" t="s">
        <v>51</v>
      </c>
      <c r="B49" s="0" t="n">
        <v>0.984730577299629</v>
      </c>
      <c r="C49" s="0" t="n">
        <v>0.972962208407303</v>
      </c>
    </row>
    <row r="50" customFormat="false" ht="12.75" hidden="false" customHeight="false" outlineLevel="0" collapsed="false">
      <c r="A50" s="0" t="s">
        <v>52</v>
      </c>
      <c r="B50" s="0" t="n">
        <v>0.916549189054765</v>
      </c>
      <c r="C50" s="0" t="n">
        <v>0.902828237361884</v>
      </c>
    </row>
    <row r="51" customFormat="false" ht="12.75" hidden="false" customHeight="false" outlineLevel="0" collapsed="false">
      <c r="A51" s="0" t="s">
        <v>53</v>
      </c>
      <c r="B51" s="0" t="n">
        <v>0.986292091217013</v>
      </c>
      <c r="C51" s="0" t="n">
        <v>0.967822502476487</v>
      </c>
    </row>
    <row r="52" customFormat="false" ht="12.75" hidden="false" customHeight="false" outlineLevel="0" collapsed="false">
      <c r="A52" s="0" t="s">
        <v>54</v>
      </c>
      <c r="B52" s="0" t="n">
        <v>0.974379004778177</v>
      </c>
      <c r="C52" s="0" t="n">
        <v>0.97993955840037</v>
      </c>
    </row>
    <row r="53" customFormat="false" ht="12.75" hidden="false" customHeight="false" outlineLevel="0" collapsed="false">
      <c r="A53" s="0" t="n">
        <v>98</v>
      </c>
      <c r="B53" s="0" t="n">
        <v>0.182939425238471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61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4" t="s">
        <v>62</v>
      </c>
      <c r="B3" s="4"/>
    </row>
    <row r="4" customFormat="false" ht="12.75" hidden="false" customHeight="false" outlineLevel="0" collapsed="false">
      <c r="A4" s="5" t="s">
        <v>63</v>
      </c>
      <c r="B4" s="5" t="n">
        <v>0.45033908651088</v>
      </c>
    </row>
    <row r="5" customFormat="false" ht="12.75" hidden="false" customHeight="false" outlineLevel="0" collapsed="false">
      <c r="A5" s="5" t="s">
        <v>64</v>
      </c>
      <c r="B5" s="5" t="n">
        <v>0.202805292839454</v>
      </c>
    </row>
    <row r="6" customFormat="false" ht="12.75" hidden="false" customHeight="false" outlineLevel="0" collapsed="false">
      <c r="A6" s="5" t="s">
        <v>65</v>
      </c>
      <c r="B6" s="5" t="n">
        <v>0.0730294102784345</v>
      </c>
    </row>
    <row r="7" customFormat="false" ht="12.75" hidden="false" customHeight="false" outlineLevel="0" collapsed="false">
      <c r="A7" s="5" t="s">
        <v>66</v>
      </c>
      <c r="B7" s="5" t="n">
        <v>0.0701005590730639</v>
      </c>
    </row>
    <row r="8" customFormat="false" ht="13.5" hidden="false" customHeight="false" outlineLevel="0" collapsed="false">
      <c r="A8" s="6" t="s">
        <v>67</v>
      </c>
      <c r="B8" s="6" t="n">
        <v>51</v>
      </c>
    </row>
    <row r="10" customFormat="false" ht="13.5" hidden="false" customHeight="false" outlineLevel="0" collapsed="false">
      <c r="A10" s="0" t="s">
        <v>68</v>
      </c>
    </row>
    <row r="11" customFormat="false" ht="12.75" hidden="false" customHeight="false" outlineLevel="0" collapsed="false">
      <c r="A11" s="4"/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</row>
    <row r="12" customFormat="false" ht="12.75" hidden="false" customHeight="false" outlineLevel="0" collapsed="false">
      <c r="A12" s="5" t="s">
        <v>74</v>
      </c>
      <c r="B12" s="5" t="n">
        <v>7</v>
      </c>
      <c r="C12" s="5" t="n">
        <v>0.05375591979256</v>
      </c>
      <c r="D12" s="5" t="n">
        <v>0.00767941711322286</v>
      </c>
      <c r="E12" s="5" t="n">
        <v>1.56273483822464</v>
      </c>
      <c r="F12" s="5" t="n">
        <v>0.172577952745772</v>
      </c>
    </row>
    <row r="13" customFormat="false" ht="12.75" hidden="false" customHeight="false" outlineLevel="0" collapsed="false">
      <c r="A13" s="5" t="s">
        <v>75</v>
      </c>
      <c r="B13" s="5" t="n">
        <v>43</v>
      </c>
      <c r="C13" s="5" t="n">
        <v>0.211305800441313</v>
      </c>
      <c r="D13" s="5" t="n">
        <v>0.00491408838235612</v>
      </c>
      <c r="E13" s="5"/>
      <c r="F13" s="5"/>
    </row>
    <row r="14" customFormat="false" ht="13.5" hidden="false" customHeight="false" outlineLevel="0" collapsed="false">
      <c r="A14" s="6" t="s">
        <v>76</v>
      </c>
      <c r="B14" s="6" t="n">
        <v>50</v>
      </c>
      <c r="C14" s="6" t="n">
        <v>0.265061720233873</v>
      </c>
      <c r="D14" s="6"/>
      <c r="E14" s="6"/>
      <c r="F14" s="6"/>
    </row>
    <row r="15" customFormat="false" ht="13.5" hidden="false" customHeight="false" outlineLevel="0" collapsed="false"/>
    <row r="16" customFormat="false" ht="12.75" hidden="false" customHeight="false" outlineLevel="0" collapsed="false">
      <c r="A16" s="4"/>
      <c r="B16" s="4" t="s">
        <v>77</v>
      </c>
      <c r="C16" s="4" t="s">
        <v>66</v>
      </c>
      <c r="D16" s="4" t="s">
        <v>78</v>
      </c>
      <c r="E16" s="4" t="s">
        <v>79</v>
      </c>
      <c r="F16" s="4" t="s">
        <v>80</v>
      </c>
      <c r="G16" s="4" t="s">
        <v>81</v>
      </c>
      <c r="H16" s="4" t="s">
        <v>82</v>
      </c>
      <c r="I16" s="4" t="s">
        <v>83</v>
      </c>
    </row>
    <row r="17" customFormat="false" ht="12.75" hidden="false" customHeight="false" outlineLevel="0" collapsed="false">
      <c r="A17" s="5" t="s">
        <v>84</v>
      </c>
      <c r="B17" s="5" t="n">
        <v>-1.78568619366094</v>
      </c>
      <c r="C17" s="5" t="n">
        <v>1079289.77804434</v>
      </c>
      <c r="D17" s="5" t="n">
        <v>-1.65450116362317E-006</v>
      </c>
      <c r="E17" s="5" t="n">
        <v>0.99999868800562</v>
      </c>
      <c r="F17" s="5" t="n">
        <v>-2176595.56708331</v>
      </c>
      <c r="G17" s="5" t="n">
        <v>2176591.99571092</v>
      </c>
      <c r="H17" s="5" t="n">
        <v>-2176595.56708331</v>
      </c>
      <c r="I17" s="5" t="n">
        <v>2176591.99571092</v>
      </c>
    </row>
    <row r="18" customFormat="false" ht="12.75" hidden="false" customHeight="false" outlineLevel="0" collapsed="false">
      <c r="A18" s="5" t="s">
        <v>85</v>
      </c>
      <c r="B18" s="5" t="n">
        <v>0.233252462946157</v>
      </c>
      <c r="C18" s="5" t="n">
        <v>0</v>
      </c>
      <c r="D18" s="5" t="n">
        <v>65535</v>
      </c>
      <c r="E18" s="5" t="e">
        <f aca="false">#REF!</f>
        <v>#NUM!</v>
      </c>
      <c r="F18" s="5" t="n">
        <v>0.233252462946157</v>
      </c>
      <c r="G18" s="5" t="n">
        <v>0.233252462946157</v>
      </c>
      <c r="H18" s="5" t="n">
        <v>0.233252462946157</v>
      </c>
      <c r="I18" s="5" t="n">
        <v>0.233252462946157</v>
      </c>
    </row>
    <row r="19" customFormat="false" ht="12.75" hidden="false" customHeight="false" outlineLevel="0" collapsed="false">
      <c r="A19" s="5" t="s">
        <v>86</v>
      </c>
      <c r="B19" s="5" t="n">
        <v>18.0007834006548</v>
      </c>
      <c r="C19" s="5" t="n">
        <v>0</v>
      </c>
      <c r="D19" s="5" t="n">
        <v>65535</v>
      </c>
      <c r="E19" s="5" t="e">
        <f aca="false">#REF!</f>
        <v>#NUM!</v>
      </c>
      <c r="F19" s="5" t="n">
        <v>18.0007834006548</v>
      </c>
      <c r="G19" s="5" t="n">
        <v>18.0007834006548</v>
      </c>
      <c r="H19" s="5" t="n">
        <v>18.0007834006548</v>
      </c>
      <c r="I19" s="5" t="n">
        <v>18.0007834006548</v>
      </c>
    </row>
    <row r="20" customFormat="false" ht="12.75" hidden="false" customHeight="false" outlineLevel="0" collapsed="false">
      <c r="A20" s="5" t="s">
        <v>87</v>
      </c>
      <c r="B20" s="5" t="n">
        <v>2.1135523167283</v>
      </c>
      <c r="C20" s="5" t="n">
        <v>0</v>
      </c>
      <c r="D20" s="5" t="n">
        <v>65535</v>
      </c>
      <c r="E20" s="5" t="e">
        <f aca="false">#REF!</f>
        <v>#NUM!</v>
      </c>
      <c r="F20" s="5" t="n">
        <v>2.1135523167283</v>
      </c>
      <c r="G20" s="5" t="n">
        <v>2.1135523167283</v>
      </c>
      <c r="H20" s="5" t="n">
        <v>2.1135523167283</v>
      </c>
      <c r="I20" s="5" t="n">
        <v>2.1135523167283</v>
      </c>
    </row>
    <row r="21" customFormat="false" ht="12.75" hidden="false" customHeight="false" outlineLevel="0" collapsed="false">
      <c r="A21" s="5" t="s">
        <v>88</v>
      </c>
      <c r="B21" s="5" t="n">
        <v>0.514104970151463</v>
      </c>
      <c r="C21" s="5" t="n">
        <v>505142.105423962</v>
      </c>
      <c r="D21" s="5" t="n">
        <v>1.01774325408882E-006</v>
      </c>
      <c r="E21" s="5" t="n">
        <v>0.999999192607835</v>
      </c>
      <c r="F21" s="5" t="n">
        <v>-1018714.9298418</v>
      </c>
      <c r="G21" s="5" t="n">
        <v>1018715.95805174</v>
      </c>
      <c r="H21" s="5" t="n">
        <v>-1018714.9298418</v>
      </c>
      <c r="I21" s="5" t="n">
        <v>1018715.95805174</v>
      </c>
    </row>
    <row r="22" customFormat="false" ht="12.75" hidden="false" customHeight="false" outlineLevel="0" collapsed="false">
      <c r="A22" s="5" t="s">
        <v>89</v>
      </c>
      <c r="B22" s="5" t="n">
        <v>-7.99061897195659</v>
      </c>
      <c r="C22" s="5" t="n">
        <v>252571.052709575</v>
      </c>
      <c r="D22" s="5" t="n">
        <v>-3.16371131459186E-005</v>
      </c>
      <c r="E22" s="5" t="n">
        <v>0.999974903540677</v>
      </c>
      <c r="F22" s="5" t="n">
        <v>-509365.712587503</v>
      </c>
      <c r="G22" s="5" t="n">
        <v>509349.731349559</v>
      </c>
      <c r="H22" s="5" t="n">
        <v>-509365.712587503</v>
      </c>
      <c r="I22" s="5" t="n">
        <v>509349.731349559</v>
      </c>
    </row>
    <row r="23" customFormat="false" ht="12.75" hidden="false" customHeight="false" outlineLevel="0" collapsed="false">
      <c r="A23" s="5" t="s">
        <v>90</v>
      </c>
      <c r="B23" s="5" t="n">
        <v>0.991107203114584</v>
      </c>
      <c r="C23" s="5" t="n">
        <v>508795.328296351</v>
      </c>
      <c r="D23" s="5" t="n">
        <v>1.94794870942154E-006</v>
      </c>
      <c r="E23" s="5" t="n">
        <v>0.999998454609536</v>
      </c>
      <c r="F23" s="5" t="n">
        <v>-1026081.87384906</v>
      </c>
      <c r="G23" s="5" t="n">
        <v>1026083.85606347</v>
      </c>
      <c r="H23" s="5" t="n">
        <v>-1026081.87384906</v>
      </c>
      <c r="I23" s="5" t="n">
        <v>1026083.85606347</v>
      </c>
    </row>
    <row r="24" customFormat="false" ht="13.5" hidden="false" customHeight="false" outlineLevel="0" collapsed="false">
      <c r="A24" s="6" t="s">
        <v>91</v>
      </c>
      <c r="B24" s="6" t="n">
        <v>1.07107873934797</v>
      </c>
      <c r="C24" s="6" t="n">
        <v>508795.328296247</v>
      </c>
      <c r="D24" s="6" t="n">
        <v>2.10512691406697E-006</v>
      </c>
      <c r="E24" s="6" t="n">
        <v>0.999998329438299</v>
      </c>
      <c r="F24" s="6" t="n">
        <v>-1026081.79387731</v>
      </c>
      <c r="G24" s="6" t="n">
        <v>1026083.93603479</v>
      </c>
      <c r="H24" s="6" t="n">
        <v>-1026081.79387731</v>
      </c>
      <c r="I24" s="6" t="n">
        <v>1026083.93603479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61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4" t="s">
        <v>62</v>
      </c>
      <c r="B3" s="4"/>
    </row>
    <row r="4" customFormat="false" ht="12.75" hidden="false" customHeight="false" outlineLevel="0" collapsed="false">
      <c r="A4" s="5" t="s">
        <v>63</v>
      </c>
      <c r="B4" s="5" t="n">
        <v>0.45033908651088</v>
      </c>
    </row>
    <row r="5" customFormat="false" ht="12.75" hidden="false" customHeight="false" outlineLevel="0" collapsed="false">
      <c r="A5" s="5" t="s">
        <v>64</v>
      </c>
      <c r="B5" s="5" t="n">
        <v>0.202805292839454</v>
      </c>
    </row>
    <row r="6" customFormat="false" ht="12.75" hidden="false" customHeight="false" outlineLevel="0" collapsed="false">
      <c r="A6" s="5" t="s">
        <v>65</v>
      </c>
      <c r="B6" s="5" t="n">
        <v>0.133484013955928</v>
      </c>
    </row>
    <row r="7" customFormat="false" ht="12.75" hidden="false" customHeight="false" outlineLevel="0" collapsed="false">
      <c r="A7" s="5" t="s">
        <v>66</v>
      </c>
      <c r="B7" s="5" t="n">
        <v>0.0677761341286138</v>
      </c>
    </row>
    <row r="8" customFormat="false" ht="13.5" hidden="false" customHeight="false" outlineLevel="0" collapsed="false">
      <c r="A8" s="6" t="s">
        <v>67</v>
      </c>
      <c r="B8" s="6" t="n">
        <v>51</v>
      </c>
    </row>
    <row r="10" customFormat="false" ht="13.5" hidden="false" customHeight="false" outlineLevel="0" collapsed="false">
      <c r="A10" s="0" t="s">
        <v>68</v>
      </c>
    </row>
    <row r="11" customFormat="false" ht="12.75" hidden="false" customHeight="false" outlineLevel="0" collapsed="false">
      <c r="A11" s="4"/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</row>
    <row r="12" customFormat="false" ht="12.75" hidden="false" customHeight="false" outlineLevel="0" collapsed="false">
      <c r="A12" s="5" t="s">
        <v>74</v>
      </c>
      <c r="B12" s="5" t="n">
        <v>4</v>
      </c>
      <c r="C12" s="5" t="n">
        <v>0.0537559197925601</v>
      </c>
      <c r="D12" s="5" t="n">
        <v>0.01343897994814</v>
      </c>
      <c r="E12" s="5" t="n">
        <v>2.92558498783915</v>
      </c>
      <c r="F12" s="5" t="n">
        <v>0.0308421467825335</v>
      </c>
    </row>
    <row r="13" customFormat="false" ht="12.75" hidden="false" customHeight="false" outlineLevel="0" collapsed="false">
      <c r="A13" s="5" t="s">
        <v>75</v>
      </c>
      <c r="B13" s="5" t="n">
        <v>46</v>
      </c>
      <c r="C13" s="5" t="n">
        <v>0.211305800441313</v>
      </c>
      <c r="D13" s="5" t="n">
        <v>0.00459360435741985</v>
      </c>
      <c r="E13" s="5"/>
      <c r="F13" s="5"/>
    </row>
    <row r="14" customFormat="false" ht="13.5" hidden="false" customHeight="false" outlineLevel="0" collapsed="false">
      <c r="A14" s="6" t="s">
        <v>76</v>
      </c>
      <c r="B14" s="6" t="n">
        <v>50</v>
      </c>
      <c r="C14" s="6" t="n">
        <v>0.265061720233873</v>
      </c>
      <c r="D14" s="6"/>
      <c r="E14" s="6"/>
      <c r="F14" s="6"/>
    </row>
    <row r="15" customFormat="false" ht="13.5" hidden="false" customHeight="false" outlineLevel="0" collapsed="false"/>
    <row r="16" customFormat="false" ht="12.75" hidden="false" customHeight="false" outlineLevel="0" collapsed="false">
      <c r="A16" s="4"/>
      <c r="B16" s="4" t="s">
        <v>77</v>
      </c>
      <c r="C16" s="4" t="s">
        <v>66</v>
      </c>
      <c r="D16" s="4" t="s">
        <v>78</v>
      </c>
      <c r="E16" s="4" t="s">
        <v>79</v>
      </c>
      <c r="F16" s="4" t="s">
        <v>80</v>
      </c>
      <c r="G16" s="4" t="s">
        <v>81</v>
      </c>
      <c r="H16" s="4" t="s">
        <v>82</v>
      </c>
      <c r="I16" s="4" t="s">
        <v>83</v>
      </c>
    </row>
    <row r="17" customFormat="false" ht="12.75" hidden="false" customHeight="false" outlineLevel="0" collapsed="false">
      <c r="A17" s="5" t="s">
        <v>84</v>
      </c>
      <c r="B17" s="5" t="n">
        <v>0.0327499787847391</v>
      </c>
      <c r="C17" s="5" t="n">
        <v>0.0674078277899896</v>
      </c>
      <c r="D17" s="5" t="n">
        <v>0.485848303653581</v>
      </c>
      <c r="E17" s="5" t="n">
        <v>0.629381102230948</v>
      </c>
      <c r="F17" s="5" t="n">
        <v>-0.102934811349375</v>
      </c>
      <c r="G17" s="5" t="n">
        <v>0.168434768918853</v>
      </c>
      <c r="H17" s="5" t="n">
        <v>-0.102934811349375</v>
      </c>
      <c r="I17" s="5" t="n">
        <v>0.168434768918853</v>
      </c>
    </row>
    <row r="18" customFormat="false" ht="12.75" hidden="false" customHeight="false" outlineLevel="0" collapsed="false">
      <c r="A18" s="5" t="s">
        <v>86</v>
      </c>
      <c r="B18" s="5" t="n">
        <v>17.7675309376879</v>
      </c>
      <c r="C18" s="5" t="n">
        <v>11.87593981852</v>
      </c>
      <c r="D18" s="5" t="n">
        <v>1.49609472674998</v>
      </c>
      <c r="E18" s="5" t="n">
        <v>0.141458978577217</v>
      </c>
      <c r="F18" s="5" t="n">
        <v>-6.1374731953864</v>
      </c>
      <c r="G18" s="5" t="n">
        <v>41.6725350707623</v>
      </c>
      <c r="H18" s="5" t="n">
        <v>-6.1374731953864</v>
      </c>
      <c r="I18" s="5" t="n">
        <v>41.6725350707623</v>
      </c>
    </row>
    <row r="19" customFormat="false" ht="12.75" hidden="false" customHeight="false" outlineLevel="0" collapsed="false">
      <c r="A19" s="5" t="s">
        <v>87</v>
      </c>
      <c r="B19" s="5" t="n">
        <v>1.88029985377916</v>
      </c>
      <c r="C19" s="5" t="n">
        <v>1.72029624854462</v>
      </c>
      <c r="D19" s="5" t="n">
        <v>1.09300933218328</v>
      </c>
      <c r="E19" s="5" t="n">
        <v>0.280080860405164</v>
      </c>
      <c r="F19" s="5" t="n">
        <v>-1.58247358226004</v>
      </c>
      <c r="G19" s="5" t="n">
        <v>5.34307328981837</v>
      </c>
      <c r="H19" s="5" t="n">
        <v>-1.58247358226004</v>
      </c>
      <c r="I19" s="5" t="n">
        <v>5.34307328981837</v>
      </c>
    </row>
    <row r="20" customFormat="false" ht="12.75" hidden="false" customHeight="false" outlineLevel="0" collapsed="false">
      <c r="A20" s="5" t="s">
        <v>89</v>
      </c>
      <c r="B20" s="5" t="n">
        <v>-8.24767145702157</v>
      </c>
      <c r="C20" s="5" t="n">
        <v>6.16873218970705</v>
      </c>
      <c r="D20" s="5" t="n">
        <v>-1.33701240439379</v>
      </c>
      <c r="E20" s="5" t="n">
        <v>0.187793263401785</v>
      </c>
      <c r="F20" s="5" t="n">
        <v>-20.66467345806</v>
      </c>
      <c r="G20" s="5" t="n">
        <v>4.16933054401688</v>
      </c>
      <c r="H20" s="5" t="n">
        <v>-20.66467345806</v>
      </c>
      <c r="I20" s="5" t="n">
        <v>4.16933054401688</v>
      </c>
    </row>
    <row r="21" customFormat="false" ht="13.5" hidden="false" customHeight="false" outlineLevel="0" collapsed="false">
      <c r="A21" s="6" t="s">
        <v>90</v>
      </c>
      <c r="B21" s="6" t="n">
        <v>-0.079971536233522</v>
      </c>
      <c r="C21" s="6" t="n">
        <v>0.11640163198656</v>
      </c>
      <c r="D21" s="6" t="n">
        <v>-0.687031056770371</v>
      </c>
      <c r="E21" s="6" t="n">
        <v>0.495512409602046</v>
      </c>
      <c r="F21" s="6" t="n">
        <v>-0.314275644898336</v>
      </c>
      <c r="G21" s="6" t="n">
        <v>0.154332572431292</v>
      </c>
      <c r="H21" s="6" t="n">
        <v>-0.314275644898336</v>
      </c>
      <c r="I21" s="6" t="n">
        <v>0.154332572431292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61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4" t="s">
        <v>62</v>
      </c>
      <c r="B3" s="4"/>
    </row>
    <row r="4" customFormat="false" ht="12.75" hidden="false" customHeight="false" outlineLevel="0" collapsed="false">
      <c r="A4" s="5" t="s">
        <v>63</v>
      </c>
      <c r="B4" s="5" t="n">
        <v>0.240847911880419</v>
      </c>
    </row>
    <row r="5" customFormat="false" ht="12.75" hidden="false" customHeight="false" outlineLevel="0" collapsed="false">
      <c r="A5" s="5" t="s">
        <v>64</v>
      </c>
      <c r="B5" s="5" t="n">
        <v>0.0580077166571581</v>
      </c>
    </row>
    <row r="6" customFormat="false" ht="12.75" hidden="false" customHeight="false" outlineLevel="0" collapsed="false">
      <c r="A6" s="5" t="s">
        <v>65</v>
      </c>
      <c r="B6" s="5" t="n">
        <v>0.0187580381845397</v>
      </c>
    </row>
    <row r="7" customFormat="false" ht="12.75" hidden="false" customHeight="false" outlineLevel="0" collapsed="false">
      <c r="A7" s="5" t="s">
        <v>66</v>
      </c>
      <c r="B7" s="5" t="n">
        <v>0.0721234611433016</v>
      </c>
    </row>
    <row r="8" customFormat="false" ht="13.5" hidden="false" customHeight="false" outlineLevel="0" collapsed="false">
      <c r="A8" s="6" t="s">
        <v>67</v>
      </c>
      <c r="B8" s="6" t="n">
        <v>51</v>
      </c>
    </row>
    <row r="10" customFormat="false" ht="13.5" hidden="false" customHeight="false" outlineLevel="0" collapsed="false">
      <c r="A10" s="0" t="s">
        <v>68</v>
      </c>
    </row>
    <row r="11" customFormat="false" ht="12.75" hidden="false" customHeight="false" outlineLevel="0" collapsed="false">
      <c r="A11" s="4"/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</row>
    <row r="12" customFormat="false" ht="12.75" hidden="false" customHeight="false" outlineLevel="0" collapsed="false">
      <c r="A12" s="5" t="s">
        <v>74</v>
      </c>
      <c r="B12" s="5" t="n">
        <v>2</v>
      </c>
      <c r="C12" s="5" t="n">
        <v>0.0153756251639854</v>
      </c>
      <c r="D12" s="5" t="n">
        <v>0.00768781258199272</v>
      </c>
      <c r="E12" s="5" t="n">
        <v>1.4779157158606</v>
      </c>
      <c r="F12" s="5" t="n">
        <v>0.238306716707453</v>
      </c>
    </row>
    <row r="13" customFormat="false" ht="12.75" hidden="false" customHeight="false" outlineLevel="0" collapsed="false">
      <c r="A13" s="5" t="s">
        <v>75</v>
      </c>
      <c r="B13" s="5" t="n">
        <v>48</v>
      </c>
      <c r="C13" s="5" t="n">
        <v>0.249686095069888</v>
      </c>
      <c r="D13" s="5" t="n">
        <v>0.00520179364728933</v>
      </c>
      <c r="E13" s="5"/>
      <c r="F13" s="5"/>
    </row>
    <row r="14" customFormat="false" ht="13.5" hidden="false" customHeight="false" outlineLevel="0" collapsed="false">
      <c r="A14" s="6" t="s">
        <v>76</v>
      </c>
      <c r="B14" s="6" t="n">
        <v>50</v>
      </c>
      <c r="C14" s="6" t="n">
        <v>0.265061720233873</v>
      </c>
      <c r="D14" s="6"/>
      <c r="E14" s="6"/>
      <c r="F14" s="6"/>
    </row>
    <row r="15" customFormat="false" ht="13.5" hidden="false" customHeight="false" outlineLevel="0" collapsed="false"/>
    <row r="16" customFormat="false" ht="12.75" hidden="false" customHeight="false" outlineLevel="0" collapsed="false">
      <c r="A16" s="4"/>
      <c r="B16" s="4" t="s">
        <v>77</v>
      </c>
      <c r="C16" s="4" t="s">
        <v>66</v>
      </c>
      <c r="D16" s="4" t="s">
        <v>78</v>
      </c>
      <c r="E16" s="4" t="s">
        <v>79</v>
      </c>
      <c r="F16" s="4" t="s">
        <v>80</v>
      </c>
      <c r="G16" s="4" t="s">
        <v>81</v>
      </c>
      <c r="H16" s="4" t="s">
        <v>82</v>
      </c>
      <c r="I16" s="4" t="s">
        <v>83</v>
      </c>
    </row>
    <row r="17" customFormat="false" ht="12.75" hidden="false" customHeight="false" outlineLevel="0" collapsed="false">
      <c r="A17" s="5" t="s">
        <v>84</v>
      </c>
      <c r="B17" s="5" t="n">
        <v>0.0435211188562245</v>
      </c>
      <c r="C17" s="5" t="n">
        <v>0.039021348463547</v>
      </c>
      <c r="D17" s="5" t="n">
        <v>1.11531560465885</v>
      </c>
      <c r="E17" s="5" t="n">
        <v>0.270268097857826</v>
      </c>
      <c r="F17" s="5" t="n">
        <v>-0.0349365146870242</v>
      </c>
      <c r="G17" s="5" t="n">
        <v>0.121978752399473</v>
      </c>
      <c r="H17" s="5" t="n">
        <v>-0.0349365146870242</v>
      </c>
      <c r="I17" s="5" t="n">
        <v>0.121978752399473</v>
      </c>
    </row>
    <row r="18" customFormat="false" ht="12.75" hidden="false" customHeight="false" outlineLevel="0" collapsed="false">
      <c r="A18" s="5" t="s">
        <v>89</v>
      </c>
      <c r="B18" s="5" t="n">
        <v>0.341741883557143</v>
      </c>
      <c r="C18" s="5" t="n">
        <v>0.201565889307181</v>
      </c>
      <c r="D18" s="5" t="n">
        <v>1.69543509932049</v>
      </c>
      <c r="E18" s="5" t="n">
        <v>0.0964712649212652</v>
      </c>
      <c r="F18" s="5" t="n">
        <v>-0.0635332619918459</v>
      </c>
      <c r="G18" s="5" t="n">
        <v>0.747017029106132</v>
      </c>
      <c r="H18" s="5" t="n">
        <v>-0.0635332619918459</v>
      </c>
      <c r="I18" s="5" t="n">
        <v>0.747017029106132</v>
      </c>
    </row>
    <row r="19" customFormat="false" ht="13.5" hidden="false" customHeight="false" outlineLevel="0" collapsed="false">
      <c r="A19" s="6" t="s">
        <v>90</v>
      </c>
      <c r="B19" s="6" t="n">
        <v>-0.0336276741812946</v>
      </c>
      <c r="C19" s="6" t="n">
        <v>0.0743875818889262</v>
      </c>
      <c r="D19" s="6" t="n">
        <v>-0.45206032145939</v>
      </c>
      <c r="E19" s="6" t="n">
        <v>0.653261846423125</v>
      </c>
      <c r="F19" s="6" t="n">
        <v>-0.183193844234642</v>
      </c>
      <c r="G19" s="6" t="n">
        <v>0.115938495872052</v>
      </c>
      <c r="H19" s="6" t="n">
        <v>-0.183193844234642</v>
      </c>
      <c r="I19" s="6" t="n">
        <v>0.115938495872052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61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4" t="s">
        <v>62</v>
      </c>
      <c r="B3" s="4"/>
    </row>
    <row r="4" customFormat="false" ht="12.75" hidden="false" customHeight="false" outlineLevel="0" collapsed="false">
      <c r="A4" s="5" t="s">
        <v>63</v>
      </c>
      <c r="B4" s="5" t="n">
        <v>0.325293642718769</v>
      </c>
    </row>
    <row r="5" customFormat="false" ht="12.75" hidden="false" customHeight="false" outlineLevel="0" collapsed="false">
      <c r="A5" s="5" t="s">
        <v>64</v>
      </c>
      <c r="B5" s="5" t="n">
        <v>0.105815953993246</v>
      </c>
    </row>
    <row r="6" customFormat="false" ht="12.75" hidden="false" customHeight="false" outlineLevel="0" collapsed="false">
      <c r="A6" s="5" t="s">
        <v>65</v>
      </c>
      <c r="B6" s="5" t="n">
        <v>0.0685582854096316</v>
      </c>
    </row>
    <row r="7" customFormat="false" ht="12.75" hidden="false" customHeight="false" outlineLevel="0" collapsed="false">
      <c r="A7" s="5" t="s">
        <v>66</v>
      </c>
      <c r="B7" s="5" t="n">
        <v>0.0702694162729294</v>
      </c>
    </row>
    <row r="8" customFormat="false" ht="13.5" hidden="false" customHeight="false" outlineLevel="0" collapsed="false">
      <c r="A8" s="6" t="s">
        <v>67</v>
      </c>
      <c r="B8" s="6" t="n">
        <v>51</v>
      </c>
    </row>
    <row r="10" customFormat="false" ht="13.5" hidden="false" customHeight="false" outlineLevel="0" collapsed="false">
      <c r="A10" s="0" t="s">
        <v>68</v>
      </c>
    </row>
    <row r="11" customFormat="false" ht="12.75" hidden="false" customHeight="false" outlineLevel="0" collapsed="false">
      <c r="A11" s="4"/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</row>
    <row r="12" customFormat="false" ht="12.75" hidden="false" customHeight="false" outlineLevel="0" collapsed="false">
      <c r="A12" s="5" t="s">
        <v>74</v>
      </c>
      <c r="B12" s="5" t="n">
        <v>2</v>
      </c>
      <c r="C12" s="5" t="n">
        <v>0.0280477587936383</v>
      </c>
      <c r="D12" s="5" t="n">
        <v>0.0140238793968191</v>
      </c>
      <c r="E12" s="5" t="n">
        <v>2.84011206325944</v>
      </c>
      <c r="F12" s="5" t="n">
        <v>0.0682725315036395</v>
      </c>
    </row>
    <row r="13" customFormat="false" ht="12.75" hidden="false" customHeight="false" outlineLevel="0" collapsed="false">
      <c r="A13" s="5" t="s">
        <v>75</v>
      </c>
      <c r="B13" s="5" t="n">
        <v>48</v>
      </c>
      <c r="C13" s="5" t="n">
        <v>0.237013961440235</v>
      </c>
      <c r="D13" s="5" t="n">
        <v>0.00493779086333823</v>
      </c>
      <c r="E13" s="5"/>
      <c r="F13" s="5"/>
    </row>
    <row r="14" customFormat="false" ht="13.5" hidden="false" customHeight="false" outlineLevel="0" collapsed="false">
      <c r="A14" s="6" t="s">
        <v>76</v>
      </c>
      <c r="B14" s="6" t="n">
        <v>50</v>
      </c>
      <c r="C14" s="6" t="n">
        <v>0.265061720233873</v>
      </c>
      <c r="D14" s="6"/>
      <c r="E14" s="6"/>
      <c r="F14" s="6"/>
    </row>
    <row r="15" customFormat="false" ht="13.5" hidden="false" customHeight="false" outlineLevel="0" collapsed="false"/>
    <row r="16" customFormat="false" ht="12.75" hidden="false" customHeight="false" outlineLevel="0" collapsed="false">
      <c r="A16" s="4"/>
      <c r="B16" s="4" t="s">
        <v>77</v>
      </c>
      <c r="C16" s="4" t="s">
        <v>66</v>
      </c>
      <c r="D16" s="4" t="s">
        <v>78</v>
      </c>
      <c r="E16" s="4" t="s">
        <v>79</v>
      </c>
      <c r="F16" s="4" t="s">
        <v>80</v>
      </c>
      <c r="G16" s="4" t="s">
        <v>81</v>
      </c>
      <c r="H16" s="4" t="s">
        <v>82</v>
      </c>
      <c r="I16" s="4" t="s">
        <v>83</v>
      </c>
    </row>
    <row r="17" customFormat="false" ht="12.75" hidden="false" customHeight="false" outlineLevel="0" collapsed="false">
      <c r="A17" s="5" t="s">
        <v>84</v>
      </c>
      <c r="B17" s="5" t="n">
        <v>0.0195004363030397</v>
      </c>
      <c r="C17" s="5" t="n">
        <v>0.0144101246792048</v>
      </c>
      <c r="D17" s="5" t="n">
        <v>1.35324549489712</v>
      </c>
      <c r="E17" s="5" t="n">
        <v>0.182316380583093</v>
      </c>
      <c r="F17" s="5" t="n">
        <v>-0.00947304426362353</v>
      </c>
      <c r="G17" s="5" t="n">
        <v>0.0484739168697029</v>
      </c>
      <c r="H17" s="5" t="n">
        <v>-0.00947304426362353</v>
      </c>
      <c r="I17" s="5" t="n">
        <v>0.0484739168697029</v>
      </c>
    </row>
    <row r="18" customFormat="false" ht="12.75" hidden="false" customHeight="false" outlineLevel="0" collapsed="false">
      <c r="A18" s="5" t="s">
        <v>86</v>
      </c>
      <c r="B18" s="5" t="n">
        <v>1.26200233977235</v>
      </c>
      <c r="C18" s="5" t="n">
        <v>0.529886227521412</v>
      </c>
      <c r="D18" s="5" t="n">
        <v>2.38164774667852</v>
      </c>
      <c r="E18" s="5" t="n">
        <v>0.0212481067549407</v>
      </c>
      <c r="F18" s="5" t="n">
        <v>0.196595297334373</v>
      </c>
      <c r="G18" s="5" t="n">
        <v>2.32740938221034</v>
      </c>
      <c r="H18" s="5" t="n">
        <v>0.196595297334373</v>
      </c>
      <c r="I18" s="5" t="n">
        <v>2.32740938221034</v>
      </c>
    </row>
    <row r="19" customFormat="false" ht="13.5" hidden="false" customHeight="false" outlineLevel="0" collapsed="false">
      <c r="A19" s="6" t="s">
        <v>87</v>
      </c>
      <c r="B19" s="6" t="n">
        <v>-0.161605787933368</v>
      </c>
      <c r="C19" s="6" t="n">
        <v>0.168529711725739</v>
      </c>
      <c r="D19" s="6" t="n">
        <v>-0.958915708562779</v>
      </c>
      <c r="E19" s="6" t="n">
        <v>0.342406609145916</v>
      </c>
      <c r="F19" s="6" t="n">
        <v>-0.500457285494493</v>
      </c>
      <c r="G19" s="6" t="n">
        <v>0.177245709627757</v>
      </c>
      <c r="H19" s="6" t="n">
        <v>-0.500457285494493</v>
      </c>
      <c r="I19" s="6" t="n">
        <v>0.177245709627757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850" ySplit="0" topLeftCell="Y1" activePane="topRight" state="split"/>
      <selection pane="topLeft" activeCell="A1" activeCellId="0" sqref="A1"/>
      <selection pane="topRight" activeCell="AC1" activeCellId="0" sqref="A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7" min="7" style="0" width="9.99"/>
  </cols>
  <sheetData>
    <row r="1" customFormat="false" ht="12.75" hidden="false" customHeight="false" outlineLevel="0" collapsed="false">
      <c r="A1" s="0" t="s">
        <v>0</v>
      </c>
      <c r="B1" s="0" t="s">
        <v>0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58</v>
      </c>
      <c r="K1" s="0" t="s">
        <v>99</v>
      </c>
      <c r="L1" s="0" t="s">
        <v>100</v>
      </c>
      <c r="N1" s="0" t="s">
        <v>101</v>
      </c>
      <c r="O1" s="0" t="s">
        <v>102</v>
      </c>
      <c r="P1" s="0" t="s">
        <v>103</v>
      </c>
      <c r="R1" s="0" t="s">
        <v>104</v>
      </c>
      <c r="S1" s="0" t="s">
        <v>105</v>
      </c>
      <c r="T1" s="0" t="s">
        <v>106</v>
      </c>
      <c r="V1" s="0" t="s">
        <v>88</v>
      </c>
      <c r="X1" s="0" t="s">
        <v>85</v>
      </c>
      <c r="Y1" s="0" t="s">
        <v>86</v>
      </c>
      <c r="Z1" s="0" t="s">
        <v>87</v>
      </c>
      <c r="AA1" s="0" t="s">
        <v>89</v>
      </c>
      <c r="AB1" s="0" t="s">
        <v>90</v>
      </c>
      <c r="AC1" s="0" t="s">
        <v>91</v>
      </c>
      <c r="AE1" s="0" t="s">
        <v>107</v>
      </c>
      <c r="AF1" s="0" t="s">
        <v>108</v>
      </c>
      <c r="AG1" s="0" t="s">
        <v>56</v>
      </c>
    </row>
    <row r="2" customFormat="false" ht="12.75" hidden="false" customHeight="false" outlineLevel="0" collapsed="false">
      <c r="A2" s="0" t="s">
        <v>4</v>
      </c>
      <c r="B2" s="0" t="n">
        <v>4032992</v>
      </c>
      <c r="C2" s="0" t="n">
        <v>2299994</v>
      </c>
      <c r="D2" s="0" t="n">
        <v>1732238</v>
      </c>
      <c r="E2" s="0" t="n">
        <v>4032992</v>
      </c>
      <c r="F2" s="0" t="n">
        <v>0.964001482475272</v>
      </c>
      <c r="G2" s="0" t="n">
        <v>1669880</v>
      </c>
      <c r="H2" s="0" t="n">
        <f aca="false">D2-G2</f>
        <v>62358</v>
      </c>
      <c r="I2" s="0" t="n">
        <v>1710683</v>
      </c>
      <c r="J2" s="0" t="n">
        <v>0.976148123293445</v>
      </c>
      <c r="K2" s="0" t="n">
        <f aca="false">J2*I2</f>
        <v>1669880</v>
      </c>
      <c r="L2" s="0" t="n">
        <f aca="false">I2-K2</f>
        <v>40803</v>
      </c>
      <c r="N2" s="0" t="n">
        <f aca="false">G2</f>
        <v>1669880</v>
      </c>
      <c r="O2" s="0" t="n">
        <f aca="false">H2</f>
        <v>62358</v>
      </c>
      <c r="P2" s="0" t="n">
        <f aca="false">L2</f>
        <v>40803</v>
      </c>
      <c r="R2" s="0" t="n">
        <f aca="false">N2+0.5*(O2+P2)</f>
        <v>1721460.5</v>
      </c>
      <c r="S2" s="0" t="n">
        <f aca="false">N2+0.5*O2</f>
        <v>1701059</v>
      </c>
      <c r="T2" s="0" t="n">
        <f aca="false">O2+P2</f>
        <v>103161</v>
      </c>
      <c r="V2" s="2" t="n">
        <f aca="false">Rhoii/RhoOrig</f>
        <v>0.981670829759579</v>
      </c>
      <c r="W2" s="2"/>
      <c r="X2" s="2" t="n">
        <f aca="false">Rhoii/RhoTot</f>
        <v>0.970036779815744</v>
      </c>
      <c r="Y2" s="2" t="n">
        <f aca="false">0.5*Rhoij/RhoTot</f>
        <v>0.0181119462224082</v>
      </c>
      <c r="Z2" s="2" t="n">
        <f aca="false">0.5*Rhoji/RhoTot</f>
        <v>0.0118512739618481</v>
      </c>
      <c r="AA2" s="2" t="n">
        <f aca="false">Rhoij/RhoOrig</f>
        <v>0.0366583404808416</v>
      </c>
      <c r="AB2" s="2" t="n">
        <f aca="false">Rhoij/RhoCordon</f>
        <v>0.604472620467037</v>
      </c>
      <c r="AC2" s="2" t="n">
        <f aca="false">Rhoji/RhoCordon</f>
        <v>0.395527379532963</v>
      </c>
      <c r="AE2" s="0" t="s">
        <v>109</v>
      </c>
      <c r="AF2" s="0" t="s">
        <v>110</v>
      </c>
      <c r="AG2" s="0" t="n">
        <v>0</v>
      </c>
    </row>
    <row r="3" customFormat="false" ht="12.75" hidden="false" customHeight="false" outlineLevel="0" collapsed="false">
      <c r="A3" s="0" t="s">
        <v>5</v>
      </c>
      <c r="B3" s="0" t="n">
        <v>550696</v>
      </c>
      <c r="C3" s="0" t="n">
        <v>286591</v>
      </c>
      <c r="D3" s="0" t="n">
        <v>263887</v>
      </c>
      <c r="E3" s="0" t="n">
        <v>550696</v>
      </c>
      <c r="F3" s="0" t="n">
        <v>0.995585231557447</v>
      </c>
      <c r="G3" s="0" t="n">
        <v>262722</v>
      </c>
      <c r="H3" s="0" t="n">
        <f aca="false">D3-G3</f>
        <v>1165</v>
      </c>
      <c r="I3" s="0" t="n">
        <v>270801</v>
      </c>
      <c r="J3" s="0" t="n">
        <v>0.970166284467192</v>
      </c>
      <c r="K3" s="0" t="n">
        <f aca="false">J3*I3</f>
        <v>262722</v>
      </c>
      <c r="L3" s="0" t="n">
        <f aca="false">I3-K3</f>
        <v>8079</v>
      </c>
      <c r="N3" s="0" t="n">
        <f aca="false">G3</f>
        <v>262722</v>
      </c>
      <c r="O3" s="0" t="n">
        <f aca="false">H3</f>
        <v>1165</v>
      </c>
      <c r="P3" s="0" t="n">
        <f aca="false">L3</f>
        <v>8079</v>
      </c>
      <c r="R3" s="0" t="n">
        <f aca="false">N3+0.5*(O3+P3)</f>
        <v>267344</v>
      </c>
      <c r="S3" s="0" t="n">
        <f aca="false">N3+0.5*O3</f>
        <v>263304.5</v>
      </c>
      <c r="T3" s="0" t="n">
        <f aca="false">O3+P3</f>
        <v>9244</v>
      </c>
      <c r="V3" s="2" t="n">
        <f aca="false">Rhoii/RhoOrig</f>
        <v>0.99778773245425</v>
      </c>
      <c r="W3" s="2"/>
      <c r="X3" s="2" t="n">
        <f aca="false">Rhoii/RhoTot</f>
        <v>0.982711413010952</v>
      </c>
      <c r="Y3" s="2" t="n">
        <f aca="false">0.5*Rhoij/RhoTot</f>
        <v>0.00217884074450895</v>
      </c>
      <c r="Z3" s="2" t="n">
        <f aca="false">0.5*Rhoji/RhoTot</f>
        <v>0.0151097462445389</v>
      </c>
      <c r="AA3" s="2" t="n">
        <f aca="false">Rhoij/RhoOrig</f>
        <v>0.00442453509150053</v>
      </c>
      <c r="AB3" s="2" t="n">
        <f aca="false">Rhoij/RhoCordon</f>
        <v>0.126027693639117</v>
      </c>
      <c r="AC3" s="2" t="n">
        <f aca="false">Rhoji/RhoCordon</f>
        <v>0.873972306360883</v>
      </c>
      <c r="AE3" s="0" t="s">
        <v>111</v>
      </c>
      <c r="AF3" s="0" t="s">
        <v>112</v>
      </c>
      <c r="AG3" s="0" t="n">
        <v>0.129719929982496</v>
      </c>
    </row>
    <row r="4" customFormat="false" ht="12.75" hidden="false" customHeight="false" outlineLevel="0" collapsed="false">
      <c r="A4" s="0" t="s">
        <v>6</v>
      </c>
      <c r="B4" s="0" t="n">
        <v>3652849</v>
      </c>
      <c r="C4" s="0" t="n">
        <v>2060434</v>
      </c>
      <c r="D4" s="0" t="n">
        <v>1591203</v>
      </c>
      <c r="E4" s="0" t="n">
        <v>3652849</v>
      </c>
      <c r="F4" s="0" t="n">
        <v>0.984195605463288</v>
      </c>
      <c r="G4" s="0" t="n">
        <v>1566055</v>
      </c>
      <c r="H4" s="0" t="n">
        <f aca="false">D4-G4</f>
        <v>25148</v>
      </c>
      <c r="I4" s="0" t="n">
        <v>1583805</v>
      </c>
      <c r="J4" s="0" t="n">
        <v>0.988792812246457</v>
      </c>
      <c r="K4" s="0" t="n">
        <f aca="false">J4*I4</f>
        <v>1566055</v>
      </c>
      <c r="L4" s="0" t="n">
        <f aca="false">I4-K4</f>
        <v>17750</v>
      </c>
      <c r="N4" s="0" t="n">
        <f aca="false">G4</f>
        <v>1566055</v>
      </c>
      <c r="O4" s="0" t="n">
        <f aca="false">H4</f>
        <v>25148</v>
      </c>
      <c r="P4" s="0" t="n">
        <f aca="false">L4</f>
        <v>17750</v>
      </c>
      <c r="R4" s="0" t="n">
        <f aca="false">N4+0.5*(O4+P4)</f>
        <v>1587504</v>
      </c>
      <c r="S4" s="0" t="n">
        <f aca="false">N4+0.5*O4</f>
        <v>1578629</v>
      </c>
      <c r="T4" s="0" t="n">
        <f aca="false">O4+P4</f>
        <v>42898</v>
      </c>
      <c r="V4" s="2" t="n">
        <f aca="false">Rhoii/RhoOrig</f>
        <v>0.992034860629065</v>
      </c>
      <c r="W4" s="2"/>
      <c r="X4" s="2" t="n">
        <f aca="false">Rhoii/RhoTot</f>
        <v>0.986488852941473</v>
      </c>
      <c r="Y4" s="2" t="n">
        <f aca="false">0.5*Rhoij/RhoTot</f>
        <v>0.00792060996381741</v>
      </c>
      <c r="Z4" s="2" t="n">
        <f aca="false">0.5*Rhoji/RhoTot</f>
        <v>0.00559053709470968</v>
      </c>
      <c r="AA4" s="2" t="n">
        <f aca="false">Rhoij/RhoOrig</f>
        <v>0.0159302787418703</v>
      </c>
      <c r="AB4" s="2" t="n">
        <f aca="false">Rhoij/RhoCordon</f>
        <v>0.586227796167654</v>
      </c>
      <c r="AC4" s="2" t="n">
        <f aca="false">Rhoji/RhoCordon</f>
        <v>0.413772203832347</v>
      </c>
      <c r="AE4" s="0" t="s">
        <v>113</v>
      </c>
      <c r="AF4" s="0" t="s">
        <v>114</v>
      </c>
      <c r="AG4" s="0" t="n">
        <v>0</v>
      </c>
    </row>
    <row r="5" customFormat="false" ht="12.75" hidden="false" customHeight="false" outlineLevel="0" collapsed="false">
      <c r="A5" s="0" t="s">
        <v>7</v>
      </c>
      <c r="B5" s="0" t="n">
        <v>2344205</v>
      </c>
      <c r="C5" s="0" t="n">
        <v>1355487</v>
      </c>
      <c r="D5" s="0" t="n">
        <v>988408</v>
      </c>
      <c r="E5" s="0" t="n">
        <v>2344205</v>
      </c>
      <c r="F5" s="0" t="n">
        <v>0.967703620367298</v>
      </c>
      <c r="G5" s="0" t="n">
        <v>956486</v>
      </c>
      <c r="H5" s="0" t="n">
        <f aca="false">D5-G5</f>
        <v>31922</v>
      </c>
      <c r="I5" s="0" t="n">
        <v>996645</v>
      </c>
      <c r="J5" s="0" t="n">
        <v>0.959705813002624</v>
      </c>
      <c r="K5" s="0" t="n">
        <f aca="false">J5*I5</f>
        <v>956486</v>
      </c>
      <c r="L5" s="0" t="n">
        <f aca="false">I5-K5</f>
        <v>40159</v>
      </c>
      <c r="N5" s="0" t="n">
        <f aca="false">G5</f>
        <v>956486</v>
      </c>
      <c r="O5" s="0" t="n">
        <f aca="false">H5</f>
        <v>31922</v>
      </c>
      <c r="P5" s="0" t="n">
        <f aca="false">L5</f>
        <v>40159</v>
      </c>
      <c r="R5" s="0" t="n">
        <f aca="false">N5+0.5*(O5+P5)</f>
        <v>992526.5</v>
      </c>
      <c r="S5" s="0" t="n">
        <f aca="false">N5+0.5*O5</f>
        <v>972447</v>
      </c>
      <c r="T5" s="0" t="n">
        <f aca="false">O5+P5</f>
        <v>72081</v>
      </c>
      <c r="V5" s="2" t="n">
        <f aca="false">Rhoii/RhoOrig</f>
        <v>0.983586766168233</v>
      </c>
      <c r="W5" s="2"/>
      <c r="X5" s="2" t="n">
        <f aca="false">Rhoii/RhoTot</f>
        <v>0.96368812318865</v>
      </c>
      <c r="Y5" s="2" t="n">
        <f aca="false">0.5*Rhoij/RhoTot</f>
        <v>0.0160811827190508</v>
      </c>
      <c r="Z5" s="2" t="n">
        <f aca="false">0.5*Rhoji/RhoTot</f>
        <v>0.0202306940922988</v>
      </c>
      <c r="AA5" s="2" t="n">
        <f aca="false">Rhoij/RhoOrig</f>
        <v>0.0328264676635333</v>
      </c>
      <c r="AB5" s="2" t="n">
        <f aca="false">Rhoij/RhoCordon</f>
        <v>0.442862890359457</v>
      </c>
      <c r="AC5" s="2" t="n">
        <f aca="false">Rhoji/RhoCordon</f>
        <v>0.557137109640543</v>
      </c>
      <c r="AE5" s="0" t="s">
        <v>115</v>
      </c>
      <c r="AF5" s="0" t="s">
        <v>116</v>
      </c>
      <c r="AG5" s="0" t="n">
        <v>0</v>
      </c>
    </row>
    <row r="6" customFormat="false" ht="12.75" hidden="false" customHeight="false" outlineLevel="0" collapsed="false">
      <c r="A6" s="0" t="s">
        <v>8</v>
      </c>
      <c r="B6" s="0" t="n">
        <v>29715727</v>
      </c>
      <c r="C6" s="0" t="n">
        <v>15806498</v>
      </c>
      <c r="D6" s="0" t="n">
        <v>13897185</v>
      </c>
      <c r="E6" s="0" t="n">
        <v>29715727</v>
      </c>
      <c r="F6" s="0" t="n">
        <v>0.996310187998505</v>
      </c>
      <c r="G6" s="0" t="n">
        <v>13845907</v>
      </c>
      <c r="H6" s="0" t="n">
        <f aca="false">D6-G6</f>
        <v>51278</v>
      </c>
      <c r="I6" s="0" t="n">
        <v>13908817</v>
      </c>
      <c r="J6" s="0" t="n">
        <v>0.995476969752352</v>
      </c>
      <c r="K6" s="0" t="n">
        <f aca="false">J6*I6</f>
        <v>13845907</v>
      </c>
      <c r="L6" s="0" t="n">
        <f aca="false">I6-K6</f>
        <v>62910</v>
      </c>
      <c r="N6" s="0" t="n">
        <f aca="false">G6</f>
        <v>13845907</v>
      </c>
      <c r="O6" s="0" t="n">
        <f aca="false">H6</f>
        <v>51278</v>
      </c>
      <c r="P6" s="0" t="n">
        <f aca="false">L6</f>
        <v>62910</v>
      </c>
      <c r="R6" s="0" t="n">
        <f aca="false">N6+0.5*(O6+P6)</f>
        <v>13903001</v>
      </c>
      <c r="S6" s="0" t="n">
        <f aca="false">N6+0.5*O6</f>
        <v>13871546</v>
      </c>
      <c r="T6" s="0" t="n">
        <f aca="false">O6+P6</f>
        <v>114188</v>
      </c>
      <c r="V6" s="2" t="n">
        <f aca="false">Rhoii/RhoOrig</f>
        <v>0.998151684030028</v>
      </c>
      <c r="W6" s="2"/>
      <c r="X6" s="2" t="n">
        <f aca="false">Rhoii/RhoTot</f>
        <v>0.995893404596605</v>
      </c>
      <c r="Y6" s="2" t="n">
        <f aca="false">0.5*Rhoij/RhoTot</f>
        <v>0.00184413422684786</v>
      </c>
      <c r="Z6" s="2" t="n">
        <f aca="false">0.5*Rhoji/RhoTot</f>
        <v>0.00226246117654742</v>
      </c>
      <c r="AA6" s="2" t="n">
        <f aca="false">Rhoij/RhoOrig</f>
        <v>0.00369663193994382</v>
      </c>
      <c r="AB6" s="2" t="n">
        <f aca="false">Rhoij/RhoCordon</f>
        <v>0.449066451816303</v>
      </c>
      <c r="AC6" s="2" t="n">
        <f aca="false">Rhoji/RhoCordon</f>
        <v>0.550933548183697</v>
      </c>
      <c r="AE6" s="0" t="s">
        <v>117</v>
      </c>
      <c r="AF6" s="0" t="s">
        <v>118</v>
      </c>
      <c r="AG6" s="0" t="n">
        <v>0.0211415213324095</v>
      </c>
    </row>
    <row r="7" customFormat="false" ht="12.75" hidden="false" customHeight="false" outlineLevel="0" collapsed="false">
      <c r="A7" s="0" t="s">
        <v>9</v>
      </c>
      <c r="B7" s="0" t="n">
        <v>3282756</v>
      </c>
      <c r="C7" s="0" t="n">
        <v>1649976</v>
      </c>
      <c r="D7" s="0" t="n">
        <v>1631955</v>
      </c>
      <c r="E7" s="0" t="n">
        <v>3282756</v>
      </c>
      <c r="F7" s="0" t="n">
        <v>0.98974971736353</v>
      </c>
      <c r="G7" s="0" t="n">
        <v>1615227</v>
      </c>
      <c r="H7" s="0" t="n">
        <f aca="false">D7-G7</f>
        <v>16728</v>
      </c>
      <c r="I7" s="0" t="n">
        <v>1628162</v>
      </c>
      <c r="J7" s="0" t="n">
        <v>0.992055458854831</v>
      </c>
      <c r="K7" s="0" t="n">
        <f aca="false">J7*I7</f>
        <v>1615227</v>
      </c>
      <c r="L7" s="0" t="n">
        <f aca="false">I7-K7</f>
        <v>12935</v>
      </c>
      <c r="N7" s="0" t="n">
        <f aca="false">G7</f>
        <v>1615227</v>
      </c>
      <c r="O7" s="0" t="n">
        <f aca="false">H7</f>
        <v>16728</v>
      </c>
      <c r="P7" s="0" t="n">
        <f aca="false">L7</f>
        <v>12935</v>
      </c>
      <c r="R7" s="0" t="n">
        <f aca="false">N7+0.5*(O7+P7)</f>
        <v>1630058.5</v>
      </c>
      <c r="S7" s="0" t="n">
        <f aca="false">N7+0.5*O7</f>
        <v>1623591</v>
      </c>
      <c r="T7" s="0" t="n">
        <f aca="false">O7+P7</f>
        <v>29663</v>
      </c>
      <c r="V7" s="2" t="n">
        <f aca="false">Rhoii/RhoOrig</f>
        <v>0.994848456292256</v>
      </c>
      <c r="W7" s="2"/>
      <c r="X7" s="2" t="n">
        <f aca="false">Rhoii/RhoTot</f>
        <v>0.990901246795744</v>
      </c>
      <c r="Y7" s="2" t="n">
        <f aca="false">0.5*Rhoij/RhoTot</f>
        <v>0.00513110419043243</v>
      </c>
      <c r="Z7" s="2" t="n">
        <f aca="false">0.5*Rhoji/RhoTot</f>
        <v>0.00396764901382374</v>
      </c>
      <c r="AA7" s="2" t="n">
        <f aca="false">Rhoij/RhoOrig</f>
        <v>0.0103030874154883</v>
      </c>
      <c r="AB7" s="2" t="n">
        <f aca="false">Rhoij/RhoCordon</f>
        <v>0.563934868354516</v>
      </c>
      <c r="AC7" s="2" t="n">
        <f aca="false">Rhoji/RhoCordon</f>
        <v>0.436065131645484</v>
      </c>
      <c r="AE7" s="0" t="s">
        <v>119</v>
      </c>
      <c r="AF7" s="0" t="s">
        <v>120</v>
      </c>
      <c r="AG7" s="0" t="n">
        <v>0.00295777769394722</v>
      </c>
    </row>
    <row r="8" customFormat="false" ht="12.75" hidden="false" customHeight="false" outlineLevel="0" collapsed="false">
      <c r="A8" s="0" t="s">
        <v>10</v>
      </c>
      <c r="B8" s="0" t="n">
        <v>3282130</v>
      </c>
      <c r="C8" s="0" t="n">
        <v>1609151</v>
      </c>
      <c r="D8" s="0" t="n">
        <v>1672230</v>
      </c>
      <c r="E8" s="0" t="n">
        <v>3282130</v>
      </c>
      <c r="F8" s="0" t="n">
        <v>0.952554971505116</v>
      </c>
      <c r="G8" s="0" t="n">
        <v>1592891</v>
      </c>
      <c r="H8" s="0" t="n">
        <f aca="false">D8-G8</f>
        <v>79339</v>
      </c>
      <c r="I8" s="0" t="n">
        <v>1669019</v>
      </c>
      <c r="J8" s="0" t="n">
        <v>0.954387577373295</v>
      </c>
      <c r="K8" s="0" t="n">
        <f aca="false">J8*I8</f>
        <v>1592891</v>
      </c>
      <c r="L8" s="0" t="n">
        <f aca="false">I8-K8</f>
        <v>76128</v>
      </c>
      <c r="N8" s="0" t="n">
        <f aca="false">G8</f>
        <v>1592891</v>
      </c>
      <c r="O8" s="0" t="n">
        <f aca="false">H8</f>
        <v>79339</v>
      </c>
      <c r="P8" s="0" t="n">
        <f aca="false">L8</f>
        <v>76128</v>
      </c>
      <c r="R8" s="0" t="n">
        <f aca="false">N8+0.5*(O8+P8)</f>
        <v>1670624.5</v>
      </c>
      <c r="S8" s="0" t="n">
        <f aca="false">N8+0.5*O8</f>
        <v>1632560.5</v>
      </c>
      <c r="T8" s="0" t="n">
        <f aca="false">O8+P8</f>
        <v>155467</v>
      </c>
      <c r="V8" s="2" t="n">
        <f aca="false">Rhoii/RhoOrig</f>
        <v>0.97570105365161</v>
      </c>
      <c r="W8" s="2"/>
      <c r="X8" s="2" t="n">
        <f aca="false">Rhoii/RhoTot</f>
        <v>0.953470393855711</v>
      </c>
      <c r="Y8" s="2" t="n">
        <f aca="false">0.5*Rhoij/RhoTot</f>
        <v>0.0237453120075756</v>
      </c>
      <c r="Z8" s="2" t="n">
        <f aca="false">0.5*Rhoji/RhoTot</f>
        <v>0.0227842941367135</v>
      </c>
      <c r="AA8" s="2" t="n">
        <f aca="false">Rhoij/RhoOrig</f>
        <v>0.0485978926967791</v>
      </c>
      <c r="AB8" s="2" t="n">
        <f aca="false">Rhoij/RhoCordon</f>
        <v>0.510326950413914</v>
      </c>
      <c r="AC8" s="2" t="n">
        <f aca="false">Rhoji/RhoCordon</f>
        <v>0.489673049586086</v>
      </c>
      <c r="AE8" s="0" t="s">
        <v>121</v>
      </c>
      <c r="AF8" s="0" t="s">
        <v>122</v>
      </c>
      <c r="AG8" s="0" t="n">
        <v>0.000259885785260088</v>
      </c>
    </row>
    <row r="9" customFormat="false" ht="12.75" hidden="false" customHeight="false" outlineLevel="0" collapsed="false">
      <c r="A9" s="0" t="s">
        <v>11</v>
      </c>
      <c r="B9" s="0" t="n">
        <v>661667</v>
      </c>
      <c r="C9" s="0" t="n">
        <v>327531</v>
      </c>
      <c r="D9" s="0" t="n">
        <v>333913</v>
      </c>
      <c r="E9" s="0" t="n">
        <v>661667</v>
      </c>
      <c r="F9" s="0" t="n">
        <v>0.904954284499256</v>
      </c>
      <c r="G9" s="0" t="n">
        <v>302176</v>
      </c>
      <c r="H9" s="0" t="n">
        <f aca="false">D9-G9</f>
        <v>31737</v>
      </c>
      <c r="I9" s="0" t="n">
        <v>350686</v>
      </c>
      <c r="J9" s="0" t="n">
        <v>0.861671124595792</v>
      </c>
      <c r="K9" s="0" t="n">
        <f aca="false">J9*I9</f>
        <v>302176</v>
      </c>
      <c r="L9" s="0" t="n">
        <f aca="false">I9-K9</f>
        <v>48510</v>
      </c>
      <c r="N9" s="0" t="n">
        <f aca="false">G9</f>
        <v>302176</v>
      </c>
      <c r="O9" s="0" t="n">
        <f aca="false">H9</f>
        <v>31737</v>
      </c>
      <c r="P9" s="0" t="n">
        <f aca="false">L9</f>
        <v>48510</v>
      </c>
      <c r="R9" s="0" t="n">
        <f aca="false">N9+0.5*(O9+P9)</f>
        <v>342299.5</v>
      </c>
      <c r="S9" s="0" t="n">
        <f aca="false">N9+0.5*O9</f>
        <v>318044.5</v>
      </c>
      <c r="T9" s="0" t="n">
        <f aca="false">O9+P9</f>
        <v>80247</v>
      </c>
      <c r="V9" s="2" t="n">
        <f aca="false">Rhoii/RhoOrig</f>
        <v>0.950106038620382</v>
      </c>
      <c r="W9" s="2"/>
      <c r="X9" s="2" t="n">
        <f aca="false">Rhoii/RhoTot</f>
        <v>0.882782475580595</v>
      </c>
      <c r="Y9" s="2" t="n">
        <f aca="false">0.5*Rhoij/RhoTot</f>
        <v>0.0463585252096483</v>
      </c>
      <c r="Z9" s="2" t="n">
        <f aca="false">0.5*Rhoji/RhoTot</f>
        <v>0.0708589992097564</v>
      </c>
      <c r="AA9" s="2" t="n">
        <f aca="false">Rhoij/RhoOrig</f>
        <v>0.0997879227592365</v>
      </c>
      <c r="AB9" s="2" t="n">
        <f aca="false">Rhoij/RhoCordon</f>
        <v>0.395491420240009</v>
      </c>
      <c r="AC9" s="2" t="n">
        <f aca="false">Rhoji/RhoCordon</f>
        <v>0.604508579759991</v>
      </c>
      <c r="AE9" s="0" t="s">
        <v>123</v>
      </c>
      <c r="AF9" s="0" t="s">
        <v>124</v>
      </c>
      <c r="AG9" s="0" t="n">
        <v>0.252590047672857</v>
      </c>
    </row>
    <row r="10" customFormat="false" ht="12.75" hidden="false" customHeight="false" outlineLevel="0" collapsed="false">
      <c r="A10" s="0" t="s">
        <v>12</v>
      </c>
      <c r="B10" s="0" t="n">
        <v>609866</v>
      </c>
      <c r="C10" s="0" t="n">
        <v>303582</v>
      </c>
      <c r="D10" s="0" t="n">
        <v>305807</v>
      </c>
      <c r="E10" s="0" t="n">
        <v>609866</v>
      </c>
      <c r="F10" s="0" t="n">
        <v>0.774426353876792</v>
      </c>
      <c r="G10" s="0" t="n">
        <v>236825</v>
      </c>
      <c r="H10" s="0" t="n">
        <f aca="false">D10-G10</f>
        <v>68982</v>
      </c>
      <c r="I10" s="0" t="n">
        <v>731599</v>
      </c>
      <c r="J10" s="0" t="n">
        <v>0.323708753019072</v>
      </c>
      <c r="K10" s="0" t="n">
        <f aca="false">J10*I10</f>
        <v>236825</v>
      </c>
      <c r="L10" s="0" t="n">
        <f aca="false">I10-K10</f>
        <v>494774</v>
      </c>
      <c r="N10" s="0" t="n">
        <f aca="false">G10</f>
        <v>236825</v>
      </c>
      <c r="O10" s="0" t="n">
        <f aca="false">H10</f>
        <v>68982</v>
      </c>
      <c r="P10" s="0" t="n">
        <f aca="false">L10</f>
        <v>494774</v>
      </c>
      <c r="R10" s="0" t="n">
        <f aca="false">N10+0.5*(O10+P10)</f>
        <v>518703</v>
      </c>
      <c r="S10" s="0" t="n">
        <f aca="false">N10+0.5*O10</f>
        <v>271316</v>
      </c>
      <c r="T10" s="0" t="n">
        <f aca="false">O10+P10</f>
        <v>563756</v>
      </c>
      <c r="V10" s="2" t="n">
        <f aca="false">Rhoii/RhoOrig</f>
        <v>0.87287517138687</v>
      </c>
      <c r="W10" s="2"/>
      <c r="X10" s="2" t="n">
        <f aca="false">Rhoii/RhoTot</f>
        <v>0.456571486958818</v>
      </c>
      <c r="Y10" s="2" t="n">
        <f aca="false">0.5*Rhoij/RhoTot</f>
        <v>0.066494699278778</v>
      </c>
      <c r="Z10" s="2" t="n">
        <f aca="false">0.5*Rhoji/RhoTot</f>
        <v>0.476933813762404</v>
      </c>
      <c r="AA10" s="2" t="n">
        <f aca="false">Rhoij/RhoOrig</f>
        <v>0.25424965722626</v>
      </c>
      <c r="AB10" s="2" t="n">
        <f aca="false">Rhoij/RhoCordon</f>
        <v>0.122361447150895</v>
      </c>
      <c r="AC10" s="2" t="n">
        <f aca="false">Rhoji/RhoCordon</f>
        <v>0.877638552849105</v>
      </c>
      <c r="AE10" s="0" t="s">
        <v>125</v>
      </c>
      <c r="AF10" s="0" t="s">
        <v>12</v>
      </c>
      <c r="AG10" s="0" t="n">
        <v>0</v>
      </c>
    </row>
    <row r="11" customFormat="false" ht="12.75" hidden="false" customHeight="false" outlineLevel="0" collapsed="false">
      <c r="A11" s="0" t="s">
        <v>13</v>
      </c>
      <c r="B11" s="0" t="n">
        <v>12922903</v>
      </c>
      <c r="C11" s="0" t="n">
        <v>7132347</v>
      </c>
      <c r="D11" s="0" t="n">
        <v>5786177</v>
      </c>
      <c r="E11" s="0" t="n">
        <v>12922903</v>
      </c>
      <c r="F11" s="0" t="n">
        <v>0.990013095002106</v>
      </c>
      <c r="G11" s="0" t="n">
        <v>5728391</v>
      </c>
      <c r="H11" s="0" t="n">
        <f aca="false">D11-G11</f>
        <v>57786</v>
      </c>
      <c r="I11" s="0" t="n">
        <v>5774554</v>
      </c>
      <c r="J11" s="0" t="n">
        <v>0.992005789538032</v>
      </c>
      <c r="K11" s="0" t="n">
        <f aca="false">J11*I11</f>
        <v>5728391</v>
      </c>
      <c r="L11" s="0" t="n">
        <f aca="false">I11-K11</f>
        <v>46163</v>
      </c>
      <c r="N11" s="0" t="n">
        <f aca="false">G11</f>
        <v>5728391</v>
      </c>
      <c r="O11" s="0" t="n">
        <f aca="false">H11</f>
        <v>57786</v>
      </c>
      <c r="P11" s="0" t="n">
        <f aca="false">L11</f>
        <v>46163</v>
      </c>
      <c r="R11" s="0" t="n">
        <f aca="false">N11+0.5*(O11+P11)</f>
        <v>5780365.5</v>
      </c>
      <c r="S11" s="0" t="n">
        <f aca="false">N11+0.5*O11</f>
        <v>5757284</v>
      </c>
      <c r="T11" s="0" t="n">
        <f aca="false">O11+P11</f>
        <v>103949</v>
      </c>
      <c r="V11" s="2" t="n">
        <f aca="false">Rhoii/RhoOrig</f>
        <v>0.994981487798761</v>
      </c>
      <c r="W11" s="2"/>
      <c r="X11" s="2" t="n">
        <f aca="false">Rhoii/RhoTot</f>
        <v>0.991008440556224</v>
      </c>
      <c r="Y11" s="2" t="n">
        <f aca="false">0.5*Rhoij/RhoTot</f>
        <v>0.00499847284743499</v>
      </c>
      <c r="Z11" s="2" t="n">
        <f aca="false">0.5*Rhoji/RhoTot</f>
        <v>0.00399308659634066</v>
      </c>
      <c r="AA11" s="2" t="n">
        <f aca="false">Rhoij/RhoOrig</f>
        <v>0.0100370244024787</v>
      </c>
      <c r="AB11" s="2" t="n">
        <f aca="false">Rhoij/RhoCordon</f>
        <v>0.555907223734716</v>
      </c>
      <c r="AC11" s="2" t="n">
        <f aca="false">Rhoji/RhoCordon</f>
        <v>0.444092776265284</v>
      </c>
      <c r="AE11" s="0" t="s">
        <v>126</v>
      </c>
      <c r="AF11" s="0" t="s">
        <v>127</v>
      </c>
      <c r="AG11" s="0" t="n">
        <v>0.0778335546482334</v>
      </c>
    </row>
    <row r="12" customFormat="false" ht="12.75" hidden="false" customHeight="false" outlineLevel="0" collapsed="false">
      <c r="A12" s="0" t="s">
        <v>14</v>
      </c>
      <c r="B12" s="0" t="n">
        <v>6466023</v>
      </c>
      <c r="C12" s="0" t="n">
        <v>3356359</v>
      </c>
      <c r="D12" s="0" t="n">
        <v>3108090</v>
      </c>
      <c r="E12" s="0" t="n">
        <v>6466023</v>
      </c>
      <c r="F12" s="0" t="n">
        <v>0.976108478197221</v>
      </c>
      <c r="G12" s="0" t="n">
        <v>3033833</v>
      </c>
      <c r="H12" s="0" t="n">
        <f aca="false">D12-G12</f>
        <v>74257</v>
      </c>
      <c r="I12" s="0" t="n">
        <v>3121670</v>
      </c>
      <c r="J12" s="0" t="n">
        <v>0.971862176335103</v>
      </c>
      <c r="K12" s="0" t="n">
        <f aca="false">J12*I12</f>
        <v>3033833</v>
      </c>
      <c r="L12" s="0" t="n">
        <f aca="false">I12-K12</f>
        <v>87837</v>
      </c>
      <c r="N12" s="0" t="n">
        <f aca="false">G12</f>
        <v>3033833</v>
      </c>
      <c r="O12" s="0" t="n">
        <f aca="false">H12</f>
        <v>74257</v>
      </c>
      <c r="P12" s="0" t="n">
        <f aca="false">L12</f>
        <v>87837</v>
      </c>
      <c r="R12" s="0" t="n">
        <f aca="false">N12+0.5*(O12+P12)</f>
        <v>3114880</v>
      </c>
      <c r="S12" s="0" t="n">
        <f aca="false">N12+0.5*O12</f>
        <v>3070961.5</v>
      </c>
      <c r="T12" s="0" t="n">
        <f aca="false">O12+P12</f>
        <v>162094</v>
      </c>
      <c r="V12" s="2" t="n">
        <f aca="false">Rhoii/RhoOrig</f>
        <v>0.987909812610806</v>
      </c>
      <c r="W12" s="2"/>
      <c r="X12" s="2" t="n">
        <f aca="false">Rhoii/RhoTot</f>
        <v>0.973980699095952</v>
      </c>
      <c r="Y12" s="2" t="n">
        <f aca="false">0.5*Rhoij/RhoTot</f>
        <v>0.0119197208239162</v>
      </c>
      <c r="Z12" s="2" t="n">
        <f aca="false">0.5*Rhoji/RhoTot</f>
        <v>0.0140995800801315</v>
      </c>
      <c r="AA12" s="2" t="n">
        <f aca="false">Rhoij/RhoOrig</f>
        <v>0.0241803747783878</v>
      </c>
      <c r="AB12" s="2" t="n">
        <f aca="false">Rhoij/RhoCordon</f>
        <v>0.45811072587511</v>
      </c>
      <c r="AC12" s="2" t="n">
        <f aca="false">Rhoji/RhoCordon</f>
        <v>0.541889274124891</v>
      </c>
      <c r="AE12" s="0" t="s">
        <v>128</v>
      </c>
      <c r="AF12" s="0" t="s">
        <v>129</v>
      </c>
      <c r="AG12" s="0" t="n">
        <v>0.0041858290740556</v>
      </c>
    </row>
    <row r="13" customFormat="false" ht="12.75" hidden="false" customHeight="false" outlineLevel="0" collapsed="false">
      <c r="A13" s="0" t="s">
        <v>15</v>
      </c>
      <c r="B13" s="0" t="n">
        <v>1104668</v>
      </c>
      <c r="C13" s="0" t="n">
        <v>540368</v>
      </c>
      <c r="D13" s="0" t="n">
        <v>562967</v>
      </c>
      <c r="E13" s="0" t="n">
        <v>1104668</v>
      </c>
      <c r="F13" s="0" t="n">
        <v>0.995324770368423</v>
      </c>
      <c r="G13" s="0" t="n">
        <v>560335</v>
      </c>
      <c r="H13" s="0" t="n">
        <f aca="false">D13-G13</f>
        <v>2632</v>
      </c>
      <c r="I13" s="0" t="n">
        <v>565723</v>
      </c>
      <c r="J13" s="0" t="n">
        <v>0.990475904285313</v>
      </c>
      <c r="K13" s="0" t="n">
        <f aca="false">J13*I13</f>
        <v>560335</v>
      </c>
      <c r="L13" s="0" t="n">
        <f aca="false">I13-K13</f>
        <v>5388</v>
      </c>
      <c r="N13" s="0" t="n">
        <f aca="false">G13</f>
        <v>560335</v>
      </c>
      <c r="O13" s="0" t="n">
        <f aca="false">H13</f>
        <v>2632</v>
      </c>
      <c r="P13" s="0" t="n">
        <f aca="false">L13</f>
        <v>5388</v>
      </c>
      <c r="R13" s="0" t="n">
        <f aca="false">N13+0.5*(O13+P13)</f>
        <v>564345</v>
      </c>
      <c r="S13" s="0" t="n">
        <f aca="false">N13+0.5*O13</f>
        <v>561651</v>
      </c>
      <c r="T13" s="0" t="n">
        <f aca="false">O13+P13</f>
        <v>8020</v>
      </c>
      <c r="V13" s="2" t="n">
        <f aca="false">Rhoii/RhoOrig</f>
        <v>0.997656907937491</v>
      </c>
      <c r="W13" s="2"/>
      <c r="X13" s="2" t="n">
        <f aca="false">Rhoii/RhoTot</f>
        <v>0.992894417421967</v>
      </c>
      <c r="Y13" s="2" t="n">
        <f aca="false">0.5*Rhoij/RhoTot</f>
        <v>0.00233190690092054</v>
      </c>
      <c r="Z13" s="2" t="n">
        <f aca="false">0.5*Rhoji/RhoTot</f>
        <v>0.00477367567711241</v>
      </c>
      <c r="AA13" s="2" t="n">
        <f aca="false">Rhoij/RhoOrig</f>
        <v>0.00468618412501714</v>
      </c>
      <c r="AB13" s="2" t="n">
        <f aca="false">Rhoij/RhoCordon</f>
        <v>0.328179551122195</v>
      </c>
      <c r="AC13" s="2" t="n">
        <f aca="false">Rhoji/RhoCordon</f>
        <v>0.671820448877806</v>
      </c>
      <c r="AE13" s="0" t="s">
        <v>130</v>
      </c>
      <c r="AF13" s="0" t="s">
        <v>131</v>
      </c>
      <c r="AG13" s="0" t="n">
        <v>0</v>
      </c>
    </row>
    <row r="14" customFormat="false" ht="12.75" hidden="false" customHeight="false" outlineLevel="0" collapsed="false">
      <c r="A14" s="0" t="s">
        <v>16</v>
      </c>
      <c r="B14" s="0" t="n">
        <v>990916</v>
      </c>
      <c r="C14" s="0" t="n">
        <v>557000</v>
      </c>
      <c r="D14" s="0" t="n">
        <v>433860</v>
      </c>
      <c r="E14" s="0" t="n">
        <v>990916</v>
      </c>
      <c r="F14" s="0" t="n">
        <v>0.960217581708385</v>
      </c>
      <c r="G14" s="0" t="n">
        <v>416600</v>
      </c>
      <c r="H14" s="0" t="n">
        <f aca="false">D14-G14</f>
        <v>17260</v>
      </c>
      <c r="I14" s="0" t="n">
        <v>427786</v>
      </c>
      <c r="J14" s="0" t="n">
        <v>0.973851411687152</v>
      </c>
      <c r="K14" s="0" t="n">
        <f aca="false">J14*I14</f>
        <v>416600</v>
      </c>
      <c r="L14" s="0" t="n">
        <f aca="false">I14-K14</f>
        <v>11186</v>
      </c>
      <c r="N14" s="0" t="n">
        <f aca="false">G14</f>
        <v>416600</v>
      </c>
      <c r="O14" s="0" t="n">
        <f aca="false">H14</f>
        <v>17260</v>
      </c>
      <c r="P14" s="0" t="n">
        <f aca="false">L14</f>
        <v>11186</v>
      </c>
      <c r="R14" s="0" t="n">
        <f aca="false">N14+0.5*(O14+P14)</f>
        <v>430823</v>
      </c>
      <c r="S14" s="0" t="n">
        <f aca="false">N14+0.5*O14</f>
        <v>425230</v>
      </c>
      <c r="T14" s="0" t="n">
        <f aca="false">O14+P14</f>
        <v>28446</v>
      </c>
      <c r="V14" s="2" t="n">
        <f aca="false">Rhoii/RhoOrig</f>
        <v>0.979705100768996</v>
      </c>
      <c r="W14" s="2"/>
      <c r="X14" s="2" t="n">
        <f aca="false">Rhoii/RhoTot</f>
        <v>0.966986442228015</v>
      </c>
      <c r="Y14" s="2" t="n">
        <f aca="false">0.5*Rhoij/RhoTot</f>
        <v>0.0200314282199418</v>
      </c>
      <c r="Z14" s="2" t="n">
        <f aca="false">0.5*Rhoji/RhoTot</f>
        <v>0.0129821295520434</v>
      </c>
      <c r="AA14" s="2" t="n">
        <f aca="false">Rhoij/RhoOrig</f>
        <v>0.0405897984620088</v>
      </c>
      <c r="AB14" s="2" t="n">
        <f aca="false">Rhoij/RhoCordon</f>
        <v>0.60676369261056</v>
      </c>
      <c r="AC14" s="2" t="n">
        <f aca="false">Rhoji/RhoCordon</f>
        <v>0.39323630738944</v>
      </c>
      <c r="AE14" s="0" t="s">
        <v>132</v>
      </c>
      <c r="AF14" s="0" t="s">
        <v>133</v>
      </c>
      <c r="AG14" s="0" t="n">
        <v>0</v>
      </c>
    </row>
    <row r="15" customFormat="false" ht="12.75" hidden="false" customHeight="false" outlineLevel="0" collapsed="false">
      <c r="A15" s="0" t="s">
        <v>17</v>
      </c>
      <c r="B15" s="0" t="n">
        <v>11393796</v>
      </c>
      <c r="C15" s="0" t="n">
        <v>6058554</v>
      </c>
      <c r="D15" s="0" t="n">
        <v>5333793</v>
      </c>
      <c r="E15" s="0" t="n">
        <v>11393796</v>
      </c>
      <c r="F15" s="0" t="n">
        <v>0.971316659645397</v>
      </c>
      <c r="G15" s="0" t="n">
        <v>5180802</v>
      </c>
      <c r="H15" s="0" t="n">
        <f aca="false">D15-G15</f>
        <v>152991</v>
      </c>
      <c r="I15" s="0" t="n">
        <v>5331106</v>
      </c>
      <c r="J15" s="0" t="n">
        <v>0.971806225574956</v>
      </c>
      <c r="K15" s="0" t="n">
        <f aca="false">J15*I15</f>
        <v>5180802</v>
      </c>
      <c r="L15" s="0" t="n">
        <f aca="false">I15-K15</f>
        <v>150304</v>
      </c>
      <c r="N15" s="0" t="n">
        <f aca="false">G15</f>
        <v>5180802</v>
      </c>
      <c r="O15" s="0" t="n">
        <f aca="false">H15</f>
        <v>152991</v>
      </c>
      <c r="P15" s="0" t="n">
        <f aca="false">L15</f>
        <v>150304</v>
      </c>
      <c r="R15" s="0" t="n">
        <f aca="false">N15+0.5*(O15+P15)</f>
        <v>5332449.5</v>
      </c>
      <c r="S15" s="0" t="n">
        <f aca="false">N15+0.5*O15</f>
        <v>5257297.5</v>
      </c>
      <c r="T15" s="0" t="n">
        <f aca="false">O15+P15</f>
        <v>303295</v>
      </c>
      <c r="V15" s="2" t="n">
        <f aca="false">Rhoii/RhoOrig</f>
        <v>0.98544965355299</v>
      </c>
      <c r="W15" s="2"/>
      <c r="X15" s="2" t="n">
        <f aca="false">Rhoii/RhoTot</f>
        <v>0.971561380937597</v>
      </c>
      <c r="Y15" s="2" t="n">
        <f aca="false">0.5*Rhoij/RhoTot</f>
        <v>0.0143452835324554</v>
      </c>
      <c r="Z15" s="2" t="n">
        <f aca="false">0.5*Rhoji/RhoTot</f>
        <v>0.0140933355299474</v>
      </c>
      <c r="AA15" s="2" t="n">
        <f aca="false">Rhoij/RhoOrig</f>
        <v>0.0291006928940202</v>
      </c>
      <c r="AB15" s="2" t="n">
        <f aca="false">Rhoij/RhoCordon</f>
        <v>0.504429680673931</v>
      </c>
      <c r="AC15" s="2" t="n">
        <f aca="false">Rhoji/RhoCordon</f>
        <v>0.495570319326069</v>
      </c>
      <c r="AE15" s="0" t="s">
        <v>134</v>
      </c>
      <c r="AF15" s="0" t="s">
        <v>135</v>
      </c>
      <c r="AG15" s="0" t="n">
        <v>0.0925020274991467</v>
      </c>
    </row>
    <row r="16" customFormat="false" ht="12.75" hidden="false" customHeight="false" outlineLevel="0" collapsed="false">
      <c r="A16" s="0" t="s">
        <v>18</v>
      </c>
      <c r="B16" s="0" t="n">
        <v>5548329</v>
      </c>
      <c r="C16" s="0" t="n">
        <v>2965742</v>
      </c>
      <c r="D16" s="0" t="n">
        <v>2582095</v>
      </c>
      <c r="E16" s="0" t="n">
        <v>5548329</v>
      </c>
      <c r="F16" s="0" t="n">
        <v>0.951710142345653</v>
      </c>
      <c r="G16" s="0" t="n">
        <v>2457406</v>
      </c>
      <c r="H16" s="0" t="n">
        <f aca="false">D16-G16</f>
        <v>124689</v>
      </c>
      <c r="I16" s="0" t="n">
        <v>2540764</v>
      </c>
      <c r="J16" s="0" t="n">
        <v>0.96719175806962</v>
      </c>
      <c r="K16" s="0" t="n">
        <f aca="false">J16*I16</f>
        <v>2457406</v>
      </c>
      <c r="L16" s="0" t="n">
        <f aca="false">I16-K16</f>
        <v>83358</v>
      </c>
      <c r="N16" s="0" t="n">
        <f aca="false">G16</f>
        <v>2457406</v>
      </c>
      <c r="O16" s="0" t="n">
        <f aca="false">H16</f>
        <v>124689</v>
      </c>
      <c r="P16" s="0" t="n">
        <f aca="false">L16</f>
        <v>83358</v>
      </c>
      <c r="R16" s="0" t="n">
        <f aca="false">N16+0.5*(O16+P16)</f>
        <v>2561429.5</v>
      </c>
      <c r="S16" s="0" t="n">
        <f aca="false">N16+0.5*O16</f>
        <v>2519750.5</v>
      </c>
      <c r="T16" s="0" t="n">
        <f aca="false">O16+P16</f>
        <v>208047</v>
      </c>
      <c r="V16" s="2" t="n">
        <f aca="false">Rhoii/RhoOrig</f>
        <v>0.975257669360518</v>
      </c>
      <c r="W16" s="2"/>
      <c r="X16" s="2" t="n">
        <f aca="false">Rhoii/RhoTot</f>
        <v>0.959388497711922</v>
      </c>
      <c r="Y16" s="2" t="n">
        <f aca="false">0.5*Rhoij/RhoTot</f>
        <v>0.0243397290458316</v>
      </c>
      <c r="Z16" s="2" t="n">
        <f aca="false">0.5*Rhoji/RhoTot</f>
        <v>0.0162717732422462</v>
      </c>
      <c r="AA16" s="2" t="n">
        <f aca="false">Rhoij/RhoOrig</f>
        <v>0.0494846612789639</v>
      </c>
      <c r="AB16" s="2" t="n">
        <f aca="false">Rhoij/RhoCordon</f>
        <v>0.599330920417021</v>
      </c>
      <c r="AC16" s="2" t="n">
        <f aca="false">Rhoji/RhoCordon</f>
        <v>0.400669079582979</v>
      </c>
      <c r="AE16" s="0" t="s">
        <v>136</v>
      </c>
      <c r="AF16" s="0" t="s">
        <v>137</v>
      </c>
      <c r="AG16" s="0" t="n">
        <v>0.0425729531743058</v>
      </c>
    </row>
    <row r="17" customFormat="false" ht="12.75" hidden="false" customHeight="false" outlineLevel="0" collapsed="false">
      <c r="A17" s="0" t="s">
        <v>19</v>
      </c>
      <c r="B17" s="0" t="n">
        <v>2766658</v>
      </c>
      <c r="C17" s="0" t="n">
        <v>1449735</v>
      </c>
      <c r="D17" s="0" t="n">
        <v>1316719</v>
      </c>
      <c r="E17" s="0" t="n">
        <v>2766658</v>
      </c>
      <c r="F17" s="0" t="n">
        <v>0.957015126234223</v>
      </c>
      <c r="G17" s="0" t="n">
        <v>1260120</v>
      </c>
      <c r="H17" s="0" t="n">
        <f aca="false">D17-G17</f>
        <v>56599</v>
      </c>
      <c r="I17" s="0" t="n">
        <v>1308425</v>
      </c>
      <c r="J17" s="0" t="n">
        <v>0.963081567533485</v>
      </c>
      <c r="K17" s="0" t="n">
        <f aca="false">J17*I17</f>
        <v>1260120</v>
      </c>
      <c r="L17" s="0" t="n">
        <f aca="false">I17-K17</f>
        <v>48305</v>
      </c>
      <c r="N17" s="0" t="n">
        <f aca="false">G17</f>
        <v>1260120</v>
      </c>
      <c r="O17" s="0" t="n">
        <f aca="false">H17</f>
        <v>56599</v>
      </c>
      <c r="P17" s="0" t="n">
        <f aca="false">L17</f>
        <v>48305</v>
      </c>
      <c r="R17" s="0" t="n">
        <f aca="false">N17+0.5*(O17+P17)</f>
        <v>1312572</v>
      </c>
      <c r="S17" s="0" t="n">
        <f aca="false">N17+0.5*O17</f>
        <v>1288419.5</v>
      </c>
      <c r="T17" s="0" t="n">
        <f aca="false">O17+P17</f>
        <v>104904</v>
      </c>
      <c r="V17" s="2" t="n">
        <f aca="false">Rhoii/RhoOrig</f>
        <v>0.978035492322182</v>
      </c>
      <c r="W17" s="2"/>
      <c r="X17" s="2" t="n">
        <f aca="false">Rhoii/RhoTot</f>
        <v>0.960038763587826</v>
      </c>
      <c r="Y17" s="2" t="n">
        <f aca="false">0.5*Rhoij/RhoTot</f>
        <v>0.0215603410708136</v>
      </c>
      <c r="Z17" s="2" t="n">
        <f aca="false">0.5*Rhoji/RhoTot</f>
        <v>0.0184008953413603</v>
      </c>
      <c r="AA17" s="2" t="n">
        <f aca="false">Rhoij/RhoOrig</f>
        <v>0.0439290153556353</v>
      </c>
      <c r="AB17" s="2" t="n">
        <f aca="false">Rhoij/RhoCordon</f>
        <v>0.539531381072218</v>
      </c>
      <c r="AC17" s="2" t="n">
        <f aca="false">Rhoji/RhoCordon</f>
        <v>0.460468618927782</v>
      </c>
      <c r="AE17" s="0" t="s">
        <v>138</v>
      </c>
      <c r="AF17" s="0" t="s">
        <v>139</v>
      </c>
      <c r="AG17" s="0" t="n">
        <v>0.00107334901207605</v>
      </c>
    </row>
    <row r="18" customFormat="false" ht="12.75" hidden="false" customHeight="false" outlineLevel="0" collapsed="false">
      <c r="A18" s="0" t="s">
        <v>20</v>
      </c>
      <c r="B18" s="0" t="n">
        <v>2471342</v>
      </c>
      <c r="C18" s="0" t="n">
        <v>1296974</v>
      </c>
      <c r="D18" s="0" t="n">
        <v>1174154</v>
      </c>
      <c r="E18" s="0" t="n">
        <v>2471342</v>
      </c>
      <c r="F18" s="0" t="n">
        <v>0.924275691263667</v>
      </c>
      <c r="G18" s="0" t="n">
        <v>1085242</v>
      </c>
      <c r="H18" s="0" t="n">
        <f aca="false">D18-G18</f>
        <v>88912</v>
      </c>
      <c r="I18" s="0" t="n">
        <v>1167713</v>
      </c>
      <c r="J18" s="0" t="n">
        <v>0.929373912939224</v>
      </c>
      <c r="K18" s="0" t="n">
        <f aca="false">J18*I18</f>
        <v>1085242</v>
      </c>
      <c r="L18" s="0" t="n">
        <f aca="false">I18-K18</f>
        <v>82471</v>
      </c>
      <c r="N18" s="0" t="n">
        <f aca="false">G18</f>
        <v>1085242</v>
      </c>
      <c r="O18" s="0" t="n">
        <f aca="false">H18</f>
        <v>88912</v>
      </c>
      <c r="P18" s="0" t="n">
        <f aca="false">L18</f>
        <v>82471</v>
      </c>
      <c r="R18" s="0" t="n">
        <f aca="false">N18+0.5*(O18+P18)</f>
        <v>1170933.5</v>
      </c>
      <c r="S18" s="0" t="n">
        <f aca="false">N18+0.5*O18</f>
        <v>1129698</v>
      </c>
      <c r="T18" s="0" t="n">
        <f aca="false">O18+P18</f>
        <v>171383</v>
      </c>
      <c r="V18" s="2" t="n">
        <f aca="false">Rhoii/RhoOrig</f>
        <v>0.960647889967053</v>
      </c>
      <c r="W18" s="2"/>
      <c r="X18" s="2" t="n">
        <f aca="false">Rhoii/RhoTot</f>
        <v>0.926817791104277</v>
      </c>
      <c r="Y18" s="2" t="n">
        <f aca="false">0.5*Rhoij/RhoTot</f>
        <v>0.0379662892896992</v>
      </c>
      <c r="Z18" s="2" t="n">
        <f aca="false">0.5*Rhoji/RhoTot</f>
        <v>0.0352159196060237</v>
      </c>
      <c r="AA18" s="2" t="n">
        <f aca="false">Rhoij/RhoOrig</f>
        <v>0.0787042200658937</v>
      </c>
      <c r="AB18" s="2" t="n">
        <f aca="false">Rhoij/RhoCordon</f>
        <v>0.518791245339386</v>
      </c>
      <c r="AC18" s="2" t="n">
        <f aca="false">Rhoji/RhoCordon</f>
        <v>0.481208754660614</v>
      </c>
      <c r="AE18" s="0" t="s">
        <v>140</v>
      </c>
      <c r="AF18" s="0" t="s">
        <v>141</v>
      </c>
      <c r="AG18" s="0" t="n">
        <v>0.0645640225441334</v>
      </c>
    </row>
    <row r="19" customFormat="false" ht="12.75" hidden="false" customHeight="false" outlineLevel="0" collapsed="false">
      <c r="A19" s="0" t="s">
        <v>21</v>
      </c>
      <c r="B19" s="0" t="n">
        <v>3667395</v>
      </c>
      <c r="C19" s="0" t="n">
        <v>2107119</v>
      </c>
      <c r="D19" s="0" t="n">
        <v>1559792</v>
      </c>
      <c r="E19" s="0" t="n">
        <v>3667395</v>
      </c>
      <c r="F19" s="0" t="n">
        <v>0.932886564362428</v>
      </c>
      <c r="G19" s="0" t="n">
        <v>1455109</v>
      </c>
      <c r="H19" s="0" t="n">
        <f aca="false">D19-G19</f>
        <v>104683</v>
      </c>
      <c r="I19" s="0" t="n">
        <v>1552216</v>
      </c>
      <c r="J19" s="0" t="n">
        <v>0.937439763538064</v>
      </c>
      <c r="K19" s="0" t="n">
        <f aca="false">J19*I19</f>
        <v>1455109</v>
      </c>
      <c r="L19" s="0" t="n">
        <f aca="false">I19-K19</f>
        <v>97107</v>
      </c>
      <c r="N19" s="0" t="n">
        <f aca="false">G19</f>
        <v>1455109</v>
      </c>
      <c r="O19" s="0" t="n">
        <f aca="false">H19</f>
        <v>104683</v>
      </c>
      <c r="P19" s="0" t="n">
        <f aca="false">L19</f>
        <v>97107</v>
      </c>
      <c r="R19" s="0" t="n">
        <f aca="false">N19+0.5*(O19+P19)</f>
        <v>1556004</v>
      </c>
      <c r="S19" s="0" t="n">
        <f aca="false">N19+0.5*O19</f>
        <v>1507450.5</v>
      </c>
      <c r="T19" s="0" t="n">
        <f aca="false">O19+P19</f>
        <v>201790</v>
      </c>
      <c r="V19" s="2" t="n">
        <f aca="false">Rhoii/RhoOrig</f>
        <v>0.965278130193993</v>
      </c>
      <c r="W19" s="2"/>
      <c r="X19" s="2" t="n">
        <f aca="false">Rhoii/RhoTot</f>
        <v>0.935157621702772</v>
      </c>
      <c r="Y19" s="2" t="n">
        <f aca="false">0.5*Rhoij/RhoTot</f>
        <v>0.033638409669898</v>
      </c>
      <c r="Z19" s="2" t="n">
        <f aca="false">0.5*Rhoji/RhoTot</f>
        <v>0.03120396862733</v>
      </c>
      <c r="AA19" s="2" t="n">
        <f aca="false">Rhoij/RhoOrig</f>
        <v>0.0694437396120138</v>
      </c>
      <c r="AB19" s="2" t="n">
        <f aca="false">Rhoij/RhoCordon</f>
        <v>0.518771990683384</v>
      </c>
      <c r="AC19" s="2" t="n">
        <f aca="false">Rhoji/RhoCordon</f>
        <v>0.481228009316616</v>
      </c>
      <c r="AE19" s="0" t="s">
        <v>142</v>
      </c>
      <c r="AF19" s="0" t="s">
        <v>143</v>
      </c>
      <c r="AG19" s="0" t="n">
        <v>0.00845328299918051</v>
      </c>
    </row>
    <row r="20" customFormat="false" ht="12.75" hidden="false" customHeight="false" outlineLevel="0" collapsed="false">
      <c r="A20" s="0" t="s">
        <v>22</v>
      </c>
      <c r="B20" s="0" t="n">
        <v>4188408</v>
      </c>
      <c r="C20" s="0" t="n">
        <v>2563518</v>
      </c>
      <c r="D20" s="0" t="n">
        <v>1623594</v>
      </c>
      <c r="E20" s="0" t="n">
        <v>4188408</v>
      </c>
      <c r="F20" s="0" t="n">
        <v>0.98080554621414</v>
      </c>
      <c r="G20" s="0" t="n">
        <v>1592430</v>
      </c>
      <c r="H20" s="0" t="n">
        <f aca="false">D20-G20</f>
        <v>31164</v>
      </c>
      <c r="I20" s="0" t="n">
        <v>1626779</v>
      </c>
      <c r="J20" s="0" t="n">
        <v>0.978885269603308</v>
      </c>
      <c r="K20" s="0" t="n">
        <f aca="false">J20*I20</f>
        <v>1592430</v>
      </c>
      <c r="L20" s="0" t="n">
        <f aca="false">I20-K20</f>
        <v>34349</v>
      </c>
      <c r="N20" s="0" t="n">
        <f aca="false">G20</f>
        <v>1592430</v>
      </c>
      <c r="O20" s="0" t="n">
        <f aca="false">H20</f>
        <v>31164</v>
      </c>
      <c r="P20" s="0" t="n">
        <f aca="false">L20</f>
        <v>34349</v>
      </c>
      <c r="R20" s="0" t="n">
        <f aca="false">N20+0.5*(O20+P20)</f>
        <v>1625186.5</v>
      </c>
      <c r="S20" s="0" t="n">
        <f aca="false">N20+0.5*O20</f>
        <v>1608012</v>
      </c>
      <c r="T20" s="0" t="n">
        <f aca="false">O20+P20</f>
        <v>65513</v>
      </c>
      <c r="V20" s="2" t="n">
        <f aca="false">Rhoii/RhoOrig</f>
        <v>0.990309773807658</v>
      </c>
      <c r="W20" s="2"/>
      <c r="X20" s="2" t="n">
        <f aca="false">Rhoii/RhoTot</f>
        <v>0.979844467081163</v>
      </c>
      <c r="Y20" s="2" t="n">
        <f aca="false">0.5*Rhoij/RhoTot</f>
        <v>0.00958782268988821</v>
      </c>
      <c r="Z20" s="2" t="n">
        <f aca="false">0.5*Rhoji/RhoTot</f>
        <v>0.0105677102289491</v>
      </c>
      <c r="AA20" s="2" t="n">
        <f aca="false">Rhoij/RhoOrig</f>
        <v>0.0193804523846837</v>
      </c>
      <c r="AB20" s="2" t="n">
        <f aca="false">Rhoij/RhoCordon</f>
        <v>0.475691847419596</v>
      </c>
      <c r="AC20" s="2" t="n">
        <f aca="false">Rhoji/RhoCordon</f>
        <v>0.524308152580404</v>
      </c>
      <c r="AE20" s="0" t="s">
        <v>144</v>
      </c>
      <c r="AF20" s="0" t="s">
        <v>145</v>
      </c>
      <c r="AG20" s="0" t="n">
        <v>0.0293839643250748</v>
      </c>
    </row>
    <row r="21" customFormat="false" ht="12.75" hidden="false" customHeight="false" outlineLevel="0" collapsed="false">
      <c r="A21" s="0" t="s">
        <v>23</v>
      </c>
      <c r="B21" s="0" t="n">
        <v>1226904</v>
      </c>
      <c r="C21" s="0" t="n">
        <v>653357</v>
      </c>
      <c r="D21" s="0" t="n">
        <v>573276</v>
      </c>
      <c r="E21" s="0" t="n">
        <v>1226904</v>
      </c>
      <c r="F21" s="0" t="n">
        <v>0.968657330849364</v>
      </c>
      <c r="G21" s="0" t="n">
        <v>555308</v>
      </c>
      <c r="H21" s="0" t="n">
        <f aca="false">D21-G21</f>
        <v>17968</v>
      </c>
      <c r="I21" s="0" t="n">
        <v>566995</v>
      </c>
      <c r="J21" s="0" t="n">
        <v>0.979387825289465</v>
      </c>
      <c r="K21" s="0" t="n">
        <f aca="false">J21*I21</f>
        <v>555308</v>
      </c>
      <c r="L21" s="0" t="n">
        <f aca="false">I21-K21</f>
        <v>11687</v>
      </c>
      <c r="N21" s="0" t="n">
        <f aca="false">G21</f>
        <v>555308</v>
      </c>
      <c r="O21" s="0" t="n">
        <f aca="false">H21</f>
        <v>17968</v>
      </c>
      <c r="P21" s="0" t="n">
        <f aca="false">L21</f>
        <v>11687</v>
      </c>
      <c r="R21" s="0" t="n">
        <f aca="false">N21+0.5*(O21+P21)</f>
        <v>570135.5</v>
      </c>
      <c r="S21" s="0" t="n">
        <f aca="false">N21+0.5*O21</f>
        <v>564292</v>
      </c>
      <c r="T21" s="0" t="n">
        <f aca="false">O21+P21</f>
        <v>29655</v>
      </c>
      <c r="V21" s="2" t="n">
        <f aca="false">Rhoii/RhoOrig</f>
        <v>0.984079164687786</v>
      </c>
      <c r="W21" s="2"/>
      <c r="X21" s="2" t="n">
        <f aca="false">Rhoii/RhoTot</f>
        <v>0.973993024465237</v>
      </c>
      <c r="Y21" s="2" t="n">
        <f aca="false">0.5*Rhoij/RhoTot</f>
        <v>0.015757657609463</v>
      </c>
      <c r="Z21" s="2" t="n">
        <f aca="false">0.5*Rhoji/RhoTot</f>
        <v>0.0102493179253002</v>
      </c>
      <c r="AA21" s="2" t="n">
        <f aca="false">Rhoij/RhoOrig</f>
        <v>0.0318416706244285</v>
      </c>
      <c r="AB21" s="2" t="n">
        <f aca="false">Rhoij/RhoCordon</f>
        <v>0.605901197099983</v>
      </c>
      <c r="AC21" s="2" t="n">
        <f aca="false">Rhoji/RhoCordon</f>
        <v>0.394098802900017</v>
      </c>
      <c r="AE21" s="0" t="s">
        <v>146</v>
      </c>
      <c r="AF21" s="0" t="s">
        <v>147</v>
      </c>
      <c r="AG21" s="0" t="n">
        <v>0.105088318367691</v>
      </c>
    </row>
    <row r="22" customFormat="false" ht="12.75" hidden="false" customHeight="false" outlineLevel="0" collapsed="false">
      <c r="A22" s="0" t="s">
        <v>24</v>
      </c>
      <c r="B22" s="0" t="n">
        <v>4780796</v>
      </c>
      <c r="C22" s="0" t="n">
        <v>2304040</v>
      </c>
      <c r="D22" s="0" t="n">
        <v>2475649</v>
      </c>
      <c r="E22" s="0" t="n">
        <v>4780796</v>
      </c>
      <c r="F22" s="0" t="n">
        <v>0.826632127575436</v>
      </c>
      <c r="G22" s="0" t="n">
        <v>2046451</v>
      </c>
      <c r="H22" s="0" t="n">
        <f aca="false">D22-G22</f>
        <v>429198</v>
      </c>
      <c r="I22" s="0" t="n">
        <v>2199964</v>
      </c>
      <c r="J22" s="0" t="n">
        <v>0.930220221785447</v>
      </c>
      <c r="K22" s="0" t="n">
        <f aca="false">J22*I22</f>
        <v>2046451</v>
      </c>
      <c r="L22" s="0" t="n">
        <f aca="false">I22-K22</f>
        <v>153513</v>
      </c>
      <c r="N22" s="0" t="n">
        <f aca="false">G22</f>
        <v>2046451</v>
      </c>
      <c r="O22" s="0" t="n">
        <f aca="false">H22</f>
        <v>429198</v>
      </c>
      <c r="P22" s="0" t="n">
        <f aca="false">L22</f>
        <v>153513</v>
      </c>
      <c r="R22" s="0" t="n">
        <f aca="false">N22+0.5*(O22+P22)</f>
        <v>2337806.5</v>
      </c>
      <c r="S22" s="0" t="n">
        <f aca="false">N22+0.5*O22</f>
        <v>2261050</v>
      </c>
      <c r="T22" s="0" t="n">
        <f aca="false">O22+P22</f>
        <v>582711</v>
      </c>
      <c r="V22" s="2" t="n">
        <f aca="false">Rhoii/RhoOrig</f>
        <v>0.90508878618341</v>
      </c>
      <c r="W22" s="2"/>
      <c r="X22" s="2" t="n">
        <f aca="false">Rhoii/RhoTot</f>
        <v>0.875372277389082</v>
      </c>
      <c r="Y22" s="2" t="n">
        <f aca="false">0.5*Rhoij/RhoTot</f>
        <v>0.0917950223853001</v>
      </c>
      <c r="Z22" s="2" t="n">
        <f aca="false">0.5*Rhoji/RhoTot</f>
        <v>0.0328327002256175</v>
      </c>
      <c r="AA22" s="2" t="n">
        <f aca="false">Rhoij/RhoOrig</f>
        <v>0.189822427633179</v>
      </c>
      <c r="AB22" s="2" t="n">
        <f aca="false">Rhoij/RhoCordon</f>
        <v>0.736553797680154</v>
      </c>
      <c r="AC22" s="2" t="n">
        <f aca="false">Rhoji/RhoCordon</f>
        <v>0.263446202319846</v>
      </c>
      <c r="AE22" s="0" t="s">
        <v>148</v>
      </c>
      <c r="AF22" s="0" t="s">
        <v>149</v>
      </c>
      <c r="AG22" s="0" t="n">
        <v>0.0702579161473665</v>
      </c>
    </row>
    <row r="23" customFormat="false" ht="12.75" hidden="false" customHeight="false" outlineLevel="0" collapsed="false">
      <c r="A23" s="0" t="s">
        <v>25</v>
      </c>
      <c r="B23" s="0" t="n">
        <v>6015898</v>
      </c>
      <c r="C23" s="0" t="n">
        <v>3031218</v>
      </c>
      <c r="D23" s="0" t="n">
        <v>2983607</v>
      </c>
      <c r="E23" s="0" t="n">
        <v>6015898</v>
      </c>
      <c r="F23" s="0" t="n">
        <v>0.969030773825105</v>
      </c>
      <c r="G23" s="0" t="n">
        <v>2891207</v>
      </c>
      <c r="H23" s="0" t="n">
        <f aca="false">D23-G23</f>
        <v>92400</v>
      </c>
      <c r="I23" s="0" t="n">
        <v>3044043</v>
      </c>
      <c r="J23" s="0" t="n">
        <v>0.949791773637889</v>
      </c>
      <c r="K23" s="0" t="n">
        <f aca="false">J23*I23</f>
        <v>2891207</v>
      </c>
      <c r="L23" s="0" t="n">
        <f aca="false">I23-K23</f>
        <v>152836</v>
      </c>
      <c r="N23" s="0" t="n">
        <f aca="false">G23</f>
        <v>2891207</v>
      </c>
      <c r="O23" s="0" t="n">
        <f aca="false">H23</f>
        <v>92400</v>
      </c>
      <c r="P23" s="0" t="n">
        <f aca="false">L23</f>
        <v>152836</v>
      </c>
      <c r="R23" s="0" t="n">
        <f aca="false">N23+0.5*(O23+P23)</f>
        <v>3013825</v>
      </c>
      <c r="S23" s="0" t="n">
        <f aca="false">N23+0.5*O23</f>
        <v>2937407</v>
      </c>
      <c r="T23" s="0" t="n">
        <f aca="false">O23+P23</f>
        <v>245236</v>
      </c>
      <c r="V23" s="2" t="n">
        <f aca="false">Rhoii/RhoOrig</f>
        <v>0.984271842478758</v>
      </c>
      <c r="W23" s="2"/>
      <c r="X23" s="2" t="n">
        <f aca="false">Rhoii/RhoTot</f>
        <v>0.959314824185213</v>
      </c>
      <c r="Y23" s="2" t="n">
        <f aca="false">0.5*Rhoij/RhoTot</f>
        <v>0.0153293572121805</v>
      </c>
      <c r="Z23" s="2" t="n">
        <f aca="false">0.5*Rhoji/RhoTot</f>
        <v>0.0253558186026063</v>
      </c>
      <c r="AA23" s="2" t="n">
        <f aca="false">Rhoij/RhoOrig</f>
        <v>0.0314563150424848</v>
      </c>
      <c r="AB23" s="2" t="n">
        <f aca="false">Rhoij/RhoCordon</f>
        <v>0.376779918119689</v>
      </c>
      <c r="AC23" s="2" t="n">
        <f aca="false">Rhoji/RhoCordon</f>
        <v>0.623220081880311</v>
      </c>
      <c r="AE23" s="0" t="s">
        <v>150</v>
      </c>
      <c r="AF23" s="0" t="s">
        <v>151</v>
      </c>
      <c r="AG23" s="0" t="n">
        <v>0.103944816167345</v>
      </c>
    </row>
    <row r="24" customFormat="false" ht="12.75" hidden="false" customHeight="false" outlineLevel="0" collapsed="false">
      <c r="A24" s="0" t="s">
        <v>26</v>
      </c>
      <c r="B24" s="0" t="n">
        <v>9284810</v>
      </c>
      <c r="C24" s="0" t="n">
        <v>5196906</v>
      </c>
      <c r="D24" s="0" t="n">
        <v>4086456</v>
      </c>
      <c r="E24" s="0" t="n">
        <v>9284810</v>
      </c>
      <c r="F24" s="0" t="n">
        <v>0.985084630790103</v>
      </c>
      <c r="G24" s="0" t="n">
        <v>4025505</v>
      </c>
      <c r="H24" s="0" t="n">
        <f aca="false">D24-G24</f>
        <v>60951</v>
      </c>
      <c r="I24" s="0" t="n">
        <v>4057843</v>
      </c>
      <c r="J24" s="0" t="n">
        <v>0.992030741455497</v>
      </c>
      <c r="K24" s="0" t="n">
        <f aca="false">J24*I24</f>
        <v>4025505</v>
      </c>
      <c r="L24" s="0" t="n">
        <f aca="false">I24-K24</f>
        <v>32338</v>
      </c>
      <c r="N24" s="0" t="n">
        <f aca="false">G24</f>
        <v>4025505</v>
      </c>
      <c r="O24" s="0" t="n">
        <f aca="false">H24</f>
        <v>60951</v>
      </c>
      <c r="P24" s="0" t="n">
        <f aca="false">L24</f>
        <v>32338</v>
      </c>
      <c r="R24" s="0" t="n">
        <f aca="false">N24+0.5*(O24+P24)</f>
        <v>4072149.5</v>
      </c>
      <c r="S24" s="0" t="n">
        <f aca="false">N24+0.5*O24</f>
        <v>4055980.5</v>
      </c>
      <c r="T24" s="0" t="n">
        <f aca="false">O24+P24</f>
        <v>93289</v>
      </c>
      <c r="V24" s="2" t="n">
        <f aca="false">Rhoii/RhoOrig</f>
        <v>0.992486280444396</v>
      </c>
      <c r="W24" s="2"/>
      <c r="X24" s="2" t="n">
        <f aca="false">Rhoii/RhoTot</f>
        <v>0.988545484393439</v>
      </c>
      <c r="Y24" s="2" t="n">
        <f aca="false">0.5*Rhoij/RhoTot</f>
        <v>0.0074838853534233</v>
      </c>
      <c r="Z24" s="2" t="n">
        <f aca="false">0.5*Rhoji/RhoTot</f>
        <v>0.00397063025313781</v>
      </c>
      <c r="AA24" s="2" t="n">
        <f aca="false">Rhoij/RhoOrig</f>
        <v>0.0150274391112087</v>
      </c>
      <c r="AB24" s="2" t="n">
        <f aca="false">Rhoij/RhoCordon</f>
        <v>0.653356773038622</v>
      </c>
      <c r="AC24" s="2" t="n">
        <f aca="false">Rhoji/RhoCordon</f>
        <v>0.346643226961378</v>
      </c>
      <c r="AE24" s="0" t="s">
        <v>152</v>
      </c>
      <c r="AF24" s="0" t="s">
        <v>153</v>
      </c>
      <c r="AG24" s="0" t="n">
        <v>0.00738787711371125</v>
      </c>
    </row>
    <row r="25" customFormat="false" ht="12.75" hidden="false" customHeight="false" outlineLevel="0" collapsed="false">
      <c r="A25" s="0" t="s">
        <v>27</v>
      </c>
      <c r="B25" s="0" t="n">
        <v>4366568</v>
      </c>
      <c r="C25" s="0" t="n">
        <v>2207656</v>
      </c>
      <c r="D25" s="0" t="n">
        <v>2158427</v>
      </c>
      <c r="E25" s="0" t="n">
        <v>4366568</v>
      </c>
      <c r="F25" s="0" t="n">
        <v>0.982292197049055</v>
      </c>
      <c r="G25" s="0" t="n">
        <v>2120206</v>
      </c>
      <c r="H25" s="0" t="n">
        <f aca="false">D25-G25</f>
        <v>38221</v>
      </c>
      <c r="I25" s="0" t="n">
        <v>2170379</v>
      </c>
      <c r="J25" s="0" t="n">
        <v>0.976882839356629</v>
      </c>
      <c r="K25" s="0" t="n">
        <f aca="false">J25*I25</f>
        <v>2120206</v>
      </c>
      <c r="L25" s="0" t="n">
        <f aca="false">I25-K25</f>
        <v>50173</v>
      </c>
      <c r="N25" s="0" t="n">
        <f aca="false">G25</f>
        <v>2120206</v>
      </c>
      <c r="O25" s="0" t="n">
        <f aca="false">H25</f>
        <v>38221</v>
      </c>
      <c r="P25" s="0" t="n">
        <f aca="false">L25</f>
        <v>50173</v>
      </c>
      <c r="R25" s="0" t="n">
        <f aca="false">N25+0.5*(O25+P25)</f>
        <v>2164403</v>
      </c>
      <c r="S25" s="0" t="n">
        <f aca="false">N25+0.5*O25</f>
        <v>2139316.5</v>
      </c>
      <c r="T25" s="0" t="n">
        <f aca="false">O25+P25</f>
        <v>88394</v>
      </c>
      <c r="V25" s="2" t="n">
        <f aca="false">Rhoii/RhoOrig</f>
        <v>0.991067006681807</v>
      </c>
      <c r="W25" s="2"/>
      <c r="X25" s="2" t="n">
        <f aca="false">Rhoii/RhoTot</f>
        <v>0.979580050480433</v>
      </c>
      <c r="Y25" s="2" t="n">
        <f aca="false">0.5*Rhoij/RhoTot</f>
        <v>0.00882945551267486</v>
      </c>
      <c r="Z25" s="2" t="n">
        <f aca="false">0.5*Rhoji/RhoTot</f>
        <v>0.0115904940068924</v>
      </c>
      <c r="AA25" s="2" t="n">
        <f aca="false">Rhoij/RhoOrig</f>
        <v>0.017865986636386</v>
      </c>
      <c r="AB25" s="2" t="n">
        <f aca="false">Rhoij/RhoCordon</f>
        <v>0.432393601375659</v>
      </c>
      <c r="AC25" s="2" t="n">
        <f aca="false">Rhoji/RhoCordon</f>
        <v>0.567606398624341</v>
      </c>
      <c r="AE25" s="0" t="s">
        <v>154</v>
      </c>
      <c r="AF25" s="0" t="s">
        <v>155</v>
      </c>
      <c r="AG25" s="0" t="n">
        <v>0</v>
      </c>
    </row>
    <row r="26" customFormat="false" ht="12.75" hidden="false" customHeight="false" outlineLevel="0" collapsed="false">
      <c r="A26" s="0" t="s">
        <v>28</v>
      </c>
      <c r="B26" s="0" t="n">
        <v>2560194</v>
      </c>
      <c r="C26" s="0" t="n">
        <v>1537800</v>
      </c>
      <c r="D26" s="0" t="n">
        <v>1021722</v>
      </c>
      <c r="E26" s="0" t="n">
        <v>2560194</v>
      </c>
      <c r="F26" s="0" t="n">
        <v>0.941299100929607</v>
      </c>
      <c r="G26" s="0" t="n">
        <v>961746</v>
      </c>
      <c r="H26" s="0" t="n">
        <f aca="false">D26-G26</f>
        <v>59976</v>
      </c>
      <c r="I26" s="0" t="n">
        <v>992005</v>
      </c>
      <c r="J26" s="0" t="n">
        <v>0.969497129550758</v>
      </c>
      <c r="K26" s="0" t="n">
        <f aca="false">J26*I26</f>
        <v>961746</v>
      </c>
      <c r="L26" s="0" t="n">
        <f aca="false">I26-K26</f>
        <v>30259</v>
      </c>
      <c r="N26" s="0" t="n">
        <f aca="false">G26</f>
        <v>961746</v>
      </c>
      <c r="O26" s="0" t="n">
        <f aca="false">H26</f>
        <v>59976</v>
      </c>
      <c r="P26" s="0" t="n">
        <f aca="false">L26</f>
        <v>30259</v>
      </c>
      <c r="R26" s="0" t="n">
        <f aca="false">N26+0.5*(O26+P26)</f>
        <v>1006863.5</v>
      </c>
      <c r="S26" s="0" t="n">
        <f aca="false">N26+0.5*O26</f>
        <v>991734</v>
      </c>
      <c r="T26" s="0" t="n">
        <f aca="false">O26+P26</f>
        <v>90235</v>
      </c>
      <c r="V26" s="2" t="n">
        <f aca="false">Rhoii/RhoOrig</f>
        <v>0.969762053131182</v>
      </c>
      <c r="W26" s="2"/>
      <c r="X26" s="2" t="n">
        <f aca="false">Rhoii/RhoTot</f>
        <v>0.955190053070749</v>
      </c>
      <c r="Y26" s="2" t="n">
        <f aca="false">0.5*Rhoij/RhoTot</f>
        <v>0.0297835803959524</v>
      </c>
      <c r="Z26" s="2" t="n">
        <f aca="false">0.5*Rhoji/RhoTot</f>
        <v>0.0150263665332987</v>
      </c>
      <c r="AA26" s="2" t="n">
        <f aca="false">Rhoij/RhoOrig</f>
        <v>0.0604758937376353</v>
      </c>
      <c r="AB26" s="2" t="n">
        <f aca="false">Rhoij/RhoCordon</f>
        <v>0.664664487172383</v>
      </c>
      <c r="AC26" s="2" t="n">
        <f aca="false">Rhoji/RhoCordon</f>
        <v>0.335335512827617</v>
      </c>
      <c r="AE26" s="0" t="s">
        <v>71</v>
      </c>
      <c r="AF26" s="0" t="s">
        <v>156</v>
      </c>
      <c r="AG26" s="0" t="n">
        <v>0</v>
      </c>
    </row>
    <row r="27" customFormat="false" ht="12.75" hidden="false" customHeight="false" outlineLevel="0" collapsed="false">
      <c r="A27" s="0" t="s">
        <v>29</v>
      </c>
      <c r="B27" s="0" t="n">
        <v>5101921</v>
      </c>
      <c r="C27" s="0" t="n">
        <v>2763262</v>
      </c>
      <c r="D27" s="0" t="n">
        <v>2337818</v>
      </c>
      <c r="E27" s="0" t="n">
        <v>5101921</v>
      </c>
      <c r="F27" s="0" t="n">
        <v>0.952033905120074</v>
      </c>
      <c r="G27" s="0" t="n">
        <v>2225682</v>
      </c>
      <c r="H27" s="0" t="n">
        <f aca="false">D27-G27</f>
        <v>112136</v>
      </c>
      <c r="I27" s="0" t="n">
        <v>2399469</v>
      </c>
      <c r="J27" s="0" t="n">
        <v>0.927572725465509</v>
      </c>
      <c r="K27" s="0" t="n">
        <f aca="false">J27*I27</f>
        <v>2225682</v>
      </c>
      <c r="L27" s="0" t="n">
        <f aca="false">I27-K27</f>
        <v>173787</v>
      </c>
      <c r="N27" s="0" t="n">
        <f aca="false">G27</f>
        <v>2225682</v>
      </c>
      <c r="O27" s="0" t="n">
        <f aca="false">H27</f>
        <v>112136</v>
      </c>
      <c r="P27" s="0" t="n">
        <f aca="false">L27</f>
        <v>173787</v>
      </c>
      <c r="R27" s="0" t="n">
        <f aca="false">N27+0.5*(O27+P27)</f>
        <v>2368643.5</v>
      </c>
      <c r="S27" s="0" t="n">
        <f aca="false">N27+0.5*O27</f>
        <v>2281750</v>
      </c>
      <c r="T27" s="0" t="n">
        <f aca="false">O27+P27</f>
        <v>285923</v>
      </c>
      <c r="V27" s="2" t="n">
        <f aca="false">Rhoii/RhoOrig</f>
        <v>0.97542763229977</v>
      </c>
      <c r="W27" s="2"/>
      <c r="X27" s="2" t="n">
        <f aca="false">Rhoii/RhoTot</f>
        <v>0.93964414653366</v>
      </c>
      <c r="Y27" s="2" t="n">
        <f aca="false">0.5*Rhoij/RhoTot</f>
        <v>0.0236709323289891</v>
      </c>
      <c r="Z27" s="2" t="n">
        <f aca="false">0.5*Rhoji/RhoTot</f>
        <v>0.0366849211373514</v>
      </c>
      <c r="AA27" s="2" t="n">
        <f aca="false">Rhoij/RhoOrig</f>
        <v>0.0491447354004602</v>
      </c>
      <c r="AB27" s="2" t="n">
        <f aca="false">Rhoij/RhoCordon</f>
        <v>0.392189505566184</v>
      </c>
      <c r="AC27" s="2" t="n">
        <f aca="false">Rhoji/RhoCordon</f>
        <v>0.607810494433816</v>
      </c>
      <c r="AE27" s="0" t="s">
        <v>157</v>
      </c>
      <c r="AF27" s="0" t="s">
        <v>158</v>
      </c>
      <c r="AG27" s="0" t="n">
        <v>0.000759685797103275</v>
      </c>
    </row>
    <row r="28" customFormat="false" ht="12.75" hidden="false" customHeight="false" outlineLevel="0" collapsed="false">
      <c r="A28" s="0" t="s">
        <v>30</v>
      </c>
      <c r="B28" s="0" t="n">
        <v>796317</v>
      </c>
      <c r="C28" s="0" t="n">
        <v>446885</v>
      </c>
      <c r="D28" s="0" t="n">
        <v>349367</v>
      </c>
      <c r="E28" s="0" t="n">
        <v>796317</v>
      </c>
      <c r="F28" s="0" t="n">
        <v>0.98761760555519</v>
      </c>
      <c r="G28" s="0" t="n">
        <v>345041</v>
      </c>
      <c r="H28" s="0" t="n">
        <f aca="false">D28-G28</f>
        <v>4326</v>
      </c>
      <c r="I28" s="0" t="n">
        <v>347811</v>
      </c>
      <c r="J28" s="0" t="n">
        <v>0.99203590455736</v>
      </c>
      <c r="K28" s="0" t="n">
        <f aca="false">J28*I28</f>
        <v>345041</v>
      </c>
      <c r="L28" s="0" t="n">
        <f aca="false">I28-K28</f>
        <v>2770</v>
      </c>
      <c r="N28" s="0" t="n">
        <f aca="false">G28</f>
        <v>345041</v>
      </c>
      <c r="O28" s="0" t="n">
        <f aca="false">H28</f>
        <v>4326</v>
      </c>
      <c r="P28" s="0" t="n">
        <f aca="false">L28</f>
        <v>2770</v>
      </c>
      <c r="R28" s="0" t="n">
        <f aca="false">N28+0.5*(O28+P28)</f>
        <v>348589</v>
      </c>
      <c r="S28" s="0" t="n">
        <f aca="false">N28+0.5*O28</f>
        <v>347204</v>
      </c>
      <c r="T28" s="0" t="n">
        <f aca="false">O28+P28</f>
        <v>7096</v>
      </c>
      <c r="V28" s="2" t="n">
        <f aca="false">Rhoii/RhoOrig</f>
        <v>0.993770233061831</v>
      </c>
      <c r="W28" s="2"/>
      <c r="X28" s="2" t="n">
        <f aca="false">Rhoii/RhoTot</f>
        <v>0.989821824555565</v>
      </c>
      <c r="Y28" s="2" t="n">
        <f aca="false">0.5*Rhoij/RhoTot</f>
        <v>0.00620501507505974</v>
      </c>
      <c r="Z28" s="2" t="n">
        <f aca="false">0.5*Rhoji/RhoTot</f>
        <v>0.00397316036937482</v>
      </c>
      <c r="AA28" s="2" t="n">
        <f aca="false">Rhoij/RhoOrig</f>
        <v>0.0124595338763378</v>
      </c>
      <c r="AB28" s="2" t="n">
        <f aca="false">Rhoij/RhoCordon</f>
        <v>0.609639233370913</v>
      </c>
      <c r="AC28" s="2" t="n">
        <f aca="false">Rhoji/RhoCordon</f>
        <v>0.390360766629087</v>
      </c>
      <c r="AE28" s="0" t="s">
        <v>159</v>
      </c>
      <c r="AF28" s="0" t="s">
        <v>160</v>
      </c>
      <c r="AG28" s="0" t="n">
        <v>0</v>
      </c>
    </row>
    <row r="29" customFormat="false" ht="12.75" hidden="false" customHeight="false" outlineLevel="0" collapsed="false">
      <c r="A29" s="0" t="s">
        <v>31</v>
      </c>
      <c r="B29" s="0" t="n">
        <v>1578049</v>
      </c>
      <c r="C29" s="0" t="n">
        <v>803789</v>
      </c>
      <c r="D29" s="0" t="n">
        <v>774005</v>
      </c>
      <c r="E29" s="0" t="n">
        <v>1578049</v>
      </c>
      <c r="F29" s="0" t="n">
        <v>0.976664233435185</v>
      </c>
      <c r="G29" s="0" t="n">
        <v>755943</v>
      </c>
      <c r="H29" s="0" t="n">
        <f aca="false">D29-G29</f>
        <v>18062</v>
      </c>
      <c r="I29" s="0" t="n">
        <v>789501</v>
      </c>
      <c r="J29" s="0" t="n">
        <v>0.957494670684394</v>
      </c>
      <c r="K29" s="0" t="n">
        <f aca="false">J29*I29</f>
        <v>755943</v>
      </c>
      <c r="L29" s="0" t="n">
        <f aca="false">I29-K29</f>
        <v>33558</v>
      </c>
      <c r="N29" s="0" t="n">
        <f aca="false">G29</f>
        <v>755943</v>
      </c>
      <c r="O29" s="0" t="n">
        <f aca="false">H29</f>
        <v>18062</v>
      </c>
      <c r="P29" s="0" t="n">
        <f aca="false">L29</f>
        <v>33558</v>
      </c>
      <c r="R29" s="0" t="n">
        <f aca="false">N29+0.5*(O29+P29)</f>
        <v>781753</v>
      </c>
      <c r="S29" s="0" t="n">
        <f aca="false">N29+0.5*O29</f>
        <v>764974</v>
      </c>
      <c r="T29" s="0" t="n">
        <f aca="false">O29+P29</f>
        <v>51620</v>
      </c>
      <c r="V29" s="2" t="n">
        <f aca="false">Rhoii/RhoOrig</f>
        <v>0.988194370004732</v>
      </c>
      <c r="W29" s="2"/>
      <c r="X29" s="2" t="n">
        <f aca="false">Rhoii/RhoTot</f>
        <v>0.966984456727381</v>
      </c>
      <c r="Y29" s="2" t="n">
        <f aca="false">0.5*Rhoij/RhoTot</f>
        <v>0.0115522422043791</v>
      </c>
      <c r="Z29" s="2" t="n">
        <f aca="false">0.5*Rhoji/RhoTot</f>
        <v>0.0214633010682402</v>
      </c>
      <c r="AA29" s="2" t="n">
        <f aca="false">Rhoij/RhoOrig</f>
        <v>0.0236112599905356</v>
      </c>
      <c r="AB29" s="2" t="n">
        <f aca="false">Rhoij/RhoCordon</f>
        <v>0.349903138318481</v>
      </c>
      <c r="AC29" s="2" t="n">
        <f aca="false">Rhoji/RhoCordon</f>
        <v>0.650096861681519</v>
      </c>
      <c r="AE29" s="0" t="s">
        <v>161</v>
      </c>
      <c r="AF29" s="0" t="s">
        <v>162</v>
      </c>
      <c r="AG29" s="0" t="n">
        <v>0.00199508308555689</v>
      </c>
    </row>
    <row r="30" customFormat="false" ht="12.75" hidden="false" customHeight="false" outlineLevel="0" collapsed="false">
      <c r="A30" s="0" t="s">
        <v>32</v>
      </c>
      <c r="B30" s="0" t="n">
        <v>1195956</v>
      </c>
      <c r="C30" s="0" t="n">
        <v>595440</v>
      </c>
      <c r="D30" s="0" t="n">
        <v>600342</v>
      </c>
      <c r="E30" s="0" t="n">
        <v>1195956</v>
      </c>
      <c r="F30" s="0" t="n">
        <v>0.987613726842367</v>
      </c>
      <c r="G30" s="0" t="n">
        <v>592906</v>
      </c>
      <c r="H30" s="0" t="n">
        <f aca="false">D30-G30</f>
        <v>7436</v>
      </c>
      <c r="I30" s="0" t="n">
        <v>619773</v>
      </c>
      <c r="J30" s="0" t="n">
        <v>0.956650257432963</v>
      </c>
      <c r="K30" s="0" t="n">
        <f aca="false">J30*I30</f>
        <v>592906</v>
      </c>
      <c r="L30" s="0" t="n">
        <f aca="false">I30-K30</f>
        <v>26867</v>
      </c>
      <c r="N30" s="0" t="n">
        <f aca="false">G30</f>
        <v>592906</v>
      </c>
      <c r="O30" s="0" t="n">
        <f aca="false">H30</f>
        <v>7436</v>
      </c>
      <c r="P30" s="0" t="n">
        <f aca="false">L30</f>
        <v>26867</v>
      </c>
      <c r="R30" s="0" t="n">
        <f aca="false">N30+0.5*(O30+P30)</f>
        <v>610057.5</v>
      </c>
      <c r="S30" s="0" t="n">
        <f aca="false">N30+0.5*O30</f>
        <v>596624</v>
      </c>
      <c r="T30" s="0" t="n">
        <f aca="false">O30+P30</f>
        <v>34303</v>
      </c>
      <c r="V30" s="2" t="n">
        <f aca="false">Rhoii/RhoOrig</f>
        <v>0.993768269462844</v>
      </c>
      <c r="W30" s="2"/>
      <c r="X30" s="2" t="n">
        <f aca="false">Rhoii/RhoTot</f>
        <v>0.971885437028477</v>
      </c>
      <c r="Y30" s="2" t="n">
        <f aca="false">0.5*Rhoij/RhoTot</f>
        <v>0.00609450748495019</v>
      </c>
      <c r="Z30" s="2" t="n">
        <f aca="false">0.5*Rhoji/RhoTot</f>
        <v>0.022020055486573</v>
      </c>
      <c r="AA30" s="2" t="n">
        <f aca="false">Rhoij/RhoOrig</f>
        <v>0.0124634610743115</v>
      </c>
      <c r="AB30" s="2" t="n">
        <f aca="false">Rhoij/RhoCordon</f>
        <v>0.216774043086611</v>
      </c>
      <c r="AC30" s="2" t="n">
        <f aca="false">Rhoji/RhoCordon</f>
        <v>0.78322595691339</v>
      </c>
      <c r="AE30" s="0" t="s">
        <v>163</v>
      </c>
      <c r="AF30" s="0" t="s">
        <v>164</v>
      </c>
      <c r="AG30" s="0" t="n">
        <v>0</v>
      </c>
    </row>
    <row r="31" customFormat="false" ht="12.75" hidden="false" customHeight="false" outlineLevel="0" collapsed="false">
      <c r="A31" s="0" t="s">
        <v>33</v>
      </c>
      <c r="B31" s="0" t="n">
        <v>1104242</v>
      </c>
      <c r="C31" s="0" t="n">
        <v>539361</v>
      </c>
      <c r="D31" s="0" t="n">
        <v>564611</v>
      </c>
      <c r="E31" s="0" t="n">
        <v>1104242</v>
      </c>
      <c r="F31" s="0" t="n">
        <v>0.832024172394799</v>
      </c>
      <c r="G31" s="0" t="n">
        <v>469770</v>
      </c>
      <c r="H31" s="0" t="n">
        <f aca="false">D31-G31</f>
        <v>94841</v>
      </c>
      <c r="I31" s="0" t="n">
        <v>513486</v>
      </c>
      <c r="J31" s="0" t="n">
        <v>0.914864280623036</v>
      </c>
      <c r="K31" s="0" t="n">
        <f aca="false">J31*I31</f>
        <v>469770</v>
      </c>
      <c r="L31" s="0" t="n">
        <f aca="false">I31-K31</f>
        <v>43716</v>
      </c>
      <c r="N31" s="0" t="n">
        <f aca="false">G31</f>
        <v>469770</v>
      </c>
      <c r="O31" s="0" t="n">
        <f aca="false">H31</f>
        <v>94841</v>
      </c>
      <c r="P31" s="0" t="n">
        <f aca="false">L31</f>
        <v>43716</v>
      </c>
      <c r="R31" s="0" t="n">
        <f aca="false">N31+0.5*(O31+P31)</f>
        <v>539048.5</v>
      </c>
      <c r="S31" s="0" t="n">
        <f aca="false">N31+0.5*O31</f>
        <v>517190.5</v>
      </c>
      <c r="T31" s="0" t="n">
        <f aca="false">O31+P31</f>
        <v>138557</v>
      </c>
      <c r="V31" s="2" t="n">
        <f aca="false">Rhoii/RhoOrig</f>
        <v>0.908311347559555</v>
      </c>
      <c r="W31" s="2"/>
      <c r="X31" s="2" t="n">
        <f aca="false">Rhoii/RhoTot</f>
        <v>0.871480024524695</v>
      </c>
      <c r="Y31" s="2" t="n">
        <f aca="false">0.5*Rhoij/RhoTot</f>
        <v>0.0879707484576991</v>
      </c>
      <c r="Z31" s="2" t="n">
        <f aca="false">0.5*Rhoji/RhoTot</f>
        <v>0.040549227017606</v>
      </c>
      <c r="AA31" s="2" t="n">
        <f aca="false">Rhoij/RhoOrig</f>
        <v>0.18337730488089</v>
      </c>
      <c r="AB31" s="2" t="n">
        <f aca="false">Rhoij/RhoCordon</f>
        <v>0.684490859357521</v>
      </c>
      <c r="AC31" s="2" t="n">
        <f aca="false">Rhoji/RhoCordon</f>
        <v>0.315509140642479</v>
      </c>
      <c r="AE31" s="0" t="s">
        <v>165</v>
      </c>
      <c r="AF31" s="0" t="s">
        <v>166</v>
      </c>
      <c r="AG31" s="0" t="n">
        <v>0.117777368981519</v>
      </c>
    </row>
    <row r="32" customFormat="false" ht="12.75" hidden="false" customHeight="false" outlineLevel="0" collapsed="false">
      <c r="A32" s="0" t="s">
        <v>34</v>
      </c>
      <c r="B32" s="0" t="n">
        <v>7698998</v>
      </c>
      <c r="C32" s="0" t="n">
        <v>3899647</v>
      </c>
      <c r="D32" s="0" t="n">
        <v>3797719</v>
      </c>
      <c r="E32" s="0" t="n">
        <v>7698998</v>
      </c>
      <c r="F32" s="0" t="n">
        <v>0.882920510969874</v>
      </c>
      <c r="G32" s="0" t="n">
        <v>3353084</v>
      </c>
      <c r="H32" s="0" t="n">
        <f aca="false">D32-G32</f>
        <v>444635</v>
      </c>
      <c r="I32" s="0" t="n">
        <v>3607221</v>
      </c>
      <c r="J32" s="0" t="n">
        <v>0.92954770445171</v>
      </c>
      <c r="K32" s="0" t="n">
        <f aca="false">J32*I32</f>
        <v>3353084</v>
      </c>
      <c r="L32" s="0" t="n">
        <f aca="false">I32-K32</f>
        <v>254137</v>
      </c>
      <c r="N32" s="0" t="n">
        <f aca="false">G32</f>
        <v>3353084</v>
      </c>
      <c r="O32" s="0" t="n">
        <f aca="false">H32</f>
        <v>444635</v>
      </c>
      <c r="P32" s="0" t="n">
        <f aca="false">L32</f>
        <v>254137</v>
      </c>
      <c r="R32" s="0" t="n">
        <f aca="false">N32+0.5*(O32+P32)</f>
        <v>3702470</v>
      </c>
      <c r="S32" s="0" t="n">
        <f aca="false">N32+0.5*O32</f>
        <v>3575401.5</v>
      </c>
      <c r="T32" s="0" t="n">
        <f aca="false">O32+P32</f>
        <v>698772</v>
      </c>
      <c r="V32" s="2" t="n">
        <f aca="false">Rhoii/RhoOrig</f>
        <v>0.937820269975274</v>
      </c>
      <c r="W32" s="2"/>
      <c r="X32" s="2" t="n">
        <f aca="false">Rhoii/RhoTot</f>
        <v>0.905634346800919</v>
      </c>
      <c r="Y32" s="2" t="n">
        <f aca="false">0.5*Rhoij/RhoTot</f>
        <v>0.0600457262314077</v>
      </c>
      <c r="Z32" s="2" t="n">
        <f aca="false">0.5*Rhoji/RhoTot</f>
        <v>0.0343199269676729</v>
      </c>
      <c r="AA32" s="2" t="n">
        <f aca="false">Rhoij/RhoOrig</f>
        <v>0.124359460049452</v>
      </c>
      <c r="AB32" s="2" t="n">
        <f aca="false">Rhoij/RhoCordon</f>
        <v>0.636309125150979</v>
      </c>
      <c r="AC32" s="2" t="n">
        <f aca="false">Rhoji/RhoCordon</f>
        <v>0.363690874849021</v>
      </c>
      <c r="AE32" s="0" t="s">
        <v>167</v>
      </c>
      <c r="AF32" s="0" t="s">
        <v>168</v>
      </c>
      <c r="AG32" s="0" t="n">
        <v>0.273303356469306</v>
      </c>
    </row>
    <row r="33" customFormat="false" ht="12.75" hidden="false" customHeight="false" outlineLevel="0" collapsed="false">
      <c r="A33" s="0" t="s">
        <v>35</v>
      </c>
      <c r="B33" s="0" t="n">
        <v>1507146</v>
      </c>
      <c r="C33" s="0" t="n">
        <v>876153</v>
      </c>
      <c r="D33" s="0" t="n">
        <v>630531</v>
      </c>
      <c r="E33" s="0" t="n">
        <v>1507146</v>
      </c>
      <c r="F33" s="0" t="n">
        <v>0.9748354957964</v>
      </c>
      <c r="G33" s="0" t="n">
        <v>614664</v>
      </c>
      <c r="H33" s="0" t="n">
        <f aca="false">D33-G33</f>
        <v>15867</v>
      </c>
      <c r="I33" s="0" t="n">
        <v>626630</v>
      </c>
      <c r="J33" s="0" t="n">
        <v>0.980904201841597</v>
      </c>
      <c r="K33" s="0" t="n">
        <f aca="false">J33*I33</f>
        <v>614664</v>
      </c>
      <c r="L33" s="0" t="n">
        <f aca="false">I33-K33</f>
        <v>11966</v>
      </c>
      <c r="N33" s="0" t="n">
        <f aca="false">G33</f>
        <v>614664</v>
      </c>
      <c r="O33" s="0" t="n">
        <f aca="false">H33</f>
        <v>15867</v>
      </c>
      <c r="P33" s="0" t="n">
        <f aca="false">L33</f>
        <v>11966</v>
      </c>
      <c r="R33" s="0" t="n">
        <f aca="false">N33+0.5*(O33+P33)</f>
        <v>628580.5</v>
      </c>
      <c r="S33" s="0" t="n">
        <f aca="false">N33+0.5*O33</f>
        <v>622597.5</v>
      </c>
      <c r="T33" s="0" t="n">
        <f aca="false">O33+P33</f>
        <v>27833</v>
      </c>
      <c r="V33" s="2" t="n">
        <f aca="false">Rhoii/RhoOrig</f>
        <v>0.98725741751292</v>
      </c>
      <c r="W33" s="2"/>
      <c r="X33" s="2" t="n">
        <f aca="false">Rhoii/RhoTot</f>
        <v>0.977860433150567</v>
      </c>
      <c r="Y33" s="2" t="n">
        <f aca="false">0.5*Rhoij/RhoTot</f>
        <v>0.0126212951244908</v>
      </c>
      <c r="Z33" s="2" t="n">
        <f aca="false">0.5*Rhoji/RhoTot</f>
        <v>0.00951827172494215</v>
      </c>
      <c r="AA33" s="2" t="n">
        <f aca="false">Rhoij/RhoOrig</f>
        <v>0.0254851649741607</v>
      </c>
      <c r="AB33" s="2" t="n">
        <f aca="false">Rhoij/RhoCordon</f>
        <v>0.570078683577049</v>
      </c>
      <c r="AC33" s="2" t="n">
        <f aca="false">Rhoji/RhoCordon</f>
        <v>0.429921316422951</v>
      </c>
      <c r="AE33" s="0" t="s">
        <v>169</v>
      </c>
      <c r="AF33" s="0" t="s">
        <v>170</v>
      </c>
      <c r="AG33" s="0" t="n">
        <v>0</v>
      </c>
    </row>
    <row r="34" customFormat="false" ht="12.75" hidden="false" customHeight="false" outlineLevel="0" collapsed="false">
      <c r="A34" s="0" t="s">
        <v>36</v>
      </c>
      <c r="B34" s="0" t="n">
        <v>17919274</v>
      </c>
      <c r="C34" s="0" t="n">
        <v>9723449</v>
      </c>
      <c r="D34" s="0" t="n">
        <v>8192105</v>
      </c>
      <c r="E34" s="0" t="n">
        <v>17919274</v>
      </c>
      <c r="F34" s="0" t="n">
        <v>0.975648261344307</v>
      </c>
      <c r="G34" s="0" t="n">
        <v>7992613</v>
      </c>
      <c r="H34" s="0" t="n">
        <f aca="false">D34-G34</f>
        <v>199492</v>
      </c>
      <c r="I34" s="0" t="n">
        <v>8422034</v>
      </c>
      <c r="J34" s="0" t="n">
        <v>0.949012198240948</v>
      </c>
      <c r="K34" s="0" t="n">
        <f aca="false">J34*I34</f>
        <v>7992613</v>
      </c>
      <c r="L34" s="0" t="n">
        <f aca="false">I34-K34</f>
        <v>429421</v>
      </c>
      <c r="N34" s="0" t="n">
        <f aca="false">G34</f>
        <v>7992613</v>
      </c>
      <c r="O34" s="0" t="n">
        <f aca="false">H34</f>
        <v>199492</v>
      </c>
      <c r="P34" s="0" t="n">
        <f aca="false">L34</f>
        <v>429421</v>
      </c>
      <c r="R34" s="0" t="n">
        <f aca="false">N34+0.5*(O34+P34)</f>
        <v>8307069.5</v>
      </c>
      <c r="S34" s="0" t="n">
        <f aca="false">N34+0.5*O34</f>
        <v>8092359</v>
      </c>
      <c r="T34" s="0" t="n">
        <f aca="false">O34+P34</f>
        <v>628913</v>
      </c>
      <c r="V34" s="2" t="n">
        <f aca="false">Rhoii/RhoOrig</f>
        <v>0.987674051534293</v>
      </c>
      <c r="W34" s="2"/>
      <c r="X34" s="2" t="n">
        <f aca="false">Rhoii/RhoTot</f>
        <v>0.962145916800142</v>
      </c>
      <c r="Y34" s="2" t="n">
        <f aca="false">0.5*Rhoij/RhoTot</f>
        <v>0.0120073631260699</v>
      </c>
      <c r="Z34" s="2" t="n">
        <f aca="false">0.5*Rhoji/RhoTot</f>
        <v>0.0258467200737878</v>
      </c>
      <c r="AA34" s="2" t="n">
        <f aca="false">Rhoij/RhoOrig</f>
        <v>0.0246518969314139</v>
      </c>
      <c r="AB34" s="2" t="n">
        <f aca="false">Rhoij/RhoCordon</f>
        <v>0.317201266311875</v>
      </c>
      <c r="AC34" s="2" t="n">
        <f aca="false">Rhoji/RhoCordon</f>
        <v>0.682798733688125</v>
      </c>
      <c r="AE34" s="0" t="s">
        <v>171</v>
      </c>
      <c r="AF34" s="0" t="s">
        <v>172</v>
      </c>
      <c r="AG34" s="0" t="n">
        <v>0.331822037089797</v>
      </c>
    </row>
    <row r="35" customFormat="false" ht="12.75" hidden="false" customHeight="false" outlineLevel="0" collapsed="false">
      <c r="A35" s="0" t="s">
        <v>37</v>
      </c>
      <c r="B35" s="0" t="n">
        <v>6612198</v>
      </c>
      <c r="C35" s="0" t="n">
        <v>3321672</v>
      </c>
      <c r="D35" s="0" t="n">
        <v>3288867</v>
      </c>
      <c r="E35" s="0" t="n">
        <v>6612198</v>
      </c>
      <c r="F35" s="0" t="n">
        <v>0.982291165924314</v>
      </c>
      <c r="G35" s="0" t="n">
        <v>3230625</v>
      </c>
      <c r="H35" s="0" t="n">
        <f aca="false">D35-G35</f>
        <v>58242</v>
      </c>
      <c r="I35" s="0" t="n">
        <v>3303738</v>
      </c>
      <c r="J35" s="0" t="n">
        <v>0.97786961314729</v>
      </c>
      <c r="K35" s="0" t="n">
        <f aca="false">J35*I35</f>
        <v>3230625</v>
      </c>
      <c r="L35" s="0" t="n">
        <f aca="false">I35-K35</f>
        <v>73113</v>
      </c>
      <c r="N35" s="0" t="n">
        <f aca="false">G35</f>
        <v>3230625</v>
      </c>
      <c r="O35" s="0" t="n">
        <f aca="false">H35</f>
        <v>58242</v>
      </c>
      <c r="P35" s="0" t="n">
        <f aca="false">L35</f>
        <v>73113</v>
      </c>
      <c r="R35" s="0" t="n">
        <f aca="false">N35+0.5*(O35+P35)</f>
        <v>3296302.5</v>
      </c>
      <c r="S35" s="0" t="n">
        <f aca="false">N35+0.5*O35</f>
        <v>3259746</v>
      </c>
      <c r="T35" s="0" t="n">
        <f aca="false">O35+P35</f>
        <v>131355</v>
      </c>
      <c r="V35" s="2" t="n">
        <f aca="false">Rhoii/RhoOrig</f>
        <v>0.991066481866992</v>
      </c>
      <c r="W35" s="2"/>
      <c r="X35" s="2" t="n">
        <f aca="false">Rhoii/RhoTot</f>
        <v>0.980075402667079</v>
      </c>
      <c r="Y35" s="2" t="n">
        <f aca="false">0.5*Rhoij/RhoTot</f>
        <v>0.00883444404753508</v>
      </c>
      <c r="Z35" s="2" t="n">
        <f aca="false">0.5*Rhoji/RhoTot</f>
        <v>0.0110901532853857</v>
      </c>
      <c r="AA35" s="2" t="n">
        <f aca="false">Rhoij/RhoOrig</f>
        <v>0.0178670362660158</v>
      </c>
      <c r="AB35" s="2" t="n">
        <f aca="false">Rhoij/RhoCordon</f>
        <v>0.443393856343497</v>
      </c>
      <c r="AC35" s="2" t="n">
        <f aca="false">Rhoji/RhoCordon</f>
        <v>0.556606143656503</v>
      </c>
      <c r="AE35" s="0" t="s">
        <v>173</v>
      </c>
      <c r="AF35" s="0" t="s">
        <v>174</v>
      </c>
      <c r="AG35" s="0" t="n">
        <v>0.000738443042039357</v>
      </c>
    </row>
    <row r="36" customFormat="false" ht="12.75" hidden="false" customHeight="false" outlineLevel="0" collapsed="false">
      <c r="A36" s="0" t="s">
        <v>38</v>
      </c>
      <c r="B36" s="0" t="n">
        <v>635095</v>
      </c>
      <c r="C36" s="0" t="n">
        <v>340720</v>
      </c>
      <c r="D36" s="0" t="n">
        <v>294310</v>
      </c>
      <c r="E36" s="0" t="n">
        <v>635095</v>
      </c>
      <c r="F36" s="0" t="n">
        <v>0.963303999184533</v>
      </c>
      <c r="G36" s="0" t="n">
        <v>283510</v>
      </c>
      <c r="H36" s="0" t="n">
        <f aca="false">D36-G36</f>
        <v>10800</v>
      </c>
      <c r="I36" s="0" t="n">
        <v>301152</v>
      </c>
      <c r="J36" s="0" t="n">
        <v>0.941418287110828</v>
      </c>
      <c r="K36" s="0" t="n">
        <f aca="false">J36*I36</f>
        <v>283510</v>
      </c>
      <c r="L36" s="0" t="n">
        <f aca="false">I36-K36</f>
        <v>17642</v>
      </c>
      <c r="N36" s="0" t="n">
        <f aca="false">G36</f>
        <v>283510</v>
      </c>
      <c r="O36" s="0" t="n">
        <f aca="false">H36</f>
        <v>10800</v>
      </c>
      <c r="P36" s="0" t="n">
        <f aca="false">L36</f>
        <v>17642</v>
      </c>
      <c r="R36" s="0" t="n">
        <f aca="false">N36+0.5*(O36+P36)</f>
        <v>297731</v>
      </c>
      <c r="S36" s="0" t="n">
        <f aca="false">N36+0.5*O36</f>
        <v>288910</v>
      </c>
      <c r="T36" s="0" t="n">
        <f aca="false">O36+P36</f>
        <v>28442</v>
      </c>
      <c r="V36" s="2" t="n">
        <f aca="false">Rhoii/RhoOrig</f>
        <v>0.98130905818421</v>
      </c>
      <c r="W36" s="2"/>
      <c r="X36" s="2" t="n">
        <f aca="false">Rhoii/RhoTot</f>
        <v>0.952235407129254</v>
      </c>
      <c r="Y36" s="2" t="n">
        <f aca="false">0.5*Rhoij/RhoTot</f>
        <v>0.0181371775193043</v>
      </c>
      <c r="Z36" s="2" t="n">
        <f aca="false">0.5*Rhoji/RhoTot</f>
        <v>0.0296274153514414</v>
      </c>
      <c r="AA36" s="2" t="n">
        <f aca="false">Rhoij/RhoOrig</f>
        <v>0.0373818836315808</v>
      </c>
      <c r="AB36" s="2" t="n">
        <f aca="false">Rhoij/RhoCordon</f>
        <v>0.379720132198861</v>
      </c>
      <c r="AC36" s="2" t="n">
        <f aca="false">Rhoji/RhoCordon</f>
        <v>0.620279867801139</v>
      </c>
      <c r="AE36" s="0" t="s">
        <v>175</v>
      </c>
      <c r="AF36" s="0" t="s">
        <v>176</v>
      </c>
      <c r="AG36" s="0" t="n">
        <v>0</v>
      </c>
    </row>
    <row r="37" customFormat="false" ht="12.75" hidden="false" customHeight="false" outlineLevel="0" collapsed="false">
      <c r="A37" s="0" t="s">
        <v>39</v>
      </c>
      <c r="B37" s="0" t="n">
        <v>10832284</v>
      </c>
      <c r="C37" s="0" t="n">
        <v>6001391</v>
      </c>
      <c r="D37" s="0" t="n">
        <v>4829648</v>
      </c>
      <c r="E37" s="0" t="n">
        <v>10832284</v>
      </c>
      <c r="F37" s="0" t="n">
        <v>0.977727569379797</v>
      </c>
      <c r="G37" s="0" t="n">
        <v>4722080</v>
      </c>
      <c r="H37" s="0" t="n">
        <f aca="false">D37-G37</f>
        <v>107568</v>
      </c>
      <c r="I37" s="0" t="n">
        <v>4859451</v>
      </c>
      <c r="J37" s="0" t="n">
        <v>0.971731168808987</v>
      </c>
      <c r="K37" s="0" t="n">
        <f aca="false">J37*I37</f>
        <v>4722080</v>
      </c>
      <c r="L37" s="0" t="n">
        <f aca="false">I37-K37</f>
        <v>137371</v>
      </c>
      <c r="N37" s="0" t="n">
        <f aca="false">G37</f>
        <v>4722080</v>
      </c>
      <c r="O37" s="0" t="n">
        <f aca="false">H37</f>
        <v>107568</v>
      </c>
      <c r="P37" s="0" t="n">
        <f aca="false">L37</f>
        <v>137371</v>
      </c>
      <c r="R37" s="0" t="n">
        <f aca="false">N37+0.5*(O37+P37)</f>
        <v>4844549.5</v>
      </c>
      <c r="S37" s="0" t="n">
        <f aca="false">N37+0.5*O37</f>
        <v>4775864</v>
      </c>
      <c r="T37" s="0" t="n">
        <f aca="false">O37+P37</f>
        <v>244939</v>
      </c>
      <c r="V37" s="2" t="n">
        <f aca="false">Rhoii/RhoOrig</f>
        <v>0.988738372784485</v>
      </c>
      <c r="W37" s="2"/>
      <c r="X37" s="2" t="n">
        <f aca="false">Rhoii/RhoTot</f>
        <v>0.974720146837183</v>
      </c>
      <c r="Y37" s="2" t="n">
        <f aca="false">0.5*Rhoij/RhoTot</f>
        <v>0.0111019610801789</v>
      </c>
      <c r="Z37" s="2" t="n">
        <f aca="false">0.5*Rhoji/RhoTot</f>
        <v>0.0141778920826384</v>
      </c>
      <c r="AA37" s="2" t="n">
        <f aca="false">Rhoij/RhoOrig</f>
        <v>0.0225232544310307</v>
      </c>
      <c r="AB37" s="2" t="n">
        <f aca="false">Rhoij/RhoCordon</f>
        <v>0.439162403700513</v>
      </c>
      <c r="AC37" s="2" t="n">
        <f aca="false">Rhoji/RhoCordon</f>
        <v>0.560837596299487</v>
      </c>
      <c r="AE37" s="0" t="s">
        <v>177</v>
      </c>
      <c r="AF37" s="0" t="s">
        <v>178</v>
      </c>
      <c r="AG37" s="0" t="n">
        <v>0.0328757643019831</v>
      </c>
    </row>
    <row r="38" customFormat="false" ht="12.75" hidden="false" customHeight="false" outlineLevel="0" collapsed="false">
      <c r="A38" s="0" t="s">
        <v>40</v>
      </c>
      <c r="B38" s="0" t="n">
        <v>3137119</v>
      </c>
      <c r="C38" s="0" t="n">
        <v>1768425</v>
      </c>
      <c r="D38" s="0" t="n">
        <v>1368128</v>
      </c>
      <c r="E38" s="0" t="n">
        <v>3137119</v>
      </c>
      <c r="F38" s="0" t="n">
        <v>0.97075273658605</v>
      </c>
      <c r="G38" s="0" t="n">
        <v>1328114</v>
      </c>
      <c r="H38" s="0" t="n">
        <f aca="false">D38-G38</f>
        <v>40014</v>
      </c>
      <c r="I38" s="0" t="n">
        <v>1342668</v>
      </c>
      <c r="J38" s="0" t="n">
        <v>0.989160388122753</v>
      </c>
      <c r="K38" s="0" t="n">
        <f aca="false">J38*I38</f>
        <v>1328114</v>
      </c>
      <c r="L38" s="0" t="n">
        <f aca="false">I38-K38</f>
        <v>14554</v>
      </c>
      <c r="N38" s="0" t="n">
        <f aca="false">G38</f>
        <v>1328114</v>
      </c>
      <c r="O38" s="0" t="n">
        <f aca="false">H38</f>
        <v>40014</v>
      </c>
      <c r="P38" s="0" t="n">
        <f aca="false">L38</f>
        <v>14554</v>
      </c>
      <c r="R38" s="0" t="n">
        <f aca="false">N38+0.5*(O38+P38)</f>
        <v>1355398</v>
      </c>
      <c r="S38" s="0" t="n">
        <f aca="false">N38+0.5*O38</f>
        <v>1348121</v>
      </c>
      <c r="T38" s="0" t="n">
        <f aca="false">O38+P38</f>
        <v>54568</v>
      </c>
      <c r="V38" s="2" t="n">
        <f aca="false">Rhoii/RhoOrig</f>
        <v>0.985159344005471</v>
      </c>
      <c r="W38" s="2"/>
      <c r="X38" s="2" t="n">
        <f aca="false">Rhoii/RhoTot</f>
        <v>0.979870119330263</v>
      </c>
      <c r="Y38" s="2" t="n">
        <f aca="false">0.5*Rhoij/RhoTot</f>
        <v>0.0147609779562903</v>
      </c>
      <c r="Z38" s="2" t="n">
        <f aca="false">0.5*Rhoji/RhoTot</f>
        <v>0.00536890271344653</v>
      </c>
      <c r="AA38" s="2" t="n">
        <f aca="false">Rhoij/RhoOrig</f>
        <v>0.0296813119890574</v>
      </c>
      <c r="AB38" s="2" t="n">
        <f aca="false">Rhoij/RhoCordon</f>
        <v>0.733286908077995</v>
      </c>
      <c r="AC38" s="2" t="n">
        <f aca="false">Rhoji/RhoCordon</f>
        <v>0.266713091922006</v>
      </c>
      <c r="AE38" s="0" t="s">
        <v>179</v>
      </c>
      <c r="AF38" s="0" t="s">
        <v>180</v>
      </c>
      <c r="AG38" s="0" t="n">
        <v>0.0759782565467173</v>
      </c>
    </row>
    <row r="39" customFormat="false" ht="12.75" hidden="false" customHeight="false" outlineLevel="0" collapsed="false">
      <c r="A39" s="0" t="s">
        <v>41</v>
      </c>
      <c r="B39" s="0" t="n">
        <v>2832819</v>
      </c>
      <c r="C39" s="0" t="n">
        <v>1538425</v>
      </c>
      <c r="D39" s="0" t="n">
        <v>1293876</v>
      </c>
      <c r="E39" s="0" t="n">
        <v>2832819</v>
      </c>
      <c r="F39" s="0" t="n">
        <v>0.97883336579394</v>
      </c>
      <c r="G39" s="0" t="n">
        <v>1266489</v>
      </c>
      <c r="H39" s="0" t="n">
        <f aca="false">D39-G39</f>
        <v>27387</v>
      </c>
      <c r="I39" s="0" t="n">
        <v>1315482</v>
      </c>
      <c r="J39" s="0" t="n">
        <v>0.962756616966253</v>
      </c>
      <c r="K39" s="0" t="n">
        <f aca="false">J39*I39</f>
        <v>1266489</v>
      </c>
      <c r="L39" s="0" t="n">
        <f aca="false">I39-K39</f>
        <v>48993</v>
      </c>
      <c r="N39" s="0" t="n">
        <f aca="false">G39</f>
        <v>1266489</v>
      </c>
      <c r="O39" s="0" t="n">
        <f aca="false">H39</f>
        <v>27387</v>
      </c>
      <c r="P39" s="0" t="n">
        <f aca="false">L39</f>
        <v>48993</v>
      </c>
      <c r="R39" s="0" t="n">
        <f aca="false">N39+0.5*(O39+P39)</f>
        <v>1304679</v>
      </c>
      <c r="S39" s="0" t="n">
        <f aca="false">N39+0.5*O39</f>
        <v>1280182.5</v>
      </c>
      <c r="T39" s="0" t="n">
        <f aca="false">O39+P39</f>
        <v>76380</v>
      </c>
      <c r="V39" s="2" t="n">
        <f aca="false">Rhoii/RhoOrig</f>
        <v>0.98930347821502</v>
      </c>
      <c r="W39" s="2"/>
      <c r="X39" s="2" t="n">
        <f aca="false">Rhoii/RhoTot</f>
        <v>0.970728432051102</v>
      </c>
      <c r="Y39" s="2" t="n">
        <f aca="false">0.5*Rhoij/RhoTot</f>
        <v>0.0104956851455415</v>
      </c>
      <c r="Z39" s="2" t="n">
        <f aca="false">0.5*Rhoji/RhoTot</f>
        <v>0.0187758828033562</v>
      </c>
      <c r="AA39" s="2" t="n">
        <f aca="false">Rhoij/RhoOrig</f>
        <v>0.0213930435699598</v>
      </c>
      <c r="AB39" s="2" t="n">
        <f aca="false">Rhoij/RhoCordon</f>
        <v>0.358562450903378</v>
      </c>
      <c r="AC39" s="2" t="n">
        <f aca="false">Rhoji/RhoCordon</f>
        <v>0.641437549096622</v>
      </c>
      <c r="AE39" s="0" t="s">
        <v>181</v>
      </c>
      <c r="AF39" s="0" t="s">
        <v>182</v>
      </c>
      <c r="AG39" s="0" t="n">
        <v>0.00529904028492617</v>
      </c>
    </row>
    <row r="40" customFormat="false" ht="12.75" hidden="false" customHeight="false" outlineLevel="0" collapsed="false">
      <c r="A40" s="0" t="s">
        <v>42</v>
      </c>
      <c r="B40" s="0" t="n">
        <v>11853450</v>
      </c>
      <c r="C40" s="0" t="n">
        <v>6514916</v>
      </c>
      <c r="D40" s="0" t="n">
        <v>5337143</v>
      </c>
      <c r="E40" s="0" t="n">
        <v>11853450</v>
      </c>
      <c r="F40" s="0" t="n">
        <v>0.957240606069577</v>
      </c>
      <c r="G40" s="0" t="n">
        <v>5108930</v>
      </c>
      <c r="H40" s="0" t="n">
        <f aca="false">D40-G40</f>
        <v>228213</v>
      </c>
      <c r="I40" s="0" t="n">
        <v>5289696</v>
      </c>
      <c r="J40" s="0" t="n">
        <v>0.965826769629105</v>
      </c>
      <c r="K40" s="0" t="n">
        <f aca="false">J40*I40</f>
        <v>5108930</v>
      </c>
      <c r="L40" s="0" t="n">
        <f aca="false">I40-K40</f>
        <v>180766</v>
      </c>
      <c r="N40" s="0" t="n">
        <f aca="false">G40</f>
        <v>5108930</v>
      </c>
      <c r="O40" s="0" t="n">
        <f aca="false">H40</f>
        <v>228213</v>
      </c>
      <c r="P40" s="0" t="n">
        <f aca="false">L40</f>
        <v>180766</v>
      </c>
      <c r="R40" s="0" t="n">
        <f aca="false">N40+0.5*(O40+P40)</f>
        <v>5313419.5</v>
      </c>
      <c r="S40" s="0" t="n">
        <f aca="false">N40+0.5*O40</f>
        <v>5223036.5</v>
      </c>
      <c r="T40" s="0" t="n">
        <f aca="false">O40+P40</f>
        <v>408979</v>
      </c>
      <c r="V40" s="2" t="n">
        <f aca="false">Rhoii/RhoOrig</f>
        <v>0.978153225618852</v>
      </c>
      <c r="W40" s="2"/>
      <c r="X40" s="2" t="n">
        <f aca="false">Rhoii/RhoTot</f>
        <v>0.961514519980965</v>
      </c>
      <c r="Y40" s="2" t="n">
        <f aca="false">0.5*Rhoij/RhoTot</f>
        <v>0.0214751536181173</v>
      </c>
      <c r="Z40" s="2" t="n">
        <f aca="false">0.5*Rhoji/RhoTot</f>
        <v>0.0170103264009175</v>
      </c>
      <c r="AA40" s="2" t="n">
        <f aca="false">Rhoij/RhoOrig</f>
        <v>0.0436935487622957</v>
      </c>
      <c r="AB40" s="2" t="n">
        <f aca="false">Rhoij/RhoCordon</f>
        <v>0.558006645818</v>
      </c>
      <c r="AC40" s="2" t="n">
        <f aca="false">Rhoji/RhoCordon</f>
        <v>0.441993354182</v>
      </c>
      <c r="AE40" s="0" t="s">
        <v>183</v>
      </c>
      <c r="AF40" s="0" t="s">
        <v>184</v>
      </c>
      <c r="AG40" s="0" t="n">
        <v>0.116977230877519</v>
      </c>
    </row>
    <row r="41" customFormat="false" ht="12.75" hidden="false" customHeight="false" outlineLevel="0" collapsed="false">
      <c r="A41" s="0" t="s">
        <v>43</v>
      </c>
      <c r="B41" s="0" t="n">
        <v>1002334</v>
      </c>
      <c r="C41" s="0" t="n">
        <v>523298</v>
      </c>
      <c r="D41" s="0" t="n">
        <v>478945</v>
      </c>
      <c r="E41" s="0" t="n">
        <v>1002334</v>
      </c>
      <c r="F41" s="0" t="n">
        <v>0.881155456263245</v>
      </c>
      <c r="G41" s="0" t="n">
        <v>422025</v>
      </c>
      <c r="H41" s="0" t="n">
        <f aca="false">D41-G41</f>
        <v>56920</v>
      </c>
      <c r="I41" s="0" t="n">
        <v>456621</v>
      </c>
      <c r="J41" s="0" t="n">
        <v>0.924234759242348</v>
      </c>
      <c r="K41" s="0" t="n">
        <f aca="false">J41*I41</f>
        <v>422025</v>
      </c>
      <c r="L41" s="0" t="n">
        <f aca="false">I41-K41</f>
        <v>34596</v>
      </c>
      <c r="N41" s="0" t="n">
        <f aca="false">G41</f>
        <v>422025</v>
      </c>
      <c r="O41" s="0" t="n">
        <f aca="false">H41</f>
        <v>56920</v>
      </c>
      <c r="P41" s="0" t="n">
        <f aca="false">L41</f>
        <v>34596</v>
      </c>
      <c r="R41" s="0" t="n">
        <f aca="false">N41+0.5*(O41+P41)</f>
        <v>467783</v>
      </c>
      <c r="S41" s="0" t="n">
        <f aca="false">N41+0.5*O41</f>
        <v>450485</v>
      </c>
      <c r="T41" s="0" t="n">
        <f aca="false">O41+P41</f>
        <v>91516</v>
      </c>
      <c r="V41" s="2" t="n">
        <f aca="false">Rhoii/RhoOrig</f>
        <v>0.93682364562638</v>
      </c>
      <c r="W41" s="2"/>
      <c r="X41" s="2" t="n">
        <f aca="false">Rhoii/RhoTot</f>
        <v>0.902181139545473</v>
      </c>
      <c r="Y41" s="2" t="n">
        <f aca="false">0.5*Rhoij/RhoTot</f>
        <v>0.0608401758935233</v>
      </c>
      <c r="Z41" s="2" t="n">
        <f aca="false">0.5*Rhoji/RhoTot</f>
        <v>0.0369786845610037</v>
      </c>
      <c r="AA41" s="2" t="n">
        <f aca="false">Rhoij/RhoOrig</f>
        <v>0.126352708747239</v>
      </c>
      <c r="AB41" s="2" t="n">
        <f aca="false">Rhoij/RhoCordon</f>
        <v>0.621967743345426</v>
      </c>
      <c r="AC41" s="2" t="n">
        <f aca="false">Rhoji/RhoCordon</f>
        <v>0.378032256654574</v>
      </c>
      <c r="AE41" s="0" t="s">
        <v>185</v>
      </c>
      <c r="AF41" s="0" t="s">
        <v>186</v>
      </c>
      <c r="AG41" s="0" t="n">
        <v>0.0373661178404778</v>
      </c>
    </row>
    <row r="42" customFormat="false" ht="12.75" hidden="false" customHeight="false" outlineLevel="0" collapsed="false">
      <c r="A42" s="0" t="s">
        <v>44</v>
      </c>
      <c r="B42" s="0" t="n">
        <v>693206</v>
      </c>
      <c r="C42" s="0" t="n">
        <v>368679</v>
      </c>
      <c r="D42" s="0" t="n">
        <v>324432</v>
      </c>
      <c r="E42" s="0" t="n">
        <v>693206</v>
      </c>
      <c r="F42" s="0" t="n">
        <v>0.981765054002071</v>
      </c>
      <c r="G42" s="0" t="n">
        <v>318516</v>
      </c>
      <c r="H42" s="0" t="n">
        <f aca="false">D42-G42</f>
        <v>5916</v>
      </c>
      <c r="I42" s="0" t="n">
        <v>325420</v>
      </c>
      <c r="J42" s="0" t="n">
        <v>0.978784340237232</v>
      </c>
      <c r="K42" s="0" t="n">
        <f aca="false">J42*I42</f>
        <v>318516</v>
      </c>
      <c r="L42" s="0" t="n">
        <f aca="false">I42-K42</f>
        <v>6904</v>
      </c>
      <c r="N42" s="0" t="n">
        <f aca="false">G42</f>
        <v>318516</v>
      </c>
      <c r="O42" s="0" t="n">
        <f aca="false">H42</f>
        <v>5916</v>
      </c>
      <c r="P42" s="0" t="n">
        <f aca="false">L42</f>
        <v>6904</v>
      </c>
      <c r="R42" s="0" t="n">
        <f aca="false">N42+0.5*(O42+P42)</f>
        <v>324926</v>
      </c>
      <c r="S42" s="0" t="n">
        <f aca="false">N42+0.5*O42</f>
        <v>321474</v>
      </c>
      <c r="T42" s="0" t="n">
        <f aca="false">O42+P42</f>
        <v>12820</v>
      </c>
      <c r="V42" s="2" t="n">
        <f aca="false">Rhoii/RhoOrig</f>
        <v>0.990798633793091</v>
      </c>
      <c r="W42" s="2"/>
      <c r="X42" s="2" t="n">
        <f aca="false">Rhoii/RhoTot</f>
        <v>0.980272431261272</v>
      </c>
      <c r="Y42" s="2" t="n">
        <f aca="false">0.5*Rhoij/RhoTot</f>
        <v>0.0091036112838</v>
      </c>
      <c r="Z42" s="2" t="n">
        <f aca="false">0.5*Rhoji/RhoTot</f>
        <v>0.0106239574549282</v>
      </c>
      <c r="AA42" s="2" t="n">
        <f aca="false">Rhoij/RhoOrig</f>
        <v>0.0184027324138188</v>
      </c>
      <c r="AB42" s="2" t="n">
        <f aca="false">Rhoij/RhoCordon</f>
        <v>0.461466458658346</v>
      </c>
      <c r="AC42" s="2" t="n">
        <f aca="false">Rhoji/RhoCordon</f>
        <v>0.538533541341654</v>
      </c>
      <c r="AE42" s="0" t="s">
        <v>187</v>
      </c>
      <c r="AF42" s="0" t="s">
        <v>188</v>
      </c>
      <c r="AG42" s="0" t="n">
        <v>0</v>
      </c>
    </row>
    <row r="43" customFormat="false" ht="12.75" hidden="false" customHeight="false" outlineLevel="0" collapsed="false">
      <c r="A43" s="0" t="s">
        <v>45</v>
      </c>
      <c r="B43" s="0" t="n">
        <v>3480936</v>
      </c>
      <c r="C43" s="0" t="n">
        <v>1849878</v>
      </c>
      <c r="D43" s="0" t="n">
        <v>1628991</v>
      </c>
      <c r="E43" s="0" t="n">
        <v>3480936</v>
      </c>
      <c r="F43" s="0" t="n">
        <v>0.959843240386227</v>
      </c>
      <c r="G43" s="0" t="n">
        <v>1563576</v>
      </c>
      <c r="H43" s="0" t="n">
        <f aca="false">D43-G43</f>
        <v>65415</v>
      </c>
      <c r="I43" s="0" t="n">
        <v>1611230</v>
      </c>
      <c r="J43" s="0" t="n">
        <v>0.970423837689219</v>
      </c>
      <c r="K43" s="0" t="n">
        <f aca="false">J43*I43</f>
        <v>1563576</v>
      </c>
      <c r="L43" s="0" t="n">
        <f aca="false">I43-K43</f>
        <v>47654</v>
      </c>
      <c r="N43" s="0" t="n">
        <f aca="false">G43</f>
        <v>1563576</v>
      </c>
      <c r="O43" s="0" t="n">
        <f aca="false">H43</f>
        <v>65415</v>
      </c>
      <c r="P43" s="0" t="n">
        <f aca="false">L43</f>
        <v>47654</v>
      </c>
      <c r="R43" s="0" t="n">
        <f aca="false">N43+0.5*(O43+P43)</f>
        <v>1620110.5</v>
      </c>
      <c r="S43" s="0" t="n">
        <f aca="false">N43+0.5*O43</f>
        <v>1596283.5</v>
      </c>
      <c r="T43" s="0" t="n">
        <f aca="false">O43+P43</f>
        <v>113069</v>
      </c>
      <c r="V43" s="2" t="n">
        <f aca="false">Rhoii/RhoOrig</f>
        <v>0.979510218579594</v>
      </c>
      <c r="W43" s="2"/>
      <c r="X43" s="2" t="n">
        <f aca="false">Rhoii/RhoTot</f>
        <v>0.965104540708797</v>
      </c>
      <c r="Y43" s="2" t="n">
        <f aca="false">0.5*Rhoij/RhoTot</f>
        <v>0.0201884377639673</v>
      </c>
      <c r="Z43" s="2" t="n">
        <f aca="false">0.5*Rhoji/RhoTot</f>
        <v>0.0147070215272353</v>
      </c>
      <c r="AA43" s="2" t="n">
        <f aca="false">Rhoij/RhoOrig</f>
        <v>0.0409795628408112</v>
      </c>
      <c r="AB43" s="2" t="n">
        <f aca="false">Rhoij/RhoCordon</f>
        <v>0.578540537194103</v>
      </c>
      <c r="AC43" s="2" t="n">
        <f aca="false">Rhoji/RhoCordon</f>
        <v>0.421459462805897</v>
      </c>
      <c r="AE43" s="0" t="s">
        <v>189</v>
      </c>
      <c r="AF43" s="0" t="s">
        <v>190</v>
      </c>
      <c r="AG43" s="0" t="n">
        <v>0</v>
      </c>
    </row>
    <row r="44" customFormat="false" ht="12.75" hidden="false" customHeight="false" outlineLevel="0" collapsed="false">
      <c r="A44" s="0" t="s">
        <v>46</v>
      </c>
      <c r="B44" s="0" t="n">
        <v>4861437</v>
      </c>
      <c r="C44" s="0" t="n">
        <v>2619519</v>
      </c>
      <c r="D44" s="0" t="n">
        <v>2241495</v>
      </c>
      <c r="E44" s="0" t="n">
        <v>4861437</v>
      </c>
      <c r="F44" s="0" t="n">
        <v>0.9670019339771</v>
      </c>
      <c r="G44" s="0" t="n">
        <v>2167530</v>
      </c>
      <c r="H44" s="0" t="n">
        <f aca="false">D44-G44</f>
        <v>73965</v>
      </c>
      <c r="I44" s="0" t="n">
        <v>2271718</v>
      </c>
      <c r="J44" s="0" t="n">
        <v>0.954136913120379</v>
      </c>
      <c r="K44" s="0" t="n">
        <f aca="false">J44*I44</f>
        <v>2167530</v>
      </c>
      <c r="L44" s="0" t="n">
        <f aca="false">I44-K44</f>
        <v>104188</v>
      </c>
      <c r="N44" s="0" t="n">
        <f aca="false">G44</f>
        <v>2167530</v>
      </c>
      <c r="O44" s="0" t="n">
        <f aca="false">H44</f>
        <v>73965</v>
      </c>
      <c r="P44" s="0" t="n">
        <f aca="false">L44</f>
        <v>104188</v>
      </c>
      <c r="R44" s="0" t="n">
        <f aca="false">N44+0.5*(O44+P44)</f>
        <v>2256606.5</v>
      </c>
      <c r="S44" s="0" t="n">
        <f aca="false">N44+0.5*O44</f>
        <v>2204512.5</v>
      </c>
      <c r="T44" s="0" t="n">
        <f aca="false">O44+P44</f>
        <v>178153</v>
      </c>
      <c r="V44" s="2" t="n">
        <f aca="false">Rhoii/RhoOrig</f>
        <v>0.983224182217157</v>
      </c>
      <c r="W44" s="2"/>
      <c r="X44" s="2" t="n">
        <f aca="false">Rhoii/RhoTot</f>
        <v>0.960526347859053</v>
      </c>
      <c r="Y44" s="2" t="n">
        <f aca="false">0.5*Rhoij/RhoTot</f>
        <v>0.0163885462529688</v>
      </c>
      <c r="Z44" s="2" t="n">
        <f aca="false">0.5*Rhoji/RhoTot</f>
        <v>0.0230851058879783</v>
      </c>
      <c r="AA44" s="2" t="n">
        <f aca="false">Rhoij/RhoOrig</f>
        <v>0.0335516355656863</v>
      </c>
      <c r="AB44" s="2" t="n">
        <f aca="false">Rhoij/RhoCordon</f>
        <v>0.415176842377058</v>
      </c>
      <c r="AC44" s="2" t="n">
        <f aca="false">Rhoji/RhoCordon</f>
        <v>0.584823157622942</v>
      </c>
      <c r="AE44" s="0" t="s">
        <v>191</v>
      </c>
      <c r="AF44" s="0" t="s">
        <v>192</v>
      </c>
      <c r="AG44" s="0" t="n">
        <v>5.80051647196015E-005</v>
      </c>
    </row>
    <row r="45" customFormat="false" ht="12.75" hidden="false" customHeight="false" outlineLevel="0" collapsed="false">
      <c r="A45" s="0" t="s">
        <v>47</v>
      </c>
      <c r="B45" s="0" t="n">
        <v>16763610</v>
      </c>
      <c r="C45" s="0" t="n">
        <v>9237172</v>
      </c>
      <c r="D45" s="0" t="n">
        <v>7519296</v>
      </c>
      <c r="E45" s="0" t="n">
        <v>16763610</v>
      </c>
      <c r="F45" s="0" t="n">
        <v>0.992008959349386</v>
      </c>
      <c r="G45" s="0" t="n">
        <v>7459209</v>
      </c>
      <c r="H45" s="0" t="n">
        <f aca="false">D45-G45</f>
        <v>60087</v>
      </c>
      <c r="I45" s="0" t="n">
        <v>7527751</v>
      </c>
      <c r="J45" s="0" t="n">
        <v>0.990894757278768</v>
      </c>
      <c r="K45" s="0" t="n">
        <f aca="false">J45*I45</f>
        <v>7459209</v>
      </c>
      <c r="L45" s="0" t="n">
        <f aca="false">I45-K45</f>
        <v>68542</v>
      </c>
      <c r="N45" s="0" t="n">
        <f aca="false">G45</f>
        <v>7459209</v>
      </c>
      <c r="O45" s="0" t="n">
        <f aca="false">H45</f>
        <v>60087</v>
      </c>
      <c r="P45" s="0" t="n">
        <f aca="false">L45</f>
        <v>68542</v>
      </c>
      <c r="R45" s="0" t="n">
        <f aca="false">N45+0.5*(O45+P45)</f>
        <v>7523523.5</v>
      </c>
      <c r="S45" s="0" t="n">
        <f aca="false">N45+0.5*O45</f>
        <v>7489252.5</v>
      </c>
      <c r="T45" s="0" t="n">
        <f aca="false">O45+P45</f>
        <v>128629</v>
      </c>
      <c r="V45" s="2" t="n">
        <f aca="false">Rhoii/RhoOrig</f>
        <v>0.995988451450929</v>
      </c>
      <c r="W45" s="2"/>
      <c r="X45" s="2" t="n">
        <f aca="false">Rhoii/RhoTot</f>
        <v>0.991451545276625</v>
      </c>
      <c r="Y45" s="2" t="n">
        <f aca="false">0.5*Rhoij/RhoTot</f>
        <v>0.00399327522536482</v>
      </c>
      <c r="Z45" s="2" t="n">
        <f aca="false">0.5*Rhoji/RhoTot</f>
        <v>0.00455517949801047</v>
      </c>
      <c r="AA45" s="2" t="n">
        <f aca="false">Rhoij/RhoOrig</f>
        <v>0.00802309709814164</v>
      </c>
      <c r="AB45" s="2" t="n">
        <f aca="false">Rhoij/RhoCordon</f>
        <v>0.46713416103678</v>
      </c>
      <c r="AC45" s="2" t="n">
        <f aca="false">Rhoji/RhoCordon</f>
        <v>0.53286583896322</v>
      </c>
      <c r="AE45" s="0" t="s">
        <v>193</v>
      </c>
      <c r="AF45" s="0" t="s">
        <v>194</v>
      </c>
      <c r="AG45" s="0" t="n">
        <v>0.0247474685546935</v>
      </c>
    </row>
    <row r="46" customFormat="false" ht="12.75" hidden="false" customHeight="false" outlineLevel="0" collapsed="false">
      <c r="A46" s="0" t="s">
        <v>48</v>
      </c>
      <c r="B46" s="0" t="n">
        <v>1721828</v>
      </c>
      <c r="C46" s="0" t="n">
        <v>987951</v>
      </c>
      <c r="D46" s="0" t="n">
        <v>733437</v>
      </c>
      <c r="E46" s="0" t="n">
        <v>1721828</v>
      </c>
      <c r="F46" s="0" t="n">
        <v>0.986698244020959</v>
      </c>
      <c r="G46" s="0" t="n">
        <v>723681</v>
      </c>
      <c r="H46" s="0" t="n">
        <f aca="false">D46-G46</f>
        <v>9756</v>
      </c>
      <c r="I46" s="0" t="n">
        <v>730927</v>
      </c>
      <c r="J46" s="0" t="n">
        <v>0.990086561311868</v>
      </c>
      <c r="K46" s="0" t="n">
        <f aca="false">J46*I46</f>
        <v>723681</v>
      </c>
      <c r="L46" s="0" t="n">
        <f aca="false">I46-K46</f>
        <v>7246</v>
      </c>
      <c r="N46" s="0" t="n">
        <f aca="false">G46</f>
        <v>723681</v>
      </c>
      <c r="O46" s="0" t="n">
        <f aca="false">H46</f>
        <v>9756</v>
      </c>
      <c r="P46" s="0" t="n">
        <f aca="false">L46</f>
        <v>7246</v>
      </c>
      <c r="R46" s="0" t="n">
        <f aca="false">N46+0.5*(O46+P46)</f>
        <v>732182</v>
      </c>
      <c r="S46" s="0" t="n">
        <f aca="false">N46+0.5*O46</f>
        <v>728559</v>
      </c>
      <c r="T46" s="0" t="n">
        <f aca="false">O46+P46</f>
        <v>17002</v>
      </c>
      <c r="V46" s="2" t="n">
        <f aca="false">Rhoii/RhoOrig</f>
        <v>0.993304591666564</v>
      </c>
      <c r="W46" s="2"/>
      <c r="X46" s="2" t="n">
        <f aca="false">Rhoii/RhoTot</f>
        <v>0.988389498785821</v>
      </c>
      <c r="Y46" s="2" t="n">
        <f aca="false">0.5*Rhoij/RhoTot</f>
        <v>0.00666227795821258</v>
      </c>
      <c r="Z46" s="2" t="n">
        <f aca="false">0.5*Rhoji/RhoTot</f>
        <v>0.00494822325596641</v>
      </c>
      <c r="AA46" s="2" t="n">
        <f aca="false">Rhoij/RhoOrig</f>
        <v>0.0133908166668726</v>
      </c>
      <c r="AB46" s="2" t="n">
        <f aca="false">Rhoij/RhoCordon</f>
        <v>0.573814845312316</v>
      </c>
      <c r="AC46" s="2" t="n">
        <f aca="false">Rhoji/RhoCordon</f>
        <v>0.426185154687684</v>
      </c>
      <c r="AE46" s="0" t="s">
        <v>195</v>
      </c>
      <c r="AF46" s="0" t="s">
        <v>196</v>
      </c>
      <c r="AG46" s="0" t="n">
        <v>0.000622986197117817</v>
      </c>
    </row>
    <row r="47" customFormat="false" ht="12.75" hidden="false" customHeight="false" outlineLevel="0" collapsed="false">
      <c r="A47" s="0" t="s">
        <v>49</v>
      </c>
      <c r="B47" s="0" t="n">
        <v>559333</v>
      </c>
      <c r="C47" s="0" t="n">
        <v>283282</v>
      </c>
      <c r="D47" s="0" t="n">
        <v>275969</v>
      </c>
      <c r="E47" s="0" t="n">
        <v>559333</v>
      </c>
      <c r="F47" s="0" t="n">
        <v>0.9416492432121</v>
      </c>
      <c r="G47" s="0" t="n">
        <v>259866</v>
      </c>
      <c r="H47" s="0" t="n">
        <f aca="false">D47-G47</f>
        <v>16103</v>
      </c>
      <c r="I47" s="0" t="n">
        <v>273398</v>
      </c>
      <c r="J47" s="0" t="n">
        <v>0.950504392863152</v>
      </c>
      <c r="K47" s="0" t="n">
        <f aca="false">J47*I47</f>
        <v>259866</v>
      </c>
      <c r="L47" s="0" t="n">
        <f aca="false">I47-K47</f>
        <v>13532</v>
      </c>
      <c r="N47" s="0" t="n">
        <f aca="false">G47</f>
        <v>259866</v>
      </c>
      <c r="O47" s="0" t="n">
        <f aca="false">H47</f>
        <v>16103</v>
      </c>
      <c r="P47" s="0" t="n">
        <f aca="false">L47</f>
        <v>13532</v>
      </c>
      <c r="R47" s="0" t="n">
        <f aca="false">N47+0.5*(O47+P47)</f>
        <v>274683.5</v>
      </c>
      <c r="S47" s="0" t="n">
        <f aca="false">N47+0.5*O47</f>
        <v>267917.5</v>
      </c>
      <c r="T47" s="0" t="n">
        <f aca="false">O47+P47</f>
        <v>29635</v>
      </c>
      <c r="V47" s="2" t="n">
        <f aca="false">Rhoii/RhoOrig</f>
        <v>0.969947838420409</v>
      </c>
      <c r="W47" s="2"/>
      <c r="X47" s="2" t="n">
        <f aca="false">Rhoii/RhoTot</f>
        <v>0.946056097290154</v>
      </c>
      <c r="Y47" s="2" t="n">
        <f aca="false">0.5*Rhoij/RhoTot</f>
        <v>0.0293119171701249</v>
      </c>
      <c r="Z47" s="2" t="n">
        <f aca="false">0.5*Rhoji/RhoTot</f>
        <v>0.0246319855397212</v>
      </c>
      <c r="AA47" s="2" t="n">
        <f aca="false">Rhoij/RhoOrig</f>
        <v>0.0601043231591815</v>
      </c>
      <c r="AB47" s="2" t="n">
        <f aca="false">Rhoij/RhoCordon</f>
        <v>0.543377762780496</v>
      </c>
      <c r="AC47" s="2" t="n">
        <f aca="false">Rhoji/RhoCordon</f>
        <v>0.456622237219504</v>
      </c>
      <c r="AE47" s="0" t="s">
        <v>197</v>
      </c>
      <c r="AF47" s="0" t="s">
        <v>198</v>
      </c>
      <c r="AG47" s="0" t="n">
        <v>0</v>
      </c>
    </row>
    <row r="48" customFormat="false" ht="12.75" hidden="false" customHeight="false" outlineLevel="0" collapsed="false">
      <c r="A48" s="0" t="s">
        <v>50</v>
      </c>
      <c r="B48" s="0" t="n">
        <v>6181215</v>
      </c>
      <c r="C48" s="0" t="n">
        <v>3030855</v>
      </c>
      <c r="D48" s="0" t="n">
        <v>3144282</v>
      </c>
      <c r="E48" s="0" t="n">
        <v>6181215</v>
      </c>
      <c r="F48" s="0" t="n">
        <v>0.907066541741485</v>
      </c>
      <c r="G48" s="0" t="n">
        <v>2852073</v>
      </c>
      <c r="H48" s="0" t="n">
        <f aca="false">D48-G48</f>
        <v>292209</v>
      </c>
      <c r="I48" s="0" t="n">
        <v>3049073</v>
      </c>
      <c r="J48" s="0" t="n">
        <v>0.935390198922755</v>
      </c>
      <c r="K48" s="0" t="n">
        <f aca="false">J48*I48</f>
        <v>2852073</v>
      </c>
      <c r="L48" s="0" t="n">
        <f aca="false">I48-K48</f>
        <v>197000</v>
      </c>
      <c r="N48" s="0" t="n">
        <f aca="false">G48</f>
        <v>2852073</v>
      </c>
      <c r="O48" s="0" t="n">
        <f aca="false">H48</f>
        <v>292209</v>
      </c>
      <c r="P48" s="0" t="n">
        <f aca="false">L48</f>
        <v>197000</v>
      </c>
      <c r="R48" s="0" t="n">
        <f aca="false">N48+0.5*(O48+P48)</f>
        <v>3096677.5</v>
      </c>
      <c r="S48" s="0" t="n">
        <f aca="false">N48+0.5*O48</f>
        <v>2998177.5</v>
      </c>
      <c r="T48" s="0" t="n">
        <f aca="false">O48+P48</f>
        <v>489209</v>
      </c>
      <c r="V48" s="2" t="n">
        <f aca="false">Rhoii/RhoOrig</f>
        <v>0.951268895854232</v>
      </c>
      <c r="W48" s="2"/>
      <c r="X48" s="2" t="n">
        <f aca="false">Rhoii/RhoTot</f>
        <v>0.921010663848593</v>
      </c>
      <c r="Y48" s="2" t="n">
        <f aca="false">0.5*Rhoij/RhoTot</f>
        <v>0.04718105130418</v>
      </c>
      <c r="Z48" s="2" t="n">
        <f aca="false">0.5*Rhoji/RhoTot</f>
        <v>0.0318082848472274</v>
      </c>
      <c r="AA48" s="2" t="n">
        <f aca="false">Rhoij/RhoOrig</f>
        <v>0.0974622082915371</v>
      </c>
      <c r="AB48" s="2" t="n">
        <f aca="false">Rhoij/RhoCordon</f>
        <v>0.597309125547568</v>
      </c>
      <c r="AC48" s="2" t="n">
        <f aca="false">Rhoji/RhoCordon</f>
        <v>0.402690874452432</v>
      </c>
      <c r="AE48" s="0" t="s">
        <v>199</v>
      </c>
      <c r="AF48" s="0" t="s">
        <v>200</v>
      </c>
      <c r="AG48" s="0" t="n">
        <v>0.0465283677535952</v>
      </c>
    </row>
    <row r="49" customFormat="false" ht="12.75" hidden="false" customHeight="false" outlineLevel="0" collapsed="false">
      <c r="A49" s="0" t="s">
        <v>51</v>
      </c>
      <c r="B49" s="0" t="n">
        <v>4841964</v>
      </c>
      <c r="C49" s="0" t="n">
        <v>2549571</v>
      </c>
      <c r="D49" s="0" t="n">
        <v>2289795</v>
      </c>
      <c r="E49" s="0" t="n">
        <v>4841964</v>
      </c>
      <c r="F49" s="0" t="n">
        <v>0.972962208407303</v>
      </c>
      <c r="G49" s="0" t="n">
        <v>2227884</v>
      </c>
      <c r="H49" s="0" t="n">
        <f aca="false">D49-G49</f>
        <v>61911</v>
      </c>
      <c r="I49" s="0" t="n">
        <v>2262430</v>
      </c>
      <c r="J49" s="0" t="n">
        <v>0.984730577299629</v>
      </c>
      <c r="K49" s="0" t="n">
        <f aca="false">J49*I49</f>
        <v>2227884</v>
      </c>
      <c r="L49" s="0" t="n">
        <f aca="false">I49-K49</f>
        <v>34546</v>
      </c>
      <c r="N49" s="0" t="n">
        <f aca="false">G49</f>
        <v>2227884</v>
      </c>
      <c r="O49" s="0" t="n">
        <f aca="false">H49</f>
        <v>61911</v>
      </c>
      <c r="P49" s="0" t="n">
        <f aca="false">L49</f>
        <v>34546</v>
      </c>
      <c r="R49" s="0" t="n">
        <f aca="false">N49+0.5*(O49+P49)</f>
        <v>2276112.5</v>
      </c>
      <c r="S49" s="0" t="n">
        <f aca="false">N49+0.5*O49</f>
        <v>2258839.5</v>
      </c>
      <c r="T49" s="0" t="n">
        <f aca="false">O49+P49</f>
        <v>96457</v>
      </c>
      <c r="V49" s="2" t="n">
        <f aca="false">Rhoii/RhoOrig</f>
        <v>0.9862958390802</v>
      </c>
      <c r="W49" s="2"/>
      <c r="X49" s="2" t="n">
        <f aca="false">Rhoii/RhoTot</f>
        <v>0.978811020984244</v>
      </c>
      <c r="Y49" s="2" t="n">
        <f aca="false">0.5*Rhoij/RhoTot</f>
        <v>0.0136001625578701</v>
      </c>
      <c r="Z49" s="2" t="n">
        <f aca="false">0.5*Rhoji/RhoTot</f>
        <v>0.00758881645788598</v>
      </c>
      <c r="AA49" s="2" t="n">
        <f aca="false">Rhoij/RhoOrig</f>
        <v>0.0274083218395995</v>
      </c>
      <c r="AB49" s="2" t="n">
        <f aca="false">Rhoij/RhoCordon</f>
        <v>0.641850772883254</v>
      </c>
      <c r="AC49" s="2" t="n">
        <f aca="false">Rhoji/RhoCordon</f>
        <v>0.358149227116746</v>
      </c>
      <c r="AE49" s="0" t="s">
        <v>201</v>
      </c>
      <c r="AF49" s="0" t="s">
        <v>202</v>
      </c>
      <c r="AG49" s="0" t="n">
        <v>0.0414276298865866</v>
      </c>
    </row>
    <row r="50" customFormat="false" ht="12.75" hidden="false" customHeight="false" outlineLevel="0" collapsed="false">
      <c r="A50" s="0" t="s">
        <v>52</v>
      </c>
      <c r="B50" s="0" t="n">
        <v>1785999</v>
      </c>
      <c r="C50" s="0" t="n">
        <v>1132742</v>
      </c>
      <c r="D50" s="0" t="n">
        <v>653163</v>
      </c>
      <c r="E50" s="0" t="n">
        <v>1785999</v>
      </c>
      <c r="F50" s="0" t="n">
        <v>0.902828237361884</v>
      </c>
      <c r="G50" s="0" t="n">
        <v>589694</v>
      </c>
      <c r="H50" s="0" t="n">
        <f aca="false">D50-G50</f>
        <v>63469</v>
      </c>
      <c r="I50" s="0" t="n">
        <v>643385</v>
      </c>
      <c r="J50" s="0" t="n">
        <v>0.916549189054765</v>
      </c>
      <c r="K50" s="0" t="n">
        <f aca="false">J50*I50</f>
        <v>589694</v>
      </c>
      <c r="L50" s="0" t="n">
        <f aca="false">I50-K50</f>
        <v>53691</v>
      </c>
      <c r="N50" s="0" t="n">
        <f aca="false">G50</f>
        <v>589694</v>
      </c>
      <c r="O50" s="0" t="n">
        <f aca="false">H50</f>
        <v>63469</v>
      </c>
      <c r="P50" s="0" t="n">
        <f aca="false">L50</f>
        <v>53691</v>
      </c>
      <c r="R50" s="0" t="n">
        <f aca="false">N50+0.5*(O50+P50)</f>
        <v>648274</v>
      </c>
      <c r="S50" s="0" t="n">
        <f aca="false">N50+0.5*O50</f>
        <v>621428.5</v>
      </c>
      <c r="T50" s="0" t="n">
        <f aca="false">O50+P50</f>
        <v>117160</v>
      </c>
      <c r="V50" s="2" t="n">
        <f aca="false">Rhoii/RhoOrig</f>
        <v>0.948932982635975</v>
      </c>
      <c r="W50" s="2"/>
      <c r="X50" s="2" t="n">
        <f aca="false">Rhoii/RhoTot</f>
        <v>0.909636974489182</v>
      </c>
      <c r="Y50" s="2" t="n">
        <f aca="false">0.5*Rhoij/RhoTot</f>
        <v>0.0489522948629746</v>
      </c>
      <c r="Z50" s="2" t="n">
        <f aca="false">0.5*Rhoji/RhoTot</f>
        <v>0.0414107306478434</v>
      </c>
      <c r="AA50" s="2" t="n">
        <f aca="false">Rhoij/RhoOrig</f>
        <v>0.10213403472805</v>
      </c>
      <c r="AB50" s="2" t="n">
        <f aca="false">Rhoij/RhoCordon</f>
        <v>0.54172925913281</v>
      </c>
      <c r="AC50" s="2" t="n">
        <f aca="false">Rhoji/RhoCordon</f>
        <v>0.45827074086719</v>
      </c>
      <c r="AE50" s="0" t="s">
        <v>203</v>
      </c>
      <c r="AF50" s="0" t="s">
        <v>204</v>
      </c>
      <c r="AG50" s="0" t="n">
        <v>0.0657245663242686</v>
      </c>
    </row>
    <row r="51" customFormat="false" ht="12.75" hidden="false" customHeight="false" outlineLevel="0" collapsed="false">
      <c r="A51" s="0" t="s">
        <v>53</v>
      </c>
      <c r="B51" s="0" t="n">
        <v>4881441</v>
      </c>
      <c r="C51" s="0" t="n">
        <v>2533950</v>
      </c>
      <c r="D51" s="0" t="n">
        <v>2347075</v>
      </c>
      <c r="E51" s="0" t="n">
        <v>4881441</v>
      </c>
      <c r="F51" s="0" t="n">
        <v>0.967822502476487</v>
      </c>
      <c r="G51" s="0" t="n">
        <v>2271552</v>
      </c>
      <c r="H51" s="0" t="n">
        <f aca="false">D51-G51</f>
        <v>75523</v>
      </c>
      <c r="I51" s="0" t="n">
        <v>2303123</v>
      </c>
      <c r="J51" s="0" t="n">
        <v>0.986292091217013</v>
      </c>
      <c r="K51" s="0" t="n">
        <f aca="false">J51*I51</f>
        <v>2271552</v>
      </c>
      <c r="L51" s="0" t="n">
        <f aca="false">I51-K51</f>
        <v>31571</v>
      </c>
      <c r="N51" s="0" t="n">
        <f aca="false">G51</f>
        <v>2271552</v>
      </c>
      <c r="O51" s="0" t="n">
        <f aca="false">H51</f>
        <v>75523</v>
      </c>
      <c r="P51" s="0" t="n">
        <f aca="false">L51</f>
        <v>31571</v>
      </c>
      <c r="R51" s="0" t="n">
        <f aca="false">N51+0.5*(O51+P51)</f>
        <v>2325099</v>
      </c>
      <c r="S51" s="0" t="n">
        <f aca="false">N51+0.5*O51</f>
        <v>2309313.5</v>
      </c>
      <c r="T51" s="0" t="n">
        <f aca="false">O51+P51</f>
        <v>107094</v>
      </c>
      <c r="V51" s="2" t="n">
        <f aca="false">Rhoii/RhoOrig</f>
        <v>0.983648170765901</v>
      </c>
      <c r="W51" s="2"/>
      <c r="X51" s="2" t="n">
        <f aca="false">Rhoii/RhoTot</f>
        <v>0.976970012889774</v>
      </c>
      <c r="Y51" s="2" t="n">
        <f aca="false">0.5*Rhoij/RhoTot</f>
        <v>0.0162408138320132</v>
      </c>
      <c r="Z51" s="2" t="n">
        <f aca="false">0.5*Rhoji/RhoTot</f>
        <v>0.0067891732782131</v>
      </c>
      <c r="AA51" s="2" t="n">
        <f aca="false">Rhoij/RhoOrig</f>
        <v>0.0327036584681985</v>
      </c>
      <c r="AB51" s="2" t="n">
        <f aca="false">Rhoij/RhoCordon</f>
        <v>0.705202905858405</v>
      </c>
      <c r="AC51" s="2" t="n">
        <f aca="false">Rhoji/RhoCordon</f>
        <v>0.294797094141595</v>
      </c>
      <c r="AE51" s="0" t="s">
        <v>205</v>
      </c>
      <c r="AF51" s="0" t="s">
        <v>206</v>
      </c>
      <c r="AG51" s="0" t="n">
        <v>1.13332512302244E-005</v>
      </c>
    </row>
    <row r="52" customFormat="false" ht="12.75" hidden="false" customHeight="false" outlineLevel="0" collapsed="false">
      <c r="A52" s="0" t="s">
        <v>54</v>
      </c>
      <c r="B52" s="0" t="n">
        <v>453189</v>
      </c>
      <c r="C52" s="0" t="n">
        <v>245624</v>
      </c>
      <c r="D52" s="0" t="n">
        <v>207473</v>
      </c>
      <c r="E52" s="0" t="n">
        <v>453189</v>
      </c>
      <c r="F52" s="0" t="n">
        <v>0.97993955840037</v>
      </c>
      <c r="G52" s="0" t="n">
        <v>203311</v>
      </c>
      <c r="H52" s="0" t="n">
        <f aca="false">D52-G52</f>
        <v>4162</v>
      </c>
      <c r="I52" s="0" t="n">
        <v>208657</v>
      </c>
      <c r="J52" s="0" t="n">
        <v>0.974379004778177</v>
      </c>
      <c r="K52" s="0" t="n">
        <f aca="false">J52*I52</f>
        <v>203311</v>
      </c>
      <c r="L52" s="0" t="n">
        <f aca="false">I52-K52</f>
        <v>5346</v>
      </c>
      <c r="N52" s="0" t="n">
        <f aca="false">G52</f>
        <v>203311</v>
      </c>
      <c r="O52" s="0" t="n">
        <f aca="false">H52</f>
        <v>4162</v>
      </c>
      <c r="P52" s="0" t="n">
        <f aca="false">L52</f>
        <v>5346</v>
      </c>
      <c r="R52" s="0" t="n">
        <f aca="false">N52+0.5*(O52+P52)</f>
        <v>208065</v>
      </c>
      <c r="S52" s="0" t="n">
        <f aca="false">N52+0.5*O52</f>
        <v>205392</v>
      </c>
      <c r="T52" s="0" t="n">
        <f aca="false">O52+P52</f>
        <v>9508</v>
      </c>
      <c r="V52" s="2" t="n">
        <f aca="false">Rhoii/RhoOrig</f>
        <v>0.989868154553245</v>
      </c>
      <c r="W52" s="2"/>
      <c r="X52" s="2" t="n">
        <f aca="false">Rhoii/RhoTot</f>
        <v>0.977151370965804</v>
      </c>
      <c r="Y52" s="2" t="n">
        <f aca="false">0.5*Rhoij/RhoTot</f>
        <v>0.0100016821666306</v>
      </c>
      <c r="Z52" s="2" t="n">
        <f aca="false">0.5*Rhoji/RhoTot</f>
        <v>0.0128469468675654</v>
      </c>
      <c r="AA52" s="2" t="n">
        <f aca="false">Rhoij/RhoOrig</f>
        <v>0.0202636908935109</v>
      </c>
      <c r="AB52" s="2" t="n">
        <f aca="false">Rhoij/RhoCordon</f>
        <v>0.437736642827093</v>
      </c>
      <c r="AC52" s="2" t="n">
        <f aca="false">Rhoji/RhoCordon</f>
        <v>0.562263357172907</v>
      </c>
      <c r="AE52" s="0" t="s">
        <v>207</v>
      </c>
      <c r="AF52" s="0" t="s">
        <v>208</v>
      </c>
      <c r="AG52" s="0" t="n">
        <v>0</v>
      </c>
    </row>
    <row r="53" customFormat="false" ht="12.75" hidden="false" customHeight="false" outlineLevel="0" collapsed="false">
      <c r="A53" s="0" t="s">
        <v>3</v>
      </c>
      <c r="B53" s="0" t="n">
        <v>247919856</v>
      </c>
      <c r="C53" s="0" t="n">
        <v>133153993</v>
      </c>
      <c r="D53" s="0" t="n">
        <v>114700027</v>
      </c>
      <c r="E53" s="0" t="n">
        <v>247919856</v>
      </c>
      <c r="G53" s="0" t="n">
        <f aca="false">SUM(G2:G52)</f>
        <v>110767228</v>
      </c>
      <c r="H53" s="0" t="n">
        <f aca="false">D53-G53</f>
        <v>3932799</v>
      </c>
      <c r="I53" s="0" t="n">
        <v>65836</v>
      </c>
      <c r="J53" s="0" t="n">
        <v>0.182939425238471</v>
      </c>
      <c r="K53" s="0" t="n">
        <f aca="false">J53*I53</f>
        <v>12044</v>
      </c>
      <c r="L53" s="0" t="n">
        <f aca="false">I53-K53</f>
        <v>53792</v>
      </c>
      <c r="N53" s="0" t="n">
        <f aca="false">G53</f>
        <v>110767228</v>
      </c>
      <c r="O53" s="0" t="n">
        <f aca="false">H53</f>
        <v>3932799</v>
      </c>
      <c r="P53" s="0" t="n">
        <f aca="false">L53</f>
        <v>53792</v>
      </c>
      <c r="R53" s="0" t="n">
        <f aca="false">N53+0.5*(O53+P53)</f>
        <v>112760523.5</v>
      </c>
      <c r="S53" s="0" t="n">
        <f aca="false">N53+0.5*O53</f>
        <v>112733627.5</v>
      </c>
      <c r="T53" s="0" t="n">
        <f aca="false">O53+P53</f>
        <v>3986591</v>
      </c>
      <c r="V53" s="2" t="n">
        <f aca="false">Rhoii/RhoOrig</f>
        <v>0.982557116775117</v>
      </c>
      <c r="W53" s="2"/>
      <c r="X53" s="2" t="n">
        <f aca="false">Rhoii/RhoTot</f>
        <v>0.982322754115273</v>
      </c>
      <c r="Y53" s="2" t="n">
        <f aca="false">0.5*Rhoij/RhoTot</f>
        <v>0.0174387226926984</v>
      </c>
      <c r="Z53" s="2" t="n">
        <f aca="false">0.5*Rhoji/RhoTot</f>
        <v>0.000238523192028281</v>
      </c>
      <c r="AA53" s="2" t="n">
        <f aca="false">Rhoij/RhoOrig</f>
        <v>0.0348857664497667</v>
      </c>
      <c r="AB53" s="2" t="n">
        <f aca="false">Rhoij/RhoCordon</f>
        <v>0.986506767310717</v>
      </c>
      <c r="AC53" s="2" t="n">
        <f aca="false">Rhoji/RhoCordon</f>
        <v>0.0134932326892826</v>
      </c>
      <c r="AE53" s="0" t="s">
        <v>209</v>
      </c>
      <c r="AG53" s="0" t="n">
        <v>0.0628874080123128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54"/>
  <sheetViews>
    <sheetView showFormulas="false" showGridLines="true" showRowColHeaders="true" showZeros="true" rightToLeft="false" tabSelected="false" showOutlineSymbols="true" defaultGridColor="true" view="normal" topLeftCell="AV1" colorId="64" zoomScale="100" zoomScaleNormal="100" zoomScalePageLayoutView="100" workbookViewId="0">
      <selection pane="topLeft" activeCell="BG3" activeCellId="0" sqref="BG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9.99"/>
    <col collapsed="false" customWidth="true" hidden="false" outlineLevel="0" max="3" min="3" style="0" width="12.42"/>
    <col collapsed="false" customWidth="true" hidden="false" outlineLevel="0" max="4" min="4" style="0" width="11.28"/>
    <col collapsed="false" customWidth="true" hidden="false" outlineLevel="0" max="5" min="5" style="0" width="10.85"/>
  </cols>
  <sheetData>
    <row r="1" customFormat="false" ht="12.75" hidden="false" customHeight="false" outlineLevel="0" collapsed="false">
      <c r="A1" s="0" t="s">
        <v>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n">
        <v>98</v>
      </c>
      <c r="BF1" s="0" t="s">
        <v>95</v>
      </c>
      <c r="BG1" s="0" t="s">
        <v>210</v>
      </c>
    </row>
    <row r="2" customFormat="false" ht="12.75" hidden="false" customHeight="false" outlineLevel="0" collapsed="false">
      <c r="A2" s="0" t="s">
        <v>4</v>
      </c>
      <c r="B2" s="0" t="n">
        <v>4032992</v>
      </c>
      <c r="C2" s="0" t="n">
        <v>2299994</v>
      </c>
      <c r="D2" s="0" t="n">
        <f aca="false">SUM(F2:BD2)</f>
        <v>1732238</v>
      </c>
      <c r="E2" s="0" t="n">
        <f aca="false">C2+D2+BE2</f>
        <v>4032992</v>
      </c>
      <c r="F2" s="0" t="n">
        <v>1669880</v>
      </c>
      <c r="G2" s="0" t="n">
        <v>0</v>
      </c>
      <c r="H2" s="0" t="n">
        <v>118</v>
      </c>
      <c r="I2" s="0" t="n">
        <v>175</v>
      </c>
      <c r="J2" s="0" t="n">
        <v>758</v>
      </c>
      <c r="K2" s="0" t="n">
        <v>22</v>
      </c>
      <c r="L2" s="0" t="n">
        <v>13</v>
      </c>
      <c r="M2" s="0" t="n">
        <v>0</v>
      </c>
      <c r="N2" s="0" t="n">
        <v>267</v>
      </c>
      <c r="O2" s="0" t="n">
        <v>6311</v>
      </c>
      <c r="P2" s="0" t="n">
        <v>30252</v>
      </c>
      <c r="Q2" s="0" t="n">
        <v>0</v>
      </c>
      <c r="R2" s="0" t="n">
        <v>0</v>
      </c>
      <c r="S2" s="0" t="n">
        <v>361</v>
      </c>
      <c r="T2" s="0" t="n">
        <v>67</v>
      </c>
      <c r="U2" s="0" t="n">
        <v>0</v>
      </c>
      <c r="V2" s="0" t="n">
        <v>245</v>
      </c>
      <c r="W2" s="0" t="n">
        <v>228</v>
      </c>
      <c r="X2" s="0" t="n">
        <v>2135</v>
      </c>
      <c r="Y2" s="0" t="n">
        <v>19</v>
      </c>
      <c r="Z2" s="0" t="n">
        <v>98</v>
      </c>
      <c r="AA2" s="0" t="n">
        <v>42</v>
      </c>
      <c r="AB2" s="0" t="n">
        <v>279</v>
      </c>
      <c r="AC2" s="0" t="n">
        <v>172</v>
      </c>
      <c r="AD2" s="0" t="n">
        <v>9740</v>
      </c>
      <c r="AE2" s="0" t="n">
        <v>152</v>
      </c>
      <c r="AF2" s="0" t="n">
        <v>0</v>
      </c>
      <c r="AG2" s="0" t="n">
        <v>7</v>
      </c>
      <c r="AH2" s="0" t="n">
        <v>32</v>
      </c>
      <c r="AI2" s="0" t="n">
        <v>0</v>
      </c>
      <c r="AJ2" s="0" t="n">
        <v>203</v>
      </c>
      <c r="AK2" s="0" t="n">
        <v>32</v>
      </c>
      <c r="AL2" s="0" t="n">
        <v>348</v>
      </c>
      <c r="AM2" s="0" t="n">
        <v>689</v>
      </c>
      <c r="AN2" s="0" t="n">
        <v>32</v>
      </c>
      <c r="AO2" s="0" t="n">
        <v>252</v>
      </c>
      <c r="AP2" s="0" t="n">
        <v>118</v>
      </c>
      <c r="AQ2" s="0" t="n">
        <v>35</v>
      </c>
      <c r="AR2" s="0" t="n">
        <v>224</v>
      </c>
      <c r="AS2" s="0" t="n">
        <v>0</v>
      </c>
      <c r="AT2" s="0" t="n">
        <v>0</v>
      </c>
      <c r="AU2" s="0" t="n">
        <v>845</v>
      </c>
      <c r="AV2" s="0" t="n">
        <v>6337</v>
      </c>
      <c r="AW2" s="0" t="n">
        <v>999</v>
      </c>
      <c r="AX2" s="0" t="n">
        <v>0</v>
      </c>
      <c r="AY2" s="0" t="n">
        <v>0</v>
      </c>
      <c r="AZ2" s="0" t="n">
        <v>581</v>
      </c>
      <c r="BA2" s="0" t="n">
        <v>81</v>
      </c>
      <c r="BB2" s="0" t="n">
        <v>16</v>
      </c>
      <c r="BC2" s="0" t="n">
        <v>73</v>
      </c>
      <c r="BD2" s="0" t="n">
        <v>0</v>
      </c>
      <c r="BE2" s="0" t="n">
        <v>760</v>
      </c>
      <c r="BF2" s="0" t="n">
        <f aca="false">MAX(F2:BD2)/D2</f>
        <v>0.964001482475272</v>
      </c>
      <c r="BG2" s="0" t="n">
        <f aca="false">BF2*D2</f>
        <v>1669880</v>
      </c>
    </row>
    <row r="3" customFormat="false" ht="12.75" hidden="false" customHeight="false" outlineLevel="0" collapsed="false">
      <c r="A3" s="0" t="s">
        <v>5</v>
      </c>
      <c r="B3" s="0" t="n">
        <v>550696</v>
      </c>
      <c r="C3" s="0" t="n">
        <v>286591</v>
      </c>
      <c r="D3" s="0" t="n">
        <f aca="false">SUM(F3:BD3)</f>
        <v>263887</v>
      </c>
      <c r="E3" s="0" t="n">
        <f aca="false">C3+D3+BE3</f>
        <v>550696</v>
      </c>
      <c r="F3" s="0" t="n">
        <v>0</v>
      </c>
      <c r="G3" s="0" t="n">
        <v>262722</v>
      </c>
      <c r="H3" s="0" t="n">
        <v>60</v>
      </c>
      <c r="I3" s="0" t="n">
        <v>99</v>
      </c>
      <c r="J3" s="0" t="n">
        <v>122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23</v>
      </c>
      <c r="Q3" s="0" t="n">
        <v>61</v>
      </c>
      <c r="R3" s="0" t="n">
        <v>27</v>
      </c>
      <c r="S3" s="0" t="n">
        <v>11</v>
      </c>
      <c r="T3" s="0" t="n">
        <v>8</v>
      </c>
      <c r="U3" s="0" t="n">
        <v>0</v>
      </c>
      <c r="V3" s="0" t="n">
        <v>0</v>
      </c>
      <c r="W3" s="0" t="n">
        <v>7</v>
      </c>
      <c r="X3" s="0" t="n">
        <v>0</v>
      </c>
      <c r="Y3" s="0" t="n">
        <v>0</v>
      </c>
      <c r="Z3" s="0" t="n">
        <v>0</v>
      </c>
      <c r="AA3" s="0" t="n">
        <v>19</v>
      </c>
      <c r="AB3" s="0" t="n">
        <v>0</v>
      </c>
      <c r="AC3" s="0" t="n">
        <v>27</v>
      </c>
      <c r="AD3" s="0" t="n">
        <v>11</v>
      </c>
      <c r="AE3" s="0" t="n">
        <v>22</v>
      </c>
      <c r="AF3" s="0" t="n">
        <v>0</v>
      </c>
      <c r="AG3" s="0" t="n">
        <v>0</v>
      </c>
      <c r="AH3" s="0" t="n">
        <v>73</v>
      </c>
      <c r="AI3" s="0" t="n">
        <v>0</v>
      </c>
      <c r="AJ3" s="0" t="n">
        <v>0</v>
      </c>
      <c r="AK3" s="0" t="n">
        <v>0</v>
      </c>
      <c r="AL3" s="0" t="n">
        <v>30</v>
      </c>
      <c r="AM3" s="0" t="n">
        <v>8</v>
      </c>
      <c r="AN3" s="0" t="n">
        <v>0</v>
      </c>
      <c r="AO3" s="0" t="n">
        <v>15</v>
      </c>
      <c r="AP3" s="0" t="n">
        <v>23</v>
      </c>
      <c r="AQ3" s="0" t="n">
        <v>8</v>
      </c>
      <c r="AR3" s="0" t="n">
        <v>0</v>
      </c>
      <c r="AS3" s="0" t="n">
        <v>0</v>
      </c>
      <c r="AT3" s="0" t="n">
        <v>0</v>
      </c>
      <c r="AU3" s="0" t="n">
        <v>12</v>
      </c>
      <c r="AV3" s="0" t="n">
        <v>7</v>
      </c>
      <c r="AW3" s="0" t="n">
        <v>58</v>
      </c>
      <c r="AX3" s="0" t="n">
        <v>0</v>
      </c>
      <c r="AY3" s="0" t="n">
        <v>0</v>
      </c>
      <c r="AZ3" s="0" t="n">
        <v>8</v>
      </c>
      <c r="BA3" s="0" t="n">
        <v>426</v>
      </c>
      <c r="BB3" s="0" t="n">
        <v>0</v>
      </c>
      <c r="BC3" s="0" t="n">
        <v>0</v>
      </c>
      <c r="BD3" s="0" t="n">
        <v>0</v>
      </c>
      <c r="BE3" s="0" t="n">
        <v>218</v>
      </c>
      <c r="BF3" s="0" t="n">
        <f aca="false">MAX(F3:BD3)/D3</f>
        <v>0.995585231557447</v>
      </c>
      <c r="BG3" s="0" t="n">
        <f aca="false">BF3*D3</f>
        <v>262722</v>
      </c>
    </row>
    <row r="4" customFormat="false" ht="12.75" hidden="false" customHeight="false" outlineLevel="0" collapsed="false">
      <c r="A4" s="0" t="s">
        <v>6</v>
      </c>
      <c r="B4" s="0" t="n">
        <v>3652849</v>
      </c>
      <c r="C4" s="0" t="n">
        <v>2060434</v>
      </c>
      <c r="D4" s="0" t="n">
        <f aca="false">SUM(F4:BD4)</f>
        <v>1591203</v>
      </c>
      <c r="E4" s="0" t="n">
        <f aca="false">C4+D4+BE4</f>
        <v>3652849</v>
      </c>
      <c r="F4" s="0" t="n">
        <v>57</v>
      </c>
      <c r="G4" s="0" t="n">
        <v>111</v>
      </c>
      <c r="H4" s="0" t="n">
        <v>1566055</v>
      </c>
      <c r="I4" s="0" t="n">
        <v>31</v>
      </c>
      <c r="J4" s="0" t="n">
        <v>7529</v>
      </c>
      <c r="K4" s="0" t="n">
        <v>553</v>
      </c>
      <c r="L4" s="0" t="n">
        <v>44</v>
      </c>
      <c r="M4" s="0" t="n">
        <v>0</v>
      </c>
      <c r="N4" s="0" t="n">
        <v>137</v>
      </c>
      <c r="O4" s="0" t="n">
        <v>502</v>
      </c>
      <c r="P4" s="0" t="n">
        <v>257</v>
      </c>
      <c r="Q4" s="0" t="n">
        <v>46</v>
      </c>
      <c r="R4" s="0" t="n">
        <v>129</v>
      </c>
      <c r="S4" s="0" t="n">
        <v>659</v>
      </c>
      <c r="T4" s="0" t="n">
        <v>191</v>
      </c>
      <c r="U4" s="0" t="n">
        <v>79</v>
      </c>
      <c r="V4" s="0" t="n">
        <v>196</v>
      </c>
      <c r="W4" s="0" t="n">
        <v>73</v>
      </c>
      <c r="X4" s="0" t="n">
        <v>0</v>
      </c>
      <c r="Y4" s="0" t="n">
        <v>0</v>
      </c>
      <c r="Z4" s="0" t="n">
        <v>230</v>
      </c>
      <c r="AA4" s="0" t="n">
        <v>99</v>
      </c>
      <c r="AB4" s="0" t="n">
        <v>257</v>
      </c>
      <c r="AC4" s="0" t="n">
        <v>181</v>
      </c>
      <c r="AD4" s="0" t="n">
        <v>16</v>
      </c>
      <c r="AE4" s="0" t="n">
        <v>337</v>
      </c>
      <c r="AF4" s="0" t="n">
        <v>0</v>
      </c>
      <c r="AG4" s="0" t="n">
        <v>90</v>
      </c>
      <c r="AH4" s="0" t="n">
        <v>8186</v>
      </c>
      <c r="AI4" s="0" t="n">
        <v>0</v>
      </c>
      <c r="AJ4" s="0" t="n">
        <v>139</v>
      </c>
      <c r="AK4" s="0" t="n">
        <v>1555</v>
      </c>
      <c r="AL4" s="0" t="n">
        <v>343</v>
      </c>
      <c r="AM4" s="0" t="n">
        <v>106</v>
      </c>
      <c r="AN4" s="0" t="n">
        <v>69</v>
      </c>
      <c r="AO4" s="0" t="n">
        <v>308</v>
      </c>
      <c r="AP4" s="0" t="n">
        <v>85</v>
      </c>
      <c r="AQ4" s="0" t="n">
        <v>71</v>
      </c>
      <c r="AR4" s="0" t="n">
        <v>190</v>
      </c>
      <c r="AS4" s="0" t="n">
        <v>28</v>
      </c>
      <c r="AT4" s="0" t="n">
        <v>145</v>
      </c>
      <c r="AU4" s="0" t="n">
        <v>72</v>
      </c>
      <c r="AV4" s="0" t="n">
        <v>51</v>
      </c>
      <c r="AW4" s="0" t="n">
        <v>996</v>
      </c>
      <c r="AX4" s="0" t="n">
        <v>449</v>
      </c>
      <c r="AY4" s="0" t="n">
        <v>0</v>
      </c>
      <c r="AZ4" s="0" t="n">
        <v>104</v>
      </c>
      <c r="BA4" s="0" t="n">
        <v>121</v>
      </c>
      <c r="BB4" s="0" t="n">
        <v>8</v>
      </c>
      <c r="BC4" s="0" t="n">
        <v>137</v>
      </c>
      <c r="BD4" s="0" t="n">
        <v>181</v>
      </c>
      <c r="BE4" s="0" t="n">
        <v>1212</v>
      </c>
      <c r="BF4" s="0" t="n">
        <f aca="false">MAX(F4:BD4)/D4</f>
        <v>0.984195605463288</v>
      </c>
      <c r="BG4" s="0" t="n">
        <f aca="false">BF4*D4</f>
        <v>1566055</v>
      </c>
    </row>
    <row r="5" customFormat="false" ht="12.75" hidden="false" customHeight="false" outlineLevel="0" collapsed="false">
      <c r="A5" s="0" t="s">
        <v>7</v>
      </c>
      <c r="B5" s="0" t="n">
        <v>2344205</v>
      </c>
      <c r="C5" s="0" t="n">
        <v>1355487</v>
      </c>
      <c r="D5" s="0" t="n">
        <f aca="false">SUM(F5:BD5)</f>
        <v>988408</v>
      </c>
      <c r="E5" s="0" t="n">
        <f aca="false">C5+D5+BE5</f>
        <v>2344205</v>
      </c>
      <c r="F5" s="0" t="n">
        <v>294</v>
      </c>
      <c r="G5" s="0" t="n">
        <v>107</v>
      </c>
      <c r="H5" s="0" t="n">
        <v>32</v>
      </c>
      <c r="I5" s="0" t="n">
        <v>956486</v>
      </c>
      <c r="J5" s="0" t="n">
        <v>354</v>
      </c>
      <c r="K5" s="0" t="n">
        <v>55</v>
      </c>
      <c r="L5" s="0" t="n">
        <v>0</v>
      </c>
      <c r="M5" s="0" t="n">
        <v>0</v>
      </c>
      <c r="N5" s="0" t="n">
        <v>28</v>
      </c>
      <c r="O5" s="0" t="n">
        <v>395</v>
      </c>
      <c r="P5" s="0" t="n">
        <v>260</v>
      </c>
      <c r="Q5" s="0" t="n">
        <v>0</v>
      </c>
      <c r="R5" s="0" t="n">
        <v>0</v>
      </c>
      <c r="S5" s="0" t="n">
        <v>312</v>
      </c>
      <c r="T5" s="0" t="n">
        <v>97</v>
      </c>
      <c r="U5" s="0" t="n">
        <v>51</v>
      </c>
      <c r="V5" s="0" t="n">
        <v>299</v>
      </c>
      <c r="W5" s="0" t="n">
        <v>78</v>
      </c>
      <c r="X5" s="0" t="n">
        <v>1574</v>
      </c>
      <c r="Y5" s="0" t="n">
        <v>0</v>
      </c>
      <c r="Z5" s="0" t="n">
        <v>90</v>
      </c>
      <c r="AA5" s="0" t="n">
        <v>0</v>
      </c>
      <c r="AB5" s="0" t="n">
        <v>97</v>
      </c>
      <c r="AC5" s="0" t="n">
        <v>71</v>
      </c>
      <c r="AD5" s="0" t="n">
        <v>1216</v>
      </c>
      <c r="AE5" s="0" t="n">
        <v>2997</v>
      </c>
      <c r="AF5" s="0" t="n">
        <v>7</v>
      </c>
      <c r="AG5" s="0" t="n">
        <v>72</v>
      </c>
      <c r="AH5" s="0" t="n">
        <v>29</v>
      </c>
      <c r="AI5" s="0" t="n">
        <v>0</v>
      </c>
      <c r="AJ5" s="0" t="n">
        <v>47</v>
      </c>
      <c r="AK5" s="0" t="n">
        <v>50</v>
      </c>
      <c r="AL5" s="0" t="n">
        <v>42</v>
      </c>
      <c r="AM5" s="0" t="n">
        <v>66</v>
      </c>
      <c r="AN5" s="0" t="n">
        <v>0</v>
      </c>
      <c r="AO5" s="0" t="n">
        <v>81</v>
      </c>
      <c r="AP5" s="0" t="n">
        <v>2973</v>
      </c>
      <c r="AQ5" s="0" t="n">
        <v>57</v>
      </c>
      <c r="AR5" s="0" t="n">
        <v>18</v>
      </c>
      <c r="AS5" s="0" t="n">
        <v>3</v>
      </c>
      <c r="AT5" s="0" t="n">
        <v>29</v>
      </c>
      <c r="AU5" s="0" t="n">
        <v>65</v>
      </c>
      <c r="AV5" s="0" t="n">
        <v>10671</v>
      </c>
      <c r="AW5" s="0" t="n">
        <v>9042</v>
      </c>
      <c r="AX5" s="0" t="n">
        <v>0</v>
      </c>
      <c r="AY5" s="0" t="n">
        <v>0</v>
      </c>
      <c r="AZ5" s="0" t="n">
        <v>191</v>
      </c>
      <c r="BA5" s="0" t="n">
        <v>22</v>
      </c>
      <c r="BB5" s="0" t="n">
        <v>0</v>
      </c>
      <c r="BC5" s="0" t="n">
        <v>50</v>
      </c>
      <c r="BD5" s="0" t="n">
        <v>0</v>
      </c>
      <c r="BE5" s="0" t="n">
        <v>310</v>
      </c>
      <c r="BF5" s="0" t="n">
        <f aca="false">MAX(F5:BD5)/D5</f>
        <v>0.967703620367298</v>
      </c>
      <c r="BG5" s="0" t="n">
        <f aca="false">BF5*D5</f>
        <v>956486</v>
      </c>
    </row>
    <row r="6" customFormat="false" ht="12.75" hidden="false" customHeight="false" outlineLevel="0" collapsed="false">
      <c r="A6" s="0" t="s">
        <v>8</v>
      </c>
      <c r="B6" s="0" t="n">
        <v>29715727</v>
      </c>
      <c r="C6" s="0" t="n">
        <v>15806498</v>
      </c>
      <c r="D6" s="0" t="n">
        <f aca="false">SUM(F6:BD6)</f>
        <v>13897185</v>
      </c>
      <c r="E6" s="0" t="n">
        <f aca="false">C6+D6+BE6</f>
        <v>29715727</v>
      </c>
      <c r="F6" s="0" t="n">
        <v>319</v>
      </c>
      <c r="G6" s="0" t="n">
        <v>650</v>
      </c>
      <c r="H6" s="0" t="n">
        <v>5099</v>
      </c>
      <c r="I6" s="0" t="n">
        <v>256</v>
      </c>
      <c r="J6" s="0" t="n">
        <v>13845907</v>
      </c>
      <c r="K6" s="0" t="n">
        <v>1431</v>
      </c>
      <c r="L6" s="0" t="n">
        <v>256</v>
      </c>
      <c r="M6" s="0" t="n">
        <v>73</v>
      </c>
      <c r="N6" s="0" t="n">
        <v>743</v>
      </c>
      <c r="O6" s="0" t="n">
        <v>2235</v>
      </c>
      <c r="P6" s="0" t="n">
        <v>1006</v>
      </c>
      <c r="Q6" s="0" t="n">
        <v>1725</v>
      </c>
      <c r="R6" s="0" t="n">
        <v>296</v>
      </c>
      <c r="S6" s="0" t="n">
        <v>1340</v>
      </c>
      <c r="T6" s="0" t="n">
        <v>453</v>
      </c>
      <c r="U6" s="0" t="n">
        <v>99</v>
      </c>
      <c r="V6" s="0" t="n">
        <v>177</v>
      </c>
      <c r="W6" s="0" t="n">
        <v>338</v>
      </c>
      <c r="X6" s="0" t="n">
        <v>486</v>
      </c>
      <c r="Y6" s="0" t="n">
        <v>83</v>
      </c>
      <c r="Z6" s="0" t="n">
        <v>600</v>
      </c>
      <c r="AA6" s="0" t="n">
        <v>879</v>
      </c>
      <c r="AB6" s="0" t="n">
        <v>823</v>
      </c>
      <c r="AC6" s="0" t="n">
        <v>408</v>
      </c>
      <c r="AD6" s="0" t="n">
        <v>130</v>
      </c>
      <c r="AE6" s="0" t="n">
        <v>760</v>
      </c>
      <c r="AF6" s="0" t="n">
        <v>116</v>
      </c>
      <c r="AG6" s="0" t="n">
        <v>283</v>
      </c>
      <c r="AH6" s="0" t="n">
        <v>11509</v>
      </c>
      <c r="AI6" s="0" t="n">
        <v>118</v>
      </c>
      <c r="AJ6" s="0" t="n">
        <v>886</v>
      </c>
      <c r="AK6" s="0" t="n">
        <v>426</v>
      </c>
      <c r="AL6" s="0" t="n">
        <v>3513</v>
      </c>
      <c r="AM6" s="0" t="n">
        <v>471</v>
      </c>
      <c r="AN6" s="0" t="n">
        <v>91</v>
      </c>
      <c r="AO6" s="0" t="n">
        <v>806</v>
      </c>
      <c r="AP6" s="0" t="n">
        <v>386</v>
      </c>
      <c r="AQ6" s="0" t="n">
        <v>2026</v>
      </c>
      <c r="AR6" s="0" t="n">
        <v>587</v>
      </c>
      <c r="AS6" s="0" t="n">
        <v>162</v>
      </c>
      <c r="AT6" s="0" t="n">
        <v>41</v>
      </c>
      <c r="AU6" s="0" t="n">
        <v>258</v>
      </c>
      <c r="AV6" s="0" t="n">
        <v>357</v>
      </c>
      <c r="AW6" s="0" t="n">
        <v>3540</v>
      </c>
      <c r="AX6" s="0" t="n">
        <v>1122</v>
      </c>
      <c r="AY6" s="0" t="n">
        <v>19</v>
      </c>
      <c r="AZ6" s="0" t="n">
        <v>1097</v>
      </c>
      <c r="BA6" s="0" t="n">
        <v>2464</v>
      </c>
      <c r="BB6" s="0" t="n">
        <v>84</v>
      </c>
      <c r="BC6" s="0" t="n">
        <v>139</v>
      </c>
      <c r="BD6" s="0" t="n">
        <v>112</v>
      </c>
      <c r="BE6" s="0" t="n">
        <v>12044</v>
      </c>
      <c r="BF6" s="0" t="n">
        <f aca="false">MAX(F6:BD6)/D6</f>
        <v>0.996310187998505</v>
      </c>
      <c r="BG6" s="0" t="n">
        <f aca="false">BF6*D6</f>
        <v>13845907</v>
      </c>
    </row>
    <row r="7" customFormat="false" ht="12.75" hidden="false" customHeight="false" outlineLevel="0" collapsed="false">
      <c r="A7" s="0" t="s">
        <v>9</v>
      </c>
      <c r="B7" s="0" t="n">
        <v>3282756</v>
      </c>
      <c r="C7" s="0" t="n">
        <v>1649976</v>
      </c>
      <c r="D7" s="0" t="n">
        <f aca="false">SUM(F7:BD7)</f>
        <v>1631955</v>
      </c>
      <c r="E7" s="0" t="n">
        <f aca="false">C7+D7+BE7</f>
        <v>3282756</v>
      </c>
      <c r="F7" s="0" t="n">
        <v>210</v>
      </c>
      <c r="G7" s="0" t="n">
        <v>312</v>
      </c>
      <c r="H7" s="0" t="n">
        <v>987</v>
      </c>
      <c r="I7" s="0" t="n">
        <v>81</v>
      </c>
      <c r="J7" s="0" t="n">
        <v>2244</v>
      </c>
      <c r="K7" s="0" t="n">
        <v>1615227</v>
      </c>
      <c r="L7" s="0" t="n">
        <v>21</v>
      </c>
      <c r="M7" s="0" t="n">
        <v>45</v>
      </c>
      <c r="N7" s="0" t="n">
        <v>39</v>
      </c>
      <c r="O7" s="0" t="n">
        <v>357</v>
      </c>
      <c r="P7" s="0" t="n">
        <v>168</v>
      </c>
      <c r="Q7" s="0" t="n">
        <v>129</v>
      </c>
      <c r="R7" s="0" t="n">
        <v>105</v>
      </c>
      <c r="S7" s="0" t="n">
        <v>849</v>
      </c>
      <c r="T7" s="0" t="n">
        <v>123</v>
      </c>
      <c r="U7" s="0" t="n">
        <v>207</v>
      </c>
      <c r="V7" s="0" t="n">
        <v>822</v>
      </c>
      <c r="W7" s="0" t="n">
        <v>138</v>
      </c>
      <c r="X7" s="0" t="n">
        <v>51</v>
      </c>
      <c r="Y7" s="0" t="n">
        <v>0</v>
      </c>
      <c r="Z7" s="0" t="n">
        <v>60</v>
      </c>
      <c r="AA7" s="0" t="n">
        <v>153</v>
      </c>
      <c r="AB7" s="0" t="n">
        <v>99</v>
      </c>
      <c r="AC7" s="0" t="n">
        <v>207</v>
      </c>
      <c r="AD7" s="0" t="n">
        <v>45</v>
      </c>
      <c r="AE7" s="0" t="n">
        <v>246</v>
      </c>
      <c r="AF7" s="0" t="n">
        <v>132</v>
      </c>
      <c r="AG7" s="0" t="n">
        <v>867</v>
      </c>
      <c r="AH7" s="0" t="n">
        <v>666</v>
      </c>
      <c r="AI7" s="0" t="n">
        <v>0</v>
      </c>
      <c r="AJ7" s="0" t="n">
        <v>348</v>
      </c>
      <c r="AK7" s="0" t="n">
        <v>1287</v>
      </c>
      <c r="AL7" s="0" t="n">
        <v>528</v>
      </c>
      <c r="AM7" s="0" t="n">
        <v>117</v>
      </c>
      <c r="AN7" s="0" t="n">
        <v>72</v>
      </c>
      <c r="AO7" s="0" t="n">
        <v>306</v>
      </c>
      <c r="AP7" s="0" t="n">
        <v>303</v>
      </c>
      <c r="AQ7" s="0" t="n">
        <v>120</v>
      </c>
      <c r="AR7" s="0" t="n">
        <v>114</v>
      </c>
      <c r="AS7" s="0" t="n">
        <v>0</v>
      </c>
      <c r="AT7" s="0" t="n">
        <v>57</v>
      </c>
      <c r="AU7" s="0" t="n">
        <v>27</v>
      </c>
      <c r="AV7" s="0" t="n">
        <v>150</v>
      </c>
      <c r="AW7" s="0" t="n">
        <v>1182</v>
      </c>
      <c r="AX7" s="0" t="n">
        <v>753</v>
      </c>
      <c r="AY7" s="0" t="n">
        <v>0</v>
      </c>
      <c r="AZ7" s="0" t="n">
        <v>297</v>
      </c>
      <c r="BA7" s="0" t="n">
        <v>342</v>
      </c>
      <c r="BB7" s="0" t="n">
        <v>6</v>
      </c>
      <c r="BC7" s="0" t="n">
        <v>174</v>
      </c>
      <c r="BD7" s="0" t="n">
        <v>1182</v>
      </c>
      <c r="BE7" s="0" t="n">
        <v>825</v>
      </c>
      <c r="BF7" s="0" t="n">
        <f aca="false">MAX(F7:BD7)/D7</f>
        <v>0.98974971736353</v>
      </c>
      <c r="BG7" s="0" t="n">
        <f aca="false">BF7*D7</f>
        <v>1615227</v>
      </c>
    </row>
    <row r="8" customFormat="false" ht="12.75" hidden="false" customHeight="false" outlineLevel="0" collapsed="false">
      <c r="A8" s="0" t="s">
        <v>10</v>
      </c>
      <c r="B8" s="0" t="n">
        <v>3282130</v>
      </c>
      <c r="C8" s="0" t="n">
        <v>1609151</v>
      </c>
      <c r="D8" s="0" t="n">
        <f aca="false">SUM(F8:BD8)</f>
        <v>1672230</v>
      </c>
      <c r="E8" s="0" t="n">
        <f aca="false">C8+D8+BE8</f>
        <v>3282130</v>
      </c>
      <c r="F8" s="0" t="n">
        <v>22</v>
      </c>
      <c r="G8" s="0" t="n">
        <v>0</v>
      </c>
      <c r="H8" s="0" t="n">
        <v>72</v>
      </c>
      <c r="I8" s="0" t="n">
        <v>86</v>
      </c>
      <c r="J8" s="0" t="n">
        <v>603</v>
      </c>
      <c r="K8" s="0" t="n">
        <v>123</v>
      </c>
      <c r="L8" s="0" t="n">
        <v>1592891</v>
      </c>
      <c r="M8" s="0" t="n">
        <v>33</v>
      </c>
      <c r="N8" s="0" t="n">
        <v>332</v>
      </c>
      <c r="O8" s="0" t="n">
        <v>663</v>
      </c>
      <c r="P8" s="0" t="n">
        <v>354</v>
      </c>
      <c r="Q8" s="0" t="n">
        <v>54</v>
      </c>
      <c r="R8" s="0" t="n">
        <v>0</v>
      </c>
      <c r="S8" s="0" t="n">
        <v>522</v>
      </c>
      <c r="T8" s="0" t="n">
        <v>95</v>
      </c>
      <c r="U8" s="0" t="n">
        <v>22</v>
      </c>
      <c r="V8" s="0" t="n">
        <v>0</v>
      </c>
      <c r="W8" s="0" t="n">
        <v>30</v>
      </c>
      <c r="X8" s="0" t="n">
        <v>72</v>
      </c>
      <c r="Y8" s="0" t="n">
        <v>89</v>
      </c>
      <c r="Z8" s="0" t="n">
        <v>501</v>
      </c>
      <c r="AA8" s="0" t="n">
        <v>11942</v>
      </c>
      <c r="AB8" s="0" t="n">
        <v>77</v>
      </c>
      <c r="AC8" s="0" t="n">
        <v>68</v>
      </c>
      <c r="AD8" s="0" t="n">
        <v>30</v>
      </c>
      <c r="AE8" s="0" t="n">
        <v>135</v>
      </c>
      <c r="AF8" s="0" t="n">
        <v>0</v>
      </c>
      <c r="AG8" s="0" t="n">
        <v>0</v>
      </c>
      <c r="AH8" s="0" t="n">
        <v>17</v>
      </c>
      <c r="AI8" s="0" t="n">
        <v>259</v>
      </c>
      <c r="AJ8" s="0" t="n">
        <v>3220</v>
      </c>
      <c r="AK8" s="0" t="n">
        <v>17</v>
      </c>
      <c r="AL8" s="0" t="n">
        <v>54519</v>
      </c>
      <c r="AM8" s="0" t="n">
        <v>181</v>
      </c>
      <c r="AN8" s="0" t="n">
        <v>0</v>
      </c>
      <c r="AO8" s="0" t="n">
        <v>179</v>
      </c>
      <c r="AP8" s="0" t="n">
        <v>11</v>
      </c>
      <c r="AQ8" s="0" t="n">
        <v>23</v>
      </c>
      <c r="AR8" s="0" t="n">
        <v>656</v>
      </c>
      <c r="AS8" s="0" t="n">
        <v>2945</v>
      </c>
      <c r="AT8" s="0" t="n">
        <v>0</v>
      </c>
      <c r="AU8" s="0" t="n">
        <v>72</v>
      </c>
      <c r="AV8" s="0" t="n">
        <v>102</v>
      </c>
      <c r="AW8" s="0" t="n">
        <v>463</v>
      </c>
      <c r="AX8" s="0" t="n">
        <v>0</v>
      </c>
      <c r="AY8" s="0" t="n">
        <v>173</v>
      </c>
      <c r="AZ8" s="0" t="n">
        <v>431</v>
      </c>
      <c r="BA8" s="0" t="n">
        <v>62</v>
      </c>
      <c r="BB8" s="0" t="n">
        <v>25</v>
      </c>
      <c r="BC8" s="0" t="n">
        <v>59</v>
      </c>
      <c r="BD8" s="0" t="n">
        <v>0</v>
      </c>
      <c r="BE8" s="0" t="n">
        <v>749</v>
      </c>
      <c r="BF8" s="0" t="n">
        <f aca="false">MAX(F8:BD8)/D8</f>
        <v>0.952554971505116</v>
      </c>
      <c r="BG8" s="0" t="n">
        <f aca="false">BF8*D8</f>
        <v>1592891</v>
      </c>
    </row>
    <row r="9" customFormat="false" ht="12.75" hidden="false" customHeight="false" outlineLevel="0" collapsed="false">
      <c r="A9" s="0" t="s">
        <v>11</v>
      </c>
      <c r="B9" s="0" t="n">
        <v>661667</v>
      </c>
      <c r="C9" s="0" t="n">
        <v>327531</v>
      </c>
      <c r="D9" s="0" t="n">
        <f aca="false">SUM(F9:BD9)</f>
        <v>333913</v>
      </c>
      <c r="E9" s="0" t="n">
        <f aca="false">C9+D9+BE9</f>
        <v>661667</v>
      </c>
      <c r="F9" s="0" t="n">
        <v>20</v>
      </c>
      <c r="G9" s="0" t="n">
        <v>0</v>
      </c>
      <c r="H9" s="0" t="n">
        <v>0</v>
      </c>
      <c r="I9" s="0" t="n">
        <v>0</v>
      </c>
      <c r="J9" s="0" t="n">
        <v>158</v>
      </c>
      <c r="K9" s="0" t="n">
        <v>0</v>
      </c>
      <c r="L9" s="0" t="n">
        <v>83</v>
      </c>
      <c r="M9" s="0" t="n">
        <v>302176</v>
      </c>
      <c r="N9" s="0" t="n">
        <v>265</v>
      </c>
      <c r="O9" s="0" t="n">
        <v>115</v>
      </c>
      <c r="P9" s="0" t="n">
        <v>58</v>
      </c>
      <c r="Q9" s="0" t="n">
        <v>0</v>
      </c>
      <c r="R9" s="0" t="n">
        <v>0</v>
      </c>
      <c r="S9" s="0" t="n">
        <v>108</v>
      </c>
      <c r="T9" s="0" t="n">
        <v>41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9755</v>
      </c>
      <c r="AA9" s="0" t="n">
        <v>36</v>
      </c>
      <c r="AB9" s="0" t="n">
        <v>64</v>
      </c>
      <c r="AC9" s="0" t="n">
        <v>0</v>
      </c>
      <c r="AD9" s="0" t="n">
        <v>0</v>
      </c>
      <c r="AE9" s="0" t="n">
        <v>19</v>
      </c>
      <c r="AF9" s="0" t="n">
        <v>0</v>
      </c>
      <c r="AG9" s="0" t="n">
        <v>22</v>
      </c>
      <c r="AH9" s="0" t="n">
        <v>0</v>
      </c>
      <c r="AI9" s="0" t="n">
        <v>0</v>
      </c>
      <c r="AJ9" s="0" t="n">
        <v>3524</v>
      </c>
      <c r="AK9" s="0" t="n">
        <v>0</v>
      </c>
      <c r="AL9" s="0" t="n">
        <v>440</v>
      </c>
      <c r="AM9" s="0" t="n">
        <v>32</v>
      </c>
      <c r="AN9" s="0" t="n">
        <v>0</v>
      </c>
      <c r="AO9" s="0" t="n">
        <v>57</v>
      </c>
      <c r="AP9" s="0" t="n">
        <v>19</v>
      </c>
      <c r="AQ9" s="0" t="n">
        <v>0</v>
      </c>
      <c r="AR9" s="0" t="n">
        <v>16449</v>
      </c>
      <c r="AS9" s="0" t="n">
        <v>0</v>
      </c>
      <c r="AT9" s="0" t="n">
        <v>0</v>
      </c>
      <c r="AU9" s="0" t="n">
        <v>64</v>
      </c>
      <c r="AV9" s="0" t="n">
        <v>0</v>
      </c>
      <c r="AW9" s="0" t="n">
        <v>35</v>
      </c>
      <c r="AX9" s="0" t="n">
        <v>0</v>
      </c>
      <c r="AY9" s="0" t="n">
        <v>16</v>
      </c>
      <c r="AZ9" s="0" t="n">
        <v>357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223</v>
      </c>
      <c r="BF9" s="0" t="n">
        <f aca="false">MAX(F9:BD9)/D9</f>
        <v>0.904954284499256</v>
      </c>
      <c r="BG9" s="0" t="n">
        <f aca="false">BF9*D9</f>
        <v>302176</v>
      </c>
    </row>
    <row r="10" customFormat="false" ht="12.75" hidden="false" customHeight="false" outlineLevel="0" collapsed="false">
      <c r="A10" s="0" t="s">
        <v>12</v>
      </c>
      <c r="B10" s="0" t="n">
        <v>609866</v>
      </c>
      <c r="C10" s="0" t="n">
        <v>303582</v>
      </c>
      <c r="D10" s="0" t="n">
        <f aca="false">SUM(F10:BD10)</f>
        <v>305807</v>
      </c>
      <c r="E10" s="0" t="n">
        <f aca="false">C10+D10+BE10</f>
        <v>609866</v>
      </c>
      <c r="F10" s="0" t="n">
        <v>17</v>
      </c>
      <c r="G10" s="0" t="n">
        <v>0</v>
      </c>
      <c r="H10" s="0" t="n">
        <v>0</v>
      </c>
      <c r="I10" s="0" t="n">
        <v>0</v>
      </c>
      <c r="J10" s="0" t="n">
        <v>202</v>
      </c>
      <c r="K10" s="0" t="n">
        <v>0</v>
      </c>
      <c r="L10" s="0" t="n">
        <v>9</v>
      </c>
      <c r="M10" s="0" t="n">
        <v>84</v>
      </c>
      <c r="N10" s="0" t="n">
        <v>236825</v>
      </c>
      <c r="O10" s="0" t="n">
        <v>22</v>
      </c>
      <c r="P10" s="0" t="n">
        <v>57</v>
      </c>
      <c r="Q10" s="0" t="n">
        <v>0</v>
      </c>
      <c r="R10" s="0" t="n">
        <v>0</v>
      </c>
      <c r="S10" s="0" t="n">
        <v>14</v>
      </c>
      <c r="T10" s="0" t="n">
        <v>67</v>
      </c>
      <c r="U10" s="0" t="n">
        <v>0</v>
      </c>
      <c r="V10" s="0" t="n">
        <v>36</v>
      </c>
      <c r="W10" s="0" t="n">
        <v>19</v>
      </c>
      <c r="X10" s="0" t="n">
        <v>15</v>
      </c>
      <c r="Y10" s="0" t="n">
        <v>36</v>
      </c>
      <c r="Z10" s="0" t="n">
        <v>37439</v>
      </c>
      <c r="AA10" s="0" t="n">
        <v>77</v>
      </c>
      <c r="AB10" s="0" t="n">
        <v>0</v>
      </c>
      <c r="AC10" s="0" t="n">
        <v>0</v>
      </c>
      <c r="AD10" s="0" t="n">
        <v>19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46</v>
      </c>
      <c r="AK10" s="0" t="n">
        <v>0</v>
      </c>
      <c r="AL10" s="0" t="n">
        <v>505</v>
      </c>
      <c r="AM10" s="0" t="n">
        <v>156</v>
      </c>
      <c r="AN10" s="0" t="n">
        <v>0</v>
      </c>
      <c r="AO10" s="0" t="n">
        <v>82</v>
      </c>
      <c r="AP10" s="0" t="n">
        <v>0</v>
      </c>
      <c r="AQ10" s="0" t="n">
        <v>0</v>
      </c>
      <c r="AR10" s="0" t="n">
        <v>407</v>
      </c>
      <c r="AS10" s="0" t="n">
        <v>0</v>
      </c>
      <c r="AT10" s="0" t="n">
        <v>0</v>
      </c>
      <c r="AU10" s="0" t="n">
        <v>14</v>
      </c>
      <c r="AV10" s="0" t="n">
        <v>0</v>
      </c>
      <c r="AW10" s="0" t="n">
        <v>82</v>
      </c>
      <c r="AX10" s="0" t="n">
        <v>0</v>
      </c>
      <c r="AY10" s="0" t="n">
        <v>0</v>
      </c>
      <c r="AZ10" s="0" t="n">
        <v>29311</v>
      </c>
      <c r="BA10" s="0" t="n">
        <v>190</v>
      </c>
      <c r="BB10" s="0" t="n">
        <v>57</v>
      </c>
      <c r="BC10" s="0" t="n">
        <v>19</v>
      </c>
      <c r="BD10" s="0" t="n">
        <v>0</v>
      </c>
      <c r="BE10" s="0" t="n">
        <v>477</v>
      </c>
      <c r="BF10" s="0" t="n">
        <f aca="false">MAX(F10:BD10)/D10</f>
        <v>0.774426353876792</v>
      </c>
      <c r="BG10" s="0" t="n">
        <f aca="false">BF10*D10</f>
        <v>236825</v>
      </c>
    </row>
    <row r="11" customFormat="false" ht="12.75" hidden="false" customHeight="false" outlineLevel="0" collapsed="false">
      <c r="A11" s="0" t="s">
        <v>13</v>
      </c>
      <c r="B11" s="0" t="n">
        <v>12922903</v>
      </c>
      <c r="C11" s="0" t="n">
        <v>7132347</v>
      </c>
      <c r="D11" s="0" t="n">
        <f aca="false">SUM(F11:BD11)</f>
        <v>5786177</v>
      </c>
      <c r="E11" s="0" t="n">
        <f aca="false">C11+D11+BE11</f>
        <v>12922903</v>
      </c>
      <c r="F11" s="0" t="n">
        <v>8557</v>
      </c>
      <c r="G11" s="0" t="n">
        <v>139</v>
      </c>
      <c r="H11" s="0" t="n">
        <v>243</v>
      </c>
      <c r="I11" s="0" t="n">
        <v>154</v>
      </c>
      <c r="J11" s="0" t="n">
        <v>2375</v>
      </c>
      <c r="K11" s="0" t="n">
        <v>727</v>
      </c>
      <c r="L11" s="0" t="n">
        <v>1139</v>
      </c>
      <c r="M11" s="0" t="n">
        <v>200</v>
      </c>
      <c r="N11" s="0" t="n">
        <v>415</v>
      </c>
      <c r="O11" s="0" t="n">
        <v>5728391</v>
      </c>
      <c r="P11" s="0" t="n">
        <v>9681</v>
      </c>
      <c r="Q11" s="0" t="n">
        <v>103</v>
      </c>
      <c r="R11" s="0" t="n">
        <v>0</v>
      </c>
      <c r="S11" s="0" t="n">
        <v>2142</v>
      </c>
      <c r="T11" s="0" t="n">
        <v>778</v>
      </c>
      <c r="U11" s="0" t="n">
        <v>187</v>
      </c>
      <c r="V11" s="0" t="n">
        <v>108</v>
      </c>
      <c r="W11" s="0" t="n">
        <v>656</v>
      </c>
      <c r="X11" s="0" t="n">
        <v>1785</v>
      </c>
      <c r="Y11" s="0" t="n">
        <v>226</v>
      </c>
      <c r="Z11" s="0" t="n">
        <v>1111</v>
      </c>
      <c r="AA11" s="0" t="n">
        <v>1441</v>
      </c>
      <c r="AB11" s="0" t="n">
        <v>1636</v>
      </c>
      <c r="AC11" s="0" t="n">
        <v>454</v>
      </c>
      <c r="AD11" s="0" t="n">
        <v>441</v>
      </c>
      <c r="AE11" s="0" t="n">
        <v>427</v>
      </c>
      <c r="AF11" s="0" t="n">
        <v>17</v>
      </c>
      <c r="AG11" s="0" t="n">
        <v>10</v>
      </c>
      <c r="AH11" s="0" t="n">
        <v>227</v>
      </c>
      <c r="AI11" s="0" t="n">
        <v>203</v>
      </c>
      <c r="AJ11" s="0" t="n">
        <v>2010</v>
      </c>
      <c r="AK11" s="0" t="n">
        <v>119</v>
      </c>
      <c r="AL11" s="0" t="n">
        <v>5596</v>
      </c>
      <c r="AM11" s="0" t="n">
        <v>2052</v>
      </c>
      <c r="AN11" s="0" t="n">
        <v>22</v>
      </c>
      <c r="AO11" s="0" t="n">
        <v>1283</v>
      </c>
      <c r="AP11" s="0" t="n">
        <v>310</v>
      </c>
      <c r="AQ11" s="0" t="n">
        <v>77</v>
      </c>
      <c r="AR11" s="0" t="n">
        <v>1785</v>
      </c>
      <c r="AS11" s="0" t="n">
        <v>215</v>
      </c>
      <c r="AT11" s="0" t="n">
        <v>0</v>
      </c>
      <c r="AU11" s="0" t="n">
        <v>1848</v>
      </c>
      <c r="AV11" s="0" t="n">
        <v>1115</v>
      </c>
      <c r="AW11" s="0" t="n">
        <v>2467</v>
      </c>
      <c r="AX11" s="0" t="n">
        <v>75</v>
      </c>
      <c r="AY11" s="0" t="n">
        <v>24</v>
      </c>
      <c r="AZ11" s="0" t="n">
        <v>2216</v>
      </c>
      <c r="BA11" s="0" t="n">
        <v>219</v>
      </c>
      <c r="BB11" s="0" t="n">
        <v>315</v>
      </c>
      <c r="BC11" s="0" t="n">
        <v>456</v>
      </c>
      <c r="BD11" s="0" t="n">
        <v>0</v>
      </c>
      <c r="BE11" s="0" t="n">
        <v>4379</v>
      </c>
      <c r="BF11" s="0" t="n">
        <f aca="false">MAX(F11:BD11)/D11</f>
        <v>0.990013095002106</v>
      </c>
      <c r="BG11" s="0" t="n">
        <f aca="false">BF11*D11</f>
        <v>5728391</v>
      </c>
    </row>
    <row r="12" customFormat="false" ht="12.75" hidden="false" customHeight="false" outlineLevel="0" collapsed="false">
      <c r="A12" s="0" t="s">
        <v>14</v>
      </c>
      <c r="B12" s="0" t="n">
        <v>6466023</v>
      </c>
      <c r="C12" s="0" t="n">
        <v>3356359</v>
      </c>
      <c r="D12" s="0" t="n">
        <f aca="false">SUM(F12:BD12)</f>
        <v>3108090</v>
      </c>
      <c r="E12" s="0" t="n">
        <f aca="false">C12+D12+BE12</f>
        <v>6466023</v>
      </c>
      <c r="F12" s="0" t="n">
        <v>8322</v>
      </c>
      <c r="G12" s="0" t="n">
        <v>45</v>
      </c>
      <c r="H12" s="0" t="n">
        <v>101</v>
      </c>
      <c r="I12" s="0" t="n">
        <v>124</v>
      </c>
      <c r="J12" s="0" t="n">
        <v>1594</v>
      </c>
      <c r="K12" s="0" t="n">
        <v>363</v>
      </c>
      <c r="L12" s="0" t="n">
        <v>70</v>
      </c>
      <c r="M12" s="0" t="n">
        <v>0</v>
      </c>
      <c r="N12" s="0" t="n">
        <v>328</v>
      </c>
      <c r="O12" s="0" t="n">
        <v>8332</v>
      </c>
      <c r="P12" s="0" t="n">
        <v>3033833</v>
      </c>
      <c r="Q12" s="0" t="n">
        <v>39</v>
      </c>
      <c r="R12" s="0" t="n">
        <v>28</v>
      </c>
      <c r="S12" s="0" t="n">
        <v>628</v>
      </c>
      <c r="T12" s="0" t="n">
        <v>204</v>
      </c>
      <c r="U12" s="0" t="n">
        <v>89</v>
      </c>
      <c r="V12" s="0" t="n">
        <v>156</v>
      </c>
      <c r="W12" s="0" t="n">
        <v>407</v>
      </c>
      <c r="X12" s="0" t="n">
        <v>435</v>
      </c>
      <c r="Y12" s="0" t="n">
        <v>67</v>
      </c>
      <c r="Z12" s="0" t="n">
        <v>659</v>
      </c>
      <c r="AA12" s="0" t="n">
        <v>230</v>
      </c>
      <c r="AB12" s="0" t="n">
        <v>443</v>
      </c>
      <c r="AC12" s="0" t="n">
        <v>188</v>
      </c>
      <c r="AD12" s="0" t="n">
        <v>444</v>
      </c>
      <c r="AE12" s="0" t="n">
        <v>355</v>
      </c>
      <c r="AF12" s="0" t="n">
        <v>0</v>
      </c>
      <c r="AG12" s="0" t="n">
        <v>92</v>
      </c>
      <c r="AH12" s="0" t="n">
        <v>42</v>
      </c>
      <c r="AI12" s="0" t="n">
        <v>90</v>
      </c>
      <c r="AJ12" s="0" t="n">
        <v>440</v>
      </c>
      <c r="AK12" s="0" t="n">
        <v>0</v>
      </c>
      <c r="AL12" s="0" t="n">
        <v>1071</v>
      </c>
      <c r="AM12" s="0" t="n">
        <v>2958</v>
      </c>
      <c r="AN12" s="0" t="n">
        <v>0</v>
      </c>
      <c r="AO12" s="0" t="n">
        <v>663</v>
      </c>
      <c r="AP12" s="0" t="n">
        <v>149</v>
      </c>
      <c r="AQ12" s="0" t="n">
        <v>36</v>
      </c>
      <c r="AR12" s="0" t="n">
        <v>489</v>
      </c>
      <c r="AS12" s="0" t="n">
        <v>31</v>
      </c>
      <c r="AT12" s="0" t="n">
        <v>58</v>
      </c>
      <c r="AU12" s="0" t="n">
        <v>17853</v>
      </c>
      <c r="AV12" s="0" t="n">
        <v>23865</v>
      </c>
      <c r="AW12" s="0" t="n">
        <v>1206</v>
      </c>
      <c r="AX12" s="0" t="n">
        <v>81</v>
      </c>
      <c r="AY12" s="0" t="n">
        <v>14</v>
      </c>
      <c r="AZ12" s="0" t="n">
        <v>1090</v>
      </c>
      <c r="BA12" s="0" t="n">
        <v>106</v>
      </c>
      <c r="BB12" s="0" t="n">
        <v>63</v>
      </c>
      <c r="BC12" s="0" t="n">
        <v>209</v>
      </c>
      <c r="BD12" s="0" t="n">
        <v>0</v>
      </c>
      <c r="BE12" s="0" t="n">
        <v>1574</v>
      </c>
      <c r="BF12" s="0" t="n">
        <f aca="false">MAX(F12:BD12)/D12</f>
        <v>0.976108478197221</v>
      </c>
      <c r="BG12" s="0" t="n">
        <f aca="false">BF12*D12</f>
        <v>3033833</v>
      </c>
    </row>
    <row r="13" customFormat="false" ht="12.75" hidden="false" customHeight="false" outlineLevel="0" collapsed="false">
      <c r="A13" s="0" t="s">
        <v>15</v>
      </c>
      <c r="B13" s="0" t="n">
        <v>1104668</v>
      </c>
      <c r="C13" s="0" t="n">
        <v>540368</v>
      </c>
      <c r="D13" s="0" t="n">
        <f aca="false">SUM(F13:BD13)</f>
        <v>562967</v>
      </c>
      <c r="E13" s="0" t="n">
        <f aca="false">C13+D13+BE13</f>
        <v>1104668</v>
      </c>
      <c r="F13" s="0" t="n">
        <v>59</v>
      </c>
      <c r="G13" s="0" t="n">
        <v>25</v>
      </c>
      <c r="H13" s="0" t="n">
        <v>142</v>
      </c>
      <c r="I13" s="0" t="n">
        <v>0</v>
      </c>
      <c r="J13" s="0" t="n">
        <v>1464</v>
      </c>
      <c r="K13" s="0" t="n">
        <v>25</v>
      </c>
      <c r="L13" s="0" t="n">
        <v>0</v>
      </c>
      <c r="M13" s="0" t="n">
        <v>0</v>
      </c>
      <c r="N13" s="0" t="n">
        <v>50</v>
      </c>
      <c r="O13" s="0" t="n">
        <v>23</v>
      </c>
      <c r="P13" s="0" t="n">
        <v>100</v>
      </c>
      <c r="Q13" s="0" t="n">
        <v>560335</v>
      </c>
      <c r="R13" s="0" t="n">
        <v>0</v>
      </c>
      <c r="S13" s="0" t="n">
        <v>62</v>
      </c>
      <c r="T13" s="0" t="n">
        <v>34</v>
      </c>
      <c r="U13" s="0" t="n">
        <v>0</v>
      </c>
      <c r="V13" s="0" t="n">
        <v>0</v>
      </c>
      <c r="W13" s="0" t="n">
        <v>0</v>
      </c>
      <c r="X13" s="0" t="n">
        <v>25</v>
      </c>
      <c r="Y13" s="0" t="n">
        <v>0</v>
      </c>
      <c r="Z13" s="0" t="n">
        <v>17</v>
      </c>
      <c r="AA13" s="0" t="n">
        <v>17</v>
      </c>
      <c r="AB13" s="0" t="n">
        <v>36</v>
      </c>
      <c r="AC13" s="0" t="n">
        <v>0</v>
      </c>
      <c r="AD13" s="0" t="n">
        <v>31</v>
      </c>
      <c r="AE13" s="0" t="n">
        <v>31</v>
      </c>
      <c r="AF13" s="0" t="n">
        <v>8</v>
      </c>
      <c r="AG13" s="0" t="n">
        <v>0</v>
      </c>
      <c r="AH13" s="0" t="n">
        <v>47</v>
      </c>
      <c r="AI13" s="0" t="n">
        <v>0</v>
      </c>
      <c r="AJ13" s="0" t="n">
        <v>84</v>
      </c>
      <c r="AK13" s="0" t="n">
        <v>0</v>
      </c>
      <c r="AL13" s="0" t="n">
        <v>44</v>
      </c>
      <c r="AM13" s="0" t="n">
        <v>34</v>
      </c>
      <c r="AN13" s="0" t="n">
        <v>0</v>
      </c>
      <c r="AO13" s="0" t="n">
        <v>33</v>
      </c>
      <c r="AP13" s="0" t="n">
        <v>8</v>
      </c>
      <c r="AQ13" s="0" t="n">
        <v>22</v>
      </c>
      <c r="AR13" s="0" t="n">
        <v>0</v>
      </c>
      <c r="AS13" s="0" t="n">
        <v>16</v>
      </c>
      <c r="AT13" s="0" t="n">
        <v>0</v>
      </c>
      <c r="AU13" s="0" t="n">
        <v>0</v>
      </c>
      <c r="AV13" s="0" t="n">
        <v>0</v>
      </c>
      <c r="AW13" s="0" t="n">
        <v>70</v>
      </c>
      <c r="AX13" s="0" t="n">
        <v>0</v>
      </c>
      <c r="AY13" s="0" t="n">
        <v>0</v>
      </c>
      <c r="AZ13" s="0" t="n">
        <v>42</v>
      </c>
      <c r="BA13" s="0" t="n">
        <v>83</v>
      </c>
      <c r="BB13" s="0" t="n">
        <v>0</v>
      </c>
      <c r="BC13" s="0" t="n">
        <v>0</v>
      </c>
      <c r="BD13" s="0" t="n">
        <v>0</v>
      </c>
      <c r="BE13" s="0" t="n">
        <v>1333</v>
      </c>
      <c r="BF13" s="0" t="n">
        <f aca="false">MAX(F13:BD13)/D13</f>
        <v>0.995324770368423</v>
      </c>
      <c r="BG13" s="0" t="n">
        <f aca="false">BF13*D13</f>
        <v>560335</v>
      </c>
    </row>
    <row r="14" customFormat="false" ht="12.75" hidden="false" customHeight="false" outlineLevel="0" collapsed="false">
      <c r="A14" s="0" t="s">
        <v>16</v>
      </c>
      <c r="B14" s="0" t="n">
        <v>990916</v>
      </c>
      <c r="C14" s="0" t="n">
        <v>557000</v>
      </c>
      <c r="D14" s="0" t="n">
        <f aca="false">SUM(F14:BD14)</f>
        <v>433860</v>
      </c>
      <c r="E14" s="0" t="n">
        <f aca="false">C14+D14+BE14</f>
        <v>990916</v>
      </c>
      <c r="F14" s="0" t="n">
        <v>0</v>
      </c>
      <c r="G14" s="0" t="n">
        <v>268</v>
      </c>
      <c r="H14" s="0" t="n">
        <v>56</v>
      </c>
      <c r="I14" s="0" t="n">
        <v>0</v>
      </c>
      <c r="J14" s="0" t="n">
        <v>928</v>
      </c>
      <c r="K14" s="0" t="n">
        <v>64</v>
      </c>
      <c r="L14" s="0" t="n">
        <v>0</v>
      </c>
      <c r="M14" s="0" t="n">
        <v>20</v>
      </c>
      <c r="N14" s="0" t="n">
        <v>36</v>
      </c>
      <c r="O14" s="0" t="n">
        <v>28</v>
      </c>
      <c r="P14" s="0" t="n">
        <v>32</v>
      </c>
      <c r="Q14" s="0" t="n">
        <v>40</v>
      </c>
      <c r="R14" s="0" t="n">
        <v>416600</v>
      </c>
      <c r="S14" s="0" t="n">
        <v>56</v>
      </c>
      <c r="T14" s="0" t="n">
        <v>12</v>
      </c>
      <c r="U14" s="0" t="n">
        <v>0</v>
      </c>
      <c r="V14" s="0" t="n">
        <v>8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32</v>
      </c>
      <c r="AB14" s="0" t="n">
        <v>48</v>
      </c>
      <c r="AC14" s="0" t="n">
        <v>16</v>
      </c>
      <c r="AD14" s="0" t="n">
        <v>0</v>
      </c>
      <c r="AE14" s="0" t="n">
        <v>4</v>
      </c>
      <c r="AF14" s="0" t="n">
        <v>336</v>
      </c>
      <c r="AG14" s="0" t="n">
        <v>32</v>
      </c>
      <c r="AH14" s="0" t="n">
        <v>724</v>
      </c>
      <c r="AI14" s="0" t="n">
        <v>0</v>
      </c>
      <c r="AJ14" s="0" t="n">
        <v>40</v>
      </c>
      <c r="AK14" s="0" t="n">
        <v>96</v>
      </c>
      <c r="AL14" s="0" t="n">
        <v>44</v>
      </c>
      <c r="AM14" s="0" t="n">
        <v>8</v>
      </c>
      <c r="AN14" s="0" t="n">
        <v>0</v>
      </c>
      <c r="AO14" s="0" t="n">
        <v>24</v>
      </c>
      <c r="AP14" s="0" t="n">
        <v>0</v>
      </c>
      <c r="AQ14" s="0" t="n">
        <v>3244</v>
      </c>
      <c r="AR14" s="0" t="n">
        <v>32</v>
      </c>
      <c r="AS14" s="0" t="n">
        <v>24</v>
      </c>
      <c r="AT14" s="0" t="n">
        <v>0</v>
      </c>
      <c r="AU14" s="0" t="n">
        <v>0</v>
      </c>
      <c r="AV14" s="0" t="n">
        <v>0</v>
      </c>
      <c r="AW14" s="0" t="n">
        <v>116</v>
      </c>
      <c r="AX14" s="0" t="n">
        <v>1792</v>
      </c>
      <c r="AY14" s="0" t="n">
        <v>0</v>
      </c>
      <c r="AZ14" s="0" t="n">
        <v>0</v>
      </c>
      <c r="BA14" s="0" t="n">
        <v>8072</v>
      </c>
      <c r="BB14" s="0" t="n">
        <v>0</v>
      </c>
      <c r="BC14" s="0" t="n">
        <v>20</v>
      </c>
      <c r="BD14" s="0" t="n">
        <v>1008</v>
      </c>
      <c r="BE14" s="0" t="n">
        <v>56</v>
      </c>
      <c r="BF14" s="0" t="n">
        <f aca="false">MAX(F14:BD14)/D14</f>
        <v>0.960217581708385</v>
      </c>
      <c r="BG14" s="0" t="n">
        <f aca="false">BF14*D14</f>
        <v>416600</v>
      </c>
    </row>
    <row r="15" customFormat="false" ht="12.75" hidden="false" customHeight="false" outlineLevel="0" collapsed="false">
      <c r="A15" s="0" t="s">
        <v>17</v>
      </c>
      <c r="B15" s="0" t="n">
        <v>11393796</v>
      </c>
      <c r="C15" s="0" t="n">
        <v>6058554</v>
      </c>
      <c r="D15" s="0" t="n">
        <f aca="false">SUM(F15:BD15)</f>
        <v>5333793</v>
      </c>
      <c r="E15" s="0" t="n">
        <f aca="false">C15+D15+BE15</f>
        <v>11393796</v>
      </c>
      <c r="F15" s="0" t="n">
        <v>270</v>
      </c>
      <c r="G15" s="0" t="n">
        <v>27</v>
      </c>
      <c r="H15" s="0" t="n">
        <v>465</v>
      </c>
      <c r="I15" s="0" t="n">
        <v>255</v>
      </c>
      <c r="J15" s="0" t="n">
        <v>2136</v>
      </c>
      <c r="K15" s="0" t="n">
        <v>285</v>
      </c>
      <c r="L15" s="0" t="n">
        <v>345</v>
      </c>
      <c r="M15" s="0" t="n">
        <v>93</v>
      </c>
      <c r="N15" s="0" t="n">
        <v>438</v>
      </c>
      <c r="O15" s="0" t="n">
        <v>1317</v>
      </c>
      <c r="P15" s="0" t="n">
        <v>780</v>
      </c>
      <c r="Q15" s="0" t="n">
        <v>192</v>
      </c>
      <c r="R15" s="0" t="n">
        <v>93</v>
      </c>
      <c r="S15" s="0" t="n">
        <v>5180802</v>
      </c>
      <c r="T15" s="0" t="n">
        <v>21624</v>
      </c>
      <c r="U15" s="0" t="n">
        <v>22707</v>
      </c>
      <c r="V15" s="0" t="n">
        <v>369</v>
      </c>
      <c r="W15" s="0" t="n">
        <v>2646</v>
      </c>
      <c r="X15" s="0" t="n">
        <v>429</v>
      </c>
      <c r="Y15" s="0" t="n">
        <v>75</v>
      </c>
      <c r="Z15" s="0" t="n">
        <v>267</v>
      </c>
      <c r="AA15" s="0" t="n">
        <v>399</v>
      </c>
      <c r="AB15" s="0" t="n">
        <v>1932</v>
      </c>
      <c r="AC15" s="0" t="n">
        <v>1002</v>
      </c>
      <c r="AD15" s="0" t="n">
        <v>258</v>
      </c>
      <c r="AE15" s="0" t="n">
        <v>76875</v>
      </c>
      <c r="AF15" s="0" t="n">
        <v>6</v>
      </c>
      <c r="AG15" s="0" t="n">
        <v>219</v>
      </c>
      <c r="AH15" s="0" t="n">
        <v>117</v>
      </c>
      <c r="AI15" s="0" t="n">
        <v>42</v>
      </c>
      <c r="AJ15" s="0" t="n">
        <v>660</v>
      </c>
      <c r="AK15" s="0" t="n">
        <v>39</v>
      </c>
      <c r="AL15" s="0" t="n">
        <v>1251</v>
      </c>
      <c r="AM15" s="0" t="n">
        <v>516</v>
      </c>
      <c r="AN15" s="0" t="n">
        <v>105</v>
      </c>
      <c r="AO15" s="0" t="n">
        <v>1620</v>
      </c>
      <c r="AP15" s="0" t="n">
        <v>189</v>
      </c>
      <c r="AQ15" s="0" t="n">
        <v>87</v>
      </c>
      <c r="AR15" s="0" t="n">
        <v>717</v>
      </c>
      <c r="AS15" s="0" t="n">
        <v>132</v>
      </c>
      <c r="AT15" s="0" t="n">
        <v>21</v>
      </c>
      <c r="AU15" s="0" t="n">
        <v>240</v>
      </c>
      <c r="AV15" s="0" t="n">
        <v>681</v>
      </c>
      <c r="AW15" s="0" t="n">
        <v>948</v>
      </c>
      <c r="AX15" s="0" t="n">
        <v>12</v>
      </c>
      <c r="AY15" s="0" t="n">
        <v>15</v>
      </c>
      <c r="AZ15" s="0" t="n">
        <v>471</v>
      </c>
      <c r="BA15" s="0" t="n">
        <v>189</v>
      </c>
      <c r="BB15" s="0" t="n">
        <v>57</v>
      </c>
      <c r="BC15" s="0" t="n">
        <v>9378</v>
      </c>
      <c r="BD15" s="0" t="n">
        <v>0</v>
      </c>
      <c r="BE15" s="0" t="n">
        <v>1449</v>
      </c>
      <c r="BF15" s="0" t="n">
        <f aca="false">MAX(F15:BD15)/D15</f>
        <v>0.971316659645397</v>
      </c>
      <c r="BG15" s="0" t="n">
        <f aca="false">BF15*D15</f>
        <v>5180802</v>
      </c>
    </row>
    <row r="16" customFormat="false" ht="12.75" hidden="false" customHeight="false" outlineLevel="0" collapsed="false">
      <c r="A16" s="0" t="s">
        <v>18</v>
      </c>
      <c r="B16" s="0" t="n">
        <v>5548329</v>
      </c>
      <c r="C16" s="0" t="n">
        <v>2965742</v>
      </c>
      <c r="D16" s="0" t="n">
        <f aca="false">SUM(F16:BD16)</f>
        <v>2582095</v>
      </c>
      <c r="E16" s="0" t="n">
        <f aca="false">C16+D16+BE16</f>
        <v>5548329</v>
      </c>
      <c r="F16" s="0" t="n">
        <v>213</v>
      </c>
      <c r="G16" s="0" t="n">
        <v>74</v>
      </c>
      <c r="H16" s="0" t="n">
        <v>206</v>
      </c>
      <c r="I16" s="0" t="n">
        <v>107</v>
      </c>
      <c r="J16" s="0" t="n">
        <v>618</v>
      </c>
      <c r="K16" s="0" t="n">
        <v>77</v>
      </c>
      <c r="L16" s="0" t="n">
        <v>93</v>
      </c>
      <c r="M16" s="0" t="n">
        <v>28</v>
      </c>
      <c r="N16" s="0" t="n">
        <v>114</v>
      </c>
      <c r="O16" s="0" t="n">
        <v>856</v>
      </c>
      <c r="P16" s="0" t="n">
        <v>299</v>
      </c>
      <c r="Q16" s="0" t="n">
        <v>37</v>
      </c>
      <c r="R16" s="0" t="n">
        <v>16</v>
      </c>
      <c r="S16" s="0" t="n">
        <v>52308</v>
      </c>
      <c r="T16" s="0" t="n">
        <v>2457406</v>
      </c>
      <c r="U16" s="0" t="n">
        <v>194</v>
      </c>
      <c r="V16" s="0" t="n">
        <v>196</v>
      </c>
      <c r="W16" s="0" t="n">
        <v>39681</v>
      </c>
      <c r="X16" s="0" t="n">
        <v>82</v>
      </c>
      <c r="Y16" s="0" t="n">
        <v>0</v>
      </c>
      <c r="Z16" s="0" t="n">
        <v>111</v>
      </c>
      <c r="AA16" s="0" t="n">
        <v>154</v>
      </c>
      <c r="AB16" s="0" t="n">
        <v>6400</v>
      </c>
      <c r="AC16" s="0" t="n">
        <v>172</v>
      </c>
      <c r="AD16" s="0" t="n">
        <v>118</v>
      </c>
      <c r="AE16" s="0" t="n">
        <v>248</v>
      </c>
      <c r="AF16" s="0" t="n">
        <v>0</v>
      </c>
      <c r="AG16" s="0" t="n">
        <v>41</v>
      </c>
      <c r="AH16" s="0" t="n">
        <v>100</v>
      </c>
      <c r="AI16" s="0" t="n">
        <v>0</v>
      </c>
      <c r="AJ16" s="0" t="n">
        <v>361</v>
      </c>
      <c r="AK16" s="0" t="n">
        <v>16</v>
      </c>
      <c r="AL16" s="0" t="n">
        <v>405</v>
      </c>
      <c r="AM16" s="0" t="n">
        <v>269</v>
      </c>
      <c r="AN16" s="0" t="n">
        <v>0</v>
      </c>
      <c r="AO16" s="0" t="n">
        <v>18508</v>
      </c>
      <c r="AP16" s="0" t="n">
        <v>55</v>
      </c>
      <c r="AQ16" s="0" t="n">
        <v>19</v>
      </c>
      <c r="AR16" s="0" t="n">
        <v>415</v>
      </c>
      <c r="AS16" s="0" t="n">
        <v>16</v>
      </c>
      <c r="AT16" s="0" t="n">
        <v>0</v>
      </c>
      <c r="AU16" s="0" t="n">
        <v>142</v>
      </c>
      <c r="AV16" s="0" t="n">
        <v>510</v>
      </c>
      <c r="AW16" s="0" t="n">
        <v>593</v>
      </c>
      <c r="AX16" s="0" t="n">
        <v>68</v>
      </c>
      <c r="AY16" s="0" t="n">
        <v>0</v>
      </c>
      <c r="AZ16" s="0" t="n">
        <v>420</v>
      </c>
      <c r="BA16" s="0" t="n">
        <v>113</v>
      </c>
      <c r="BB16" s="0" t="n">
        <v>3</v>
      </c>
      <c r="BC16" s="0" t="n">
        <v>210</v>
      </c>
      <c r="BD16" s="0" t="n">
        <v>23</v>
      </c>
      <c r="BE16" s="0" t="n">
        <v>492</v>
      </c>
      <c r="BF16" s="0" t="n">
        <f aca="false">MAX(F16:BD16)/D16</f>
        <v>0.951710142345653</v>
      </c>
      <c r="BG16" s="0" t="n">
        <f aca="false">BF16*D16</f>
        <v>2457406</v>
      </c>
    </row>
    <row r="17" customFormat="false" ht="12.75" hidden="false" customHeight="false" outlineLevel="0" collapsed="false">
      <c r="A17" s="0" t="s">
        <v>19</v>
      </c>
      <c r="B17" s="0" t="n">
        <v>2766658</v>
      </c>
      <c r="C17" s="0" t="n">
        <v>1449735</v>
      </c>
      <c r="D17" s="0" t="n">
        <f aca="false">SUM(F17:BD17)</f>
        <v>1316719</v>
      </c>
      <c r="E17" s="0" t="n">
        <f aca="false">C17+D17+BE17</f>
        <v>2766658</v>
      </c>
      <c r="F17" s="0" t="n">
        <v>47</v>
      </c>
      <c r="G17" s="0" t="n">
        <v>8</v>
      </c>
      <c r="H17" s="0" t="n">
        <v>103</v>
      </c>
      <c r="I17" s="0" t="n">
        <v>18</v>
      </c>
      <c r="J17" s="0" t="n">
        <v>378</v>
      </c>
      <c r="K17" s="0" t="n">
        <v>105</v>
      </c>
      <c r="L17" s="0" t="n">
        <v>0</v>
      </c>
      <c r="M17" s="0" t="n">
        <v>0</v>
      </c>
      <c r="N17" s="0" t="n">
        <v>26</v>
      </c>
      <c r="O17" s="0" t="n">
        <v>68</v>
      </c>
      <c r="P17" s="0" t="n">
        <v>81</v>
      </c>
      <c r="Q17" s="0" t="n">
        <v>29</v>
      </c>
      <c r="R17" s="0" t="n">
        <v>0</v>
      </c>
      <c r="S17" s="0" t="n">
        <v>20249</v>
      </c>
      <c r="T17" s="0" t="n">
        <v>204</v>
      </c>
      <c r="U17" s="0" t="n">
        <v>1260120</v>
      </c>
      <c r="V17" s="0" t="n">
        <v>332</v>
      </c>
      <c r="W17" s="0" t="n">
        <v>84</v>
      </c>
      <c r="X17" s="0" t="n">
        <v>21</v>
      </c>
      <c r="Y17" s="0" t="n">
        <v>0</v>
      </c>
      <c r="Z17" s="0" t="n">
        <v>25</v>
      </c>
      <c r="AA17" s="0" t="n">
        <v>8</v>
      </c>
      <c r="AB17" s="0" t="n">
        <v>68</v>
      </c>
      <c r="AC17" s="0" t="n">
        <v>3285</v>
      </c>
      <c r="AD17" s="0" t="n">
        <v>60</v>
      </c>
      <c r="AE17" s="0" t="n">
        <v>1100</v>
      </c>
      <c r="AF17" s="0" t="n">
        <v>0</v>
      </c>
      <c r="AG17" s="0" t="n">
        <v>25955</v>
      </c>
      <c r="AH17" s="0" t="n">
        <v>0</v>
      </c>
      <c r="AI17" s="0" t="n">
        <v>0</v>
      </c>
      <c r="AJ17" s="0" t="n">
        <v>83</v>
      </c>
      <c r="AK17" s="0" t="n">
        <v>0</v>
      </c>
      <c r="AL17" s="0" t="n">
        <v>206</v>
      </c>
      <c r="AM17" s="0" t="n">
        <v>69</v>
      </c>
      <c r="AN17" s="0" t="n">
        <v>12</v>
      </c>
      <c r="AO17" s="0" t="n">
        <v>188</v>
      </c>
      <c r="AP17" s="0" t="n">
        <v>100</v>
      </c>
      <c r="AQ17" s="0" t="n">
        <v>0</v>
      </c>
      <c r="AR17" s="0" t="n">
        <v>75</v>
      </c>
      <c r="AS17" s="0" t="n">
        <v>0</v>
      </c>
      <c r="AT17" s="0" t="n">
        <v>1726</v>
      </c>
      <c r="AU17" s="0" t="n">
        <v>50</v>
      </c>
      <c r="AV17" s="0" t="n">
        <v>150</v>
      </c>
      <c r="AW17" s="0" t="n">
        <v>315</v>
      </c>
      <c r="AX17" s="0" t="n">
        <v>34</v>
      </c>
      <c r="AY17" s="0" t="n">
        <v>0</v>
      </c>
      <c r="AZ17" s="0" t="n">
        <v>37</v>
      </c>
      <c r="BA17" s="0" t="n">
        <v>51</v>
      </c>
      <c r="BB17" s="0" t="n">
        <v>8</v>
      </c>
      <c r="BC17" s="0" t="n">
        <v>1241</v>
      </c>
      <c r="BD17" s="0" t="n">
        <v>0</v>
      </c>
      <c r="BE17" s="0" t="n">
        <v>204</v>
      </c>
      <c r="BF17" s="0" t="n">
        <f aca="false">MAX(F17:BD17)/D17</f>
        <v>0.957015126234223</v>
      </c>
      <c r="BG17" s="0" t="n">
        <f aca="false">BF17*D17</f>
        <v>1260120</v>
      </c>
    </row>
    <row r="18" customFormat="false" ht="12.75" hidden="false" customHeight="false" outlineLevel="0" collapsed="false">
      <c r="A18" s="0" t="s">
        <v>20</v>
      </c>
      <c r="B18" s="0" t="n">
        <v>2471342</v>
      </c>
      <c r="C18" s="0" t="n">
        <v>1296974</v>
      </c>
      <c r="D18" s="0" t="n">
        <f aca="false">SUM(F18:BD18)</f>
        <v>1174154</v>
      </c>
      <c r="E18" s="0" t="n">
        <f aca="false">C18+D18+BE18</f>
        <v>2471342</v>
      </c>
      <c r="F18" s="0" t="n">
        <v>99</v>
      </c>
      <c r="G18" s="0" t="n">
        <v>0</v>
      </c>
      <c r="H18" s="0" t="n">
        <v>188</v>
      </c>
      <c r="I18" s="0" t="n">
        <v>320</v>
      </c>
      <c r="J18" s="0" t="n">
        <v>337</v>
      </c>
      <c r="K18" s="0" t="n">
        <v>450</v>
      </c>
      <c r="L18" s="0" t="n">
        <v>94</v>
      </c>
      <c r="M18" s="0" t="n">
        <v>0</v>
      </c>
      <c r="N18" s="0" t="n">
        <v>26</v>
      </c>
      <c r="O18" s="0" t="n">
        <v>107</v>
      </c>
      <c r="P18" s="0" t="n">
        <v>159</v>
      </c>
      <c r="Q18" s="0" t="n">
        <v>40</v>
      </c>
      <c r="R18" s="0" t="n">
        <v>22</v>
      </c>
      <c r="S18" s="0" t="n">
        <v>385</v>
      </c>
      <c r="T18" s="0" t="n">
        <v>208</v>
      </c>
      <c r="U18" s="0" t="n">
        <v>327</v>
      </c>
      <c r="V18" s="0" t="n">
        <v>1085242</v>
      </c>
      <c r="W18" s="0" t="n">
        <v>98</v>
      </c>
      <c r="X18" s="0" t="n">
        <v>50</v>
      </c>
      <c r="Y18" s="0" t="n">
        <v>0</v>
      </c>
      <c r="Z18" s="0" t="n">
        <v>128</v>
      </c>
      <c r="AA18" s="0" t="n">
        <v>0</v>
      </c>
      <c r="AB18" s="0" t="n">
        <v>51</v>
      </c>
      <c r="AC18" s="0" t="n">
        <v>184</v>
      </c>
      <c r="AD18" s="0" t="n">
        <v>43</v>
      </c>
      <c r="AE18" s="0" t="n">
        <v>79508</v>
      </c>
      <c r="AF18" s="0" t="n">
        <v>0</v>
      </c>
      <c r="AG18" s="0" t="n">
        <v>1296</v>
      </c>
      <c r="AH18" s="0" t="n">
        <v>97</v>
      </c>
      <c r="AI18" s="0" t="n">
        <v>7</v>
      </c>
      <c r="AJ18" s="0" t="n">
        <v>72</v>
      </c>
      <c r="AK18" s="0" t="n">
        <v>36</v>
      </c>
      <c r="AL18" s="0" t="n">
        <v>75</v>
      </c>
      <c r="AM18" s="0" t="n">
        <v>191</v>
      </c>
      <c r="AN18" s="0" t="n">
        <v>58</v>
      </c>
      <c r="AO18" s="0" t="n">
        <v>47</v>
      </c>
      <c r="AP18" s="0" t="n">
        <v>2511</v>
      </c>
      <c r="AQ18" s="0" t="n">
        <v>64</v>
      </c>
      <c r="AR18" s="0" t="n">
        <v>55</v>
      </c>
      <c r="AS18" s="0" t="n">
        <v>0</v>
      </c>
      <c r="AT18" s="0" t="n">
        <v>39</v>
      </c>
      <c r="AU18" s="0" t="n">
        <v>51</v>
      </c>
      <c r="AV18" s="0" t="n">
        <v>57</v>
      </c>
      <c r="AW18" s="0" t="n">
        <v>948</v>
      </c>
      <c r="AX18" s="0" t="n">
        <v>39</v>
      </c>
      <c r="AY18" s="0" t="n">
        <v>0</v>
      </c>
      <c r="AZ18" s="0" t="n">
        <v>172</v>
      </c>
      <c r="BA18" s="0" t="n">
        <v>80</v>
      </c>
      <c r="BB18" s="0" t="n">
        <v>25</v>
      </c>
      <c r="BC18" s="0" t="n">
        <v>161</v>
      </c>
      <c r="BD18" s="0" t="n">
        <v>7</v>
      </c>
      <c r="BE18" s="0" t="n">
        <v>214</v>
      </c>
      <c r="BF18" s="0" t="n">
        <f aca="false">MAX(F18:BD18)/D18</f>
        <v>0.924275691263667</v>
      </c>
      <c r="BG18" s="0" t="n">
        <f aca="false">BF18*D18</f>
        <v>1085242</v>
      </c>
    </row>
    <row r="19" customFormat="false" ht="12.75" hidden="false" customHeight="false" outlineLevel="0" collapsed="false">
      <c r="A19" s="0" t="s">
        <v>21</v>
      </c>
      <c r="B19" s="0" t="n">
        <v>3667395</v>
      </c>
      <c r="C19" s="0" t="n">
        <v>2107119</v>
      </c>
      <c r="D19" s="0" t="n">
        <f aca="false">SUM(F19:BD19)</f>
        <v>1559792</v>
      </c>
      <c r="E19" s="0" t="n">
        <f aca="false">C19+D19+BE19</f>
        <v>3667395</v>
      </c>
      <c r="F19" s="0" t="n">
        <v>465</v>
      </c>
      <c r="G19" s="0" t="n">
        <v>0</v>
      </c>
      <c r="H19" s="0" t="n">
        <v>90</v>
      </c>
      <c r="I19" s="0" t="n">
        <v>186</v>
      </c>
      <c r="J19" s="0" t="n">
        <v>550</v>
      </c>
      <c r="K19" s="0" t="n">
        <v>364</v>
      </c>
      <c r="L19" s="0" t="n">
        <v>0</v>
      </c>
      <c r="M19" s="0" t="n">
        <v>21</v>
      </c>
      <c r="N19" s="0" t="n">
        <v>100</v>
      </c>
      <c r="O19" s="0" t="n">
        <v>775</v>
      </c>
      <c r="P19" s="0" t="n">
        <v>657</v>
      </c>
      <c r="Q19" s="0" t="n">
        <v>42</v>
      </c>
      <c r="R19" s="0" t="n">
        <v>0</v>
      </c>
      <c r="S19" s="0" t="n">
        <v>2206</v>
      </c>
      <c r="T19" s="0" t="n">
        <v>19545</v>
      </c>
      <c r="U19" s="0" t="n">
        <v>91</v>
      </c>
      <c r="V19" s="0" t="n">
        <v>101</v>
      </c>
      <c r="W19" s="0" t="n">
        <v>1455109</v>
      </c>
      <c r="X19" s="0" t="n">
        <v>128</v>
      </c>
      <c r="Y19" s="0" t="n">
        <v>0</v>
      </c>
      <c r="Z19" s="0" t="n">
        <v>140</v>
      </c>
      <c r="AA19" s="0" t="n">
        <v>36</v>
      </c>
      <c r="AB19" s="0" t="n">
        <v>247</v>
      </c>
      <c r="AC19" s="0" t="n">
        <v>79</v>
      </c>
      <c r="AD19" s="0" t="n">
        <v>101</v>
      </c>
      <c r="AE19" s="0" t="n">
        <v>604</v>
      </c>
      <c r="AF19" s="0" t="n">
        <v>0</v>
      </c>
      <c r="AG19" s="0" t="n">
        <v>0</v>
      </c>
      <c r="AH19" s="0" t="n">
        <v>72</v>
      </c>
      <c r="AI19" s="0" t="n">
        <v>18</v>
      </c>
      <c r="AJ19" s="0" t="n">
        <v>122</v>
      </c>
      <c r="AK19" s="0" t="n">
        <v>0</v>
      </c>
      <c r="AL19" s="0" t="n">
        <v>202</v>
      </c>
      <c r="AM19" s="0" t="n">
        <v>419</v>
      </c>
      <c r="AN19" s="0" t="n">
        <v>0</v>
      </c>
      <c r="AO19" s="0" t="n">
        <v>57668</v>
      </c>
      <c r="AP19" s="0" t="n">
        <v>75</v>
      </c>
      <c r="AQ19" s="0" t="n">
        <v>0</v>
      </c>
      <c r="AR19" s="0" t="n">
        <v>302</v>
      </c>
      <c r="AS19" s="0" t="n">
        <v>65</v>
      </c>
      <c r="AT19" s="0" t="n">
        <v>0</v>
      </c>
      <c r="AU19" s="0" t="n">
        <v>222</v>
      </c>
      <c r="AV19" s="0" t="n">
        <v>11897</v>
      </c>
      <c r="AW19" s="0" t="n">
        <v>449</v>
      </c>
      <c r="AX19" s="0" t="n">
        <v>79</v>
      </c>
      <c r="AY19" s="0" t="n">
        <v>0</v>
      </c>
      <c r="AZ19" s="0" t="n">
        <v>1630</v>
      </c>
      <c r="BA19" s="0" t="n">
        <v>49</v>
      </c>
      <c r="BB19" s="0" t="n">
        <v>4664</v>
      </c>
      <c r="BC19" s="0" t="n">
        <v>215</v>
      </c>
      <c r="BD19" s="0" t="n">
        <v>7</v>
      </c>
      <c r="BE19" s="0" t="n">
        <v>484</v>
      </c>
      <c r="BF19" s="0" t="n">
        <f aca="false">MAX(F19:BD19)/D19</f>
        <v>0.932886564362428</v>
      </c>
      <c r="BG19" s="0" t="n">
        <f aca="false">BF19*D19</f>
        <v>1455109</v>
      </c>
    </row>
    <row r="20" customFormat="false" ht="12.75" hidden="false" customHeight="false" outlineLevel="0" collapsed="false">
      <c r="A20" s="0" t="s">
        <v>22</v>
      </c>
      <c r="B20" s="0" t="n">
        <v>4188408</v>
      </c>
      <c r="C20" s="0" t="n">
        <v>2563518</v>
      </c>
      <c r="D20" s="0" t="n">
        <f aca="false">SUM(F20:BD20)</f>
        <v>1623594</v>
      </c>
      <c r="E20" s="0" t="n">
        <f aca="false">C20+D20+BE20</f>
        <v>4188408</v>
      </c>
      <c r="F20" s="0" t="n">
        <v>1254</v>
      </c>
      <c r="G20" s="0" t="n">
        <v>126</v>
      </c>
      <c r="H20" s="0" t="n">
        <v>141</v>
      </c>
      <c r="I20" s="0" t="n">
        <v>4014</v>
      </c>
      <c r="J20" s="0" t="n">
        <v>936</v>
      </c>
      <c r="K20" s="0" t="n">
        <v>189</v>
      </c>
      <c r="L20" s="0" t="n">
        <v>126</v>
      </c>
      <c r="M20" s="0" t="n">
        <v>0</v>
      </c>
      <c r="N20" s="0" t="n">
        <v>84</v>
      </c>
      <c r="O20" s="0" t="n">
        <v>981</v>
      </c>
      <c r="P20" s="0" t="n">
        <v>504</v>
      </c>
      <c r="Q20" s="0" t="n">
        <v>117</v>
      </c>
      <c r="R20" s="0" t="n">
        <v>0</v>
      </c>
      <c r="S20" s="0" t="n">
        <v>327</v>
      </c>
      <c r="T20" s="0" t="n">
        <v>114</v>
      </c>
      <c r="U20" s="0" t="n">
        <v>27</v>
      </c>
      <c r="V20" s="0" t="n">
        <v>0</v>
      </c>
      <c r="W20" s="0" t="n">
        <v>135</v>
      </c>
      <c r="X20" s="0" t="n">
        <v>1592430</v>
      </c>
      <c r="Y20" s="0" t="n">
        <v>18</v>
      </c>
      <c r="Z20" s="0" t="n">
        <v>63</v>
      </c>
      <c r="AA20" s="0" t="n">
        <v>75</v>
      </c>
      <c r="AB20" s="0" t="n">
        <v>162</v>
      </c>
      <c r="AC20" s="0" t="n">
        <v>54</v>
      </c>
      <c r="AD20" s="0" t="n">
        <v>7245</v>
      </c>
      <c r="AE20" s="0" t="n">
        <v>327</v>
      </c>
      <c r="AF20" s="0" t="n">
        <v>24</v>
      </c>
      <c r="AG20" s="0" t="n">
        <v>93</v>
      </c>
      <c r="AH20" s="0" t="n">
        <v>69</v>
      </c>
      <c r="AI20" s="0" t="n">
        <v>27</v>
      </c>
      <c r="AJ20" s="0" t="n">
        <v>96</v>
      </c>
      <c r="AK20" s="0" t="n">
        <v>0</v>
      </c>
      <c r="AL20" s="0" t="n">
        <v>744</v>
      </c>
      <c r="AM20" s="0" t="n">
        <v>294</v>
      </c>
      <c r="AN20" s="0" t="n">
        <v>0</v>
      </c>
      <c r="AO20" s="0" t="n">
        <v>168</v>
      </c>
      <c r="AP20" s="0" t="n">
        <v>180</v>
      </c>
      <c r="AQ20" s="0" t="n">
        <v>42</v>
      </c>
      <c r="AR20" s="0" t="n">
        <v>87</v>
      </c>
      <c r="AS20" s="0" t="n">
        <v>0</v>
      </c>
      <c r="AT20" s="0" t="n">
        <v>0</v>
      </c>
      <c r="AU20" s="0" t="n">
        <v>171</v>
      </c>
      <c r="AV20" s="0" t="n">
        <v>456</v>
      </c>
      <c r="AW20" s="0" t="n">
        <v>11211</v>
      </c>
      <c r="AX20" s="0" t="n">
        <v>6</v>
      </c>
      <c r="AY20" s="0" t="n">
        <v>0</v>
      </c>
      <c r="AZ20" s="0" t="n">
        <v>261</v>
      </c>
      <c r="BA20" s="0" t="n">
        <v>93</v>
      </c>
      <c r="BB20" s="0" t="n">
        <v>15</v>
      </c>
      <c r="BC20" s="0" t="n">
        <v>75</v>
      </c>
      <c r="BD20" s="0" t="n">
        <v>33</v>
      </c>
      <c r="BE20" s="0" t="n">
        <v>1296</v>
      </c>
      <c r="BF20" s="0" t="n">
        <f aca="false">MAX(F20:BD20)/D20</f>
        <v>0.98080554621414</v>
      </c>
      <c r="BG20" s="0" t="n">
        <f aca="false">BF20*D20</f>
        <v>1592430</v>
      </c>
    </row>
    <row r="21" customFormat="false" ht="12.75" hidden="false" customHeight="false" outlineLevel="0" collapsed="false">
      <c r="A21" s="0" t="s">
        <v>23</v>
      </c>
      <c r="B21" s="0" t="n">
        <v>1226904</v>
      </c>
      <c r="C21" s="0" t="n">
        <v>653357</v>
      </c>
      <c r="D21" s="0" t="n">
        <f aca="false">SUM(F21:BD21)</f>
        <v>573276</v>
      </c>
      <c r="E21" s="0" t="n">
        <f aca="false">C21+D21+BE21</f>
        <v>1226904</v>
      </c>
      <c r="F21" s="0" t="n">
        <v>0</v>
      </c>
      <c r="G21" s="0" t="n">
        <v>88</v>
      </c>
      <c r="H21" s="0" t="n">
        <v>0</v>
      </c>
      <c r="I21" s="0" t="n">
        <v>8</v>
      </c>
      <c r="J21" s="0" t="n">
        <v>69</v>
      </c>
      <c r="K21" s="0" t="n">
        <v>9</v>
      </c>
      <c r="L21" s="0" t="n">
        <v>251</v>
      </c>
      <c r="M21" s="0" t="n">
        <v>0</v>
      </c>
      <c r="N21" s="0" t="n">
        <v>13</v>
      </c>
      <c r="O21" s="0" t="n">
        <v>235</v>
      </c>
      <c r="P21" s="0" t="n">
        <v>106</v>
      </c>
      <c r="Q21" s="0" t="n">
        <v>26</v>
      </c>
      <c r="R21" s="0" t="n">
        <v>0</v>
      </c>
      <c r="S21" s="0" t="n">
        <v>31</v>
      </c>
      <c r="T21" s="0" t="n">
        <v>26</v>
      </c>
      <c r="U21" s="0" t="n">
        <v>0</v>
      </c>
      <c r="V21" s="0" t="n">
        <v>0</v>
      </c>
      <c r="W21" s="0" t="n">
        <v>0</v>
      </c>
      <c r="X21" s="0" t="n">
        <v>82</v>
      </c>
      <c r="Y21" s="0" t="n">
        <v>555308</v>
      </c>
      <c r="Z21" s="0" t="n">
        <v>53</v>
      </c>
      <c r="AA21" s="0" t="n">
        <v>2405</v>
      </c>
      <c r="AB21" s="0" t="n">
        <v>21</v>
      </c>
      <c r="AC21" s="0" t="n">
        <v>61</v>
      </c>
      <c r="AD21" s="0" t="n">
        <v>0</v>
      </c>
      <c r="AE21" s="0" t="n">
        <v>22</v>
      </c>
      <c r="AF21" s="0" t="n">
        <v>18</v>
      </c>
      <c r="AG21" s="0" t="n">
        <v>0</v>
      </c>
      <c r="AH21" s="0" t="n">
        <v>0</v>
      </c>
      <c r="AI21" s="0" t="n">
        <v>12967</v>
      </c>
      <c r="AJ21" s="0" t="n">
        <v>274</v>
      </c>
      <c r="AK21" s="0" t="n">
        <v>0</v>
      </c>
      <c r="AL21" s="0" t="n">
        <v>375</v>
      </c>
      <c r="AM21" s="0" t="n">
        <v>9</v>
      </c>
      <c r="AN21" s="0" t="n">
        <v>0</v>
      </c>
      <c r="AO21" s="0" t="n">
        <v>36</v>
      </c>
      <c r="AP21" s="0" t="n">
        <v>0</v>
      </c>
      <c r="AQ21" s="0" t="n">
        <v>0</v>
      </c>
      <c r="AR21" s="0" t="n">
        <v>124</v>
      </c>
      <c r="AS21" s="0" t="n">
        <v>82</v>
      </c>
      <c r="AT21" s="0" t="n">
        <v>0</v>
      </c>
      <c r="AU21" s="0" t="n">
        <v>44</v>
      </c>
      <c r="AV21" s="0" t="n">
        <v>0</v>
      </c>
      <c r="AW21" s="0" t="n">
        <v>177</v>
      </c>
      <c r="AX21" s="0" t="n">
        <v>0</v>
      </c>
      <c r="AY21" s="0" t="n">
        <v>176</v>
      </c>
      <c r="AZ21" s="0" t="n">
        <v>114</v>
      </c>
      <c r="BA21" s="0" t="n">
        <v>66</v>
      </c>
      <c r="BB21" s="0" t="n">
        <v>0</v>
      </c>
      <c r="BC21" s="0" t="n">
        <v>0</v>
      </c>
      <c r="BD21" s="0" t="n">
        <v>0</v>
      </c>
      <c r="BE21" s="0" t="n">
        <v>271</v>
      </c>
      <c r="BF21" s="0" t="n">
        <f aca="false">MAX(F21:BD21)/D21</f>
        <v>0.968657330849364</v>
      </c>
      <c r="BG21" s="0" t="n">
        <f aca="false">BF21*D21</f>
        <v>555308</v>
      </c>
    </row>
    <row r="22" customFormat="false" ht="12.75" hidden="false" customHeight="false" outlineLevel="0" collapsed="false">
      <c r="A22" s="0" t="s">
        <v>24</v>
      </c>
      <c r="B22" s="0" t="n">
        <v>4780796</v>
      </c>
      <c r="C22" s="0" t="n">
        <v>2304040</v>
      </c>
      <c r="D22" s="0" t="n">
        <f aca="false">SUM(F22:BD22)</f>
        <v>2475649</v>
      </c>
      <c r="E22" s="0" t="n">
        <f aca="false">C22+D22+BE22</f>
        <v>4780796</v>
      </c>
      <c r="F22" s="0" t="n">
        <v>272</v>
      </c>
      <c r="G22" s="0" t="n">
        <v>26</v>
      </c>
      <c r="H22" s="0" t="n">
        <v>107</v>
      </c>
      <c r="I22" s="0" t="n">
        <v>14</v>
      </c>
      <c r="J22" s="0" t="n">
        <v>922</v>
      </c>
      <c r="K22" s="0" t="n">
        <v>199</v>
      </c>
      <c r="L22" s="0" t="n">
        <v>174</v>
      </c>
      <c r="M22" s="0" t="n">
        <v>18852</v>
      </c>
      <c r="N22" s="0" t="n">
        <v>290836</v>
      </c>
      <c r="O22" s="0" t="n">
        <v>1080</v>
      </c>
      <c r="P22" s="0" t="n">
        <v>525</v>
      </c>
      <c r="Q22" s="0" t="n">
        <v>101</v>
      </c>
      <c r="R22" s="0" t="n">
        <v>14</v>
      </c>
      <c r="S22" s="0" t="n">
        <v>380</v>
      </c>
      <c r="T22" s="0" t="n">
        <v>111</v>
      </c>
      <c r="U22" s="0" t="n">
        <v>20</v>
      </c>
      <c r="V22" s="0" t="n">
        <v>40</v>
      </c>
      <c r="W22" s="0" t="n">
        <v>92</v>
      </c>
      <c r="X22" s="0" t="n">
        <v>103</v>
      </c>
      <c r="Y22" s="0" t="n">
        <v>104</v>
      </c>
      <c r="Z22" s="0" t="n">
        <v>2046451</v>
      </c>
      <c r="AA22" s="0" t="n">
        <v>289</v>
      </c>
      <c r="AB22" s="0" t="n">
        <v>300</v>
      </c>
      <c r="AC22" s="0" t="n">
        <v>131</v>
      </c>
      <c r="AD22" s="0" t="n">
        <v>48</v>
      </c>
      <c r="AE22" s="0" t="n">
        <v>108</v>
      </c>
      <c r="AF22" s="0" t="n">
        <v>0</v>
      </c>
      <c r="AG22" s="0" t="n">
        <v>80</v>
      </c>
      <c r="AH22" s="0" t="n">
        <v>31</v>
      </c>
      <c r="AI22" s="0" t="n">
        <v>73</v>
      </c>
      <c r="AJ22" s="0" t="n">
        <v>1710</v>
      </c>
      <c r="AK22" s="0" t="n">
        <v>17</v>
      </c>
      <c r="AL22" s="0" t="n">
        <v>1568</v>
      </c>
      <c r="AM22" s="0" t="n">
        <v>697</v>
      </c>
      <c r="AN22" s="0" t="n">
        <v>0</v>
      </c>
      <c r="AO22" s="0" t="n">
        <v>213</v>
      </c>
      <c r="AP22" s="0" t="n">
        <v>29</v>
      </c>
      <c r="AQ22" s="0" t="n">
        <v>93</v>
      </c>
      <c r="AR22" s="0" t="n">
        <v>9756</v>
      </c>
      <c r="AS22" s="0" t="n">
        <v>45</v>
      </c>
      <c r="AT22" s="0" t="n">
        <v>0</v>
      </c>
      <c r="AU22" s="0" t="n">
        <v>284</v>
      </c>
      <c r="AV22" s="0" t="n">
        <v>174</v>
      </c>
      <c r="AW22" s="0" t="n">
        <v>501</v>
      </c>
      <c r="AX22" s="0" t="n">
        <v>51</v>
      </c>
      <c r="AY22" s="0" t="n">
        <v>73</v>
      </c>
      <c r="AZ22" s="0" t="n">
        <v>94756</v>
      </c>
      <c r="BA22" s="0" t="n">
        <v>121</v>
      </c>
      <c r="BB22" s="0" t="n">
        <v>3931</v>
      </c>
      <c r="BC22" s="0" t="n">
        <v>147</v>
      </c>
      <c r="BD22" s="0" t="n">
        <v>0</v>
      </c>
      <c r="BE22" s="0" t="n">
        <v>1107</v>
      </c>
      <c r="BF22" s="0" t="n">
        <f aca="false">MAX(F22:BD22)/D22</f>
        <v>0.826632127575436</v>
      </c>
      <c r="BG22" s="0" t="n">
        <f aca="false">BF22*D22</f>
        <v>2046451</v>
      </c>
    </row>
    <row r="23" customFormat="false" ht="12.75" hidden="false" customHeight="false" outlineLevel="0" collapsed="false">
      <c r="A23" s="0" t="s">
        <v>25</v>
      </c>
      <c r="B23" s="0" t="n">
        <v>6015898</v>
      </c>
      <c r="C23" s="0" t="n">
        <v>3031218</v>
      </c>
      <c r="D23" s="0" t="n">
        <f aca="false">SUM(F23:BD23)</f>
        <v>2983607</v>
      </c>
      <c r="E23" s="0" t="n">
        <f aca="false">C23+D23+BE23</f>
        <v>6015898</v>
      </c>
      <c r="F23" s="0" t="n">
        <v>283</v>
      </c>
      <c r="G23" s="0" t="n">
        <v>0</v>
      </c>
      <c r="H23" s="0" t="n">
        <v>168</v>
      </c>
      <c r="I23" s="0" t="n">
        <v>0</v>
      </c>
      <c r="J23" s="0" t="n">
        <v>1104</v>
      </c>
      <c r="K23" s="0" t="n">
        <v>272</v>
      </c>
      <c r="L23" s="0" t="n">
        <v>27399</v>
      </c>
      <c r="M23" s="0" t="n">
        <v>31</v>
      </c>
      <c r="N23" s="0" t="n">
        <v>473</v>
      </c>
      <c r="O23" s="0" t="n">
        <v>1025</v>
      </c>
      <c r="P23" s="0" t="n">
        <v>269</v>
      </c>
      <c r="Q23" s="0" t="n">
        <v>67</v>
      </c>
      <c r="R23" s="0" t="n">
        <v>0</v>
      </c>
      <c r="S23" s="0" t="n">
        <v>341</v>
      </c>
      <c r="T23" s="0" t="n">
        <v>102</v>
      </c>
      <c r="U23" s="0" t="n">
        <v>0</v>
      </c>
      <c r="V23" s="0" t="n">
        <v>18</v>
      </c>
      <c r="W23" s="0" t="n">
        <v>117</v>
      </c>
      <c r="X23" s="0" t="n">
        <v>128</v>
      </c>
      <c r="Y23" s="0" t="n">
        <v>1484</v>
      </c>
      <c r="Z23" s="0" t="n">
        <v>516</v>
      </c>
      <c r="AA23" s="0" t="n">
        <v>2891207</v>
      </c>
      <c r="AB23" s="0" t="n">
        <v>131</v>
      </c>
      <c r="AC23" s="0" t="n">
        <v>122</v>
      </c>
      <c r="AD23" s="0" t="n">
        <v>46</v>
      </c>
      <c r="AE23" s="0" t="n">
        <v>120</v>
      </c>
      <c r="AF23" s="0" t="n">
        <v>0</v>
      </c>
      <c r="AG23" s="0" t="n">
        <v>0</v>
      </c>
      <c r="AH23" s="0" t="n">
        <v>40</v>
      </c>
      <c r="AI23" s="0" t="n">
        <v>18364</v>
      </c>
      <c r="AJ23" s="0" t="n">
        <v>1059</v>
      </c>
      <c r="AK23" s="0" t="n">
        <v>21</v>
      </c>
      <c r="AL23" s="0" t="n">
        <v>4911</v>
      </c>
      <c r="AM23" s="0" t="n">
        <v>368</v>
      </c>
      <c r="AN23" s="0" t="n">
        <v>0</v>
      </c>
      <c r="AO23" s="0" t="n">
        <v>335</v>
      </c>
      <c r="AP23" s="0" t="n">
        <v>16</v>
      </c>
      <c r="AQ23" s="0" t="n">
        <v>39</v>
      </c>
      <c r="AR23" s="0" t="n">
        <v>702</v>
      </c>
      <c r="AS23" s="0" t="n">
        <v>29042</v>
      </c>
      <c r="AT23" s="0" t="n">
        <v>0</v>
      </c>
      <c r="AU23" s="0" t="n">
        <v>221</v>
      </c>
      <c r="AV23" s="0" t="n">
        <v>93</v>
      </c>
      <c r="AW23" s="0" t="n">
        <v>706</v>
      </c>
      <c r="AX23" s="0" t="n">
        <v>23</v>
      </c>
      <c r="AY23" s="0" t="n">
        <v>1496</v>
      </c>
      <c r="AZ23" s="0" t="n">
        <v>601</v>
      </c>
      <c r="BA23" s="0" t="n">
        <v>69</v>
      </c>
      <c r="BB23" s="0" t="n">
        <v>0</v>
      </c>
      <c r="BC23" s="0" t="n">
        <v>57</v>
      </c>
      <c r="BD23" s="0" t="n">
        <v>21</v>
      </c>
      <c r="BE23" s="0" t="n">
        <v>1073</v>
      </c>
      <c r="BF23" s="0" t="n">
        <f aca="false">MAX(F23:BD23)/D23</f>
        <v>0.969030773825105</v>
      </c>
      <c r="BG23" s="0" t="n">
        <f aca="false">BF23*D23</f>
        <v>2891207</v>
      </c>
    </row>
    <row r="24" customFormat="false" ht="12.75" hidden="false" customHeight="false" outlineLevel="0" collapsed="false">
      <c r="A24" s="0" t="s">
        <v>26</v>
      </c>
      <c r="B24" s="0" t="n">
        <v>9284810</v>
      </c>
      <c r="C24" s="0" t="n">
        <v>5196906</v>
      </c>
      <c r="D24" s="0" t="n">
        <f aca="false">SUM(F24:BD24)</f>
        <v>4086456</v>
      </c>
      <c r="E24" s="0" t="n">
        <f aca="false">C24+D24+BE24</f>
        <v>9284810</v>
      </c>
      <c r="F24" s="0" t="n">
        <v>220</v>
      </c>
      <c r="G24" s="0" t="n">
        <v>87</v>
      </c>
      <c r="H24" s="0" t="n">
        <v>314</v>
      </c>
      <c r="I24" s="0" t="n">
        <v>83</v>
      </c>
      <c r="J24" s="0" t="n">
        <v>1572</v>
      </c>
      <c r="K24" s="0" t="n">
        <v>129</v>
      </c>
      <c r="L24" s="0" t="n">
        <v>121</v>
      </c>
      <c r="M24" s="0" t="n">
        <v>38</v>
      </c>
      <c r="N24" s="0" t="n">
        <v>268</v>
      </c>
      <c r="O24" s="0" t="n">
        <v>1421</v>
      </c>
      <c r="P24" s="0" t="n">
        <v>387</v>
      </c>
      <c r="Q24" s="0" t="n">
        <v>110</v>
      </c>
      <c r="R24" s="0" t="n">
        <v>45</v>
      </c>
      <c r="S24" s="0" t="n">
        <v>3487</v>
      </c>
      <c r="T24" s="0" t="n">
        <v>20228</v>
      </c>
      <c r="U24" s="0" t="n">
        <v>123</v>
      </c>
      <c r="V24" s="0" t="n">
        <v>151</v>
      </c>
      <c r="W24" s="0" t="n">
        <v>326</v>
      </c>
      <c r="X24" s="0" t="n">
        <v>57</v>
      </c>
      <c r="Y24" s="0" t="n">
        <v>0</v>
      </c>
      <c r="Z24" s="0" t="n">
        <v>235</v>
      </c>
      <c r="AA24" s="0" t="n">
        <v>241</v>
      </c>
      <c r="AB24" s="0" t="n">
        <v>4025505</v>
      </c>
      <c r="AC24" s="0" t="n">
        <v>624</v>
      </c>
      <c r="AD24" s="0" t="n">
        <v>43</v>
      </c>
      <c r="AE24" s="0" t="n">
        <v>409</v>
      </c>
      <c r="AF24" s="0" t="n">
        <v>0</v>
      </c>
      <c r="AG24" s="0" t="n">
        <v>118</v>
      </c>
      <c r="AH24" s="0" t="n">
        <v>56</v>
      </c>
      <c r="AI24" s="0" t="n">
        <v>0</v>
      </c>
      <c r="AJ24" s="0" t="n">
        <v>337</v>
      </c>
      <c r="AK24" s="0" t="n">
        <v>49</v>
      </c>
      <c r="AL24" s="0" t="n">
        <v>835</v>
      </c>
      <c r="AM24" s="0" t="n">
        <v>328</v>
      </c>
      <c r="AN24" s="0" t="n">
        <v>27</v>
      </c>
      <c r="AO24" s="0" t="n">
        <v>20259</v>
      </c>
      <c r="AP24" s="0" t="n">
        <v>117</v>
      </c>
      <c r="AQ24" s="0" t="n">
        <v>38</v>
      </c>
      <c r="AR24" s="0" t="n">
        <v>507</v>
      </c>
      <c r="AS24" s="0" t="n">
        <v>54</v>
      </c>
      <c r="AT24" s="0" t="n">
        <v>0</v>
      </c>
      <c r="AU24" s="0" t="n">
        <v>228</v>
      </c>
      <c r="AV24" s="0" t="n">
        <v>547</v>
      </c>
      <c r="AW24" s="0" t="n">
        <v>893</v>
      </c>
      <c r="AX24" s="0" t="n">
        <v>35</v>
      </c>
      <c r="AY24" s="0" t="n">
        <v>20</v>
      </c>
      <c r="AZ24" s="0" t="n">
        <v>411</v>
      </c>
      <c r="BA24" s="0" t="n">
        <v>161</v>
      </c>
      <c r="BB24" s="0" t="n">
        <v>42</v>
      </c>
      <c r="BC24" s="0" t="n">
        <v>5155</v>
      </c>
      <c r="BD24" s="0" t="n">
        <v>15</v>
      </c>
      <c r="BE24" s="0" t="n">
        <v>1448</v>
      </c>
      <c r="BF24" s="0" t="n">
        <f aca="false">MAX(F24:BD24)/D24</f>
        <v>0.985084630790103</v>
      </c>
      <c r="BG24" s="0" t="n">
        <f aca="false">BF24*D24</f>
        <v>4025505</v>
      </c>
    </row>
    <row r="25" customFormat="false" ht="12.75" hidden="false" customHeight="false" outlineLevel="0" collapsed="false">
      <c r="A25" s="0" t="s">
        <v>27</v>
      </c>
      <c r="B25" s="0" t="n">
        <v>4366568</v>
      </c>
      <c r="C25" s="0" t="n">
        <v>2207656</v>
      </c>
      <c r="D25" s="0" t="n">
        <f aca="false">SUM(F25:BD25)</f>
        <v>2158427</v>
      </c>
      <c r="E25" s="0" t="n">
        <f aca="false">C25+D25+BE25</f>
        <v>4366568</v>
      </c>
      <c r="F25" s="0" t="n">
        <v>123</v>
      </c>
      <c r="G25" s="0" t="n">
        <v>0</v>
      </c>
      <c r="H25" s="0" t="n">
        <v>119</v>
      </c>
      <c r="I25" s="0" t="n">
        <v>55</v>
      </c>
      <c r="J25" s="0" t="n">
        <v>922</v>
      </c>
      <c r="K25" s="0" t="n">
        <v>215</v>
      </c>
      <c r="L25" s="0" t="n">
        <v>61</v>
      </c>
      <c r="M25" s="0" t="n">
        <v>0</v>
      </c>
      <c r="N25" s="0" t="n">
        <v>46</v>
      </c>
      <c r="O25" s="0" t="n">
        <v>608</v>
      </c>
      <c r="P25" s="0" t="n">
        <v>88</v>
      </c>
      <c r="Q25" s="0" t="n">
        <v>36</v>
      </c>
      <c r="R25" s="0" t="n">
        <v>0</v>
      </c>
      <c r="S25" s="0" t="n">
        <v>1498</v>
      </c>
      <c r="T25" s="0" t="n">
        <v>65</v>
      </c>
      <c r="U25" s="0" t="n">
        <v>2601</v>
      </c>
      <c r="V25" s="0" t="n">
        <v>97</v>
      </c>
      <c r="W25" s="0" t="n">
        <v>128</v>
      </c>
      <c r="X25" s="0" t="n">
        <v>32</v>
      </c>
      <c r="Y25" s="0" t="n">
        <v>0</v>
      </c>
      <c r="Z25" s="0" t="n">
        <v>9</v>
      </c>
      <c r="AA25" s="0" t="n">
        <v>199</v>
      </c>
      <c r="AB25" s="0" t="n">
        <v>462</v>
      </c>
      <c r="AC25" s="0" t="n">
        <v>2120206</v>
      </c>
      <c r="AD25" s="0" t="n">
        <v>23</v>
      </c>
      <c r="AE25" s="0" t="n">
        <v>347</v>
      </c>
      <c r="AF25" s="0" t="n">
        <v>102</v>
      </c>
      <c r="AG25" s="0" t="n">
        <v>256</v>
      </c>
      <c r="AH25" s="0" t="n">
        <v>78</v>
      </c>
      <c r="AI25" s="0" t="n">
        <v>9</v>
      </c>
      <c r="AJ25" s="0" t="n">
        <v>89</v>
      </c>
      <c r="AK25" s="0" t="n">
        <v>119</v>
      </c>
      <c r="AL25" s="0" t="n">
        <v>380</v>
      </c>
      <c r="AM25" s="0" t="n">
        <v>110</v>
      </c>
      <c r="AN25" s="0" t="n">
        <v>15425</v>
      </c>
      <c r="AO25" s="0" t="n">
        <v>206</v>
      </c>
      <c r="AP25" s="0" t="n">
        <v>37</v>
      </c>
      <c r="AQ25" s="0" t="n">
        <v>106</v>
      </c>
      <c r="AR25" s="0" t="n">
        <v>368</v>
      </c>
      <c r="AS25" s="0" t="n">
        <v>0</v>
      </c>
      <c r="AT25" s="0" t="n">
        <v>1785</v>
      </c>
      <c r="AU25" s="0" t="n">
        <v>116</v>
      </c>
      <c r="AV25" s="0" t="n">
        <v>41</v>
      </c>
      <c r="AW25" s="0" t="n">
        <v>370</v>
      </c>
      <c r="AX25" s="0" t="n">
        <v>105</v>
      </c>
      <c r="AY25" s="0" t="n">
        <v>0</v>
      </c>
      <c r="AZ25" s="0" t="n">
        <v>170</v>
      </c>
      <c r="BA25" s="0" t="n">
        <v>162</v>
      </c>
      <c r="BB25" s="0" t="n">
        <v>9</v>
      </c>
      <c r="BC25" s="0" t="n">
        <v>10361</v>
      </c>
      <c r="BD25" s="0" t="n">
        <v>83</v>
      </c>
      <c r="BE25" s="0" t="n">
        <v>485</v>
      </c>
      <c r="BF25" s="0" t="n">
        <f aca="false">MAX(F25:BD25)/D25</f>
        <v>0.982292197049055</v>
      </c>
      <c r="BG25" s="0" t="n">
        <f aca="false">BF25*D25</f>
        <v>2120206</v>
      </c>
    </row>
    <row r="26" customFormat="false" ht="12.75" hidden="false" customHeight="false" outlineLevel="0" collapsed="false">
      <c r="A26" s="0" t="s">
        <v>28</v>
      </c>
      <c r="B26" s="0" t="n">
        <v>2560194</v>
      </c>
      <c r="C26" s="0" t="n">
        <v>1537800</v>
      </c>
      <c r="D26" s="0" t="n">
        <f aca="false">SUM(F26:BD26)</f>
        <v>1021722</v>
      </c>
      <c r="E26" s="0" t="n">
        <f aca="false">C26+D26+BE26</f>
        <v>2560194</v>
      </c>
      <c r="F26" s="0" t="n">
        <v>7152</v>
      </c>
      <c r="G26" s="0" t="n">
        <v>90</v>
      </c>
      <c r="H26" s="0" t="n">
        <v>165</v>
      </c>
      <c r="I26" s="0" t="n">
        <v>747</v>
      </c>
      <c r="J26" s="0" t="n">
        <v>225</v>
      </c>
      <c r="K26" s="0" t="n">
        <v>39</v>
      </c>
      <c r="L26" s="0" t="n">
        <v>9</v>
      </c>
      <c r="M26" s="0" t="n">
        <v>0</v>
      </c>
      <c r="N26" s="0" t="n">
        <v>81</v>
      </c>
      <c r="O26" s="0" t="n">
        <v>666</v>
      </c>
      <c r="P26" s="0" t="n">
        <v>747</v>
      </c>
      <c r="Q26" s="0" t="n">
        <v>45</v>
      </c>
      <c r="R26" s="0" t="n">
        <v>0</v>
      </c>
      <c r="S26" s="0" t="n">
        <v>384</v>
      </c>
      <c r="T26" s="0" t="n">
        <v>123</v>
      </c>
      <c r="U26" s="0" t="n">
        <v>33</v>
      </c>
      <c r="V26" s="0" t="n">
        <v>45</v>
      </c>
      <c r="W26" s="0" t="n">
        <v>138</v>
      </c>
      <c r="X26" s="0" t="n">
        <v>15159</v>
      </c>
      <c r="Y26" s="0" t="n">
        <v>42</v>
      </c>
      <c r="Z26" s="0" t="n">
        <v>21</v>
      </c>
      <c r="AA26" s="0" t="n">
        <v>42</v>
      </c>
      <c r="AB26" s="0" t="n">
        <v>69</v>
      </c>
      <c r="AC26" s="0" t="n">
        <v>75</v>
      </c>
      <c r="AD26" s="0" t="n">
        <v>961746</v>
      </c>
      <c r="AE26" s="0" t="n">
        <v>180</v>
      </c>
      <c r="AF26" s="0" t="n">
        <v>0</v>
      </c>
      <c r="AG26" s="0" t="n">
        <v>0</v>
      </c>
      <c r="AH26" s="0" t="n">
        <v>6</v>
      </c>
      <c r="AI26" s="0" t="n">
        <v>0</v>
      </c>
      <c r="AJ26" s="0" t="n">
        <v>33</v>
      </c>
      <c r="AK26" s="0" t="n">
        <v>42</v>
      </c>
      <c r="AL26" s="0" t="n">
        <v>138</v>
      </c>
      <c r="AM26" s="0" t="n">
        <v>342</v>
      </c>
      <c r="AN26" s="0" t="n">
        <v>0</v>
      </c>
      <c r="AO26" s="0" t="n">
        <v>72</v>
      </c>
      <c r="AP26" s="0" t="n">
        <v>90</v>
      </c>
      <c r="AQ26" s="0" t="n">
        <v>30</v>
      </c>
      <c r="AR26" s="0" t="n">
        <v>42</v>
      </c>
      <c r="AS26" s="0" t="n">
        <v>27</v>
      </c>
      <c r="AT26" s="0" t="n">
        <v>0</v>
      </c>
      <c r="AU26" s="0" t="n">
        <v>288</v>
      </c>
      <c r="AV26" s="0" t="n">
        <v>29922</v>
      </c>
      <c r="AW26" s="0" t="n">
        <v>2340</v>
      </c>
      <c r="AX26" s="0" t="n">
        <v>27</v>
      </c>
      <c r="AY26" s="0" t="n">
        <v>0</v>
      </c>
      <c r="AZ26" s="0" t="n">
        <v>147</v>
      </c>
      <c r="BA26" s="0" t="n">
        <v>33</v>
      </c>
      <c r="BB26" s="0" t="n">
        <v>30</v>
      </c>
      <c r="BC26" s="0" t="n">
        <v>90</v>
      </c>
      <c r="BD26" s="0" t="n">
        <v>0</v>
      </c>
      <c r="BE26" s="0" t="n">
        <v>672</v>
      </c>
      <c r="BF26" s="0" t="n">
        <f aca="false">MAX(F26:BD26)/D26</f>
        <v>0.941299100929607</v>
      </c>
      <c r="BG26" s="0" t="n">
        <f aca="false">BF26*D26</f>
        <v>961746</v>
      </c>
    </row>
    <row r="27" customFormat="false" ht="12.75" hidden="false" customHeight="false" outlineLevel="0" collapsed="false">
      <c r="A27" s="0" t="s">
        <v>29</v>
      </c>
      <c r="B27" s="0" t="n">
        <v>5101921</v>
      </c>
      <c r="C27" s="0" t="n">
        <v>2763262</v>
      </c>
      <c r="D27" s="0" t="n">
        <f aca="false">SUM(F27:BD27)</f>
        <v>2337818</v>
      </c>
      <c r="E27" s="0" t="n">
        <f aca="false">C27+D27+BE27</f>
        <v>5101921</v>
      </c>
      <c r="F27" s="0" t="n">
        <v>201</v>
      </c>
      <c r="G27" s="0" t="n">
        <v>24</v>
      </c>
      <c r="H27" s="0" t="n">
        <v>144</v>
      </c>
      <c r="I27" s="0" t="n">
        <v>6516</v>
      </c>
      <c r="J27" s="0" t="n">
        <v>976</v>
      </c>
      <c r="K27" s="0" t="n">
        <v>289</v>
      </c>
      <c r="L27" s="0" t="n">
        <v>130</v>
      </c>
      <c r="M27" s="0" t="n">
        <v>0</v>
      </c>
      <c r="N27" s="0" t="n">
        <v>173</v>
      </c>
      <c r="O27" s="0" t="n">
        <v>445</v>
      </c>
      <c r="P27" s="0" t="n">
        <v>285</v>
      </c>
      <c r="Q27" s="0" t="n">
        <v>61</v>
      </c>
      <c r="R27" s="0" t="n">
        <v>0</v>
      </c>
      <c r="S27" s="0" t="n">
        <v>18813</v>
      </c>
      <c r="T27" s="0" t="n">
        <v>434</v>
      </c>
      <c r="U27" s="0" t="n">
        <v>3718</v>
      </c>
      <c r="V27" s="0" t="n">
        <v>71061</v>
      </c>
      <c r="W27" s="0" t="n">
        <v>627</v>
      </c>
      <c r="X27" s="0" t="n">
        <v>287</v>
      </c>
      <c r="Y27" s="0" t="n">
        <v>92</v>
      </c>
      <c r="Z27" s="0" t="n">
        <v>108</v>
      </c>
      <c r="AA27" s="0" t="n">
        <v>79</v>
      </c>
      <c r="AB27" s="0" t="n">
        <v>359</v>
      </c>
      <c r="AC27" s="0" t="n">
        <v>343</v>
      </c>
      <c r="AD27" s="0" t="n">
        <v>99</v>
      </c>
      <c r="AE27" s="0" t="n">
        <v>2225682</v>
      </c>
      <c r="AF27" s="0" t="n">
        <v>24</v>
      </c>
      <c r="AG27" s="0" t="n">
        <v>670</v>
      </c>
      <c r="AH27" s="0" t="n">
        <v>58</v>
      </c>
      <c r="AI27" s="0" t="n">
        <v>37</v>
      </c>
      <c r="AJ27" s="0" t="n">
        <v>256</v>
      </c>
      <c r="AK27" s="0" t="n">
        <v>51</v>
      </c>
      <c r="AL27" s="0" t="n">
        <v>315</v>
      </c>
      <c r="AM27" s="0" t="n">
        <v>133</v>
      </c>
      <c r="AN27" s="0" t="n">
        <v>105</v>
      </c>
      <c r="AO27" s="0" t="n">
        <v>480</v>
      </c>
      <c r="AP27" s="0" t="n">
        <v>1016</v>
      </c>
      <c r="AQ27" s="0" t="n">
        <v>27</v>
      </c>
      <c r="AR27" s="0" t="n">
        <v>434</v>
      </c>
      <c r="AS27" s="0" t="n">
        <v>7</v>
      </c>
      <c r="AT27" s="0" t="n">
        <v>0</v>
      </c>
      <c r="AU27" s="0" t="n">
        <v>166</v>
      </c>
      <c r="AV27" s="0" t="n">
        <v>878</v>
      </c>
      <c r="AW27" s="0" t="n">
        <v>1484</v>
      </c>
      <c r="AX27" s="0" t="n">
        <v>27</v>
      </c>
      <c r="AY27" s="0" t="n">
        <v>0</v>
      </c>
      <c r="AZ27" s="0" t="n">
        <v>241</v>
      </c>
      <c r="BA27" s="0" t="n">
        <v>114</v>
      </c>
      <c r="BB27" s="0" t="n">
        <v>0</v>
      </c>
      <c r="BC27" s="0" t="n">
        <v>318</v>
      </c>
      <c r="BD27" s="0" t="n">
        <v>31</v>
      </c>
      <c r="BE27" s="0" t="n">
        <v>841</v>
      </c>
      <c r="BF27" s="0" t="n">
        <f aca="false">MAX(F27:BD27)/D27</f>
        <v>0.952033905120074</v>
      </c>
      <c r="BG27" s="0" t="n">
        <f aca="false">BF27*D27</f>
        <v>2225682</v>
      </c>
    </row>
    <row r="28" customFormat="false" ht="12.75" hidden="false" customHeight="false" outlineLevel="0" collapsed="false">
      <c r="A28" s="0" t="s">
        <v>30</v>
      </c>
      <c r="B28" s="0" t="n">
        <v>796317</v>
      </c>
      <c r="C28" s="0" t="n">
        <v>446885</v>
      </c>
      <c r="D28" s="0" t="n">
        <f aca="false">SUM(F28:BD28)</f>
        <v>349367</v>
      </c>
      <c r="E28" s="0" t="n">
        <f aca="false">C28+D28+BE28</f>
        <v>796317</v>
      </c>
      <c r="F28" s="0" t="n">
        <v>27</v>
      </c>
      <c r="G28" s="0" t="n">
        <v>171</v>
      </c>
      <c r="H28" s="0" t="n">
        <v>201</v>
      </c>
      <c r="I28" s="0" t="n">
        <v>0</v>
      </c>
      <c r="J28" s="0" t="n">
        <v>602</v>
      </c>
      <c r="K28" s="0" t="n">
        <v>34</v>
      </c>
      <c r="L28" s="0" t="n">
        <v>23</v>
      </c>
      <c r="M28" s="0" t="n">
        <v>0</v>
      </c>
      <c r="N28" s="0" t="n">
        <v>22</v>
      </c>
      <c r="O28" s="0" t="n">
        <v>58</v>
      </c>
      <c r="P28" s="0" t="n">
        <v>105</v>
      </c>
      <c r="Q28" s="0" t="n">
        <v>0</v>
      </c>
      <c r="R28" s="0" t="n">
        <v>353</v>
      </c>
      <c r="S28" s="0" t="n">
        <v>29</v>
      </c>
      <c r="T28" s="0" t="n">
        <v>0</v>
      </c>
      <c r="U28" s="0" t="n">
        <v>0</v>
      </c>
      <c r="V28" s="0" t="n">
        <v>38</v>
      </c>
      <c r="W28" s="0" t="n">
        <v>69</v>
      </c>
      <c r="X28" s="0" t="n">
        <v>0</v>
      </c>
      <c r="Y28" s="0" t="n">
        <v>0</v>
      </c>
      <c r="Z28" s="0" t="n">
        <v>0</v>
      </c>
      <c r="AA28" s="0" t="n">
        <v>38</v>
      </c>
      <c r="AB28" s="0" t="n">
        <v>0</v>
      </c>
      <c r="AC28" s="0" t="n">
        <v>88</v>
      </c>
      <c r="AD28" s="0" t="n">
        <v>0</v>
      </c>
      <c r="AE28" s="0" t="n">
        <v>16</v>
      </c>
      <c r="AF28" s="0" t="n">
        <v>345041</v>
      </c>
      <c r="AG28" s="0" t="n">
        <v>0</v>
      </c>
      <c r="AH28" s="0" t="n">
        <v>71</v>
      </c>
      <c r="AI28" s="0" t="n">
        <v>0</v>
      </c>
      <c r="AJ28" s="0" t="n">
        <v>23</v>
      </c>
      <c r="AK28" s="0" t="n">
        <v>0</v>
      </c>
      <c r="AL28" s="0" t="n">
        <v>15</v>
      </c>
      <c r="AM28" s="0" t="n">
        <v>26</v>
      </c>
      <c r="AN28" s="0" t="n">
        <v>415</v>
      </c>
      <c r="AO28" s="0" t="n">
        <v>12</v>
      </c>
      <c r="AP28" s="0" t="n">
        <v>23</v>
      </c>
      <c r="AQ28" s="0" t="n">
        <v>224</v>
      </c>
      <c r="AR28" s="0" t="n">
        <v>46</v>
      </c>
      <c r="AS28" s="0" t="n">
        <v>0</v>
      </c>
      <c r="AT28" s="0" t="n">
        <v>152</v>
      </c>
      <c r="AU28" s="0" t="n">
        <v>20</v>
      </c>
      <c r="AV28" s="0" t="n">
        <v>0</v>
      </c>
      <c r="AW28" s="0" t="n">
        <v>44</v>
      </c>
      <c r="AX28" s="0" t="n">
        <v>205</v>
      </c>
      <c r="AY28" s="0" t="n">
        <v>0</v>
      </c>
      <c r="AZ28" s="0" t="n">
        <v>0</v>
      </c>
      <c r="BA28" s="0" t="n">
        <v>637</v>
      </c>
      <c r="BB28" s="0" t="n">
        <v>0</v>
      </c>
      <c r="BC28" s="0" t="n">
        <v>65</v>
      </c>
      <c r="BD28" s="0" t="n">
        <v>474</v>
      </c>
      <c r="BE28" s="0" t="n">
        <v>65</v>
      </c>
      <c r="BF28" s="0" t="n">
        <f aca="false">MAX(F28:BD28)/D28</f>
        <v>0.98761760555519</v>
      </c>
      <c r="BG28" s="0" t="n">
        <f aca="false">BF28*D28</f>
        <v>345041</v>
      </c>
    </row>
    <row r="29" customFormat="false" ht="12.75" hidden="false" customHeight="false" outlineLevel="0" collapsed="false">
      <c r="A29" s="0" t="s">
        <v>31</v>
      </c>
      <c r="B29" s="0" t="n">
        <v>1578049</v>
      </c>
      <c r="C29" s="0" t="n">
        <v>803789</v>
      </c>
      <c r="D29" s="0" t="n">
        <f aca="false">SUM(F29:BD29)</f>
        <v>774005</v>
      </c>
      <c r="E29" s="0" t="n">
        <f aca="false">C29+D29+BE29</f>
        <v>1578049</v>
      </c>
      <c r="F29" s="0" t="n">
        <v>168</v>
      </c>
      <c r="G29" s="0" t="n">
        <v>8</v>
      </c>
      <c r="H29" s="0" t="n">
        <v>68</v>
      </c>
      <c r="I29" s="0" t="n">
        <v>17</v>
      </c>
      <c r="J29" s="0" t="n">
        <v>452</v>
      </c>
      <c r="K29" s="0" t="n">
        <v>548</v>
      </c>
      <c r="L29" s="0" t="n">
        <v>0</v>
      </c>
      <c r="M29" s="0" t="n">
        <v>0</v>
      </c>
      <c r="N29" s="0" t="n">
        <v>8</v>
      </c>
      <c r="O29" s="0" t="n">
        <v>54</v>
      </c>
      <c r="P29" s="0" t="n">
        <v>64</v>
      </c>
      <c r="Q29" s="0" t="n">
        <v>21</v>
      </c>
      <c r="R29" s="0" t="n">
        <v>0</v>
      </c>
      <c r="S29" s="0" t="n">
        <v>262</v>
      </c>
      <c r="T29" s="0" t="n">
        <v>30</v>
      </c>
      <c r="U29" s="0" t="n">
        <v>11064</v>
      </c>
      <c r="V29" s="0" t="n">
        <v>1139</v>
      </c>
      <c r="W29" s="0" t="n">
        <v>8</v>
      </c>
      <c r="X29" s="0" t="n">
        <v>0</v>
      </c>
      <c r="Y29" s="0" t="n">
        <v>0</v>
      </c>
      <c r="Z29" s="0" t="n">
        <v>0</v>
      </c>
      <c r="AA29" s="0" t="n">
        <v>50</v>
      </c>
      <c r="AB29" s="0" t="n">
        <v>0</v>
      </c>
      <c r="AC29" s="0" t="n">
        <v>69</v>
      </c>
      <c r="AD29" s="0" t="n">
        <v>59</v>
      </c>
      <c r="AE29" s="0" t="n">
        <v>619</v>
      </c>
      <c r="AF29" s="0" t="n">
        <v>0</v>
      </c>
      <c r="AG29" s="0" t="n">
        <v>755943</v>
      </c>
      <c r="AH29" s="0" t="n">
        <v>13</v>
      </c>
      <c r="AI29" s="0" t="n">
        <v>0</v>
      </c>
      <c r="AJ29" s="0" t="n">
        <v>29</v>
      </c>
      <c r="AK29" s="0" t="n">
        <v>0</v>
      </c>
      <c r="AL29" s="0" t="n">
        <v>111</v>
      </c>
      <c r="AM29" s="0" t="n">
        <v>0</v>
      </c>
      <c r="AN29" s="0" t="n">
        <v>8</v>
      </c>
      <c r="AO29" s="0" t="n">
        <v>41</v>
      </c>
      <c r="AP29" s="0" t="n">
        <v>113</v>
      </c>
      <c r="AQ29" s="0" t="n">
        <v>0</v>
      </c>
      <c r="AR29" s="0" t="n">
        <v>109</v>
      </c>
      <c r="AS29" s="0" t="n">
        <v>0</v>
      </c>
      <c r="AT29" s="0" t="n">
        <v>1787</v>
      </c>
      <c r="AU29" s="0" t="n">
        <v>47</v>
      </c>
      <c r="AV29" s="0" t="n">
        <v>0</v>
      </c>
      <c r="AW29" s="0" t="n">
        <v>204</v>
      </c>
      <c r="AX29" s="0" t="n">
        <v>193</v>
      </c>
      <c r="AY29" s="0" t="n">
        <v>0</v>
      </c>
      <c r="AZ29" s="0" t="n">
        <v>50</v>
      </c>
      <c r="BA29" s="0" t="n">
        <v>0</v>
      </c>
      <c r="BB29" s="0" t="n">
        <v>0</v>
      </c>
      <c r="BC29" s="0" t="n">
        <v>132</v>
      </c>
      <c r="BD29" s="0" t="n">
        <v>517</v>
      </c>
      <c r="BE29" s="0" t="n">
        <v>255</v>
      </c>
      <c r="BF29" s="0" t="n">
        <f aca="false">MAX(F29:BD29)/D29</f>
        <v>0.976664233435185</v>
      </c>
      <c r="BG29" s="0" t="n">
        <f aca="false">BF29*D29</f>
        <v>755943</v>
      </c>
    </row>
    <row r="30" customFormat="false" ht="12.75" hidden="false" customHeight="false" outlineLevel="0" collapsed="false">
      <c r="A30" s="0" t="s">
        <v>32</v>
      </c>
      <c r="B30" s="0" t="n">
        <v>1195956</v>
      </c>
      <c r="C30" s="0" t="n">
        <v>595440</v>
      </c>
      <c r="D30" s="0" t="n">
        <f aca="false">SUM(F30:BD30)</f>
        <v>600342</v>
      </c>
      <c r="E30" s="0" t="n">
        <f aca="false">C30+D30+BE30</f>
        <v>1195956</v>
      </c>
      <c r="F30" s="0" t="n">
        <v>0</v>
      </c>
      <c r="G30" s="0" t="n">
        <v>70</v>
      </c>
      <c r="H30" s="0" t="n">
        <v>456</v>
      </c>
      <c r="I30" s="0" t="n">
        <v>0</v>
      </c>
      <c r="J30" s="0" t="n">
        <v>4686</v>
      </c>
      <c r="K30" s="0" t="n">
        <v>227</v>
      </c>
      <c r="L30" s="0" t="n">
        <v>0</v>
      </c>
      <c r="M30" s="0" t="n">
        <v>21</v>
      </c>
      <c r="N30" s="0" t="n">
        <v>13</v>
      </c>
      <c r="O30" s="0" t="n">
        <v>122</v>
      </c>
      <c r="P30" s="0" t="n">
        <v>42</v>
      </c>
      <c r="Q30" s="0" t="n">
        <v>23</v>
      </c>
      <c r="R30" s="0" t="n">
        <v>168</v>
      </c>
      <c r="S30" s="0" t="n">
        <v>164</v>
      </c>
      <c r="T30" s="0" t="n">
        <v>0</v>
      </c>
      <c r="U30" s="0" t="n">
        <v>0</v>
      </c>
      <c r="V30" s="0" t="n">
        <v>0</v>
      </c>
      <c r="W30" s="0" t="n">
        <v>24</v>
      </c>
      <c r="X30" s="0" t="n">
        <v>23</v>
      </c>
      <c r="Y30" s="0" t="n">
        <v>0</v>
      </c>
      <c r="Z30" s="0" t="n">
        <v>0</v>
      </c>
      <c r="AA30" s="0" t="n">
        <v>0</v>
      </c>
      <c r="AB30" s="0" t="n">
        <v>16</v>
      </c>
      <c r="AC30" s="0" t="n">
        <v>24</v>
      </c>
      <c r="AD30" s="0" t="n">
        <v>24</v>
      </c>
      <c r="AE30" s="0" t="n">
        <v>63</v>
      </c>
      <c r="AF30" s="0" t="n">
        <v>66</v>
      </c>
      <c r="AG30" s="0" t="n">
        <v>24</v>
      </c>
      <c r="AH30" s="0" t="n">
        <v>592906</v>
      </c>
      <c r="AI30" s="0" t="n">
        <v>0</v>
      </c>
      <c r="AJ30" s="0" t="n">
        <v>38</v>
      </c>
      <c r="AK30" s="0" t="n">
        <v>68</v>
      </c>
      <c r="AL30" s="0" t="n">
        <v>150</v>
      </c>
      <c r="AM30" s="0" t="n">
        <v>21</v>
      </c>
      <c r="AN30" s="0" t="n">
        <v>0</v>
      </c>
      <c r="AO30" s="0" t="n">
        <v>78</v>
      </c>
      <c r="AP30" s="0" t="n">
        <v>31</v>
      </c>
      <c r="AQ30" s="0" t="n">
        <v>86</v>
      </c>
      <c r="AR30" s="0" t="n">
        <v>18</v>
      </c>
      <c r="AS30" s="0" t="n">
        <v>8</v>
      </c>
      <c r="AT30" s="0" t="n">
        <v>0</v>
      </c>
      <c r="AU30" s="0" t="n">
        <v>0</v>
      </c>
      <c r="AV30" s="0" t="n">
        <v>39</v>
      </c>
      <c r="AW30" s="0" t="n">
        <v>127</v>
      </c>
      <c r="AX30" s="0" t="n">
        <v>215</v>
      </c>
      <c r="AY30" s="0" t="n">
        <v>0</v>
      </c>
      <c r="AZ30" s="0" t="n">
        <v>101</v>
      </c>
      <c r="BA30" s="0" t="n">
        <v>88</v>
      </c>
      <c r="BB30" s="0" t="n">
        <v>0</v>
      </c>
      <c r="BC30" s="0" t="n">
        <v>44</v>
      </c>
      <c r="BD30" s="0" t="n">
        <v>68</v>
      </c>
      <c r="BE30" s="0" t="n">
        <v>174</v>
      </c>
      <c r="BF30" s="0" t="n">
        <f aca="false">MAX(F30:BD30)/D30</f>
        <v>0.987613726842367</v>
      </c>
      <c r="BG30" s="0" t="n">
        <f aca="false">BF30*D30</f>
        <v>592906</v>
      </c>
    </row>
    <row r="31" customFormat="false" ht="12.75" hidden="false" customHeight="false" outlineLevel="0" collapsed="false">
      <c r="A31" s="0" t="s">
        <v>33</v>
      </c>
      <c r="B31" s="0" t="n">
        <v>1104242</v>
      </c>
      <c r="C31" s="0" t="n">
        <v>539361</v>
      </c>
      <c r="D31" s="0" t="n">
        <f aca="false">SUM(F31:BD31)</f>
        <v>564611</v>
      </c>
      <c r="E31" s="0" t="n">
        <f aca="false">C31+D31+BE31</f>
        <v>1104242</v>
      </c>
      <c r="F31" s="0" t="n">
        <v>7</v>
      </c>
      <c r="G31" s="0" t="n">
        <v>34</v>
      </c>
      <c r="H31" s="0" t="n">
        <v>108</v>
      </c>
      <c r="I31" s="0" t="n">
        <v>0</v>
      </c>
      <c r="J31" s="0" t="n">
        <v>192</v>
      </c>
      <c r="K31" s="0" t="n">
        <v>27</v>
      </c>
      <c r="L31" s="0" t="n">
        <v>689</v>
      </c>
      <c r="M31" s="0" t="n">
        <v>28</v>
      </c>
      <c r="N31" s="0" t="n">
        <v>35</v>
      </c>
      <c r="O31" s="0" t="n">
        <v>220</v>
      </c>
      <c r="P31" s="0" t="n">
        <v>95</v>
      </c>
      <c r="Q31" s="0" t="n">
        <v>0</v>
      </c>
      <c r="R31" s="0" t="n">
        <v>0</v>
      </c>
      <c r="S31" s="0" t="n">
        <v>78</v>
      </c>
      <c r="T31" s="0" t="n">
        <v>24</v>
      </c>
      <c r="U31" s="0" t="n">
        <v>0</v>
      </c>
      <c r="V31" s="0" t="n">
        <v>0</v>
      </c>
      <c r="W31" s="0" t="n">
        <v>129</v>
      </c>
      <c r="X31" s="0" t="n">
        <v>7</v>
      </c>
      <c r="Y31" s="0" t="n">
        <v>8208</v>
      </c>
      <c r="Z31" s="0" t="n">
        <v>95</v>
      </c>
      <c r="AA31" s="0" t="n">
        <v>75051</v>
      </c>
      <c r="AB31" s="0" t="n">
        <v>40</v>
      </c>
      <c r="AC31" s="0" t="n">
        <v>78</v>
      </c>
      <c r="AD31" s="0" t="n">
        <v>34</v>
      </c>
      <c r="AE31" s="0" t="n">
        <v>7</v>
      </c>
      <c r="AF31" s="0" t="n">
        <v>0</v>
      </c>
      <c r="AG31" s="0" t="n">
        <v>0</v>
      </c>
      <c r="AH31" s="0" t="n">
        <v>54</v>
      </c>
      <c r="AI31" s="0" t="n">
        <v>469770</v>
      </c>
      <c r="AJ31" s="0" t="n">
        <v>260</v>
      </c>
      <c r="AK31" s="0" t="n">
        <v>0</v>
      </c>
      <c r="AL31" s="0" t="n">
        <v>736</v>
      </c>
      <c r="AM31" s="0" t="n">
        <v>61</v>
      </c>
      <c r="AN31" s="0" t="n">
        <v>0</v>
      </c>
      <c r="AO31" s="0" t="n">
        <v>120</v>
      </c>
      <c r="AP31" s="0" t="n">
        <v>7</v>
      </c>
      <c r="AQ31" s="0" t="n">
        <v>7</v>
      </c>
      <c r="AR31" s="0" t="n">
        <v>132</v>
      </c>
      <c r="AS31" s="0" t="n">
        <v>524</v>
      </c>
      <c r="AT31" s="0" t="n">
        <v>0</v>
      </c>
      <c r="AU31" s="0" t="n">
        <v>85</v>
      </c>
      <c r="AV31" s="0" t="n">
        <v>40</v>
      </c>
      <c r="AW31" s="0" t="n">
        <v>47</v>
      </c>
      <c r="AX31" s="0" t="n">
        <v>7</v>
      </c>
      <c r="AY31" s="0" t="n">
        <v>7414</v>
      </c>
      <c r="AZ31" s="0" t="n">
        <v>134</v>
      </c>
      <c r="BA31" s="0" t="n">
        <v>0</v>
      </c>
      <c r="BB31" s="0" t="n">
        <v>27</v>
      </c>
      <c r="BC31" s="0" t="n">
        <v>0</v>
      </c>
      <c r="BD31" s="0" t="n">
        <v>0</v>
      </c>
      <c r="BE31" s="0" t="n">
        <v>270</v>
      </c>
      <c r="BF31" s="0" t="n">
        <f aca="false">MAX(F31:BD31)/D31</f>
        <v>0.832024172394799</v>
      </c>
      <c r="BG31" s="0" t="n">
        <f aca="false">BF31*D31</f>
        <v>469770</v>
      </c>
    </row>
    <row r="32" customFormat="false" ht="12.75" hidden="false" customHeight="false" outlineLevel="0" collapsed="false">
      <c r="A32" s="0" t="s">
        <v>34</v>
      </c>
      <c r="B32" s="0" t="n">
        <v>7698998</v>
      </c>
      <c r="C32" s="0" t="n">
        <v>3899647</v>
      </c>
      <c r="D32" s="0" t="n">
        <f aca="false">SUM(F32:BD32)</f>
        <v>3797719</v>
      </c>
      <c r="E32" s="0" t="n">
        <f aca="false">C32+D32+BE32</f>
        <v>7698998</v>
      </c>
      <c r="F32" s="0" t="n">
        <v>166</v>
      </c>
      <c r="G32" s="0" t="n">
        <v>37</v>
      </c>
      <c r="H32" s="0" t="n">
        <v>149</v>
      </c>
      <c r="I32" s="0" t="n">
        <v>0</v>
      </c>
      <c r="J32" s="0" t="n">
        <v>1282</v>
      </c>
      <c r="K32" s="0" t="n">
        <v>175</v>
      </c>
      <c r="L32" s="0" t="n">
        <v>2500</v>
      </c>
      <c r="M32" s="0" t="n">
        <v>6753</v>
      </c>
      <c r="N32" s="0" t="n">
        <v>694</v>
      </c>
      <c r="O32" s="0" t="n">
        <v>1353</v>
      </c>
      <c r="P32" s="0" t="n">
        <v>569</v>
      </c>
      <c r="Q32" s="0" t="n">
        <v>83</v>
      </c>
      <c r="R32" s="0" t="n">
        <v>38</v>
      </c>
      <c r="S32" s="0" t="n">
        <v>683</v>
      </c>
      <c r="T32" s="0" t="n">
        <v>206</v>
      </c>
      <c r="U32" s="0" t="n">
        <v>26</v>
      </c>
      <c r="V32" s="0" t="n">
        <v>68</v>
      </c>
      <c r="W32" s="0" t="n">
        <v>72</v>
      </c>
      <c r="X32" s="0" t="n">
        <v>86</v>
      </c>
      <c r="Y32" s="0" t="n">
        <v>58</v>
      </c>
      <c r="Z32" s="0" t="n">
        <v>1428</v>
      </c>
      <c r="AA32" s="0" t="n">
        <v>1041</v>
      </c>
      <c r="AB32" s="0" t="n">
        <v>349</v>
      </c>
      <c r="AC32" s="0" t="n">
        <v>125</v>
      </c>
      <c r="AD32" s="0" t="n">
        <v>46</v>
      </c>
      <c r="AE32" s="0" t="n">
        <v>149</v>
      </c>
      <c r="AF32" s="0" t="n">
        <v>0</v>
      </c>
      <c r="AG32" s="0" t="n">
        <v>18</v>
      </c>
      <c r="AH32" s="0" t="n">
        <v>81</v>
      </c>
      <c r="AI32" s="0" t="n">
        <v>116</v>
      </c>
      <c r="AJ32" s="0" t="n">
        <v>3353084</v>
      </c>
      <c r="AK32" s="0" t="n">
        <v>66</v>
      </c>
      <c r="AL32" s="0" t="n">
        <v>308153</v>
      </c>
      <c r="AM32" s="0" t="n">
        <v>504</v>
      </c>
      <c r="AN32" s="0" t="n">
        <v>0</v>
      </c>
      <c r="AO32" s="0" t="n">
        <v>637</v>
      </c>
      <c r="AP32" s="0" t="n">
        <v>32</v>
      </c>
      <c r="AQ32" s="0" t="n">
        <v>65</v>
      </c>
      <c r="AR32" s="0" t="n">
        <v>113662</v>
      </c>
      <c r="AS32" s="0" t="n">
        <v>180</v>
      </c>
      <c r="AT32" s="0" t="n">
        <v>0</v>
      </c>
      <c r="AU32" s="0" t="n">
        <v>284</v>
      </c>
      <c r="AV32" s="0" t="n">
        <v>335</v>
      </c>
      <c r="AW32" s="0" t="n">
        <v>719</v>
      </c>
      <c r="AX32" s="0" t="n">
        <v>66</v>
      </c>
      <c r="AY32" s="0" t="n">
        <v>116</v>
      </c>
      <c r="AZ32" s="0" t="n">
        <v>1194</v>
      </c>
      <c r="BA32" s="0" t="n">
        <v>89</v>
      </c>
      <c r="BB32" s="0" t="n">
        <v>55</v>
      </c>
      <c r="BC32" s="0" t="n">
        <v>108</v>
      </c>
      <c r="BD32" s="0" t="n">
        <v>19</v>
      </c>
      <c r="BE32" s="0" t="n">
        <v>1632</v>
      </c>
      <c r="BF32" s="0" t="n">
        <f aca="false">MAX(F32:BD32)/D32</f>
        <v>0.882920510969874</v>
      </c>
      <c r="BG32" s="0" t="n">
        <f aca="false">BF32*D32</f>
        <v>3353084</v>
      </c>
    </row>
    <row r="33" customFormat="false" ht="12.75" hidden="false" customHeight="false" outlineLevel="0" collapsed="false">
      <c r="A33" s="0" t="s">
        <v>35</v>
      </c>
      <c r="B33" s="0" t="n">
        <v>1507146</v>
      </c>
      <c r="C33" s="0" t="n">
        <v>876153</v>
      </c>
      <c r="D33" s="0" t="n">
        <f aca="false">SUM(F33:BD33)</f>
        <v>630531</v>
      </c>
      <c r="E33" s="0" t="n">
        <f aca="false">C33+D33+BE33</f>
        <v>1507146</v>
      </c>
      <c r="F33" s="0" t="n">
        <v>42</v>
      </c>
      <c r="G33" s="0" t="n">
        <v>90</v>
      </c>
      <c r="H33" s="0" t="n">
        <v>2835</v>
      </c>
      <c r="I33" s="0" t="n">
        <v>30</v>
      </c>
      <c r="J33" s="0" t="n">
        <v>606</v>
      </c>
      <c r="K33" s="0" t="n">
        <v>774</v>
      </c>
      <c r="L33" s="0" t="n">
        <v>9</v>
      </c>
      <c r="M33" s="0" t="n">
        <v>18</v>
      </c>
      <c r="N33" s="0" t="n">
        <v>117</v>
      </c>
      <c r="O33" s="0" t="n">
        <v>120</v>
      </c>
      <c r="P33" s="0" t="n">
        <v>111</v>
      </c>
      <c r="Q33" s="0" t="n">
        <v>60</v>
      </c>
      <c r="R33" s="0" t="n">
        <v>33</v>
      </c>
      <c r="S33" s="0" t="n">
        <v>126</v>
      </c>
      <c r="T33" s="0" t="n">
        <v>0</v>
      </c>
      <c r="U33" s="0" t="n">
        <v>15</v>
      </c>
      <c r="V33" s="0" t="n">
        <v>90</v>
      </c>
      <c r="W33" s="0" t="n">
        <v>63</v>
      </c>
      <c r="X33" s="0" t="n">
        <v>21</v>
      </c>
      <c r="Y33" s="0" t="n">
        <v>0</v>
      </c>
      <c r="Z33" s="0" t="n">
        <v>90</v>
      </c>
      <c r="AA33" s="0" t="n">
        <v>87</v>
      </c>
      <c r="AB33" s="0" t="n">
        <v>36</v>
      </c>
      <c r="AC33" s="0" t="n">
        <v>24</v>
      </c>
      <c r="AD33" s="0" t="n">
        <v>24</v>
      </c>
      <c r="AE33" s="0" t="n">
        <v>69</v>
      </c>
      <c r="AF33" s="0" t="n">
        <v>51</v>
      </c>
      <c r="AG33" s="0" t="n">
        <v>168</v>
      </c>
      <c r="AH33" s="0" t="n">
        <v>213</v>
      </c>
      <c r="AI33" s="0" t="n">
        <v>0</v>
      </c>
      <c r="AJ33" s="0" t="n">
        <v>36</v>
      </c>
      <c r="AK33" s="0" t="n">
        <v>614664</v>
      </c>
      <c r="AL33" s="0" t="n">
        <v>126</v>
      </c>
      <c r="AM33" s="0" t="n">
        <v>18</v>
      </c>
      <c r="AN33" s="0" t="n">
        <v>0</v>
      </c>
      <c r="AO33" s="0" t="n">
        <v>45</v>
      </c>
      <c r="AP33" s="0" t="n">
        <v>240</v>
      </c>
      <c r="AQ33" s="0" t="n">
        <v>18</v>
      </c>
      <c r="AR33" s="0" t="n">
        <v>150</v>
      </c>
      <c r="AS33" s="0" t="n">
        <v>21</v>
      </c>
      <c r="AT33" s="0" t="n">
        <v>15</v>
      </c>
      <c r="AU33" s="0" t="n">
        <v>0</v>
      </c>
      <c r="AV33" s="0" t="n">
        <v>0</v>
      </c>
      <c r="AW33" s="0" t="n">
        <v>9030</v>
      </c>
      <c r="AX33" s="0" t="n">
        <v>126</v>
      </c>
      <c r="AY33" s="0" t="n">
        <v>0</v>
      </c>
      <c r="AZ33" s="0" t="n">
        <v>27</v>
      </c>
      <c r="BA33" s="0" t="n">
        <v>33</v>
      </c>
      <c r="BB33" s="0" t="n">
        <v>0</v>
      </c>
      <c r="BC33" s="0" t="n">
        <v>27</v>
      </c>
      <c r="BD33" s="0" t="n">
        <v>33</v>
      </c>
      <c r="BE33" s="0" t="n">
        <v>462</v>
      </c>
      <c r="BF33" s="0" t="n">
        <f aca="false">MAX(F33:BD33)/D33</f>
        <v>0.9748354957964</v>
      </c>
      <c r="BG33" s="0" t="n">
        <f aca="false">BF33*D33</f>
        <v>614664</v>
      </c>
    </row>
    <row r="34" customFormat="false" ht="12.75" hidden="false" customHeight="false" outlineLevel="0" collapsed="false">
      <c r="A34" s="0" t="s">
        <v>36</v>
      </c>
      <c r="B34" s="0" t="n">
        <v>17919274</v>
      </c>
      <c r="C34" s="0" t="n">
        <v>9723449</v>
      </c>
      <c r="D34" s="0" t="n">
        <f aca="false">SUM(F34:BD34)</f>
        <v>8192105</v>
      </c>
      <c r="E34" s="0" t="n">
        <f aca="false">C34+D34+BE34</f>
        <v>17919274</v>
      </c>
      <c r="F34" s="0" t="n">
        <v>256</v>
      </c>
      <c r="G34" s="0" t="n">
        <v>135</v>
      </c>
      <c r="H34" s="0" t="n">
        <v>393</v>
      </c>
      <c r="I34" s="0" t="n">
        <v>52</v>
      </c>
      <c r="J34" s="0" t="n">
        <v>2970</v>
      </c>
      <c r="K34" s="0" t="n">
        <v>355</v>
      </c>
      <c r="L34" s="0" t="n">
        <v>30718</v>
      </c>
      <c r="M34" s="0" t="n">
        <v>287</v>
      </c>
      <c r="N34" s="0" t="n">
        <v>1278</v>
      </c>
      <c r="O34" s="0" t="n">
        <v>3118</v>
      </c>
      <c r="P34" s="0" t="n">
        <v>738</v>
      </c>
      <c r="Q34" s="0" t="n">
        <v>88</v>
      </c>
      <c r="R34" s="0" t="n">
        <v>44</v>
      </c>
      <c r="S34" s="0" t="n">
        <v>1234</v>
      </c>
      <c r="T34" s="0" t="n">
        <v>293</v>
      </c>
      <c r="U34" s="0" t="n">
        <v>44</v>
      </c>
      <c r="V34" s="0" t="n">
        <v>53</v>
      </c>
      <c r="W34" s="0" t="n">
        <v>194</v>
      </c>
      <c r="X34" s="0" t="n">
        <v>235</v>
      </c>
      <c r="Y34" s="0" t="n">
        <v>278</v>
      </c>
      <c r="Z34" s="0" t="n">
        <v>1025</v>
      </c>
      <c r="AA34" s="0" t="n">
        <v>6410</v>
      </c>
      <c r="AB34" s="0" t="n">
        <v>576</v>
      </c>
      <c r="AC34" s="0" t="n">
        <v>131</v>
      </c>
      <c r="AD34" s="0" t="n">
        <v>65</v>
      </c>
      <c r="AE34" s="0" t="n">
        <v>422</v>
      </c>
      <c r="AF34" s="0" t="n">
        <v>0</v>
      </c>
      <c r="AG34" s="0" t="n">
        <v>6</v>
      </c>
      <c r="AH34" s="0" t="n">
        <v>171</v>
      </c>
      <c r="AI34" s="0" t="n">
        <v>297</v>
      </c>
      <c r="AJ34" s="0" t="n">
        <v>125381</v>
      </c>
      <c r="AK34" s="0" t="n">
        <v>59</v>
      </c>
      <c r="AL34" s="0" t="n">
        <v>7992613</v>
      </c>
      <c r="AM34" s="0" t="n">
        <v>982</v>
      </c>
      <c r="AN34" s="0" t="n">
        <v>45</v>
      </c>
      <c r="AO34" s="0" t="n">
        <v>1259</v>
      </c>
      <c r="AP34" s="0" t="n">
        <v>101</v>
      </c>
      <c r="AQ34" s="0" t="n">
        <v>118</v>
      </c>
      <c r="AR34" s="0" t="n">
        <v>10721</v>
      </c>
      <c r="AS34" s="0" t="n">
        <v>501</v>
      </c>
      <c r="AT34" s="0" t="n">
        <v>0</v>
      </c>
      <c r="AU34" s="0" t="n">
        <v>457</v>
      </c>
      <c r="AV34" s="0" t="n">
        <v>561</v>
      </c>
      <c r="AW34" s="0" t="n">
        <v>1147</v>
      </c>
      <c r="AX34" s="0" t="n">
        <v>94</v>
      </c>
      <c r="AY34" s="0" t="n">
        <v>3755</v>
      </c>
      <c r="AZ34" s="0" t="n">
        <v>1635</v>
      </c>
      <c r="BA34" s="0" t="n">
        <v>297</v>
      </c>
      <c r="BB34" s="0" t="n">
        <v>124</v>
      </c>
      <c r="BC34" s="0" t="n">
        <v>327</v>
      </c>
      <c r="BD34" s="0" t="n">
        <v>62</v>
      </c>
      <c r="BE34" s="0" t="n">
        <v>3720</v>
      </c>
      <c r="BF34" s="0" t="n">
        <f aca="false">MAX(F34:BD34)/D34</f>
        <v>0.975648261344307</v>
      </c>
      <c r="BG34" s="0" t="n">
        <f aca="false">BF34*D34</f>
        <v>7992613</v>
      </c>
    </row>
    <row r="35" customFormat="false" ht="12.75" hidden="false" customHeight="false" outlineLevel="0" collapsed="false">
      <c r="A35" s="0" t="s">
        <v>37</v>
      </c>
      <c r="B35" s="0" t="n">
        <v>6612198</v>
      </c>
      <c r="C35" s="0" t="n">
        <v>3321672</v>
      </c>
      <c r="D35" s="0" t="n">
        <f aca="false">SUM(F35:BD35)</f>
        <v>3288867</v>
      </c>
      <c r="E35" s="0" t="n">
        <f aca="false">C35+D35+BE35</f>
        <v>6612198</v>
      </c>
      <c r="F35" s="0" t="n">
        <v>483</v>
      </c>
      <c r="G35" s="0" t="n">
        <v>6</v>
      </c>
      <c r="H35" s="0" t="n">
        <v>192</v>
      </c>
      <c r="I35" s="0" t="n">
        <v>126</v>
      </c>
      <c r="J35" s="0" t="n">
        <v>972</v>
      </c>
      <c r="K35" s="0" t="n">
        <v>156</v>
      </c>
      <c r="L35" s="0" t="n">
        <v>93</v>
      </c>
      <c r="M35" s="0" t="n">
        <v>186</v>
      </c>
      <c r="N35" s="0" t="n">
        <v>342</v>
      </c>
      <c r="O35" s="0" t="n">
        <v>1734</v>
      </c>
      <c r="P35" s="0" t="n">
        <v>3960</v>
      </c>
      <c r="Q35" s="0" t="n">
        <v>114</v>
      </c>
      <c r="R35" s="0" t="n">
        <v>9</v>
      </c>
      <c r="S35" s="0" t="n">
        <v>390</v>
      </c>
      <c r="T35" s="0" t="n">
        <v>234</v>
      </c>
      <c r="U35" s="0" t="n">
        <v>129</v>
      </c>
      <c r="V35" s="0" t="n">
        <v>39</v>
      </c>
      <c r="W35" s="0" t="n">
        <v>270</v>
      </c>
      <c r="X35" s="0" t="n">
        <v>201</v>
      </c>
      <c r="Y35" s="0" t="n">
        <v>27</v>
      </c>
      <c r="Z35" s="0" t="n">
        <v>882</v>
      </c>
      <c r="AA35" s="0" t="n">
        <v>198</v>
      </c>
      <c r="AB35" s="0" t="n">
        <v>174</v>
      </c>
      <c r="AC35" s="0" t="n">
        <v>105</v>
      </c>
      <c r="AD35" s="0" t="n">
        <v>210</v>
      </c>
      <c r="AE35" s="0" t="n">
        <v>141</v>
      </c>
      <c r="AF35" s="0" t="n">
        <v>0</v>
      </c>
      <c r="AG35" s="0" t="n">
        <v>69</v>
      </c>
      <c r="AH35" s="0" t="n">
        <v>12</v>
      </c>
      <c r="AI35" s="0" t="n">
        <v>45</v>
      </c>
      <c r="AJ35" s="0" t="n">
        <v>858</v>
      </c>
      <c r="AK35" s="0" t="n">
        <v>0</v>
      </c>
      <c r="AL35" s="0" t="n">
        <v>1122</v>
      </c>
      <c r="AM35" s="0" t="n">
        <v>3230625</v>
      </c>
      <c r="AN35" s="0" t="n">
        <v>33</v>
      </c>
      <c r="AO35" s="0" t="n">
        <v>657</v>
      </c>
      <c r="AP35" s="0" t="n">
        <v>195</v>
      </c>
      <c r="AQ35" s="0" t="n">
        <v>0</v>
      </c>
      <c r="AR35" s="0" t="n">
        <v>723</v>
      </c>
      <c r="AS35" s="0" t="n">
        <v>12</v>
      </c>
      <c r="AT35" s="0" t="n">
        <v>0</v>
      </c>
      <c r="AU35" s="0" t="n">
        <v>18963</v>
      </c>
      <c r="AV35" s="0" t="n">
        <v>1863</v>
      </c>
      <c r="AW35" s="0" t="n">
        <v>666</v>
      </c>
      <c r="AX35" s="0" t="n">
        <v>66</v>
      </c>
      <c r="AY35" s="0" t="n">
        <v>24</v>
      </c>
      <c r="AZ35" s="0" t="n">
        <v>21042</v>
      </c>
      <c r="BA35" s="0" t="n">
        <v>129</v>
      </c>
      <c r="BB35" s="0" t="n">
        <v>246</v>
      </c>
      <c r="BC35" s="0" t="n">
        <v>144</v>
      </c>
      <c r="BD35" s="0" t="n">
        <v>0</v>
      </c>
      <c r="BE35" s="0" t="n">
        <v>1659</v>
      </c>
      <c r="BF35" s="0" t="n">
        <f aca="false">MAX(F35:BD35)/D35</f>
        <v>0.982291165924314</v>
      </c>
      <c r="BG35" s="0" t="n">
        <f aca="false">BF35*D35</f>
        <v>3230625</v>
      </c>
    </row>
    <row r="36" customFormat="false" ht="12.75" hidden="false" customHeight="false" outlineLevel="0" collapsed="false">
      <c r="A36" s="0" t="s">
        <v>38</v>
      </c>
      <c r="B36" s="0" t="n">
        <v>635095</v>
      </c>
      <c r="C36" s="0" t="n">
        <v>340720</v>
      </c>
      <c r="D36" s="0" t="n">
        <f aca="false">SUM(F36:BD36)</f>
        <v>294310</v>
      </c>
      <c r="E36" s="0" t="n">
        <f aca="false">C36+D36+BE36</f>
        <v>635095</v>
      </c>
      <c r="F36" s="0" t="n">
        <v>35</v>
      </c>
      <c r="G36" s="0" t="n">
        <v>100</v>
      </c>
      <c r="H36" s="0" t="n">
        <v>75</v>
      </c>
      <c r="I36" s="0" t="n">
        <v>0</v>
      </c>
      <c r="J36" s="0" t="n">
        <v>30</v>
      </c>
      <c r="K36" s="0" t="n">
        <v>135</v>
      </c>
      <c r="L36" s="0" t="n">
        <v>0</v>
      </c>
      <c r="M36" s="0" t="n">
        <v>0</v>
      </c>
      <c r="N36" s="0" t="n">
        <v>0</v>
      </c>
      <c r="O36" s="0" t="n">
        <v>10</v>
      </c>
      <c r="P36" s="0" t="n">
        <v>0</v>
      </c>
      <c r="Q36" s="0" t="n">
        <v>0</v>
      </c>
      <c r="R36" s="0" t="n">
        <v>0</v>
      </c>
      <c r="S36" s="0" t="n">
        <v>135</v>
      </c>
      <c r="T36" s="0" t="n">
        <v>10</v>
      </c>
      <c r="U36" s="0" t="n">
        <v>45</v>
      </c>
      <c r="V36" s="0" t="n">
        <v>25</v>
      </c>
      <c r="W36" s="0" t="n">
        <v>10</v>
      </c>
      <c r="X36" s="0" t="n">
        <v>0</v>
      </c>
      <c r="Y36" s="0" t="n">
        <v>0</v>
      </c>
      <c r="Z36" s="0" t="n">
        <v>0</v>
      </c>
      <c r="AA36" s="0" t="n">
        <v>60</v>
      </c>
      <c r="AB36" s="0" t="n">
        <v>60</v>
      </c>
      <c r="AC36" s="0" t="n">
        <v>8560</v>
      </c>
      <c r="AD36" s="0" t="n">
        <v>0</v>
      </c>
      <c r="AE36" s="0" t="n">
        <v>30</v>
      </c>
      <c r="AF36" s="0" t="n">
        <v>305</v>
      </c>
      <c r="AG36" s="0" t="n">
        <v>70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40</v>
      </c>
      <c r="AM36" s="0" t="n">
        <v>0</v>
      </c>
      <c r="AN36" s="0" t="n">
        <v>283510</v>
      </c>
      <c r="AO36" s="0" t="n">
        <v>35</v>
      </c>
      <c r="AP36" s="0" t="n">
        <v>65</v>
      </c>
      <c r="AQ36" s="0" t="n">
        <v>30</v>
      </c>
      <c r="AR36" s="0" t="n">
        <v>30</v>
      </c>
      <c r="AS36" s="0" t="n">
        <v>0</v>
      </c>
      <c r="AT36" s="0" t="n">
        <v>670</v>
      </c>
      <c r="AU36" s="0" t="n">
        <v>0</v>
      </c>
      <c r="AV36" s="0" t="n">
        <v>0</v>
      </c>
      <c r="AW36" s="0" t="n">
        <v>55</v>
      </c>
      <c r="AX36" s="0" t="n">
        <v>25</v>
      </c>
      <c r="AY36" s="0" t="n">
        <v>0</v>
      </c>
      <c r="AZ36" s="0" t="n">
        <v>40</v>
      </c>
      <c r="BA36" s="0" t="n">
        <v>10</v>
      </c>
      <c r="BB36" s="0" t="n">
        <v>0</v>
      </c>
      <c r="BC36" s="0" t="n">
        <v>100</v>
      </c>
      <c r="BD36" s="0" t="n">
        <v>5</v>
      </c>
      <c r="BE36" s="0" t="n">
        <v>65</v>
      </c>
      <c r="BF36" s="0" t="n">
        <f aca="false">MAX(F36:BD36)/D36</f>
        <v>0.963303999184533</v>
      </c>
      <c r="BG36" s="0" t="n">
        <f aca="false">BF36*D36</f>
        <v>283510</v>
      </c>
    </row>
    <row r="37" customFormat="false" ht="12.75" hidden="false" customHeight="false" outlineLevel="0" collapsed="false">
      <c r="A37" s="0" t="s">
        <v>39</v>
      </c>
      <c r="B37" s="0" t="n">
        <v>10832284</v>
      </c>
      <c r="C37" s="0" t="n">
        <v>6001391</v>
      </c>
      <c r="D37" s="0" t="n">
        <f aca="false">SUM(F37:BD37)</f>
        <v>4829648</v>
      </c>
      <c r="E37" s="0" t="n">
        <f aca="false">C37+D37+BE37</f>
        <v>10832284</v>
      </c>
      <c r="F37" s="0" t="n">
        <v>368</v>
      </c>
      <c r="G37" s="0" t="n">
        <v>35</v>
      </c>
      <c r="H37" s="0" t="n">
        <v>281</v>
      </c>
      <c r="I37" s="0" t="n">
        <v>116</v>
      </c>
      <c r="J37" s="0" t="n">
        <v>1352</v>
      </c>
      <c r="K37" s="0" t="n">
        <v>367</v>
      </c>
      <c r="L37" s="0" t="n">
        <v>275</v>
      </c>
      <c r="M37" s="0" t="n">
        <v>67</v>
      </c>
      <c r="N37" s="0" t="n">
        <v>360</v>
      </c>
      <c r="O37" s="0" t="n">
        <v>1677</v>
      </c>
      <c r="P37" s="0" t="n">
        <v>722</v>
      </c>
      <c r="Q37" s="0" t="n">
        <v>41</v>
      </c>
      <c r="R37" s="0" t="n">
        <v>0</v>
      </c>
      <c r="S37" s="0" t="n">
        <v>1922</v>
      </c>
      <c r="T37" s="0" t="n">
        <v>14140</v>
      </c>
      <c r="U37" s="0" t="n">
        <v>151</v>
      </c>
      <c r="V37" s="0" t="n">
        <v>286</v>
      </c>
      <c r="W37" s="0" t="n">
        <v>23921</v>
      </c>
      <c r="X37" s="0" t="n">
        <v>122</v>
      </c>
      <c r="Y37" s="0" t="n">
        <v>0</v>
      </c>
      <c r="Z37" s="0" t="n">
        <v>615</v>
      </c>
      <c r="AA37" s="0" t="n">
        <v>492</v>
      </c>
      <c r="AB37" s="0" t="n">
        <v>9301</v>
      </c>
      <c r="AC37" s="0" t="n">
        <v>446</v>
      </c>
      <c r="AD37" s="0" t="n">
        <v>98</v>
      </c>
      <c r="AE37" s="0" t="n">
        <v>532</v>
      </c>
      <c r="AF37" s="0" t="n">
        <v>39</v>
      </c>
      <c r="AG37" s="0" t="n">
        <v>135</v>
      </c>
      <c r="AH37" s="0" t="n">
        <v>38</v>
      </c>
      <c r="AI37" s="0" t="n">
        <v>22</v>
      </c>
      <c r="AJ37" s="0" t="n">
        <v>879</v>
      </c>
      <c r="AK37" s="0" t="n">
        <v>6</v>
      </c>
      <c r="AL37" s="0" t="n">
        <v>1324</v>
      </c>
      <c r="AM37" s="0" t="n">
        <v>780</v>
      </c>
      <c r="AN37" s="0" t="n">
        <v>71</v>
      </c>
      <c r="AO37" s="0" t="n">
        <v>4722080</v>
      </c>
      <c r="AP37" s="0" t="n">
        <v>102</v>
      </c>
      <c r="AQ37" s="0" t="n">
        <v>41</v>
      </c>
      <c r="AR37" s="0" t="n">
        <v>12137</v>
      </c>
      <c r="AS37" s="0" t="n">
        <v>71</v>
      </c>
      <c r="AT37" s="0" t="n">
        <v>23</v>
      </c>
      <c r="AU37" s="0" t="n">
        <v>378</v>
      </c>
      <c r="AV37" s="0" t="n">
        <v>931</v>
      </c>
      <c r="AW37" s="0" t="n">
        <v>1036</v>
      </c>
      <c r="AX37" s="0" t="n">
        <v>128</v>
      </c>
      <c r="AY37" s="0" t="n">
        <v>3</v>
      </c>
      <c r="AZ37" s="0" t="n">
        <v>827</v>
      </c>
      <c r="BA37" s="0" t="n">
        <v>79</v>
      </c>
      <c r="BB37" s="0" t="n">
        <v>30303</v>
      </c>
      <c r="BC37" s="0" t="n">
        <v>528</v>
      </c>
      <c r="BD37" s="0" t="n">
        <v>0</v>
      </c>
      <c r="BE37" s="0" t="n">
        <v>1245</v>
      </c>
      <c r="BF37" s="0" t="n">
        <f aca="false">MAX(F37:BD37)/D37</f>
        <v>0.977727569379797</v>
      </c>
      <c r="BG37" s="0" t="n">
        <f aca="false">BF37*D37</f>
        <v>4722080</v>
      </c>
    </row>
    <row r="38" customFormat="false" ht="12.75" hidden="false" customHeight="false" outlineLevel="0" collapsed="false">
      <c r="A38" s="0" t="s">
        <v>40</v>
      </c>
      <c r="B38" s="0" t="n">
        <v>3137119</v>
      </c>
      <c r="C38" s="0" t="n">
        <v>1768425</v>
      </c>
      <c r="D38" s="0" t="n">
        <f aca="false">SUM(F38:BD38)</f>
        <v>1368128</v>
      </c>
      <c r="E38" s="0" t="n">
        <f aca="false">C38+D38+BE38</f>
        <v>3137119</v>
      </c>
      <c r="F38" s="0" t="n">
        <v>296</v>
      </c>
      <c r="G38" s="0" t="n">
        <v>83</v>
      </c>
      <c r="H38" s="0" t="n">
        <v>78</v>
      </c>
      <c r="I38" s="0" t="n">
        <v>16513</v>
      </c>
      <c r="J38" s="0" t="n">
        <v>768</v>
      </c>
      <c r="K38" s="0" t="n">
        <v>205</v>
      </c>
      <c r="L38" s="0" t="n">
        <v>68</v>
      </c>
      <c r="M38" s="0" t="n">
        <v>0</v>
      </c>
      <c r="N38" s="0" t="n">
        <v>51</v>
      </c>
      <c r="O38" s="0" t="n">
        <v>194</v>
      </c>
      <c r="P38" s="0" t="n">
        <v>394</v>
      </c>
      <c r="Q38" s="0" t="n">
        <v>78</v>
      </c>
      <c r="R38" s="0" t="n">
        <v>20</v>
      </c>
      <c r="S38" s="0" t="n">
        <v>201</v>
      </c>
      <c r="T38" s="0" t="n">
        <v>151</v>
      </c>
      <c r="U38" s="0" t="n">
        <v>134</v>
      </c>
      <c r="V38" s="0" t="n">
        <v>4783</v>
      </c>
      <c r="W38" s="0" t="n">
        <v>181</v>
      </c>
      <c r="X38" s="0" t="n">
        <v>318</v>
      </c>
      <c r="Y38" s="0" t="n">
        <v>28</v>
      </c>
      <c r="Z38" s="0" t="n">
        <v>24</v>
      </c>
      <c r="AA38" s="0" t="n">
        <v>0</v>
      </c>
      <c r="AB38" s="0" t="n">
        <v>133</v>
      </c>
      <c r="AC38" s="0" t="n">
        <v>204</v>
      </c>
      <c r="AD38" s="0" t="n">
        <v>197</v>
      </c>
      <c r="AE38" s="0" t="n">
        <v>3068</v>
      </c>
      <c r="AF38" s="0" t="n">
        <v>0</v>
      </c>
      <c r="AG38" s="0" t="n">
        <v>253</v>
      </c>
      <c r="AH38" s="0" t="n">
        <v>157</v>
      </c>
      <c r="AI38" s="0" t="n">
        <v>34</v>
      </c>
      <c r="AJ38" s="0" t="n">
        <v>89</v>
      </c>
      <c r="AK38" s="0" t="n">
        <v>299</v>
      </c>
      <c r="AL38" s="0" t="n">
        <v>116</v>
      </c>
      <c r="AM38" s="0" t="n">
        <v>109</v>
      </c>
      <c r="AN38" s="0" t="n">
        <v>37</v>
      </c>
      <c r="AO38" s="0" t="n">
        <v>251</v>
      </c>
      <c r="AP38" s="0" t="n">
        <v>1328114</v>
      </c>
      <c r="AQ38" s="0" t="n">
        <v>37</v>
      </c>
      <c r="AR38" s="0" t="n">
        <v>140</v>
      </c>
      <c r="AS38" s="0" t="n">
        <v>21</v>
      </c>
      <c r="AT38" s="0" t="n">
        <v>27</v>
      </c>
      <c r="AU38" s="0" t="n">
        <v>66</v>
      </c>
      <c r="AV38" s="0" t="n">
        <v>205</v>
      </c>
      <c r="AW38" s="0" t="n">
        <v>9587</v>
      </c>
      <c r="AX38" s="0" t="n">
        <v>45</v>
      </c>
      <c r="AY38" s="0" t="n">
        <v>0</v>
      </c>
      <c r="AZ38" s="0" t="n">
        <v>224</v>
      </c>
      <c r="BA38" s="0" t="n">
        <v>24</v>
      </c>
      <c r="BB38" s="0" t="n">
        <v>28</v>
      </c>
      <c r="BC38" s="0" t="n">
        <v>95</v>
      </c>
      <c r="BD38" s="0" t="n">
        <v>0</v>
      </c>
      <c r="BE38" s="0" t="n">
        <v>566</v>
      </c>
      <c r="BF38" s="0" t="n">
        <f aca="false">MAX(F38:BD38)/D38</f>
        <v>0.97075273658605</v>
      </c>
      <c r="BG38" s="0" t="n">
        <f aca="false">BF38*D38</f>
        <v>1328114</v>
      </c>
    </row>
    <row r="39" customFormat="false" ht="12.75" hidden="false" customHeight="false" outlineLevel="0" collapsed="false">
      <c r="A39" s="0" t="s">
        <v>41</v>
      </c>
      <c r="B39" s="0" t="n">
        <v>2832819</v>
      </c>
      <c r="C39" s="0" t="n">
        <v>1538425</v>
      </c>
      <c r="D39" s="0" t="n">
        <f aca="false">SUM(F39:BD39)</f>
        <v>1293876</v>
      </c>
      <c r="E39" s="0" t="n">
        <f aca="false">C39+D39+BE39</f>
        <v>2832819</v>
      </c>
      <c r="F39" s="0" t="n">
        <v>0</v>
      </c>
      <c r="G39" s="0" t="n">
        <v>784</v>
      </c>
      <c r="H39" s="0" t="n">
        <v>285</v>
      </c>
      <c r="I39" s="0" t="n">
        <v>41</v>
      </c>
      <c r="J39" s="0" t="n">
        <v>4252</v>
      </c>
      <c r="K39" s="0" t="n">
        <v>131</v>
      </c>
      <c r="L39" s="0" t="n">
        <v>0</v>
      </c>
      <c r="M39" s="0" t="n">
        <v>0</v>
      </c>
      <c r="N39" s="0" t="n">
        <v>51</v>
      </c>
      <c r="O39" s="0" t="n">
        <v>7</v>
      </c>
      <c r="P39" s="0" t="n">
        <v>144</v>
      </c>
      <c r="Q39" s="0" t="n">
        <v>236</v>
      </c>
      <c r="R39" s="0" t="n">
        <v>1670</v>
      </c>
      <c r="S39" s="0" t="n">
        <v>0</v>
      </c>
      <c r="T39" s="0" t="n">
        <v>20</v>
      </c>
      <c r="U39" s="0" t="n">
        <v>61</v>
      </c>
      <c r="V39" s="0" t="n">
        <v>31</v>
      </c>
      <c r="W39" s="0" t="n">
        <v>13</v>
      </c>
      <c r="X39" s="0" t="n">
        <v>0</v>
      </c>
      <c r="Y39" s="0" t="n">
        <v>0</v>
      </c>
      <c r="Z39" s="0" t="n">
        <v>48</v>
      </c>
      <c r="AA39" s="0" t="n">
        <v>0</v>
      </c>
      <c r="AB39" s="0" t="n">
        <v>39</v>
      </c>
      <c r="AC39" s="0" t="n">
        <v>54</v>
      </c>
      <c r="AD39" s="0" t="n">
        <v>16</v>
      </c>
      <c r="AE39" s="0" t="n">
        <v>73</v>
      </c>
      <c r="AF39" s="0" t="n">
        <v>101</v>
      </c>
      <c r="AG39" s="0" t="n">
        <v>0</v>
      </c>
      <c r="AH39" s="0" t="n">
        <v>116</v>
      </c>
      <c r="AI39" s="0" t="n">
        <v>0</v>
      </c>
      <c r="AJ39" s="0" t="n">
        <v>22</v>
      </c>
      <c r="AK39" s="0" t="n">
        <v>19</v>
      </c>
      <c r="AL39" s="0" t="n">
        <v>200</v>
      </c>
      <c r="AM39" s="0" t="n">
        <v>77</v>
      </c>
      <c r="AN39" s="0" t="n">
        <v>64</v>
      </c>
      <c r="AO39" s="0" t="n">
        <v>0</v>
      </c>
      <c r="AP39" s="0" t="n">
        <v>54</v>
      </c>
      <c r="AQ39" s="0" t="n">
        <v>1266489</v>
      </c>
      <c r="AR39" s="0" t="n">
        <v>103</v>
      </c>
      <c r="AS39" s="0" t="n">
        <v>0</v>
      </c>
      <c r="AT39" s="0" t="n">
        <v>0</v>
      </c>
      <c r="AU39" s="0" t="n">
        <v>80</v>
      </c>
      <c r="AV39" s="0" t="n">
        <v>19</v>
      </c>
      <c r="AW39" s="0" t="n">
        <v>196</v>
      </c>
      <c r="AX39" s="0" t="n">
        <v>246</v>
      </c>
      <c r="AY39" s="0" t="n">
        <v>0</v>
      </c>
      <c r="AZ39" s="0" t="n">
        <v>102</v>
      </c>
      <c r="BA39" s="0" t="n">
        <v>17846</v>
      </c>
      <c r="BB39" s="0" t="n">
        <v>0</v>
      </c>
      <c r="BC39" s="0" t="n">
        <v>176</v>
      </c>
      <c r="BD39" s="0" t="n">
        <v>10</v>
      </c>
      <c r="BE39" s="0" t="n">
        <v>518</v>
      </c>
      <c r="BF39" s="0" t="n">
        <f aca="false">MAX(F39:BD39)/D39</f>
        <v>0.97883336579394</v>
      </c>
      <c r="BG39" s="0" t="n">
        <f aca="false">BF39*D39</f>
        <v>1266489</v>
      </c>
    </row>
    <row r="40" customFormat="false" ht="12.75" hidden="false" customHeight="false" outlineLevel="0" collapsed="false">
      <c r="A40" s="0" t="s">
        <v>42</v>
      </c>
      <c r="B40" s="0" t="n">
        <v>11853450</v>
      </c>
      <c r="C40" s="0" t="n">
        <v>6514916</v>
      </c>
      <c r="D40" s="0" t="n">
        <f aca="false">SUM(F40:BD40)</f>
        <v>5337143</v>
      </c>
      <c r="E40" s="0" t="n">
        <f aca="false">C40+D40+BE40</f>
        <v>11853450</v>
      </c>
      <c r="F40" s="0" t="n">
        <v>202</v>
      </c>
      <c r="G40" s="0" t="n">
        <v>55</v>
      </c>
      <c r="H40" s="0" t="n">
        <v>65</v>
      </c>
      <c r="I40" s="0" t="n">
        <v>76</v>
      </c>
      <c r="J40" s="0" t="n">
        <v>1575</v>
      </c>
      <c r="K40" s="0" t="n">
        <v>190</v>
      </c>
      <c r="L40" s="0" t="n">
        <v>816</v>
      </c>
      <c r="M40" s="0" t="n">
        <v>21188</v>
      </c>
      <c r="N40" s="0" t="n">
        <v>1621</v>
      </c>
      <c r="O40" s="0" t="n">
        <v>1503</v>
      </c>
      <c r="P40" s="0" t="n">
        <v>831</v>
      </c>
      <c r="Q40" s="0" t="n">
        <v>120</v>
      </c>
      <c r="R40" s="0" t="n">
        <v>0</v>
      </c>
      <c r="S40" s="0" t="n">
        <v>900</v>
      </c>
      <c r="T40" s="0" t="n">
        <v>737</v>
      </c>
      <c r="U40" s="0" t="n">
        <v>79</v>
      </c>
      <c r="V40" s="0" t="n">
        <v>174</v>
      </c>
      <c r="W40" s="0" t="n">
        <v>241</v>
      </c>
      <c r="X40" s="0" t="n">
        <v>166</v>
      </c>
      <c r="Y40" s="0" t="n">
        <v>175</v>
      </c>
      <c r="Z40" s="0" t="n">
        <v>31921</v>
      </c>
      <c r="AA40" s="0" t="n">
        <v>995</v>
      </c>
      <c r="AB40" s="0" t="n">
        <v>647</v>
      </c>
      <c r="AC40" s="0" t="n">
        <v>199</v>
      </c>
      <c r="AD40" s="0" t="n">
        <v>117</v>
      </c>
      <c r="AE40" s="0" t="n">
        <v>360</v>
      </c>
      <c r="AF40" s="0" t="n">
        <v>21</v>
      </c>
      <c r="AG40" s="0" t="n">
        <v>87</v>
      </c>
      <c r="AH40" s="0" t="n">
        <v>37</v>
      </c>
      <c r="AI40" s="0" t="n">
        <v>107</v>
      </c>
      <c r="AJ40" s="0" t="n">
        <v>107381</v>
      </c>
      <c r="AK40" s="0" t="n">
        <v>7</v>
      </c>
      <c r="AL40" s="0" t="n">
        <v>29234</v>
      </c>
      <c r="AM40" s="0" t="n">
        <v>1024</v>
      </c>
      <c r="AN40" s="0" t="n">
        <v>7</v>
      </c>
      <c r="AO40" s="0" t="n">
        <v>12063</v>
      </c>
      <c r="AP40" s="0" t="n">
        <v>57</v>
      </c>
      <c r="AQ40" s="0" t="n">
        <v>109</v>
      </c>
      <c r="AR40" s="0" t="n">
        <v>5108930</v>
      </c>
      <c r="AS40" s="0" t="n">
        <v>75</v>
      </c>
      <c r="AT40" s="0" t="n">
        <v>0</v>
      </c>
      <c r="AU40" s="0" t="n">
        <v>515</v>
      </c>
      <c r="AV40" s="0" t="n">
        <v>364</v>
      </c>
      <c r="AW40" s="0" t="n">
        <v>1045</v>
      </c>
      <c r="AX40" s="0" t="n">
        <v>36</v>
      </c>
      <c r="AY40" s="0" t="n">
        <v>0</v>
      </c>
      <c r="AZ40" s="0" t="n">
        <v>3512</v>
      </c>
      <c r="BA40" s="0" t="n">
        <v>250</v>
      </c>
      <c r="BB40" s="0" t="n">
        <v>7170</v>
      </c>
      <c r="BC40" s="0" t="n">
        <v>159</v>
      </c>
      <c r="BD40" s="0" t="n">
        <v>0</v>
      </c>
      <c r="BE40" s="0" t="n">
        <v>1391</v>
      </c>
      <c r="BF40" s="0" t="n">
        <f aca="false">MAX(F40:BD40)/D40</f>
        <v>0.957240606069577</v>
      </c>
      <c r="BG40" s="0" t="n">
        <f aca="false">BF40*D40</f>
        <v>5108930</v>
      </c>
    </row>
    <row r="41" customFormat="false" ht="12.75" hidden="false" customHeight="false" outlineLevel="0" collapsed="false">
      <c r="A41" s="0" t="s">
        <v>43</v>
      </c>
      <c r="B41" s="0" t="n">
        <v>1002334</v>
      </c>
      <c r="C41" s="0" t="n">
        <v>523298</v>
      </c>
      <c r="D41" s="0" t="n">
        <f aca="false">SUM(F41:BD41)</f>
        <v>478945</v>
      </c>
      <c r="E41" s="0" t="n">
        <f aca="false">C41+D41+BE41</f>
        <v>1002334</v>
      </c>
      <c r="F41" s="0" t="n">
        <v>49</v>
      </c>
      <c r="G41" s="0" t="n">
        <v>23</v>
      </c>
      <c r="H41" s="0" t="n">
        <v>0</v>
      </c>
      <c r="I41" s="0" t="n">
        <v>0</v>
      </c>
      <c r="J41" s="0" t="n">
        <v>114</v>
      </c>
      <c r="K41" s="0" t="n">
        <v>0</v>
      </c>
      <c r="L41" s="0" t="n">
        <v>9153</v>
      </c>
      <c r="M41" s="0" t="n">
        <v>0</v>
      </c>
      <c r="N41" s="0" t="n">
        <v>60</v>
      </c>
      <c r="O41" s="0" t="n">
        <v>95</v>
      </c>
      <c r="P41" s="0" t="n">
        <v>204</v>
      </c>
      <c r="Q41" s="0" t="n">
        <v>15</v>
      </c>
      <c r="R41" s="0" t="n">
        <v>0</v>
      </c>
      <c r="S41" s="0" t="n">
        <v>57</v>
      </c>
      <c r="T41" s="0" t="n">
        <v>0</v>
      </c>
      <c r="U41" s="0" t="n">
        <v>0</v>
      </c>
      <c r="V41" s="0" t="n">
        <v>16</v>
      </c>
      <c r="W41" s="0" t="n">
        <v>0</v>
      </c>
      <c r="X41" s="0" t="n">
        <v>0</v>
      </c>
      <c r="Y41" s="0" t="n">
        <v>136</v>
      </c>
      <c r="Z41" s="0" t="n">
        <v>18</v>
      </c>
      <c r="AA41" s="0" t="n">
        <v>45365</v>
      </c>
      <c r="AB41" s="0" t="n">
        <v>23</v>
      </c>
      <c r="AC41" s="0" t="n">
        <v>28</v>
      </c>
      <c r="AD41" s="0" t="n">
        <v>0</v>
      </c>
      <c r="AE41" s="0" t="n">
        <v>36</v>
      </c>
      <c r="AF41" s="0" t="n">
        <v>0</v>
      </c>
      <c r="AG41" s="0" t="n">
        <v>65</v>
      </c>
      <c r="AH41" s="0" t="n">
        <v>0</v>
      </c>
      <c r="AI41" s="0" t="n">
        <v>182</v>
      </c>
      <c r="AJ41" s="0" t="n">
        <v>132</v>
      </c>
      <c r="AK41" s="0" t="n">
        <v>0</v>
      </c>
      <c r="AL41" s="0" t="n">
        <v>601</v>
      </c>
      <c r="AM41" s="0" t="n">
        <v>52</v>
      </c>
      <c r="AN41" s="0" t="n">
        <v>23</v>
      </c>
      <c r="AO41" s="0" t="n">
        <v>38</v>
      </c>
      <c r="AP41" s="0" t="n">
        <v>0</v>
      </c>
      <c r="AQ41" s="0" t="n">
        <v>0</v>
      </c>
      <c r="AR41" s="0" t="n">
        <v>72</v>
      </c>
      <c r="AS41" s="0" t="n">
        <v>422025</v>
      </c>
      <c r="AT41" s="0" t="n">
        <v>0</v>
      </c>
      <c r="AU41" s="0" t="n">
        <v>49</v>
      </c>
      <c r="AV41" s="0" t="n">
        <v>0</v>
      </c>
      <c r="AW41" s="0" t="n">
        <v>21</v>
      </c>
      <c r="AX41" s="0" t="n">
        <v>0</v>
      </c>
      <c r="AY41" s="0" t="n">
        <v>112</v>
      </c>
      <c r="AZ41" s="0" t="n">
        <v>181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91</v>
      </c>
      <c r="BF41" s="0" t="n">
        <f aca="false">MAX(F41:BD41)/D41</f>
        <v>0.881155456263245</v>
      </c>
      <c r="BG41" s="0" t="n">
        <f aca="false">BF41*D41</f>
        <v>422025</v>
      </c>
    </row>
    <row r="42" customFormat="false" ht="12.75" hidden="false" customHeight="false" outlineLevel="0" collapsed="false">
      <c r="A42" s="0" t="s">
        <v>44</v>
      </c>
      <c r="B42" s="0" t="n">
        <v>693206</v>
      </c>
      <c r="C42" s="0" t="n">
        <v>368679</v>
      </c>
      <c r="D42" s="0" t="n">
        <f aca="false">SUM(F42:BD42)</f>
        <v>324432</v>
      </c>
      <c r="E42" s="0" t="n">
        <f aca="false">C42+D42+BE42</f>
        <v>693206</v>
      </c>
      <c r="F42" s="0" t="n">
        <v>0</v>
      </c>
      <c r="G42" s="0" t="n">
        <v>24</v>
      </c>
      <c r="H42" s="0" t="n">
        <v>43</v>
      </c>
      <c r="I42" s="0" t="n">
        <v>38</v>
      </c>
      <c r="J42" s="0" t="n">
        <v>159</v>
      </c>
      <c r="K42" s="0" t="n">
        <v>78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29</v>
      </c>
      <c r="Q42" s="0" t="n">
        <v>0</v>
      </c>
      <c r="R42" s="0" t="n">
        <v>0</v>
      </c>
      <c r="S42" s="0" t="n">
        <v>0</v>
      </c>
      <c r="T42" s="0" t="n">
        <v>34</v>
      </c>
      <c r="U42" s="0" t="n">
        <v>1598</v>
      </c>
      <c r="V42" s="0" t="n">
        <v>86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18</v>
      </c>
      <c r="AB42" s="0" t="n">
        <v>9</v>
      </c>
      <c r="AC42" s="0" t="n">
        <v>1380</v>
      </c>
      <c r="AD42" s="0" t="n">
        <v>0</v>
      </c>
      <c r="AE42" s="0" t="n">
        <v>52</v>
      </c>
      <c r="AF42" s="0" t="n">
        <v>48</v>
      </c>
      <c r="AG42" s="0" t="n">
        <v>878</v>
      </c>
      <c r="AH42" s="0" t="n">
        <v>13</v>
      </c>
      <c r="AI42" s="0" t="n">
        <v>0</v>
      </c>
      <c r="AJ42" s="0" t="n">
        <v>0</v>
      </c>
      <c r="AK42" s="0" t="n">
        <v>0</v>
      </c>
      <c r="AL42" s="0" t="n">
        <v>24</v>
      </c>
      <c r="AM42" s="0" t="n">
        <v>0</v>
      </c>
      <c r="AN42" s="0" t="n">
        <v>620</v>
      </c>
      <c r="AO42" s="0" t="n">
        <v>53</v>
      </c>
      <c r="AP42" s="0" t="n">
        <v>0</v>
      </c>
      <c r="AQ42" s="0" t="n">
        <v>10</v>
      </c>
      <c r="AR42" s="0" t="n">
        <v>0</v>
      </c>
      <c r="AS42" s="0" t="n">
        <v>0</v>
      </c>
      <c r="AT42" s="0" t="n">
        <v>318516</v>
      </c>
      <c r="AU42" s="0" t="n">
        <v>0</v>
      </c>
      <c r="AV42" s="0" t="n">
        <v>0</v>
      </c>
      <c r="AW42" s="0" t="n">
        <v>193</v>
      </c>
      <c r="AX42" s="0" t="n">
        <v>0</v>
      </c>
      <c r="AY42" s="0" t="n">
        <v>0</v>
      </c>
      <c r="AZ42" s="0" t="n">
        <v>0</v>
      </c>
      <c r="BA42" s="0" t="n">
        <v>67</v>
      </c>
      <c r="BB42" s="0" t="n">
        <v>0</v>
      </c>
      <c r="BC42" s="0" t="n">
        <v>38</v>
      </c>
      <c r="BD42" s="0" t="n">
        <v>424</v>
      </c>
      <c r="BE42" s="0" t="n">
        <v>95</v>
      </c>
      <c r="BF42" s="0" t="n">
        <f aca="false">MAX(F42:BD42)/D42</f>
        <v>0.981765054002071</v>
      </c>
      <c r="BG42" s="0" t="n">
        <f aca="false">BF42*D42</f>
        <v>318516</v>
      </c>
    </row>
    <row r="43" customFormat="false" ht="12.75" hidden="false" customHeight="false" outlineLevel="0" collapsed="false">
      <c r="A43" s="0" t="s">
        <v>45</v>
      </c>
      <c r="B43" s="0" t="n">
        <v>3480936</v>
      </c>
      <c r="C43" s="0" t="n">
        <v>1849878</v>
      </c>
      <c r="D43" s="0" t="n">
        <f aca="false">SUM(F43:BD43)</f>
        <v>1628991</v>
      </c>
      <c r="E43" s="0" t="n">
        <f aca="false">C43+D43+BE43</f>
        <v>3480936</v>
      </c>
      <c r="F43" s="0" t="n">
        <v>297</v>
      </c>
      <c r="G43" s="0" t="n">
        <v>18</v>
      </c>
      <c r="H43" s="0" t="n">
        <v>60</v>
      </c>
      <c r="I43" s="0" t="n">
        <v>36</v>
      </c>
      <c r="J43" s="0" t="n">
        <v>318</v>
      </c>
      <c r="K43" s="0" t="n">
        <v>93</v>
      </c>
      <c r="L43" s="0" t="n">
        <v>126</v>
      </c>
      <c r="M43" s="0" t="n">
        <v>69</v>
      </c>
      <c r="N43" s="0" t="n">
        <v>165</v>
      </c>
      <c r="O43" s="0" t="n">
        <v>1239</v>
      </c>
      <c r="P43" s="0" t="n">
        <v>17454</v>
      </c>
      <c r="Q43" s="0" t="n">
        <v>90</v>
      </c>
      <c r="R43" s="0" t="n">
        <v>0</v>
      </c>
      <c r="S43" s="0" t="n">
        <v>474</v>
      </c>
      <c r="T43" s="0" t="n">
        <v>24</v>
      </c>
      <c r="U43" s="0" t="n">
        <v>57</v>
      </c>
      <c r="V43" s="0" t="n">
        <v>30</v>
      </c>
      <c r="W43" s="0" t="n">
        <v>126</v>
      </c>
      <c r="X43" s="0" t="n">
        <v>126</v>
      </c>
      <c r="Y43" s="0" t="n">
        <v>27</v>
      </c>
      <c r="Z43" s="0" t="n">
        <v>171</v>
      </c>
      <c r="AA43" s="0" t="n">
        <v>189</v>
      </c>
      <c r="AB43" s="0" t="n">
        <v>69</v>
      </c>
      <c r="AC43" s="0" t="n">
        <v>132</v>
      </c>
      <c r="AD43" s="0" t="n">
        <v>90</v>
      </c>
      <c r="AE43" s="0" t="n">
        <v>42</v>
      </c>
      <c r="AF43" s="0" t="n">
        <v>15</v>
      </c>
      <c r="AG43" s="0" t="n">
        <v>24</v>
      </c>
      <c r="AH43" s="0" t="n">
        <v>39</v>
      </c>
      <c r="AI43" s="0" t="n">
        <v>0</v>
      </c>
      <c r="AJ43" s="0" t="n">
        <v>273</v>
      </c>
      <c r="AK43" s="0" t="n">
        <v>36</v>
      </c>
      <c r="AL43" s="0" t="n">
        <v>615</v>
      </c>
      <c r="AM43" s="0" t="n">
        <v>40143</v>
      </c>
      <c r="AN43" s="0" t="n">
        <v>0</v>
      </c>
      <c r="AO43" s="0" t="n">
        <v>228</v>
      </c>
      <c r="AP43" s="0" t="n">
        <v>147</v>
      </c>
      <c r="AQ43" s="0" t="n">
        <v>0</v>
      </c>
      <c r="AR43" s="0" t="n">
        <v>327</v>
      </c>
      <c r="AS43" s="0" t="n">
        <v>27</v>
      </c>
      <c r="AT43" s="0" t="n">
        <v>18</v>
      </c>
      <c r="AU43" s="0" t="n">
        <v>1563576</v>
      </c>
      <c r="AV43" s="0" t="n">
        <v>270</v>
      </c>
      <c r="AW43" s="0" t="n">
        <v>381</v>
      </c>
      <c r="AX43" s="0" t="n">
        <v>21</v>
      </c>
      <c r="AY43" s="0" t="n">
        <v>0</v>
      </c>
      <c r="AZ43" s="0" t="n">
        <v>1026</v>
      </c>
      <c r="BA43" s="0" t="n">
        <v>144</v>
      </c>
      <c r="BB43" s="0" t="n">
        <v>63</v>
      </c>
      <c r="BC43" s="0" t="n">
        <v>96</v>
      </c>
      <c r="BD43" s="0" t="n">
        <v>0</v>
      </c>
      <c r="BE43" s="0" t="n">
        <v>2067</v>
      </c>
      <c r="BF43" s="0" t="n">
        <f aca="false">MAX(F43:BD43)/D43</f>
        <v>0.959843240386227</v>
      </c>
      <c r="BG43" s="0" t="n">
        <f aca="false">BF43*D43</f>
        <v>1563576</v>
      </c>
    </row>
    <row r="44" customFormat="false" ht="12.75" hidden="false" customHeight="false" outlineLevel="0" collapsed="false">
      <c r="A44" s="0" t="s">
        <v>46</v>
      </c>
      <c r="B44" s="0" t="n">
        <v>4861437</v>
      </c>
      <c r="C44" s="0" t="n">
        <v>2619519</v>
      </c>
      <c r="D44" s="0" t="n">
        <f aca="false">SUM(F44:BD44)</f>
        <v>2241495</v>
      </c>
      <c r="E44" s="0" t="n">
        <f aca="false">C44+D44+BE44</f>
        <v>4861437</v>
      </c>
      <c r="F44" s="0" t="n">
        <v>8280</v>
      </c>
      <c r="G44" s="0" t="n">
        <v>75</v>
      </c>
      <c r="H44" s="0" t="n">
        <v>138</v>
      </c>
      <c r="I44" s="0" t="n">
        <v>2382</v>
      </c>
      <c r="J44" s="0" t="n">
        <v>879</v>
      </c>
      <c r="K44" s="0" t="n">
        <v>153</v>
      </c>
      <c r="L44" s="0" t="n">
        <v>96</v>
      </c>
      <c r="M44" s="0" t="n">
        <v>51</v>
      </c>
      <c r="N44" s="0" t="n">
        <v>108</v>
      </c>
      <c r="O44" s="0" t="n">
        <v>1017</v>
      </c>
      <c r="P44" s="0" t="n">
        <v>11970</v>
      </c>
      <c r="Q44" s="0" t="n">
        <v>36</v>
      </c>
      <c r="R44" s="0" t="n">
        <v>18</v>
      </c>
      <c r="S44" s="0" t="n">
        <v>774</v>
      </c>
      <c r="T44" s="0" t="n">
        <v>825</v>
      </c>
      <c r="U44" s="0" t="n">
        <v>153</v>
      </c>
      <c r="V44" s="0" t="n">
        <v>111</v>
      </c>
      <c r="W44" s="0" t="n">
        <v>19320</v>
      </c>
      <c r="X44" s="0" t="n">
        <v>642</v>
      </c>
      <c r="Y44" s="0" t="n">
        <v>6</v>
      </c>
      <c r="Z44" s="0" t="n">
        <v>243</v>
      </c>
      <c r="AA44" s="0" t="n">
        <v>96</v>
      </c>
      <c r="AB44" s="0" t="n">
        <v>483</v>
      </c>
      <c r="AC44" s="0" t="n">
        <v>276</v>
      </c>
      <c r="AD44" s="0" t="n">
        <v>8394</v>
      </c>
      <c r="AE44" s="0" t="n">
        <v>519</v>
      </c>
      <c r="AF44" s="0" t="n">
        <v>0</v>
      </c>
      <c r="AG44" s="0" t="n">
        <v>120</v>
      </c>
      <c r="AH44" s="0" t="n">
        <v>117</v>
      </c>
      <c r="AI44" s="0" t="n">
        <v>21</v>
      </c>
      <c r="AJ44" s="0" t="n">
        <v>57</v>
      </c>
      <c r="AK44" s="0" t="n">
        <v>54</v>
      </c>
      <c r="AL44" s="0" t="n">
        <v>603</v>
      </c>
      <c r="AM44" s="0" t="n">
        <v>3444</v>
      </c>
      <c r="AN44" s="0" t="n">
        <v>0</v>
      </c>
      <c r="AO44" s="0" t="n">
        <v>669</v>
      </c>
      <c r="AP44" s="0" t="n">
        <v>126</v>
      </c>
      <c r="AQ44" s="0" t="n">
        <v>21</v>
      </c>
      <c r="AR44" s="0" t="n">
        <v>204</v>
      </c>
      <c r="AS44" s="0" t="n">
        <v>0</v>
      </c>
      <c r="AT44" s="0" t="n">
        <v>0</v>
      </c>
      <c r="AU44" s="0" t="n">
        <v>1068</v>
      </c>
      <c r="AV44" s="0" t="n">
        <v>2167530</v>
      </c>
      <c r="AW44" s="0" t="n">
        <v>804</v>
      </c>
      <c r="AX44" s="0" t="n">
        <v>18</v>
      </c>
      <c r="AY44" s="0" t="n">
        <v>0</v>
      </c>
      <c r="AZ44" s="0" t="n">
        <v>9153</v>
      </c>
      <c r="BA44" s="0" t="n">
        <v>108</v>
      </c>
      <c r="BB44" s="0" t="n">
        <v>114</v>
      </c>
      <c r="BC44" s="0" t="n">
        <v>219</v>
      </c>
      <c r="BD44" s="0" t="n">
        <v>0</v>
      </c>
      <c r="BE44" s="0" t="n">
        <v>423</v>
      </c>
      <c r="BF44" s="0" t="n">
        <f aca="false">MAX(F44:BD44)/D44</f>
        <v>0.9670019339771</v>
      </c>
      <c r="BG44" s="0" t="n">
        <f aca="false">BF44*D44</f>
        <v>2167530</v>
      </c>
    </row>
    <row r="45" customFormat="false" ht="12.75" hidden="false" customHeight="false" outlineLevel="0" collapsed="false">
      <c r="A45" s="0" t="s">
        <v>47</v>
      </c>
      <c r="B45" s="0" t="n">
        <v>16763610</v>
      </c>
      <c r="C45" s="0" t="n">
        <v>9237172</v>
      </c>
      <c r="D45" s="0" t="n">
        <f aca="false">SUM(F45:BD45)</f>
        <v>7519296</v>
      </c>
      <c r="E45" s="0" t="n">
        <f aca="false">C45+D45+BE45</f>
        <v>16763610</v>
      </c>
      <c r="F45" s="0" t="n">
        <v>814</v>
      </c>
      <c r="G45" s="0" t="n">
        <v>310</v>
      </c>
      <c r="H45" s="0" t="n">
        <v>1198</v>
      </c>
      <c r="I45" s="0" t="n">
        <v>7232</v>
      </c>
      <c r="J45" s="0" t="n">
        <v>4994</v>
      </c>
      <c r="K45" s="0" t="n">
        <v>1022</v>
      </c>
      <c r="L45" s="0" t="n">
        <v>263</v>
      </c>
      <c r="M45" s="0" t="n">
        <v>58</v>
      </c>
      <c r="N45" s="0" t="n">
        <v>530</v>
      </c>
      <c r="O45" s="0" t="n">
        <v>2561</v>
      </c>
      <c r="P45" s="0" t="n">
        <v>1543</v>
      </c>
      <c r="Q45" s="0" t="n">
        <v>596</v>
      </c>
      <c r="R45" s="0" t="n">
        <v>96</v>
      </c>
      <c r="S45" s="0" t="n">
        <v>1806</v>
      </c>
      <c r="T45" s="0" t="n">
        <v>574</v>
      </c>
      <c r="U45" s="0" t="n">
        <v>330</v>
      </c>
      <c r="V45" s="0" t="n">
        <v>779</v>
      </c>
      <c r="W45" s="0" t="n">
        <v>304</v>
      </c>
      <c r="X45" s="0" t="n">
        <v>8800</v>
      </c>
      <c r="Y45" s="0" t="n">
        <v>75</v>
      </c>
      <c r="Z45" s="0" t="n">
        <v>711</v>
      </c>
      <c r="AA45" s="0" t="n">
        <v>503</v>
      </c>
      <c r="AB45" s="0" t="n">
        <v>740</v>
      </c>
      <c r="AC45" s="0" t="n">
        <v>528</v>
      </c>
      <c r="AD45" s="0" t="n">
        <v>558</v>
      </c>
      <c r="AE45" s="0" t="n">
        <v>1354</v>
      </c>
      <c r="AF45" s="0" t="n">
        <v>39</v>
      </c>
      <c r="AG45" s="0" t="n">
        <v>543</v>
      </c>
      <c r="AH45" s="0" t="n">
        <v>610</v>
      </c>
      <c r="AI45" s="0" t="n">
        <v>72</v>
      </c>
      <c r="AJ45" s="0" t="n">
        <v>783</v>
      </c>
      <c r="AK45" s="0" t="n">
        <v>6981</v>
      </c>
      <c r="AL45" s="0" t="n">
        <v>1368</v>
      </c>
      <c r="AM45" s="0" t="n">
        <v>943</v>
      </c>
      <c r="AN45" s="0" t="n">
        <v>34</v>
      </c>
      <c r="AO45" s="0" t="n">
        <v>1014</v>
      </c>
      <c r="AP45" s="0" t="n">
        <v>4094</v>
      </c>
      <c r="AQ45" s="0" t="n">
        <v>134</v>
      </c>
      <c r="AR45" s="0" t="n">
        <v>1066</v>
      </c>
      <c r="AS45" s="0" t="n">
        <v>43</v>
      </c>
      <c r="AT45" s="0" t="n">
        <v>0</v>
      </c>
      <c r="AU45" s="0" t="n">
        <v>775</v>
      </c>
      <c r="AV45" s="0" t="n">
        <v>907</v>
      </c>
      <c r="AW45" s="0" t="n">
        <v>7459209</v>
      </c>
      <c r="AX45" s="0" t="n">
        <v>128</v>
      </c>
      <c r="AY45" s="0" t="n">
        <v>0</v>
      </c>
      <c r="AZ45" s="0" t="n">
        <v>1167</v>
      </c>
      <c r="BA45" s="0" t="n">
        <v>559</v>
      </c>
      <c r="BB45" s="0" t="n">
        <v>95</v>
      </c>
      <c r="BC45" s="0" t="n">
        <v>227</v>
      </c>
      <c r="BD45" s="0" t="n">
        <v>226</v>
      </c>
      <c r="BE45" s="0" t="n">
        <v>7142</v>
      </c>
      <c r="BF45" s="0" t="n">
        <f aca="false">MAX(F45:BD45)/D45</f>
        <v>0.992008959349386</v>
      </c>
      <c r="BG45" s="0" t="n">
        <f aca="false">BF45*D45</f>
        <v>7459209</v>
      </c>
    </row>
    <row r="46" customFormat="false" ht="12.75" hidden="false" customHeight="false" outlineLevel="0" collapsed="false">
      <c r="A46" s="0" t="s">
        <v>48</v>
      </c>
      <c r="B46" s="0" t="n">
        <v>1721828</v>
      </c>
      <c r="C46" s="0" t="n">
        <v>987951</v>
      </c>
      <c r="D46" s="0" t="n">
        <f aca="false">SUM(F46:BD46)</f>
        <v>733437</v>
      </c>
      <c r="E46" s="0" t="n">
        <f aca="false">C46+D46+BE46</f>
        <v>1721828</v>
      </c>
      <c r="F46" s="0" t="n">
        <v>21</v>
      </c>
      <c r="G46" s="0" t="n">
        <v>119</v>
      </c>
      <c r="H46" s="0" t="n">
        <v>1169</v>
      </c>
      <c r="I46" s="0" t="n">
        <v>0</v>
      </c>
      <c r="J46" s="0" t="n">
        <v>1788</v>
      </c>
      <c r="K46" s="0" t="n">
        <v>480</v>
      </c>
      <c r="L46" s="0" t="n">
        <v>20</v>
      </c>
      <c r="M46" s="0" t="n">
        <v>27</v>
      </c>
      <c r="N46" s="0" t="n">
        <v>104</v>
      </c>
      <c r="O46" s="0" t="n">
        <v>21</v>
      </c>
      <c r="P46" s="0" t="n">
        <v>67</v>
      </c>
      <c r="Q46" s="0" t="n">
        <v>86</v>
      </c>
      <c r="R46" s="0" t="n">
        <v>847</v>
      </c>
      <c r="S46" s="0" t="n">
        <v>105</v>
      </c>
      <c r="T46" s="0" t="n">
        <v>47</v>
      </c>
      <c r="U46" s="0" t="n">
        <v>21</v>
      </c>
      <c r="V46" s="0" t="n">
        <v>0</v>
      </c>
      <c r="W46" s="0" t="n">
        <v>20</v>
      </c>
      <c r="X46" s="0" t="n">
        <v>24</v>
      </c>
      <c r="Y46" s="0" t="n">
        <v>0</v>
      </c>
      <c r="Z46" s="0" t="n">
        <v>63</v>
      </c>
      <c r="AA46" s="0" t="n">
        <v>51</v>
      </c>
      <c r="AB46" s="0" t="n">
        <v>30</v>
      </c>
      <c r="AC46" s="0" t="n">
        <v>27</v>
      </c>
      <c r="AD46" s="0" t="n">
        <v>24</v>
      </c>
      <c r="AE46" s="0" t="n">
        <v>81</v>
      </c>
      <c r="AF46" s="0" t="n">
        <v>140</v>
      </c>
      <c r="AG46" s="0" t="n">
        <v>83</v>
      </c>
      <c r="AH46" s="0" t="n">
        <v>2150</v>
      </c>
      <c r="AI46" s="0" t="n">
        <v>0</v>
      </c>
      <c r="AJ46" s="0" t="n">
        <v>11</v>
      </c>
      <c r="AK46" s="0" t="n">
        <v>208</v>
      </c>
      <c r="AL46" s="0" t="n">
        <v>103</v>
      </c>
      <c r="AM46" s="0" t="n">
        <v>24</v>
      </c>
      <c r="AN46" s="0" t="n">
        <v>0</v>
      </c>
      <c r="AO46" s="0" t="n">
        <v>114</v>
      </c>
      <c r="AP46" s="0" t="n">
        <v>30</v>
      </c>
      <c r="AQ46" s="0" t="n">
        <v>101</v>
      </c>
      <c r="AR46" s="0" t="n">
        <v>27</v>
      </c>
      <c r="AS46" s="0" t="n">
        <v>0</v>
      </c>
      <c r="AT46" s="0" t="n">
        <v>0</v>
      </c>
      <c r="AU46" s="0" t="n">
        <v>0</v>
      </c>
      <c r="AV46" s="0" t="n">
        <v>7</v>
      </c>
      <c r="AW46" s="0" t="n">
        <v>284</v>
      </c>
      <c r="AX46" s="0" t="n">
        <v>723681</v>
      </c>
      <c r="AY46" s="0" t="n">
        <v>0</v>
      </c>
      <c r="AZ46" s="0" t="n">
        <v>74</v>
      </c>
      <c r="BA46" s="0" t="n">
        <v>330</v>
      </c>
      <c r="BB46" s="0" t="n">
        <v>0</v>
      </c>
      <c r="BC46" s="0" t="n">
        <v>64</v>
      </c>
      <c r="BD46" s="0" t="n">
        <v>764</v>
      </c>
      <c r="BE46" s="0" t="n">
        <v>440</v>
      </c>
      <c r="BF46" s="0" t="n">
        <f aca="false">MAX(F46:BD46)/D46</f>
        <v>0.986698244020959</v>
      </c>
      <c r="BG46" s="0" t="n">
        <f aca="false">BF46*D46</f>
        <v>723681</v>
      </c>
    </row>
    <row r="47" customFormat="false" ht="12.75" hidden="false" customHeight="false" outlineLevel="0" collapsed="false">
      <c r="A47" s="0" t="s">
        <v>49</v>
      </c>
      <c r="B47" s="0" t="n">
        <v>559333</v>
      </c>
      <c r="C47" s="0" t="n">
        <v>283282</v>
      </c>
      <c r="D47" s="0" t="n">
        <f aca="false">SUM(F47:BD47)</f>
        <v>275969</v>
      </c>
      <c r="E47" s="0" t="n">
        <f aca="false">C47+D47+BE47</f>
        <v>559333</v>
      </c>
      <c r="F47" s="0" t="n">
        <v>0</v>
      </c>
      <c r="G47" s="0" t="n">
        <v>10</v>
      </c>
      <c r="H47" s="0" t="n">
        <v>0</v>
      </c>
      <c r="I47" s="0" t="n">
        <v>0</v>
      </c>
      <c r="J47" s="0" t="n">
        <v>15</v>
      </c>
      <c r="K47" s="0" t="n">
        <v>5</v>
      </c>
      <c r="L47" s="0" t="n">
        <v>274</v>
      </c>
      <c r="M47" s="0" t="n">
        <v>10</v>
      </c>
      <c r="N47" s="0" t="n">
        <v>0</v>
      </c>
      <c r="O47" s="0" t="n">
        <v>63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26</v>
      </c>
      <c r="V47" s="0" t="n">
        <v>0</v>
      </c>
      <c r="W47" s="0" t="n">
        <v>0</v>
      </c>
      <c r="X47" s="0" t="n">
        <v>47</v>
      </c>
      <c r="Y47" s="0" t="n">
        <v>77</v>
      </c>
      <c r="Z47" s="0" t="n">
        <v>53</v>
      </c>
      <c r="AA47" s="0" t="n">
        <v>2547</v>
      </c>
      <c r="AB47" s="0" t="n">
        <v>0</v>
      </c>
      <c r="AC47" s="0" t="n">
        <v>0</v>
      </c>
      <c r="AD47" s="0" t="n">
        <v>0</v>
      </c>
      <c r="AE47" s="0" t="n">
        <v>20</v>
      </c>
      <c r="AF47" s="0" t="n">
        <v>0</v>
      </c>
      <c r="AG47" s="0" t="n">
        <v>0</v>
      </c>
      <c r="AH47" s="0" t="n">
        <v>0</v>
      </c>
      <c r="AI47" s="0" t="n">
        <v>10515</v>
      </c>
      <c r="AJ47" s="0" t="n">
        <v>5</v>
      </c>
      <c r="AK47" s="0" t="n">
        <v>0</v>
      </c>
      <c r="AL47" s="0" t="n">
        <v>2203</v>
      </c>
      <c r="AM47" s="0" t="n">
        <v>0</v>
      </c>
      <c r="AN47" s="0" t="n">
        <v>0</v>
      </c>
      <c r="AO47" s="0" t="n">
        <v>31</v>
      </c>
      <c r="AP47" s="0" t="n">
        <v>0</v>
      </c>
      <c r="AQ47" s="0" t="n">
        <v>0</v>
      </c>
      <c r="AR47" s="0" t="n">
        <v>104</v>
      </c>
      <c r="AS47" s="0" t="n">
        <v>0</v>
      </c>
      <c r="AT47" s="0" t="n">
        <v>0</v>
      </c>
      <c r="AU47" s="0" t="n">
        <v>68</v>
      </c>
      <c r="AV47" s="0" t="n">
        <v>0</v>
      </c>
      <c r="AW47" s="0" t="n">
        <v>30</v>
      </c>
      <c r="AX47" s="0" t="n">
        <v>0</v>
      </c>
      <c r="AY47" s="0" t="n">
        <v>259866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82</v>
      </c>
      <c r="BF47" s="0" t="n">
        <f aca="false">MAX(F47:BD47)/D47</f>
        <v>0.9416492432121</v>
      </c>
      <c r="BG47" s="0" t="n">
        <f aca="false">BF47*D47</f>
        <v>259866</v>
      </c>
    </row>
    <row r="48" customFormat="false" ht="12.75" hidden="false" customHeight="false" outlineLevel="0" collapsed="false">
      <c r="A48" s="0" t="s">
        <v>50</v>
      </c>
      <c r="B48" s="0" t="n">
        <v>6181215</v>
      </c>
      <c r="C48" s="0" t="n">
        <v>3030855</v>
      </c>
      <c r="D48" s="0" t="n">
        <f aca="false">SUM(F48:BD48)</f>
        <v>3144282</v>
      </c>
      <c r="E48" s="0" t="n">
        <f aca="false">C48+D48+BE48</f>
        <v>6181215</v>
      </c>
      <c r="F48" s="0" t="n">
        <v>504</v>
      </c>
      <c r="G48" s="0" t="n">
        <v>93</v>
      </c>
      <c r="H48" s="0" t="n">
        <v>234</v>
      </c>
      <c r="I48" s="0" t="n">
        <v>45</v>
      </c>
      <c r="J48" s="0" t="n">
        <v>1557</v>
      </c>
      <c r="K48" s="0" t="n">
        <v>363</v>
      </c>
      <c r="L48" s="0" t="n">
        <v>405</v>
      </c>
      <c r="M48" s="0" t="n">
        <v>219</v>
      </c>
      <c r="N48" s="0" t="n">
        <v>192627</v>
      </c>
      <c r="O48" s="0" t="n">
        <v>1614</v>
      </c>
      <c r="P48" s="0" t="n">
        <v>1155</v>
      </c>
      <c r="Q48" s="0" t="n">
        <v>114</v>
      </c>
      <c r="R48" s="0" t="n">
        <v>36</v>
      </c>
      <c r="S48" s="0" t="n">
        <v>483</v>
      </c>
      <c r="T48" s="0" t="n">
        <v>279</v>
      </c>
      <c r="U48" s="0" t="n">
        <v>24</v>
      </c>
      <c r="V48" s="0" t="n">
        <v>72</v>
      </c>
      <c r="W48" s="0" t="n">
        <v>1842</v>
      </c>
      <c r="X48" s="0" t="n">
        <v>246</v>
      </c>
      <c r="Y48" s="0" t="n">
        <v>228</v>
      </c>
      <c r="Z48" s="0" t="n">
        <v>49044</v>
      </c>
      <c r="AA48" s="0" t="n">
        <v>615</v>
      </c>
      <c r="AB48" s="0" t="n">
        <v>252</v>
      </c>
      <c r="AC48" s="0" t="n">
        <v>129</v>
      </c>
      <c r="AD48" s="0" t="n">
        <v>42</v>
      </c>
      <c r="AE48" s="0" t="n">
        <v>246</v>
      </c>
      <c r="AF48" s="0" t="n">
        <v>21</v>
      </c>
      <c r="AG48" s="0" t="n">
        <v>21</v>
      </c>
      <c r="AH48" s="0" t="n">
        <v>54</v>
      </c>
      <c r="AI48" s="0" t="n">
        <v>84</v>
      </c>
      <c r="AJ48" s="0" t="n">
        <v>1155</v>
      </c>
      <c r="AK48" s="0" t="n">
        <v>102</v>
      </c>
      <c r="AL48" s="0" t="n">
        <v>3501</v>
      </c>
      <c r="AM48" s="0" t="n">
        <v>13383</v>
      </c>
      <c r="AN48" s="0" t="n">
        <v>30</v>
      </c>
      <c r="AO48" s="0" t="n">
        <v>570</v>
      </c>
      <c r="AP48" s="0" t="n">
        <v>102</v>
      </c>
      <c r="AQ48" s="0" t="n">
        <v>66</v>
      </c>
      <c r="AR48" s="0" t="n">
        <v>1524</v>
      </c>
      <c r="AS48" s="0" t="n">
        <v>201</v>
      </c>
      <c r="AT48" s="0" t="n">
        <v>18</v>
      </c>
      <c r="AU48" s="0" t="n">
        <v>987</v>
      </c>
      <c r="AV48" s="0" t="n">
        <v>10284</v>
      </c>
      <c r="AW48" s="0" t="n">
        <v>906</v>
      </c>
      <c r="AX48" s="0" t="n">
        <v>114</v>
      </c>
      <c r="AY48" s="0" t="n">
        <v>51</v>
      </c>
      <c r="AZ48" s="0" t="n">
        <v>2852073</v>
      </c>
      <c r="BA48" s="0" t="n">
        <v>276</v>
      </c>
      <c r="BB48" s="0" t="n">
        <v>6090</v>
      </c>
      <c r="BC48" s="0" t="n">
        <v>201</v>
      </c>
      <c r="BD48" s="0" t="n">
        <v>0</v>
      </c>
      <c r="BE48" s="0" t="n">
        <v>6078</v>
      </c>
      <c r="BF48" s="0" t="n">
        <f aca="false">MAX(F48:BD48)/D48</f>
        <v>0.907066541741485</v>
      </c>
      <c r="BG48" s="0" t="n">
        <f aca="false">BF48*D48</f>
        <v>2852073</v>
      </c>
    </row>
    <row r="49" customFormat="false" ht="12.75" hidden="false" customHeight="false" outlineLevel="0" collapsed="false">
      <c r="A49" s="0" t="s">
        <v>51</v>
      </c>
      <c r="B49" s="0" t="n">
        <v>4841964</v>
      </c>
      <c r="C49" s="0" t="n">
        <v>2549571</v>
      </c>
      <c r="D49" s="0" t="n">
        <f aca="false">SUM(F49:BD49)</f>
        <v>2289795</v>
      </c>
      <c r="E49" s="0" t="n">
        <f aca="false">C49+D49+BE49</f>
        <v>4841964</v>
      </c>
      <c r="F49" s="0" t="n">
        <v>162</v>
      </c>
      <c r="G49" s="0" t="n">
        <v>3495</v>
      </c>
      <c r="H49" s="0" t="n">
        <v>531</v>
      </c>
      <c r="I49" s="0" t="n">
        <v>0</v>
      </c>
      <c r="J49" s="0" t="n">
        <v>3471</v>
      </c>
      <c r="K49" s="0" t="n">
        <v>303</v>
      </c>
      <c r="L49" s="0" t="n">
        <v>42</v>
      </c>
      <c r="M49" s="0" t="n">
        <v>0</v>
      </c>
      <c r="N49" s="0" t="n">
        <v>108</v>
      </c>
      <c r="O49" s="0" t="n">
        <v>180</v>
      </c>
      <c r="P49" s="0" t="n">
        <v>123</v>
      </c>
      <c r="Q49" s="0" t="n">
        <v>462</v>
      </c>
      <c r="R49" s="0" t="n">
        <v>6768</v>
      </c>
      <c r="S49" s="0" t="n">
        <v>330</v>
      </c>
      <c r="T49" s="0" t="n">
        <v>135</v>
      </c>
      <c r="U49" s="0" t="n">
        <v>0</v>
      </c>
      <c r="V49" s="0" t="n">
        <v>69</v>
      </c>
      <c r="W49" s="0" t="n">
        <v>132</v>
      </c>
      <c r="X49" s="0" t="n">
        <v>78</v>
      </c>
      <c r="Y49" s="0" t="n">
        <v>0</v>
      </c>
      <c r="Z49" s="0" t="n">
        <v>126</v>
      </c>
      <c r="AA49" s="0" t="n">
        <v>90</v>
      </c>
      <c r="AB49" s="0" t="n">
        <v>150</v>
      </c>
      <c r="AC49" s="0" t="n">
        <v>228</v>
      </c>
      <c r="AD49" s="0" t="n">
        <v>27</v>
      </c>
      <c r="AE49" s="0" t="n">
        <v>162</v>
      </c>
      <c r="AF49" s="0" t="n">
        <v>327</v>
      </c>
      <c r="AG49" s="0" t="n">
        <v>87</v>
      </c>
      <c r="AH49" s="0" t="n">
        <v>450</v>
      </c>
      <c r="AI49" s="0" t="n">
        <v>0</v>
      </c>
      <c r="AJ49" s="0" t="n">
        <v>234</v>
      </c>
      <c r="AK49" s="0" t="n">
        <v>15</v>
      </c>
      <c r="AL49" s="0" t="n">
        <v>198</v>
      </c>
      <c r="AM49" s="0" t="n">
        <v>111</v>
      </c>
      <c r="AN49" s="0" t="n">
        <v>51</v>
      </c>
      <c r="AO49" s="0" t="n">
        <v>90</v>
      </c>
      <c r="AP49" s="0" t="n">
        <v>57</v>
      </c>
      <c r="AQ49" s="0" t="n">
        <v>41604</v>
      </c>
      <c r="AR49" s="0" t="n">
        <v>171</v>
      </c>
      <c r="AS49" s="0" t="n">
        <v>18</v>
      </c>
      <c r="AT49" s="0" t="n">
        <v>51</v>
      </c>
      <c r="AU49" s="0" t="n">
        <v>135</v>
      </c>
      <c r="AV49" s="0" t="n">
        <v>60</v>
      </c>
      <c r="AW49" s="0" t="n">
        <v>414</v>
      </c>
      <c r="AX49" s="0" t="n">
        <v>387</v>
      </c>
      <c r="AY49" s="0" t="n">
        <v>21</v>
      </c>
      <c r="AZ49" s="0" t="n">
        <v>198</v>
      </c>
      <c r="BA49" s="0" t="n">
        <v>2227884</v>
      </c>
      <c r="BB49" s="0" t="n">
        <v>0</v>
      </c>
      <c r="BC49" s="0" t="n">
        <v>33</v>
      </c>
      <c r="BD49" s="0" t="n">
        <v>27</v>
      </c>
      <c r="BE49" s="0" t="n">
        <v>2598</v>
      </c>
      <c r="BF49" s="0" t="n">
        <f aca="false">MAX(F49:BD49)/D49</f>
        <v>0.972962208407303</v>
      </c>
      <c r="BG49" s="0" t="n">
        <f aca="false">BF49*D49</f>
        <v>2227884</v>
      </c>
    </row>
    <row r="50" customFormat="false" ht="12.75" hidden="false" customHeight="false" outlineLevel="0" collapsed="false">
      <c r="A50" s="0" t="s">
        <v>52</v>
      </c>
      <c r="B50" s="0" t="n">
        <v>1785999</v>
      </c>
      <c r="C50" s="0" t="n">
        <v>1132742</v>
      </c>
      <c r="D50" s="0" t="n">
        <f aca="false">SUM(F50:BD50)</f>
        <v>653163</v>
      </c>
      <c r="E50" s="0" t="n">
        <f aca="false">C50+D50+BE50</f>
        <v>1785999</v>
      </c>
      <c r="F50" s="0" t="n">
        <v>78</v>
      </c>
      <c r="G50" s="0" t="n">
        <v>0</v>
      </c>
      <c r="H50" s="0" t="n">
        <v>0</v>
      </c>
      <c r="I50" s="0" t="n">
        <v>39</v>
      </c>
      <c r="J50" s="0" t="n">
        <v>104</v>
      </c>
      <c r="K50" s="0" t="n">
        <v>32</v>
      </c>
      <c r="L50" s="0" t="n">
        <v>83</v>
      </c>
      <c r="M50" s="0" t="n">
        <v>0</v>
      </c>
      <c r="N50" s="0" t="n">
        <v>1094</v>
      </c>
      <c r="O50" s="0" t="n">
        <v>194</v>
      </c>
      <c r="P50" s="0" t="n">
        <v>62</v>
      </c>
      <c r="Q50" s="0" t="n">
        <v>25</v>
      </c>
      <c r="R50" s="0" t="n">
        <v>0</v>
      </c>
      <c r="S50" s="0" t="n">
        <v>106</v>
      </c>
      <c r="T50" s="0" t="n">
        <v>207</v>
      </c>
      <c r="U50" s="0" t="n">
        <v>48</v>
      </c>
      <c r="V50" s="0" t="n">
        <v>0</v>
      </c>
      <c r="W50" s="0" t="n">
        <v>3943</v>
      </c>
      <c r="X50" s="0" t="n">
        <v>4</v>
      </c>
      <c r="Y50" s="0" t="n">
        <v>0</v>
      </c>
      <c r="Z50" s="0" t="n">
        <v>14648</v>
      </c>
      <c r="AA50" s="0" t="n">
        <v>32</v>
      </c>
      <c r="AB50" s="0" t="n">
        <v>82</v>
      </c>
      <c r="AC50" s="0" t="n">
        <v>32</v>
      </c>
      <c r="AD50" s="0" t="n">
        <v>18</v>
      </c>
      <c r="AE50" s="0" t="n">
        <v>154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266</v>
      </c>
      <c r="AK50" s="0" t="n">
        <v>0</v>
      </c>
      <c r="AL50" s="0" t="n">
        <v>130</v>
      </c>
      <c r="AM50" s="0" t="n">
        <v>631</v>
      </c>
      <c r="AN50" s="0" t="n">
        <v>0</v>
      </c>
      <c r="AO50" s="0" t="n">
        <v>15191</v>
      </c>
      <c r="AP50" s="0" t="n">
        <v>62</v>
      </c>
      <c r="AQ50" s="0" t="n">
        <v>0</v>
      </c>
      <c r="AR50" s="0" t="n">
        <v>4679</v>
      </c>
      <c r="AS50" s="0" t="n">
        <v>0</v>
      </c>
      <c r="AT50" s="0" t="n">
        <v>0</v>
      </c>
      <c r="AU50" s="0" t="n">
        <v>249</v>
      </c>
      <c r="AV50" s="0" t="n">
        <v>154</v>
      </c>
      <c r="AW50" s="0" t="n">
        <v>114</v>
      </c>
      <c r="AX50" s="0" t="n">
        <v>36</v>
      </c>
      <c r="AY50" s="0" t="n">
        <v>0</v>
      </c>
      <c r="AZ50" s="0" t="n">
        <v>20925</v>
      </c>
      <c r="BA50" s="0" t="n">
        <v>14</v>
      </c>
      <c r="BB50" s="0" t="n">
        <v>589694</v>
      </c>
      <c r="BC50" s="0" t="n">
        <v>33</v>
      </c>
      <c r="BD50" s="0" t="n">
        <v>0</v>
      </c>
      <c r="BE50" s="0" t="n">
        <v>94</v>
      </c>
      <c r="BF50" s="0" t="n">
        <f aca="false">MAX(F50:BD50)/D50</f>
        <v>0.902828237361884</v>
      </c>
      <c r="BG50" s="0" t="n">
        <f aca="false">BF50*D50</f>
        <v>589694</v>
      </c>
    </row>
    <row r="51" customFormat="false" ht="12.75" hidden="false" customHeight="false" outlineLevel="0" collapsed="false">
      <c r="A51" s="0" t="s">
        <v>53</v>
      </c>
      <c r="B51" s="0" t="n">
        <v>4881441</v>
      </c>
      <c r="C51" s="0" t="n">
        <v>2533950</v>
      </c>
      <c r="D51" s="0" t="n">
        <f aca="false">SUM(F51:BD51)</f>
        <v>2347075</v>
      </c>
      <c r="E51" s="0" t="n">
        <f aca="false">C51+D51+BE51</f>
        <v>4881441</v>
      </c>
      <c r="F51" s="0" t="n">
        <v>72</v>
      </c>
      <c r="G51" s="0" t="n">
        <v>38</v>
      </c>
      <c r="H51" s="0" t="n">
        <v>53</v>
      </c>
      <c r="I51" s="0" t="n">
        <v>87</v>
      </c>
      <c r="J51" s="0" t="n">
        <v>512</v>
      </c>
      <c r="K51" s="0" t="n">
        <v>291</v>
      </c>
      <c r="L51" s="0" t="n">
        <v>37</v>
      </c>
      <c r="M51" s="0" t="n">
        <v>10</v>
      </c>
      <c r="N51" s="0" t="n">
        <v>68</v>
      </c>
      <c r="O51" s="0" t="n">
        <v>388</v>
      </c>
      <c r="P51" s="0" t="n">
        <v>281</v>
      </c>
      <c r="Q51" s="0" t="n">
        <v>0</v>
      </c>
      <c r="R51" s="0" t="n">
        <v>53</v>
      </c>
      <c r="S51" s="0" t="n">
        <v>32445</v>
      </c>
      <c r="T51" s="0" t="n">
        <v>434</v>
      </c>
      <c r="U51" s="0" t="n">
        <v>3679</v>
      </c>
      <c r="V51" s="0" t="n">
        <v>125</v>
      </c>
      <c r="W51" s="0" t="n">
        <v>179</v>
      </c>
      <c r="X51" s="0" t="n">
        <v>67</v>
      </c>
      <c r="Y51" s="0" t="n">
        <v>0</v>
      </c>
      <c r="Z51" s="0" t="n">
        <v>72</v>
      </c>
      <c r="AA51" s="0" t="n">
        <v>14</v>
      </c>
      <c r="AB51" s="0" t="n">
        <v>5068</v>
      </c>
      <c r="AC51" s="0" t="n">
        <v>29375</v>
      </c>
      <c r="AD51" s="0" t="n">
        <v>9</v>
      </c>
      <c r="AE51" s="0" t="n">
        <v>178</v>
      </c>
      <c r="AF51" s="0" t="n">
        <v>0</v>
      </c>
      <c r="AG51" s="0" t="n">
        <v>143</v>
      </c>
      <c r="AH51" s="0" t="n">
        <v>49</v>
      </c>
      <c r="AI51" s="0" t="n">
        <v>0</v>
      </c>
      <c r="AJ51" s="0" t="n">
        <v>86</v>
      </c>
      <c r="AK51" s="0" t="n">
        <v>28</v>
      </c>
      <c r="AL51" s="0" t="n">
        <v>298</v>
      </c>
      <c r="AM51" s="0" t="n">
        <v>149</v>
      </c>
      <c r="AN51" s="0" t="n">
        <v>52</v>
      </c>
      <c r="AO51" s="0" t="n">
        <v>279</v>
      </c>
      <c r="AP51" s="0" t="n">
        <v>77</v>
      </c>
      <c r="AQ51" s="0" t="n">
        <v>19</v>
      </c>
      <c r="AR51" s="0" t="n">
        <v>86</v>
      </c>
      <c r="AS51" s="0" t="n">
        <v>0</v>
      </c>
      <c r="AT51" s="0" t="n">
        <v>48</v>
      </c>
      <c r="AU51" s="0" t="n">
        <v>75</v>
      </c>
      <c r="AV51" s="0" t="n">
        <v>88</v>
      </c>
      <c r="AW51" s="0" t="n">
        <v>179</v>
      </c>
      <c r="AX51" s="0" t="n">
        <v>39</v>
      </c>
      <c r="AY51" s="0" t="n">
        <v>10</v>
      </c>
      <c r="AZ51" s="0" t="n">
        <v>232</v>
      </c>
      <c r="BA51" s="0" t="n">
        <v>37</v>
      </c>
      <c r="BB51" s="0" t="n">
        <v>0</v>
      </c>
      <c r="BC51" s="0" t="n">
        <v>2271552</v>
      </c>
      <c r="BD51" s="0" t="n">
        <v>14</v>
      </c>
      <c r="BE51" s="0" t="n">
        <v>416</v>
      </c>
      <c r="BF51" s="0" t="n">
        <f aca="false">MAX(F51:BD51)/D51</f>
        <v>0.967822502476487</v>
      </c>
      <c r="BG51" s="0" t="n">
        <f aca="false">BF51*D51</f>
        <v>2271552</v>
      </c>
    </row>
    <row r="52" customFormat="false" ht="12.75" hidden="false" customHeight="false" outlineLevel="0" collapsed="false">
      <c r="A52" s="0" t="s">
        <v>54</v>
      </c>
      <c r="B52" s="0" t="n">
        <v>453189</v>
      </c>
      <c r="C52" s="0" t="n">
        <v>245624</v>
      </c>
      <c r="D52" s="0" t="n">
        <f aca="false">SUM(F52:BD52)</f>
        <v>207473</v>
      </c>
      <c r="E52" s="0" t="n">
        <f aca="false">C52+D52+BE52</f>
        <v>453189</v>
      </c>
      <c r="F52" s="0" t="n">
        <v>0</v>
      </c>
      <c r="G52" s="0" t="n">
        <v>59</v>
      </c>
      <c r="H52" s="0" t="n">
        <v>18</v>
      </c>
      <c r="I52" s="0" t="n">
        <v>0</v>
      </c>
      <c r="J52" s="0" t="n">
        <v>184</v>
      </c>
      <c r="K52" s="0" t="n">
        <v>806</v>
      </c>
      <c r="L52" s="0" t="n">
        <v>0</v>
      </c>
      <c r="M52" s="0" t="n">
        <v>0</v>
      </c>
      <c r="N52" s="0" t="n">
        <v>0</v>
      </c>
      <c r="O52" s="0" t="n">
        <v>54</v>
      </c>
      <c r="P52" s="0" t="n">
        <v>39</v>
      </c>
      <c r="Q52" s="0" t="n">
        <v>0</v>
      </c>
      <c r="R52" s="0" t="n">
        <v>258</v>
      </c>
      <c r="S52" s="0" t="n">
        <v>127</v>
      </c>
      <c r="T52" s="0" t="n">
        <v>0</v>
      </c>
      <c r="U52" s="0" t="n">
        <v>46</v>
      </c>
      <c r="V52" s="0" t="n">
        <v>0</v>
      </c>
      <c r="W52" s="0" t="n">
        <v>0</v>
      </c>
      <c r="X52" s="0" t="n">
        <v>0</v>
      </c>
      <c r="Y52" s="0" t="n">
        <v>29</v>
      </c>
      <c r="Z52" s="0" t="n">
        <v>0</v>
      </c>
      <c r="AA52" s="0" t="n">
        <v>0</v>
      </c>
      <c r="AB52" s="0" t="n">
        <v>0</v>
      </c>
      <c r="AC52" s="0" t="n">
        <v>7</v>
      </c>
      <c r="AD52" s="0" t="n">
        <v>0</v>
      </c>
      <c r="AE52" s="0" t="n">
        <v>61</v>
      </c>
      <c r="AF52" s="0" t="n">
        <v>807</v>
      </c>
      <c r="AG52" s="0" t="n">
        <v>561</v>
      </c>
      <c r="AH52" s="0" t="n">
        <v>146</v>
      </c>
      <c r="AI52" s="0" t="n">
        <v>7</v>
      </c>
      <c r="AJ52" s="0" t="n">
        <v>0</v>
      </c>
      <c r="AK52" s="0" t="n">
        <v>46</v>
      </c>
      <c r="AL52" s="0" t="n">
        <v>22</v>
      </c>
      <c r="AM52" s="0" t="n">
        <v>8</v>
      </c>
      <c r="AN52" s="0" t="n">
        <v>134</v>
      </c>
      <c r="AO52" s="0" t="n">
        <v>7</v>
      </c>
      <c r="AP52" s="0" t="n">
        <v>39</v>
      </c>
      <c r="AQ52" s="0" t="n">
        <v>39</v>
      </c>
      <c r="AR52" s="0" t="n">
        <v>0</v>
      </c>
      <c r="AS52" s="0" t="n">
        <v>0</v>
      </c>
      <c r="AT52" s="0" t="n">
        <v>194</v>
      </c>
      <c r="AU52" s="0" t="n">
        <v>0</v>
      </c>
      <c r="AV52" s="0" t="n">
        <v>0</v>
      </c>
      <c r="AW52" s="0" t="n">
        <v>122</v>
      </c>
      <c r="AX52" s="0" t="n">
        <v>273</v>
      </c>
      <c r="AY52" s="0" t="n">
        <v>0</v>
      </c>
      <c r="AZ52" s="0" t="n">
        <v>0</v>
      </c>
      <c r="BA52" s="0" t="n">
        <v>40</v>
      </c>
      <c r="BB52" s="0" t="n">
        <v>18</v>
      </c>
      <c r="BC52" s="0" t="n">
        <v>11</v>
      </c>
      <c r="BD52" s="0" t="n">
        <v>203311</v>
      </c>
      <c r="BE52" s="0" t="n">
        <v>92</v>
      </c>
      <c r="BF52" s="0" t="n">
        <f aca="false">MAX(F52:BD52)/D52</f>
        <v>0.97993955840037</v>
      </c>
      <c r="BG52" s="0" t="n">
        <f aca="false">BF52*D52</f>
        <v>203311</v>
      </c>
    </row>
    <row r="53" customFormat="false" ht="12.75" hidden="false" customHeight="false" outlineLevel="0" collapsed="false">
      <c r="A53" s="0" t="s">
        <v>3</v>
      </c>
      <c r="B53" s="0" t="n">
        <f aca="false">SUM(B2:B52)</f>
        <v>247919856</v>
      </c>
      <c r="C53" s="0" t="n">
        <f aca="false">SUM(C2:C52)</f>
        <v>133153993</v>
      </c>
      <c r="D53" s="0" t="n">
        <f aca="false">SUM(D2:D52)</f>
        <v>114700027</v>
      </c>
      <c r="E53" s="0" t="n">
        <f aca="false">SUM(E2:E52)</f>
        <v>247919856</v>
      </c>
      <c r="F53" s="0" t="n">
        <f aca="false">SUM(F2:F52)</f>
        <v>1710683</v>
      </c>
      <c r="G53" s="0" t="n">
        <f aca="false">SUM(G2:G52)</f>
        <v>270801</v>
      </c>
      <c r="H53" s="0" t="n">
        <f aca="false">SUM(H2:H52)</f>
        <v>1583805</v>
      </c>
      <c r="I53" s="0" t="n">
        <f aca="false">SUM(I2:I52)</f>
        <v>996645</v>
      </c>
      <c r="J53" s="0" t="n">
        <f aca="false">SUM(J2:J52)</f>
        <v>13908817</v>
      </c>
      <c r="K53" s="0" t="n">
        <f aca="false">SUM(K2:K52)</f>
        <v>1628162</v>
      </c>
      <c r="L53" s="0" t="n">
        <f aca="false">SUM(L2:L52)</f>
        <v>1669019</v>
      </c>
      <c r="M53" s="0" t="n">
        <f aca="false">SUM(M2:M52)</f>
        <v>350686</v>
      </c>
      <c r="N53" s="0" t="n">
        <f aca="false">SUM(N2:N52)</f>
        <v>731599</v>
      </c>
      <c r="O53" s="0" t="n">
        <f aca="false">SUM(O2:O52)</f>
        <v>5774554</v>
      </c>
      <c r="P53" s="0" t="n">
        <f aca="false">SUM(P2:P52)</f>
        <v>3121670</v>
      </c>
      <c r="Q53" s="0" t="n">
        <f aca="false">SUM(Q2:Q52)</f>
        <v>565723</v>
      </c>
      <c r="R53" s="0" t="n">
        <f aca="false">SUM(R2:R52)</f>
        <v>427786</v>
      </c>
      <c r="S53" s="0" t="n">
        <f aca="false">SUM(S2:S52)</f>
        <v>5331106</v>
      </c>
      <c r="T53" s="0" t="n">
        <f aca="false">SUM(T2:T52)</f>
        <v>2540764</v>
      </c>
      <c r="U53" s="0" t="n">
        <f aca="false">SUM(U2:U52)</f>
        <v>1308425</v>
      </c>
      <c r="V53" s="0" t="n">
        <f aca="false">SUM(V2:V52)</f>
        <v>1167713</v>
      </c>
      <c r="W53" s="0" t="n">
        <f aca="false">SUM(W2:W52)</f>
        <v>1552216</v>
      </c>
      <c r="X53" s="0" t="n">
        <f aca="false">SUM(X2:X52)</f>
        <v>1626779</v>
      </c>
      <c r="Y53" s="0" t="n">
        <f aca="false">SUM(Y2:Y52)</f>
        <v>566995</v>
      </c>
      <c r="Z53" s="0" t="n">
        <f aca="false">SUM(Z2:Z52)</f>
        <v>2199964</v>
      </c>
      <c r="AA53" s="0" t="n">
        <f aca="false">SUM(AA2:AA52)</f>
        <v>3044043</v>
      </c>
      <c r="AB53" s="0" t="n">
        <f aca="false">SUM(AB2:AB52)</f>
        <v>4057843</v>
      </c>
      <c r="AC53" s="0" t="n">
        <f aca="false">SUM(AC2:AC52)</f>
        <v>2170379</v>
      </c>
      <c r="AD53" s="0" t="n">
        <f aca="false">SUM(AD2:AD52)</f>
        <v>992005</v>
      </c>
      <c r="AE53" s="0" t="n">
        <f aca="false">SUM(AE2:AE52)</f>
        <v>2399469</v>
      </c>
      <c r="AF53" s="0" t="n">
        <f aca="false">SUM(AF2:AF52)</f>
        <v>347811</v>
      </c>
      <c r="AG53" s="0" t="n">
        <f aca="false">SUM(AG2:AG52)</f>
        <v>789501</v>
      </c>
      <c r="AH53" s="0" t="n">
        <f aca="false">SUM(AH2:AH52)</f>
        <v>619773</v>
      </c>
      <c r="AI53" s="0" t="n">
        <f aca="false">SUM(AI2:AI52)</f>
        <v>513486</v>
      </c>
      <c r="AJ53" s="0" t="n">
        <f aca="false">SUM(AJ2:AJ52)</f>
        <v>3607221</v>
      </c>
      <c r="AK53" s="0" t="n">
        <f aca="false">SUM(AK2:AK52)</f>
        <v>626630</v>
      </c>
      <c r="AL53" s="0" t="n">
        <f aca="false">SUM(AL2:AL52)</f>
        <v>8422034</v>
      </c>
      <c r="AM53" s="0" t="n">
        <f aca="false">SUM(AM2:AM52)</f>
        <v>3303738</v>
      </c>
      <c r="AN53" s="0" t="n">
        <f aca="false">SUM(AN2:AN52)</f>
        <v>301152</v>
      </c>
      <c r="AO53" s="0" t="n">
        <f aca="false">SUM(AO2:AO52)</f>
        <v>4859451</v>
      </c>
      <c r="AP53" s="0" t="n">
        <f aca="false">SUM(AP2:AP52)</f>
        <v>1342668</v>
      </c>
      <c r="AQ53" s="0" t="n">
        <f aca="false">SUM(AQ2:AQ52)</f>
        <v>1315482</v>
      </c>
      <c r="AR53" s="0" t="n">
        <f aca="false">SUM(AR2:AR52)</f>
        <v>5289696</v>
      </c>
      <c r="AS53" s="0" t="n">
        <f aca="false">SUM(AS2:AS52)</f>
        <v>456621</v>
      </c>
      <c r="AT53" s="0" t="n">
        <f aca="false">SUM(AT2:AT52)</f>
        <v>325420</v>
      </c>
      <c r="AU53" s="0" t="n">
        <f aca="false">SUM(AU2:AU52)</f>
        <v>1611230</v>
      </c>
      <c r="AV53" s="0" t="n">
        <f aca="false">SUM(AV2:AV52)</f>
        <v>2271718</v>
      </c>
      <c r="AW53" s="0" t="n">
        <f aca="false">SUM(AW2:AW52)</f>
        <v>7527751</v>
      </c>
      <c r="AX53" s="0" t="n">
        <f aca="false">SUM(AX2:AX52)</f>
        <v>730927</v>
      </c>
      <c r="AY53" s="0" t="n">
        <f aca="false">SUM(AY2:AY52)</f>
        <v>273398</v>
      </c>
      <c r="AZ53" s="0" t="n">
        <f aca="false">SUM(AZ2:AZ52)</f>
        <v>3049073</v>
      </c>
      <c r="BA53" s="0" t="n">
        <f aca="false">SUM(BA2:BA52)</f>
        <v>2262430</v>
      </c>
      <c r="BB53" s="0" t="n">
        <f aca="false">SUM(BB2:BB52)</f>
        <v>643385</v>
      </c>
      <c r="BC53" s="0" t="n">
        <f aca="false">SUM(BC2:BC52)</f>
        <v>2303123</v>
      </c>
      <c r="BD53" s="0" t="n">
        <f aca="false">SUM(BD2:BD52)</f>
        <v>208657</v>
      </c>
      <c r="BE53" s="0" t="n">
        <f aca="false">SUM(BE2:BE52)</f>
        <v>65836</v>
      </c>
    </row>
    <row r="54" customFormat="false" ht="12.75" hidden="false" customHeight="false" outlineLevel="0" collapsed="false">
      <c r="E54" s="0" t="s">
        <v>58</v>
      </c>
      <c r="F54" s="0" t="n">
        <f aca="false">MAX(F2:F52)/F53</f>
        <v>0.976148123293445</v>
      </c>
      <c r="G54" s="0" t="n">
        <f aca="false">MAX(G2:G52)/G53</f>
        <v>0.970166284467192</v>
      </c>
      <c r="H54" s="0" t="n">
        <f aca="false">MAX(H2:H52)/H53</f>
        <v>0.988792812246457</v>
      </c>
      <c r="I54" s="0" t="n">
        <f aca="false">MAX(I2:I52)/I53</f>
        <v>0.959705813002624</v>
      </c>
      <c r="J54" s="0" t="n">
        <f aca="false">MAX(J2:J52)/J53</f>
        <v>0.995476969752352</v>
      </c>
      <c r="K54" s="0" t="n">
        <f aca="false">MAX(K2:K52)/K53</f>
        <v>0.992055458854831</v>
      </c>
      <c r="L54" s="0" t="n">
        <f aca="false">MAX(L2:L52)/L53</f>
        <v>0.954387577373295</v>
      </c>
      <c r="M54" s="0" t="n">
        <f aca="false">MAX(M2:M52)/M53</f>
        <v>0.861671124595792</v>
      </c>
      <c r="N54" s="0" t="n">
        <f aca="false">N10/N53</f>
        <v>0.323708753019072</v>
      </c>
      <c r="O54" s="0" t="n">
        <f aca="false">MAX(O2:O52)/O53</f>
        <v>0.992005789538032</v>
      </c>
      <c r="P54" s="0" t="n">
        <f aca="false">MAX(P2:P52)/P53</f>
        <v>0.971862176335103</v>
      </c>
      <c r="Q54" s="0" t="n">
        <f aca="false">MAX(Q2:Q52)/Q53</f>
        <v>0.990475904285313</v>
      </c>
      <c r="R54" s="0" t="n">
        <f aca="false">MAX(R2:R52)/R53</f>
        <v>0.973851411687152</v>
      </c>
      <c r="S54" s="0" t="n">
        <f aca="false">MAX(S2:S52)/S53</f>
        <v>0.971806225574956</v>
      </c>
      <c r="T54" s="0" t="n">
        <f aca="false">MAX(T2:T52)/T53</f>
        <v>0.96719175806962</v>
      </c>
      <c r="U54" s="0" t="n">
        <f aca="false">MAX(U2:U52)/U53</f>
        <v>0.963081567533485</v>
      </c>
      <c r="V54" s="0" t="n">
        <f aca="false">MAX(V2:V52)/V53</f>
        <v>0.929373912939224</v>
      </c>
      <c r="W54" s="0" t="n">
        <f aca="false">MAX(W2:W52)/W53</f>
        <v>0.937439763538064</v>
      </c>
      <c r="X54" s="0" t="n">
        <f aca="false">MAX(X2:X52)/X53</f>
        <v>0.978885269603308</v>
      </c>
      <c r="Y54" s="0" t="n">
        <f aca="false">MAX(Y2:Y52)/Y53</f>
        <v>0.979387825289465</v>
      </c>
      <c r="Z54" s="0" t="n">
        <f aca="false">MAX(Z2:Z52)/Z53</f>
        <v>0.930220221785447</v>
      </c>
      <c r="AA54" s="0" t="n">
        <f aca="false">MAX(AA2:AA52)/AA53</f>
        <v>0.949791773637889</v>
      </c>
      <c r="AB54" s="0" t="n">
        <f aca="false">MAX(AB2:AB52)/AB53</f>
        <v>0.992030741455497</v>
      </c>
      <c r="AC54" s="0" t="n">
        <f aca="false">MAX(AC2:AC52)/AC53</f>
        <v>0.976882839356629</v>
      </c>
      <c r="AD54" s="0" t="n">
        <f aca="false">MAX(AD2:AD52)/AD53</f>
        <v>0.969497129550758</v>
      </c>
      <c r="AE54" s="0" t="n">
        <f aca="false">MAX(AE2:AE52)/AE53</f>
        <v>0.927572725465509</v>
      </c>
      <c r="AF54" s="0" t="n">
        <f aca="false">MAX(AF2:AF52)/AF53</f>
        <v>0.99203590455736</v>
      </c>
      <c r="AG54" s="0" t="n">
        <f aca="false">MAX(AG2:AG52)/AG53</f>
        <v>0.957494670684394</v>
      </c>
      <c r="AH54" s="0" t="n">
        <f aca="false">MAX(AH2:AH52)/AH53</f>
        <v>0.956650257432963</v>
      </c>
      <c r="AI54" s="0" t="n">
        <f aca="false">MAX(AI2:AI52)/AI53</f>
        <v>0.914864280623036</v>
      </c>
      <c r="AJ54" s="0" t="n">
        <f aca="false">MAX(AJ2:AJ52)/AJ53</f>
        <v>0.92954770445171</v>
      </c>
      <c r="AK54" s="0" t="n">
        <f aca="false">MAX(AK2:AK52)/AK53</f>
        <v>0.980904201841597</v>
      </c>
      <c r="AL54" s="0" t="n">
        <f aca="false">MAX(AL2:AL52)/AL53</f>
        <v>0.949012198240948</v>
      </c>
      <c r="AM54" s="0" t="n">
        <f aca="false">MAX(AM2:AM52)/AM53</f>
        <v>0.97786961314729</v>
      </c>
      <c r="AN54" s="0" t="n">
        <f aca="false">MAX(AN2:AN52)/AN53</f>
        <v>0.941418287110828</v>
      </c>
      <c r="AO54" s="0" t="n">
        <f aca="false">MAX(AO2:AO52)/AO53</f>
        <v>0.971731168808987</v>
      </c>
      <c r="AP54" s="0" t="n">
        <f aca="false">MAX(AP2:AP52)/AP53</f>
        <v>0.989160388122753</v>
      </c>
      <c r="AQ54" s="0" t="n">
        <f aca="false">MAX(AQ2:AQ52)/AQ53</f>
        <v>0.962756616966253</v>
      </c>
      <c r="AR54" s="0" t="n">
        <f aca="false">MAX(AR2:AR52)/AR53</f>
        <v>0.965826769629105</v>
      </c>
      <c r="AS54" s="0" t="n">
        <f aca="false">MAX(AS2:AS52)/AS53</f>
        <v>0.924234759242348</v>
      </c>
      <c r="AT54" s="0" t="n">
        <f aca="false">MAX(AT2:AT52)/AT53</f>
        <v>0.978784340237232</v>
      </c>
      <c r="AU54" s="0" t="n">
        <f aca="false">MAX(AU2:AU52)/AU53</f>
        <v>0.970423837689219</v>
      </c>
      <c r="AV54" s="0" t="n">
        <f aca="false">MAX(AV2:AV52)/AV53</f>
        <v>0.954136913120379</v>
      </c>
      <c r="AW54" s="0" t="n">
        <f aca="false">MAX(AW2:AW52)/AW53</f>
        <v>0.990894757278768</v>
      </c>
      <c r="AX54" s="0" t="n">
        <f aca="false">MAX(AX2:AX52)/AX53</f>
        <v>0.990086561311868</v>
      </c>
      <c r="AY54" s="0" t="n">
        <f aca="false">MAX(AY2:AY52)/AY53</f>
        <v>0.950504392863152</v>
      </c>
      <c r="AZ54" s="0" t="n">
        <f aca="false">MAX(AZ2:AZ52)/AZ53</f>
        <v>0.935390198922755</v>
      </c>
      <c r="BA54" s="0" t="n">
        <f aca="false">MAX(BA2:BA52)/BA53</f>
        <v>0.984730577299629</v>
      </c>
      <c r="BB54" s="0" t="n">
        <f aca="false">MAX(BB2:BB52)/BB53</f>
        <v>0.916549189054765</v>
      </c>
      <c r="BC54" s="0" t="n">
        <f aca="false">MAX(BC2:BC52)/BC53</f>
        <v>0.986292091217013</v>
      </c>
      <c r="BD54" s="0" t="n">
        <f aca="false">MAX(BD2:BD52)/BD53</f>
        <v>0.974379004778177</v>
      </c>
      <c r="BE54" s="0" t="n">
        <f aca="false">MAX(BE2:BE52)/BE53</f>
        <v>0.182939425238471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X102"/>
  <sheetViews>
    <sheetView showFormulas="false" showGridLines="true" showRowColHeaders="true" showZeros="true" rightToLeft="false" tabSelected="false" showOutlineSymbols="true" defaultGridColor="true" view="normal" topLeftCell="CO1" colorId="64" zoomScale="100" zoomScaleNormal="100" zoomScalePageLayoutView="100" workbookViewId="0">
      <selection pane="topLeft" activeCell="B1" activeCellId="0" sqref="B1:CX10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0</v>
      </c>
      <c r="C1" s="0" t="s">
        <v>4</v>
      </c>
      <c r="D1" s="0" t="s">
        <v>5</v>
      </c>
      <c r="E1" s="0" t="s">
        <v>0</v>
      </c>
      <c r="F1" s="0" t="s">
        <v>6</v>
      </c>
      <c r="G1" s="0" t="s">
        <v>0</v>
      </c>
      <c r="H1" s="0" t="s">
        <v>7</v>
      </c>
      <c r="I1" s="0" t="s">
        <v>0</v>
      </c>
      <c r="J1" s="0" t="s">
        <v>8</v>
      </c>
      <c r="K1" s="0" t="s">
        <v>0</v>
      </c>
      <c r="L1" s="0" t="s">
        <v>9</v>
      </c>
      <c r="M1" s="0" t="s">
        <v>0</v>
      </c>
      <c r="N1" s="0" t="s">
        <v>10</v>
      </c>
      <c r="O1" s="0" t="s">
        <v>0</v>
      </c>
      <c r="P1" s="0" t="s">
        <v>211</v>
      </c>
      <c r="Q1" s="0" t="s">
        <v>0</v>
      </c>
      <c r="R1" s="0" t="s">
        <v>11</v>
      </c>
      <c r="S1" s="0" t="s">
        <v>0</v>
      </c>
      <c r="T1" s="0" t="s">
        <v>13</v>
      </c>
      <c r="U1" s="0" t="s">
        <v>0</v>
      </c>
      <c r="V1" s="0" t="s">
        <v>14</v>
      </c>
      <c r="W1" s="0" t="s">
        <v>0</v>
      </c>
      <c r="X1" s="0" t="s">
        <v>15</v>
      </c>
      <c r="Y1" s="0" t="s">
        <v>0</v>
      </c>
      <c r="Z1" s="0" t="s">
        <v>16</v>
      </c>
      <c r="AA1" s="0" t="s">
        <v>0</v>
      </c>
      <c r="AB1" s="0" t="s">
        <v>17</v>
      </c>
      <c r="AC1" s="0" t="s">
        <v>0</v>
      </c>
      <c r="AD1" s="0" t="s">
        <v>18</v>
      </c>
      <c r="AE1" s="0" t="s">
        <v>0</v>
      </c>
      <c r="AF1" s="0" t="s">
        <v>19</v>
      </c>
      <c r="AG1" s="0" t="s">
        <v>0</v>
      </c>
      <c r="AH1" s="0" t="s">
        <v>20</v>
      </c>
      <c r="AI1" s="0" t="s">
        <v>0</v>
      </c>
      <c r="AJ1" s="0" t="s">
        <v>21</v>
      </c>
      <c r="AK1" s="0" t="s">
        <v>0</v>
      </c>
      <c r="AL1" s="0" t="s">
        <v>22</v>
      </c>
      <c r="AM1" s="0" t="s">
        <v>0</v>
      </c>
      <c r="AN1" s="0" t="s">
        <v>23</v>
      </c>
      <c r="AO1" s="0" t="s">
        <v>0</v>
      </c>
      <c r="AP1" s="0" t="s">
        <v>24</v>
      </c>
      <c r="AQ1" s="0" t="s">
        <v>0</v>
      </c>
      <c r="AR1" s="0" t="s">
        <v>25</v>
      </c>
      <c r="AS1" s="0" t="s">
        <v>0</v>
      </c>
      <c r="AT1" s="0" t="s">
        <v>26</v>
      </c>
      <c r="AU1" s="0" t="s">
        <v>0</v>
      </c>
      <c r="AV1" s="0" t="s">
        <v>27</v>
      </c>
      <c r="AW1" s="0" t="s">
        <v>0</v>
      </c>
      <c r="AX1" s="0" t="s">
        <v>28</v>
      </c>
      <c r="AY1" s="0" t="s">
        <v>0</v>
      </c>
      <c r="AZ1" s="0" t="s">
        <v>29</v>
      </c>
      <c r="BA1" s="0" t="s">
        <v>0</v>
      </c>
      <c r="BB1" s="0" t="s">
        <v>30</v>
      </c>
      <c r="BC1" s="0" t="s">
        <v>0</v>
      </c>
      <c r="BD1" s="0" t="s">
        <v>31</v>
      </c>
      <c r="BE1" s="0" t="s">
        <v>0</v>
      </c>
      <c r="BF1" s="0" t="s">
        <v>32</v>
      </c>
      <c r="BG1" s="0" t="s">
        <v>0</v>
      </c>
      <c r="BH1" s="0" t="s">
        <v>33</v>
      </c>
      <c r="BI1" s="0" t="s">
        <v>0</v>
      </c>
      <c r="BJ1" s="0" t="s">
        <v>34</v>
      </c>
      <c r="BK1" s="0" t="s">
        <v>0</v>
      </c>
      <c r="BL1" s="0" t="s">
        <v>35</v>
      </c>
      <c r="BM1" s="0" t="s">
        <v>0</v>
      </c>
      <c r="BN1" s="0" t="s">
        <v>36</v>
      </c>
      <c r="BO1" s="0" t="s">
        <v>0</v>
      </c>
      <c r="BP1" s="0" t="s">
        <v>37</v>
      </c>
      <c r="BQ1" s="0" t="s">
        <v>0</v>
      </c>
      <c r="BR1" s="0" t="s">
        <v>38</v>
      </c>
      <c r="BS1" s="0" t="s">
        <v>0</v>
      </c>
      <c r="BT1" s="0" t="s">
        <v>39</v>
      </c>
      <c r="BU1" s="0" t="s">
        <v>0</v>
      </c>
      <c r="BV1" s="0" t="s">
        <v>40</v>
      </c>
      <c r="BW1" s="0" t="s">
        <v>0</v>
      </c>
      <c r="BX1" s="0" t="s">
        <v>41</v>
      </c>
      <c r="BY1" s="0" t="s">
        <v>0</v>
      </c>
      <c r="BZ1" s="0" t="s">
        <v>42</v>
      </c>
      <c r="CA1" s="0" t="s">
        <v>0</v>
      </c>
      <c r="CB1" s="0" t="s">
        <v>43</v>
      </c>
      <c r="CC1" s="0" t="s">
        <v>0</v>
      </c>
      <c r="CD1" s="0" t="s">
        <v>44</v>
      </c>
      <c r="CE1" s="0" t="s">
        <v>0</v>
      </c>
      <c r="CF1" s="0" t="s">
        <v>45</v>
      </c>
      <c r="CG1" s="0" t="s">
        <v>0</v>
      </c>
      <c r="CH1" s="0" t="s">
        <v>46</v>
      </c>
      <c r="CI1" s="0" t="s">
        <v>0</v>
      </c>
      <c r="CJ1" s="0" t="s">
        <v>47</v>
      </c>
      <c r="CK1" s="0" t="s">
        <v>0</v>
      </c>
      <c r="CL1" s="0" t="s">
        <v>48</v>
      </c>
      <c r="CM1" s="0" t="s">
        <v>0</v>
      </c>
      <c r="CN1" s="0" t="s">
        <v>49</v>
      </c>
      <c r="CO1" s="0" t="s">
        <v>0</v>
      </c>
      <c r="CP1" s="0" t="s">
        <v>50</v>
      </c>
      <c r="CQ1" s="0" t="s">
        <v>0</v>
      </c>
      <c r="CR1" s="0" t="s">
        <v>51</v>
      </c>
      <c r="CS1" s="0" t="s">
        <v>0</v>
      </c>
      <c r="CT1" s="0" t="s">
        <v>52</v>
      </c>
      <c r="CU1" s="0" t="s">
        <v>0</v>
      </c>
      <c r="CV1" s="0" t="s">
        <v>53</v>
      </c>
      <c r="CW1" s="0" t="s">
        <v>0</v>
      </c>
      <c r="CX1" s="0" t="s">
        <v>54</v>
      </c>
    </row>
    <row r="2" customFormat="false" ht="12.75" hidden="false" customHeight="false" outlineLevel="0" collapsed="false">
      <c r="B2" s="0" t="s">
        <v>0</v>
      </c>
      <c r="C2" s="0" t="n">
        <v>4032992</v>
      </c>
      <c r="D2" s="0" t="n">
        <v>550696</v>
      </c>
      <c r="E2" s="0" t="s">
        <v>0</v>
      </c>
      <c r="F2" s="0" t="n">
        <v>3652849</v>
      </c>
      <c r="G2" s="0" t="s">
        <v>0</v>
      </c>
      <c r="H2" s="0" t="n">
        <v>2344205</v>
      </c>
      <c r="I2" s="0" t="s">
        <v>0</v>
      </c>
      <c r="J2" s="0" t="n">
        <v>29715727</v>
      </c>
      <c r="K2" s="0" t="s">
        <v>0</v>
      </c>
      <c r="L2" s="0" t="n">
        <v>3282756</v>
      </c>
      <c r="M2" s="0" t="s">
        <v>0</v>
      </c>
      <c r="N2" s="0" t="n">
        <v>3282130</v>
      </c>
      <c r="O2" s="0" t="s">
        <v>0</v>
      </c>
      <c r="P2" s="0" t="n">
        <v>609866</v>
      </c>
      <c r="Q2" s="0" t="s">
        <v>0</v>
      </c>
      <c r="R2" s="0" t="n">
        <v>661667</v>
      </c>
      <c r="S2" s="0" t="s">
        <v>0</v>
      </c>
      <c r="T2" s="0" t="n">
        <v>12922903</v>
      </c>
      <c r="U2" s="0" t="s">
        <v>0</v>
      </c>
      <c r="V2" s="0" t="n">
        <v>6466023</v>
      </c>
      <c r="W2" s="0" t="s">
        <v>0</v>
      </c>
      <c r="X2" s="0" t="n">
        <v>1104668</v>
      </c>
      <c r="Y2" s="0" t="s">
        <v>0</v>
      </c>
      <c r="Z2" s="0" t="n">
        <v>990916</v>
      </c>
      <c r="AA2" s="0" t="s">
        <v>0</v>
      </c>
      <c r="AB2" s="0" t="n">
        <v>11393796</v>
      </c>
      <c r="AC2" s="0" t="s">
        <v>0</v>
      </c>
      <c r="AD2" s="0" t="n">
        <v>5548329</v>
      </c>
      <c r="AE2" s="0" t="s">
        <v>0</v>
      </c>
      <c r="AF2" s="0" t="n">
        <v>2766658</v>
      </c>
      <c r="AG2" s="0" t="s">
        <v>0</v>
      </c>
      <c r="AH2" s="0" t="n">
        <v>2471342</v>
      </c>
      <c r="AI2" s="0" t="s">
        <v>0</v>
      </c>
      <c r="AJ2" s="0" t="n">
        <v>3667395</v>
      </c>
      <c r="AK2" s="0" t="s">
        <v>0</v>
      </c>
      <c r="AL2" s="0" t="n">
        <v>4188408</v>
      </c>
      <c r="AM2" s="0" t="s">
        <v>0</v>
      </c>
      <c r="AN2" s="0" t="n">
        <v>1226904</v>
      </c>
      <c r="AO2" s="0" t="s">
        <v>0</v>
      </c>
      <c r="AP2" s="0" t="n">
        <v>4780796</v>
      </c>
      <c r="AQ2" s="0" t="s">
        <v>0</v>
      </c>
      <c r="AR2" s="0" t="n">
        <v>6015898</v>
      </c>
      <c r="AS2" s="0" t="s">
        <v>0</v>
      </c>
      <c r="AT2" s="0" t="n">
        <v>9284810</v>
      </c>
      <c r="AU2" s="0" t="s">
        <v>0</v>
      </c>
      <c r="AV2" s="0" t="n">
        <v>4366568</v>
      </c>
      <c r="AW2" s="0" t="s">
        <v>0</v>
      </c>
      <c r="AX2" s="0" t="n">
        <v>2560194</v>
      </c>
      <c r="AY2" s="0" t="s">
        <v>0</v>
      </c>
      <c r="AZ2" s="0" t="n">
        <v>5101921</v>
      </c>
      <c r="BA2" s="0" t="s">
        <v>0</v>
      </c>
      <c r="BB2" s="0" t="n">
        <v>796317</v>
      </c>
      <c r="BC2" s="0" t="s">
        <v>0</v>
      </c>
      <c r="BD2" s="0" t="n">
        <v>1578049</v>
      </c>
      <c r="BE2" s="0" t="s">
        <v>0</v>
      </c>
      <c r="BF2" s="0" t="n">
        <v>1195956</v>
      </c>
      <c r="BG2" s="0" t="s">
        <v>0</v>
      </c>
      <c r="BH2" s="0" t="n">
        <v>1104242</v>
      </c>
      <c r="BI2" s="0" t="s">
        <v>0</v>
      </c>
      <c r="BJ2" s="0" t="n">
        <v>7698998</v>
      </c>
      <c r="BK2" s="0" t="s">
        <v>0</v>
      </c>
      <c r="BL2" s="0" t="n">
        <v>1507146</v>
      </c>
      <c r="BM2" s="0" t="s">
        <v>0</v>
      </c>
      <c r="BN2" s="0" t="n">
        <v>17919274</v>
      </c>
      <c r="BO2" s="0" t="s">
        <v>0</v>
      </c>
      <c r="BP2" s="0" t="n">
        <v>6612198</v>
      </c>
      <c r="BQ2" s="0" t="s">
        <v>0</v>
      </c>
      <c r="BR2" s="0" t="n">
        <v>635095</v>
      </c>
      <c r="BS2" s="0" t="s">
        <v>0</v>
      </c>
      <c r="BT2" s="0" t="n">
        <v>10832284</v>
      </c>
      <c r="BU2" s="0" t="s">
        <v>0</v>
      </c>
      <c r="BV2" s="0" t="n">
        <v>3137119</v>
      </c>
      <c r="BW2" s="0" t="s">
        <v>0</v>
      </c>
      <c r="BX2" s="0" t="n">
        <v>2832819</v>
      </c>
      <c r="BY2" s="0" t="s">
        <v>0</v>
      </c>
      <c r="BZ2" s="0" t="n">
        <v>11853450</v>
      </c>
      <c r="CA2" s="0" t="s">
        <v>0</v>
      </c>
      <c r="CB2" s="0" t="n">
        <v>1002334</v>
      </c>
      <c r="CC2" s="0" t="s">
        <v>0</v>
      </c>
      <c r="CD2" s="0" t="n">
        <v>693206</v>
      </c>
      <c r="CE2" s="0" t="s">
        <v>0</v>
      </c>
      <c r="CF2" s="0" t="n">
        <v>3480936</v>
      </c>
      <c r="CG2" s="0" t="s">
        <v>0</v>
      </c>
      <c r="CH2" s="0" t="n">
        <v>4861437</v>
      </c>
      <c r="CI2" s="0" t="s">
        <v>0</v>
      </c>
      <c r="CJ2" s="0" t="n">
        <v>16763610</v>
      </c>
      <c r="CK2" s="0" t="s">
        <v>0</v>
      </c>
      <c r="CL2" s="0" t="n">
        <v>1721828</v>
      </c>
      <c r="CM2" s="0" t="s">
        <v>0</v>
      </c>
      <c r="CN2" s="0" t="n">
        <v>559333</v>
      </c>
      <c r="CO2" s="0" t="s">
        <v>0</v>
      </c>
      <c r="CP2" s="0" t="n">
        <v>6181215</v>
      </c>
      <c r="CQ2" s="0" t="s">
        <v>0</v>
      </c>
      <c r="CR2" s="0" t="n">
        <v>4841964</v>
      </c>
      <c r="CS2" s="0" t="s">
        <v>0</v>
      </c>
      <c r="CT2" s="0" t="n">
        <v>1785999</v>
      </c>
      <c r="CU2" s="0" t="s">
        <v>0</v>
      </c>
      <c r="CV2" s="0" t="n">
        <v>4881441</v>
      </c>
      <c r="CW2" s="0" t="s">
        <v>0</v>
      </c>
      <c r="CX2" s="0" t="n">
        <v>453189</v>
      </c>
    </row>
    <row r="3" customFormat="false" ht="12.75" hidden="false" customHeight="false" outlineLevel="0" collapsed="false">
      <c r="B3" s="0" t="n">
        <v>0</v>
      </c>
      <c r="C3" s="0" t="n">
        <v>2299994</v>
      </c>
      <c r="D3" s="0" t="n">
        <v>286591</v>
      </c>
      <c r="E3" s="0" t="n">
        <v>0</v>
      </c>
      <c r="F3" s="0" t="n">
        <v>2060434</v>
      </c>
      <c r="G3" s="0" t="n">
        <v>0</v>
      </c>
      <c r="H3" s="0" t="n">
        <v>1355487</v>
      </c>
      <c r="I3" s="0" t="n">
        <v>0</v>
      </c>
      <c r="J3" s="0" t="n">
        <v>15806498</v>
      </c>
      <c r="K3" s="0" t="n">
        <v>0</v>
      </c>
      <c r="L3" s="0" t="n">
        <v>1649976</v>
      </c>
      <c r="M3" s="0" t="n">
        <v>0</v>
      </c>
      <c r="N3" s="0" t="n">
        <v>1609151</v>
      </c>
      <c r="O3" s="0" t="n">
        <v>0</v>
      </c>
      <c r="P3" s="0" t="n">
        <v>303582</v>
      </c>
      <c r="Q3" s="0" t="n">
        <v>0</v>
      </c>
      <c r="R3" s="0" t="n">
        <v>327531</v>
      </c>
      <c r="S3" s="0" t="n">
        <v>0</v>
      </c>
      <c r="T3" s="0" t="n">
        <v>7132347</v>
      </c>
      <c r="U3" s="0" t="n">
        <v>0</v>
      </c>
      <c r="V3" s="0" t="n">
        <v>3356359</v>
      </c>
      <c r="W3" s="0" t="n">
        <v>0</v>
      </c>
      <c r="X3" s="0" t="n">
        <v>540368</v>
      </c>
      <c r="Y3" s="0" t="n">
        <v>0</v>
      </c>
      <c r="Z3" s="0" t="n">
        <v>557000</v>
      </c>
      <c r="AA3" s="0" t="n">
        <v>0</v>
      </c>
      <c r="AB3" s="0" t="n">
        <v>6058554</v>
      </c>
      <c r="AC3" s="0" t="n">
        <v>0</v>
      </c>
      <c r="AD3" s="0" t="n">
        <v>2965742</v>
      </c>
      <c r="AE3" s="0" t="n">
        <v>0</v>
      </c>
      <c r="AF3" s="0" t="n">
        <v>1449735</v>
      </c>
      <c r="AG3" s="0" t="n">
        <v>0</v>
      </c>
      <c r="AH3" s="0" t="n">
        <v>1296974</v>
      </c>
      <c r="AI3" s="0" t="n">
        <v>0</v>
      </c>
      <c r="AJ3" s="0" t="n">
        <v>2107119</v>
      </c>
      <c r="AK3" s="0" t="n">
        <v>0</v>
      </c>
      <c r="AL3" s="0" t="n">
        <v>2563518</v>
      </c>
      <c r="AM3" s="0" t="n">
        <v>0</v>
      </c>
      <c r="AN3" s="0" t="n">
        <v>653357</v>
      </c>
      <c r="AO3" s="0" t="n">
        <v>0</v>
      </c>
      <c r="AP3" s="0" t="n">
        <v>2304040</v>
      </c>
      <c r="AQ3" s="0" t="n">
        <v>0</v>
      </c>
      <c r="AR3" s="0" t="n">
        <v>3031218</v>
      </c>
      <c r="AS3" s="0" t="n">
        <v>0</v>
      </c>
      <c r="AT3" s="0" t="n">
        <v>5196906</v>
      </c>
      <c r="AU3" s="0" t="n">
        <v>0</v>
      </c>
      <c r="AV3" s="0" t="n">
        <v>2207656</v>
      </c>
      <c r="AW3" s="0" t="n">
        <v>0</v>
      </c>
      <c r="AX3" s="0" t="n">
        <v>1537800</v>
      </c>
      <c r="AY3" s="0" t="n">
        <v>0</v>
      </c>
      <c r="AZ3" s="0" t="n">
        <v>2763262</v>
      </c>
      <c r="BA3" s="0" t="n">
        <v>0</v>
      </c>
      <c r="BB3" s="0" t="n">
        <v>446885</v>
      </c>
      <c r="BC3" s="0" t="n">
        <v>0</v>
      </c>
      <c r="BD3" s="0" t="n">
        <v>803789</v>
      </c>
      <c r="BE3" s="0" t="n">
        <v>0</v>
      </c>
      <c r="BF3" s="0" t="n">
        <v>595440</v>
      </c>
      <c r="BG3" s="0" t="n">
        <v>0</v>
      </c>
      <c r="BH3" s="0" t="n">
        <v>539361</v>
      </c>
      <c r="BI3" s="0" t="n">
        <v>0</v>
      </c>
      <c r="BJ3" s="0" t="n">
        <v>3899647</v>
      </c>
      <c r="BK3" s="0" t="n">
        <v>0</v>
      </c>
      <c r="BL3" s="0" t="n">
        <v>876153</v>
      </c>
      <c r="BM3" s="0" t="n">
        <v>0</v>
      </c>
      <c r="BN3" s="0" t="n">
        <v>9723449</v>
      </c>
      <c r="BO3" s="0" t="n">
        <v>0</v>
      </c>
      <c r="BP3" s="0" t="n">
        <v>3321672</v>
      </c>
      <c r="BQ3" s="0" t="n">
        <v>0</v>
      </c>
      <c r="BR3" s="0" t="n">
        <v>340720</v>
      </c>
      <c r="BS3" s="0" t="n">
        <v>0</v>
      </c>
      <c r="BT3" s="0" t="n">
        <v>6001391</v>
      </c>
      <c r="BU3" s="0" t="n">
        <v>0</v>
      </c>
      <c r="BV3" s="0" t="n">
        <v>1768425</v>
      </c>
      <c r="BW3" s="0" t="n">
        <v>0</v>
      </c>
      <c r="BX3" s="0" t="n">
        <v>1538425</v>
      </c>
      <c r="BY3" s="0" t="n">
        <v>0</v>
      </c>
      <c r="BZ3" s="0" t="n">
        <v>6514916</v>
      </c>
      <c r="CA3" s="0" t="n">
        <v>0</v>
      </c>
      <c r="CB3" s="0" t="n">
        <v>523298</v>
      </c>
      <c r="CC3" s="0" t="n">
        <v>0</v>
      </c>
      <c r="CD3" s="0" t="n">
        <v>368679</v>
      </c>
      <c r="CE3" s="0" t="n">
        <v>0</v>
      </c>
      <c r="CF3" s="0" t="n">
        <v>1849878</v>
      </c>
      <c r="CG3" s="0" t="n">
        <v>0</v>
      </c>
      <c r="CH3" s="0" t="n">
        <v>2619519</v>
      </c>
      <c r="CI3" s="0" t="n">
        <v>0</v>
      </c>
      <c r="CJ3" s="0" t="n">
        <v>9237172</v>
      </c>
      <c r="CK3" s="0" t="n">
        <v>0</v>
      </c>
      <c r="CL3" s="0" t="n">
        <v>987951</v>
      </c>
      <c r="CM3" s="0" t="n">
        <v>0</v>
      </c>
      <c r="CN3" s="0" t="n">
        <v>283282</v>
      </c>
      <c r="CO3" s="0" t="n">
        <v>0</v>
      </c>
      <c r="CP3" s="0" t="n">
        <v>3030855</v>
      </c>
      <c r="CQ3" s="0" t="n">
        <v>0</v>
      </c>
      <c r="CR3" s="0" t="n">
        <v>2549571</v>
      </c>
      <c r="CS3" s="0" t="n">
        <v>0</v>
      </c>
      <c r="CT3" s="0" t="n">
        <v>1132742</v>
      </c>
      <c r="CU3" s="0" t="n">
        <v>0</v>
      </c>
      <c r="CV3" s="0" t="n">
        <v>2533950</v>
      </c>
      <c r="CW3" s="0" t="n">
        <v>0</v>
      </c>
      <c r="CX3" s="0" t="n">
        <v>245624</v>
      </c>
    </row>
    <row r="4" customFormat="false" ht="12.75" hidden="false" customHeight="false" outlineLevel="0" collapsed="false">
      <c r="B4" s="0" t="n">
        <v>1</v>
      </c>
      <c r="C4" s="0" t="n">
        <v>1669880</v>
      </c>
      <c r="D4" s="0" t="n">
        <v>0</v>
      </c>
      <c r="E4" s="0" t="n">
        <v>1</v>
      </c>
      <c r="F4" s="0" t="n">
        <v>57</v>
      </c>
      <c r="G4" s="0" t="n">
        <v>1</v>
      </c>
      <c r="H4" s="0" t="n">
        <v>294</v>
      </c>
      <c r="I4" s="0" t="n">
        <v>1</v>
      </c>
      <c r="J4" s="0" t="n">
        <v>319</v>
      </c>
      <c r="K4" s="0" t="n">
        <v>1</v>
      </c>
      <c r="L4" s="0" t="n">
        <v>210</v>
      </c>
      <c r="M4" s="0" t="n">
        <v>1</v>
      </c>
      <c r="N4" s="0" t="n">
        <v>22</v>
      </c>
      <c r="O4" s="0" t="n">
        <v>1</v>
      </c>
      <c r="P4" s="0" t="n">
        <v>17</v>
      </c>
      <c r="Q4" s="0" t="n">
        <v>1</v>
      </c>
      <c r="R4" s="0" t="n">
        <v>20</v>
      </c>
      <c r="S4" s="0" t="n">
        <v>1</v>
      </c>
      <c r="T4" s="0" t="n">
        <v>8557</v>
      </c>
      <c r="U4" s="0" t="n">
        <v>1</v>
      </c>
      <c r="V4" s="0" t="n">
        <v>8322</v>
      </c>
      <c r="W4" s="0" t="n">
        <v>1</v>
      </c>
      <c r="X4" s="0" t="n">
        <v>59</v>
      </c>
      <c r="Y4" s="0" t="n">
        <v>1</v>
      </c>
      <c r="Z4" s="0" t="n">
        <v>0</v>
      </c>
      <c r="AA4" s="0" t="n">
        <v>1</v>
      </c>
      <c r="AB4" s="0" t="n">
        <v>270</v>
      </c>
      <c r="AC4" s="0" t="n">
        <v>1</v>
      </c>
      <c r="AD4" s="0" t="n">
        <v>213</v>
      </c>
      <c r="AE4" s="0" t="n">
        <v>1</v>
      </c>
      <c r="AF4" s="0" t="n">
        <v>47</v>
      </c>
      <c r="AG4" s="0" t="n">
        <v>1</v>
      </c>
      <c r="AH4" s="0" t="n">
        <v>99</v>
      </c>
      <c r="AI4" s="0" t="n">
        <v>1</v>
      </c>
      <c r="AJ4" s="0" t="n">
        <v>465</v>
      </c>
      <c r="AK4" s="0" t="n">
        <v>1</v>
      </c>
      <c r="AL4" s="0" t="n">
        <v>1254</v>
      </c>
      <c r="AM4" s="0" t="n">
        <v>1</v>
      </c>
      <c r="AN4" s="0" t="n">
        <v>0</v>
      </c>
      <c r="AO4" s="0" t="n">
        <v>1</v>
      </c>
      <c r="AP4" s="0" t="n">
        <v>272</v>
      </c>
      <c r="AQ4" s="0" t="n">
        <v>1</v>
      </c>
      <c r="AR4" s="0" t="n">
        <v>283</v>
      </c>
      <c r="AS4" s="0" t="n">
        <v>1</v>
      </c>
      <c r="AT4" s="0" t="n">
        <v>220</v>
      </c>
      <c r="AU4" s="0" t="n">
        <v>1</v>
      </c>
      <c r="AV4" s="0" t="n">
        <v>123</v>
      </c>
      <c r="AW4" s="0" t="n">
        <v>1</v>
      </c>
      <c r="AX4" s="0" t="n">
        <v>7152</v>
      </c>
      <c r="AY4" s="0" t="n">
        <v>1</v>
      </c>
      <c r="AZ4" s="0" t="n">
        <v>201</v>
      </c>
      <c r="BA4" s="0" t="n">
        <v>1</v>
      </c>
      <c r="BB4" s="0" t="n">
        <v>27</v>
      </c>
      <c r="BC4" s="0" t="n">
        <v>1</v>
      </c>
      <c r="BD4" s="0" t="n">
        <v>168</v>
      </c>
      <c r="BE4" s="0" t="n">
        <v>1</v>
      </c>
      <c r="BF4" s="0" t="n">
        <v>0</v>
      </c>
      <c r="BG4" s="0" t="n">
        <v>1</v>
      </c>
      <c r="BH4" s="0" t="n">
        <v>7</v>
      </c>
      <c r="BI4" s="0" t="n">
        <v>1</v>
      </c>
      <c r="BJ4" s="0" t="n">
        <v>166</v>
      </c>
      <c r="BK4" s="0" t="n">
        <v>1</v>
      </c>
      <c r="BL4" s="0" t="n">
        <v>42</v>
      </c>
      <c r="BM4" s="0" t="n">
        <v>1</v>
      </c>
      <c r="BN4" s="0" t="n">
        <v>256</v>
      </c>
      <c r="BO4" s="0" t="n">
        <v>1</v>
      </c>
      <c r="BP4" s="0" t="n">
        <v>483</v>
      </c>
      <c r="BQ4" s="0" t="n">
        <v>1</v>
      </c>
      <c r="BR4" s="0" t="n">
        <v>35</v>
      </c>
      <c r="BS4" s="0" t="n">
        <v>1</v>
      </c>
      <c r="BT4" s="0" t="n">
        <v>368</v>
      </c>
      <c r="BU4" s="0" t="n">
        <v>1</v>
      </c>
      <c r="BV4" s="0" t="n">
        <v>296</v>
      </c>
      <c r="BW4" s="0" t="n">
        <v>1</v>
      </c>
      <c r="BX4" s="0" t="n">
        <v>0</v>
      </c>
      <c r="BY4" s="0" t="n">
        <v>1</v>
      </c>
      <c r="BZ4" s="0" t="n">
        <v>202</v>
      </c>
      <c r="CA4" s="0" t="n">
        <v>1</v>
      </c>
      <c r="CB4" s="0" t="n">
        <v>49</v>
      </c>
      <c r="CC4" s="0" t="n">
        <v>1</v>
      </c>
      <c r="CD4" s="0" t="n">
        <v>0</v>
      </c>
      <c r="CE4" s="0" t="n">
        <v>1</v>
      </c>
      <c r="CF4" s="0" t="n">
        <v>297</v>
      </c>
      <c r="CG4" s="0" t="n">
        <v>1</v>
      </c>
      <c r="CH4" s="0" t="n">
        <v>8280</v>
      </c>
      <c r="CI4" s="0" t="n">
        <v>1</v>
      </c>
      <c r="CJ4" s="0" t="n">
        <v>814</v>
      </c>
      <c r="CK4" s="0" t="n">
        <v>1</v>
      </c>
      <c r="CL4" s="0" t="n">
        <v>21</v>
      </c>
      <c r="CM4" s="0" t="n">
        <v>1</v>
      </c>
      <c r="CN4" s="0" t="n">
        <v>0</v>
      </c>
      <c r="CO4" s="0" t="n">
        <v>1</v>
      </c>
      <c r="CP4" s="0" t="n">
        <v>504</v>
      </c>
      <c r="CQ4" s="0" t="n">
        <v>1</v>
      </c>
      <c r="CR4" s="0" t="n">
        <v>162</v>
      </c>
      <c r="CS4" s="0" t="n">
        <v>1</v>
      </c>
      <c r="CT4" s="0" t="n">
        <v>78</v>
      </c>
      <c r="CU4" s="0" t="n">
        <v>1</v>
      </c>
      <c r="CV4" s="0" t="n">
        <v>72</v>
      </c>
      <c r="CW4" s="0" t="n">
        <v>1</v>
      </c>
      <c r="CX4" s="0" t="n">
        <v>0</v>
      </c>
    </row>
    <row r="5" customFormat="false" ht="12.75" hidden="false" customHeight="false" outlineLevel="0" collapsed="false">
      <c r="B5" s="0" t="n">
        <v>2</v>
      </c>
      <c r="C5" s="0" t="n">
        <v>0</v>
      </c>
      <c r="D5" s="0" t="n">
        <v>262722</v>
      </c>
      <c r="E5" s="0" t="n">
        <v>2</v>
      </c>
      <c r="F5" s="0" t="n">
        <v>111</v>
      </c>
      <c r="G5" s="0" t="n">
        <v>2</v>
      </c>
      <c r="H5" s="0" t="n">
        <v>107</v>
      </c>
      <c r="I5" s="0" t="n">
        <v>2</v>
      </c>
      <c r="J5" s="0" t="n">
        <v>650</v>
      </c>
      <c r="K5" s="0" t="n">
        <v>2</v>
      </c>
      <c r="L5" s="0" t="n">
        <v>312</v>
      </c>
      <c r="M5" s="0" t="n">
        <v>2</v>
      </c>
      <c r="N5" s="0" t="n">
        <v>0</v>
      </c>
      <c r="O5" s="0" t="n">
        <v>2</v>
      </c>
      <c r="P5" s="0" t="n">
        <v>0</v>
      </c>
      <c r="Q5" s="0" t="n">
        <v>2</v>
      </c>
      <c r="R5" s="0" t="n">
        <v>0</v>
      </c>
      <c r="S5" s="0" t="n">
        <v>2</v>
      </c>
      <c r="T5" s="0" t="n">
        <v>139</v>
      </c>
      <c r="U5" s="0" t="n">
        <v>2</v>
      </c>
      <c r="V5" s="0" t="n">
        <v>45</v>
      </c>
      <c r="W5" s="0" t="n">
        <v>2</v>
      </c>
      <c r="X5" s="0" t="n">
        <v>25</v>
      </c>
      <c r="Y5" s="0" t="n">
        <v>2</v>
      </c>
      <c r="Z5" s="0" t="n">
        <v>268</v>
      </c>
      <c r="AA5" s="0" t="n">
        <v>2</v>
      </c>
      <c r="AB5" s="0" t="n">
        <v>27</v>
      </c>
      <c r="AC5" s="0" t="n">
        <v>2</v>
      </c>
      <c r="AD5" s="0" t="n">
        <v>74</v>
      </c>
      <c r="AE5" s="0" t="n">
        <v>2</v>
      </c>
      <c r="AF5" s="0" t="n">
        <v>8</v>
      </c>
      <c r="AG5" s="0" t="n">
        <v>2</v>
      </c>
      <c r="AH5" s="0" t="n">
        <v>0</v>
      </c>
      <c r="AI5" s="0" t="n">
        <v>2</v>
      </c>
      <c r="AJ5" s="0" t="n">
        <v>0</v>
      </c>
      <c r="AK5" s="0" t="n">
        <v>2</v>
      </c>
      <c r="AL5" s="0" t="n">
        <v>126</v>
      </c>
      <c r="AM5" s="0" t="n">
        <v>2</v>
      </c>
      <c r="AN5" s="0" t="n">
        <v>88</v>
      </c>
      <c r="AO5" s="0" t="n">
        <v>2</v>
      </c>
      <c r="AP5" s="0" t="n">
        <v>26</v>
      </c>
      <c r="AQ5" s="0" t="n">
        <v>2</v>
      </c>
      <c r="AR5" s="0" t="n">
        <v>0</v>
      </c>
      <c r="AS5" s="0" t="n">
        <v>2</v>
      </c>
      <c r="AT5" s="0" t="n">
        <v>87</v>
      </c>
      <c r="AU5" s="0" t="n">
        <v>2</v>
      </c>
      <c r="AV5" s="0" t="n">
        <v>0</v>
      </c>
      <c r="AW5" s="0" t="n">
        <v>2</v>
      </c>
      <c r="AX5" s="0" t="n">
        <v>90</v>
      </c>
      <c r="AY5" s="0" t="n">
        <v>2</v>
      </c>
      <c r="AZ5" s="0" t="n">
        <v>24</v>
      </c>
      <c r="BA5" s="0" t="n">
        <v>2</v>
      </c>
      <c r="BB5" s="0" t="n">
        <v>171</v>
      </c>
      <c r="BC5" s="0" t="n">
        <v>2</v>
      </c>
      <c r="BD5" s="0" t="n">
        <v>8</v>
      </c>
      <c r="BE5" s="0" t="n">
        <v>2</v>
      </c>
      <c r="BF5" s="0" t="n">
        <v>70</v>
      </c>
      <c r="BG5" s="0" t="n">
        <v>2</v>
      </c>
      <c r="BH5" s="0" t="n">
        <v>34</v>
      </c>
      <c r="BI5" s="0" t="n">
        <v>2</v>
      </c>
      <c r="BJ5" s="0" t="n">
        <v>37</v>
      </c>
      <c r="BK5" s="0" t="n">
        <v>2</v>
      </c>
      <c r="BL5" s="0" t="n">
        <v>90</v>
      </c>
      <c r="BM5" s="0" t="n">
        <v>2</v>
      </c>
      <c r="BN5" s="0" t="n">
        <v>135</v>
      </c>
      <c r="BO5" s="0" t="n">
        <v>2</v>
      </c>
      <c r="BP5" s="0" t="n">
        <v>6</v>
      </c>
      <c r="BQ5" s="0" t="n">
        <v>2</v>
      </c>
      <c r="BR5" s="0" t="n">
        <v>100</v>
      </c>
      <c r="BS5" s="0" t="n">
        <v>2</v>
      </c>
      <c r="BT5" s="0" t="n">
        <v>35</v>
      </c>
      <c r="BU5" s="0" t="n">
        <v>2</v>
      </c>
      <c r="BV5" s="0" t="n">
        <v>83</v>
      </c>
      <c r="BW5" s="0" t="n">
        <v>2</v>
      </c>
      <c r="BX5" s="0" t="n">
        <v>784</v>
      </c>
      <c r="BY5" s="0" t="n">
        <v>2</v>
      </c>
      <c r="BZ5" s="0" t="n">
        <v>55</v>
      </c>
      <c r="CA5" s="0" t="n">
        <v>2</v>
      </c>
      <c r="CB5" s="0" t="n">
        <v>23</v>
      </c>
      <c r="CC5" s="0" t="n">
        <v>2</v>
      </c>
      <c r="CD5" s="0" t="n">
        <v>24</v>
      </c>
      <c r="CE5" s="0" t="n">
        <v>2</v>
      </c>
      <c r="CF5" s="0" t="n">
        <v>18</v>
      </c>
      <c r="CG5" s="0" t="n">
        <v>2</v>
      </c>
      <c r="CH5" s="0" t="n">
        <v>75</v>
      </c>
      <c r="CI5" s="0" t="n">
        <v>2</v>
      </c>
      <c r="CJ5" s="0" t="n">
        <v>310</v>
      </c>
      <c r="CK5" s="0" t="n">
        <v>2</v>
      </c>
      <c r="CL5" s="0" t="n">
        <v>119</v>
      </c>
      <c r="CM5" s="0" t="n">
        <v>2</v>
      </c>
      <c r="CN5" s="0" t="n">
        <v>10</v>
      </c>
      <c r="CO5" s="0" t="n">
        <v>2</v>
      </c>
      <c r="CP5" s="0" t="n">
        <v>93</v>
      </c>
      <c r="CQ5" s="0" t="n">
        <v>2</v>
      </c>
      <c r="CR5" s="0" t="n">
        <v>3495</v>
      </c>
      <c r="CS5" s="0" t="n">
        <v>2</v>
      </c>
      <c r="CT5" s="0" t="n">
        <v>0</v>
      </c>
      <c r="CU5" s="0" t="n">
        <v>2</v>
      </c>
      <c r="CV5" s="0" t="n">
        <v>38</v>
      </c>
      <c r="CW5" s="0" t="n">
        <v>2</v>
      </c>
      <c r="CX5" s="0" t="n">
        <v>59</v>
      </c>
    </row>
    <row r="6" customFormat="false" ht="12.75" hidden="false" customHeight="false" outlineLevel="0" collapsed="false">
      <c r="B6" s="0" t="n">
        <v>3</v>
      </c>
      <c r="C6" s="0" t="n">
        <v>0</v>
      </c>
      <c r="D6" s="0" t="n">
        <v>0</v>
      </c>
      <c r="E6" s="0" t="n">
        <v>3</v>
      </c>
      <c r="F6" s="0" t="n">
        <v>0</v>
      </c>
      <c r="G6" s="0" t="n">
        <v>3</v>
      </c>
      <c r="H6" s="0" t="n">
        <v>0</v>
      </c>
      <c r="I6" s="0" t="n">
        <v>3</v>
      </c>
      <c r="J6" s="0" t="n">
        <v>0</v>
      </c>
      <c r="K6" s="0" t="n">
        <v>3</v>
      </c>
      <c r="L6" s="0" t="n">
        <v>0</v>
      </c>
      <c r="M6" s="0" t="n">
        <v>3</v>
      </c>
      <c r="N6" s="0" t="n">
        <v>0</v>
      </c>
      <c r="O6" s="0" t="n">
        <v>3</v>
      </c>
      <c r="P6" s="0" t="n">
        <v>0</v>
      </c>
      <c r="Q6" s="0" t="n">
        <v>3</v>
      </c>
      <c r="R6" s="0" t="n">
        <v>0</v>
      </c>
      <c r="S6" s="0" t="n">
        <v>3</v>
      </c>
      <c r="T6" s="0" t="n">
        <v>0</v>
      </c>
      <c r="U6" s="0" t="n">
        <v>3</v>
      </c>
      <c r="V6" s="0" t="n">
        <v>0</v>
      </c>
      <c r="W6" s="0" t="n">
        <v>3</v>
      </c>
      <c r="X6" s="0" t="n">
        <v>0</v>
      </c>
      <c r="Y6" s="0" t="n">
        <v>3</v>
      </c>
      <c r="Z6" s="0" t="n">
        <v>0</v>
      </c>
      <c r="AA6" s="0" t="n">
        <v>3</v>
      </c>
      <c r="AB6" s="0" t="n">
        <v>0</v>
      </c>
      <c r="AC6" s="0" t="n">
        <v>3</v>
      </c>
      <c r="AD6" s="0" t="n">
        <v>0</v>
      </c>
      <c r="AE6" s="0" t="n">
        <v>3</v>
      </c>
      <c r="AF6" s="0" t="n">
        <v>0</v>
      </c>
      <c r="AG6" s="0" t="n">
        <v>3</v>
      </c>
      <c r="AH6" s="0" t="n">
        <v>0</v>
      </c>
      <c r="AI6" s="0" t="n">
        <v>3</v>
      </c>
      <c r="AJ6" s="0" t="n">
        <v>0</v>
      </c>
      <c r="AK6" s="0" t="n">
        <v>3</v>
      </c>
      <c r="AL6" s="0" t="n">
        <v>0</v>
      </c>
      <c r="AM6" s="0" t="n">
        <v>3</v>
      </c>
      <c r="AN6" s="0" t="n">
        <v>0</v>
      </c>
      <c r="AO6" s="0" t="n">
        <v>3</v>
      </c>
      <c r="AP6" s="0" t="n">
        <v>0</v>
      </c>
      <c r="AQ6" s="0" t="n">
        <v>3</v>
      </c>
      <c r="AR6" s="0" t="n">
        <v>0</v>
      </c>
      <c r="AS6" s="0" t="n">
        <v>3</v>
      </c>
      <c r="AT6" s="0" t="n">
        <v>0</v>
      </c>
      <c r="AU6" s="0" t="n">
        <v>3</v>
      </c>
      <c r="AV6" s="0" t="n">
        <v>0</v>
      </c>
      <c r="AW6" s="0" t="n">
        <v>3</v>
      </c>
      <c r="AX6" s="0" t="n">
        <v>0</v>
      </c>
      <c r="AY6" s="0" t="n">
        <v>3</v>
      </c>
      <c r="AZ6" s="0" t="n">
        <v>0</v>
      </c>
      <c r="BA6" s="0" t="n">
        <v>3</v>
      </c>
      <c r="BB6" s="0" t="n">
        <v>0</v>
      </c>
      <c r="BC6" s="0" t="n">
        <v>3</v>
      </c>
      <c r="BD6" s="0" t="n">
        <v>0</v>
      </c>
      <c r="BE6" s="0" t="n">
        <v>3</v>
      </c>
      <c r="BF6" s="0" t="n">
        <v>0</v>
      </c>
      <c r="BG6" s="0" t="n">
        <v>3</v>
      </c>
      <c r="BH6" s="0" t="n">
        <v>0</v>
      </c>
      <c r="BI6" s="0" t="n">
        <v>3</v>
      </c>
      <c r="BJ6" s="0" t="n">
        <v>0</v>
      </c>
      <c r="BK6" s="0" t="n">
        <v>3</v>
      </c>
      <c r="BL6" s="0" t="n">
        <v>0</v>
      </c>
      <c r="BM6" s="0" t="n">
        <v>3</v>
      </c>
      <c r="BN6" s="0" t="n">
        <v>0</v>
      </c>
      <c r="BO6" s="0" t="n">
        <v>3</v>
      </c>
      <c r="BP6" s="0" t="n">
        <v>0</v>
      </c>
      <c r="BQ6" s="0" t="n">
        <v>3</v>
      </c>
      <c r="BR6" s="0" t="n">
        <v>0</v>
      </c>
      <c r="BS6" s="0" t="n">
        <v>3</v>
      </c>
      <c r="BT6" s="0" t="n">
        <v>0</v>
      </c>
      <c r="BU6" s="0" t="n">
        <v>3</v>
      </c>
      <c r="BV6" s="0" t="n">
        <v>0</v>
      </c>
      <c r="BW6" s="0" t="n">
        <v>3</v>
      </c>
      <c r="BX6" s="0" t="n">
        <v>0</v>
      </c>
      <c r="BY6" s="0" t="n">
        <v>3</v>
      </c>
      <c r="BZ6" s="0" t="n">
        <v>0</v>
      </c>
      <c r="CA6" s="0" t="n">
        <v>3</v>
      </c>
      <c r="CB6" s="0" t="n">
        <v>0</v>
      </c>
      <c r="CC6" s="0" t="n">
        <v>3</v>
      </c>
      <c r="CD6" s="0" t="n">
        <v>0</v>
      </c>
      <c r="CE6" s="0" t="n">
        <v>3</v>
      </c>
      <c r="CF6" s="0" t="n">
        <v>0</v>
      </c>
      <c r="CG6" s="0" t="n">
        <v>3</v>
      </c>
      <c r="CH6" s="0" t="n">
        <v>0</v>
      </c>
      <c r="CI6" s="0" t="n">
        <v>3</v>
      </c>
      <c r="CJ6" s="0" t="n">
        <v>0</v>
      </c>
      <c r="CK6" s="0" t="n">
        <v>3</v>
      </c>
      <c r="CL6" s="0" t="n">
        <v>0</v>
      </c>
      <c r="CM6" s="0" t="n">
        <v>3</v>
      </c>
      <c r="CN6" s="0" t="n">
        <v>0</v>
      </c>
      <c r="CO6" s="0" t="n">
        <v>3</v>
      </c>
      <c r="CP6" s="0" t="n">
        <v>0</v>
      </c>
      <c r="CQ6" s="0" t="n">
        <v>3</v>
      </c>
      <c r="CR6" s="0" t="n">
        <v>0</v>
      </c>
      <c r="CS6" s="0" t="n">
        <v>3</v>
      </c>
      <c r="CT6" s="0" t="n">
        <v>0</v>
      </c>
      <c r="CU6" s="0" t="n">
        <v>3</v>
      </c>
      <c r="CV6" s="0" t="n">
        <v>0</v>
      </c>
      <c r="CW6" s="0" t="n">
        <v>3</v>
      </c>
      <c r="CX6" s="0" t="n">
        <v>0</v>
      </c>
    </row>
    <row r="7" customFormat="false" ht="12.75" hidden="false" customHeight="false" outlineLevel="0" collapsed="false">
      <c r="B7" s="0" t="n">
        <v>4</v>
      </c>
      <c r="C7" s="0" t="n">
        <v>118</v>
      </c>
      <c r="D7" s="0" t="n">
        <v>60</v>
      </c>
      <c r="E7" s="0" t="n">
        <v>4</v>
      </c>
      <c r="F7" s="0" t="n">
        <v>1566055</v>
      </c>
      <c r="G7" s="0" t="n">
        <v>4</v>
      </c>
      <c r="H7" s="0" t="n">
        <v>32</v>
      </c>
      <c r="I7" s="0" t="n">
        <v>4</v>
      </c>
      <c r="J7" s="0" t="n">
        <v>5099</v>
      </c>
      <c r="K7" s="0" t="n">
        <v>4</v>
      </c>
      <c r="L7" s="0" t="n">
        <v>987</v>
      </c>
      <c r="M7" s="0" t="n">
        <v>4</v>
      </c>
      <c r="N7" s="0" t="n">
        <v>72</v>
      </c>
      <c r="O7" s="0" t="n">
        <v>4</v>
      </c>
      <c r="P7" s="0" t="n">
        <v>0</v>
      </c>
      <c r="Q7" s="0" t="n">
        <v>4</v>
      </c>
      <c r="R7" s="0" t="n">
        <v>0</v>
      </c>
      <c r="S7" s="0" t="n">
        <v>4</v>
      </c>
      <c r="T7" s="0" t="n">
        <v>243</v>
      </c>
      <c r="U7" s="0" t="n">
        <v>4</v>
      </c>
      <c r="V7" s="0" t="n">
        <v>101</v>
      </c>
      <c r="W7" s="0" t="n">
        <v>4</v>
      </c>
      <c r="X7" s="0" t="n">
        <v>142</v>
      </c>
      <c r="Y7" s="0" t="n">
        <v>4</v>
      </c>
      <c r="Z7" s="0" t="n">
        <v>56</v>
      </c>
      <c r="AA7" s="0" t="n">
        <v>4</v>
      </c>
      <c r="AB7" s="0" t="n">
        <v>465</v>
      </c>
      <c r="AC7" s="0" t="n">
        <v>4</v>
      </c>
      <c r="AD7" s="0" t="n">
        <v>206</v>
      </c>
      <c r="AE7" s="0" t="n">
        <v>4</v>
      </c>
      <c r="AF7" s="0" t="n">
        <v>103</v>
      </c>
      <c r="AG7" s="0" t="n">
        <v>4</v>
      </c>
      <c r="AH7" s="0" t="n">
        <v>188</v>
      </c>
      <c r="AI7" s="0" t="n">
        <v>4</v>
      </c>
      <c r="AJ7" s="0" t="n">
        <v>90</v>
      </c>
      <c r="AK7" s="0" t="n">
        <v>4</v>
      </c>
      <c r="AL7" s="0" t="n">
        <v>141</v>
      </c>
      <c r="AM7" s="0" t="n">
        <v>4</v>
      </c>
      <c r="AN7" s="0" t="n">
        <v>0</v>
      </c>
      <c r="AO7" s="0" t="n">
        <v>4</v>
      </c>
      <c r="AP7" s="0" t="n">
        <v>107</v>
      </c>
      <c r="AQ7" s="0" t="n">
        <v>4</v>
      </c>
      <c r="AR7" s="0" t="n">
        <v>168</v>
      </c>
      <c r="AS7" s="0" t="n">
        <v>4</v>
      </c>
      <c r="AT7" s="0" t="n">
        <v>314</v>
      </c>
      <c r="AU7" s="0" t="n">
        <v>4</v>
      </c>
      <c r="AV7" s="0" t="n">
        <v>119</v>
      </c>
      <c r="AW7" s="0" t="n">
        <v>4</v>
      </c>
      <c r="AX7" s="0" t="n">
        <v>165</v>
      </c>
      <c r="AY7" s="0" t="n">
        <v>4</v>
      </c>
      <c r="AZ7" s="0" t="n">
        <v>144</v>
      </c>
      <c r="BA7" s="0" t="n">
        <v>4</v>
      </c>
      <c r="BB7" s="0" t="n">
        <v>201</v>
      </c>
      <c r="BC7" s="0" t="n">
        <v>4</v>
      </c>
      <c r="BD7" s="0" t="n">
        <v>68</v>
      </c>
      <c r="BE7" s="0" t="n">
        <v>4</v>
      </c>
      <c r="BF7" s="0" t="n">
        <v>456</v>
      </c>
      <c r="BG7" s="0" t="n">
        <v>4</v>
      </c>
      <c r="BH7" s="0" t="n">
        <v>108</v>
      </c>
      <c r="BI7" s="0" t="n">
        <v>4</v>
      </c>
      <c r="BJ7" s="0" t="n">
        <v>149</v>
      </c>
      <c r="BK7" s="0" t="n">
        <v>4</v>
      </c>
      <c r="BL7" s="0" t="n">
        <v>2835</v>
      </c>
      <c r="BM7" s="0" t="n">
        <v>4</v>
      </c>
      <c r="BN7" s="0" t="n">
        <v>393</v>
      </c>
      <c r="BO7" s="0" t="n">
        <v>4</v>
      </c>
      <c r="BP7" s="0" t="n">
        <v>192</v>
      </c>
      <c r="BQ7" s="0" t="n">
        <v>4</v>
      </c>
      <c r="BR7" s="0" t="n">
        <v>75</v>
      </c>
      <c r="BS7" s="0" t="n">
        <v>4</v>
      </c>
      <c r="BT7" s="0" t="n">
        <v>281</v>
      </c>
      <c r="BU7" s="0" t="n">
        <v>4</v>
      </c>
      <c r="BV7" s="0" t="n">
        <v>78</v>
      </c>
      <c r="BW7" s="0" t="n">
        <v>4</v>
      </c>
      <c r="BX7" s="0" t="n">
        <v>285</v>
      </c>
      <c r="BY7" s="0" t="n">
        <v>4</v>
      </c>
      <c r="BZ7" s="0" t="n">
        <v>65</v>
      </c>
      <c r="CA7" s="0" t="n">
        <v>4</v>
      </c>
      <c r="CB7" s="0" t="n">
        <v>0</v>
      </c>
      <c r="CC7" s="0" t="n">
        <v>4</v>
      </c>
      <c r="CD7" s="0" t="n">
        <v>43</v>
      </c>
      <c r="CE7" s="0" t="n">
        <v>4</v>
      </c>
      <c r="CF7" s="0" t="n">
        <v>60</v>
      </c>
      <c r="CG7" s="0" t="n">
        <v>4</v>
      </c>
      <c r="CH7" s="0" t="n">
        <v>138</v>
      </c>
      <c r="CI7" s="0" t="n">
        <v>4</v>
      </c>
      <c r="CJ7" s="0" t="n">
        <v>1198</v>
      </c>
      <c r="CK7" s="0" t="n">
        <v>4</v>
      </c>
      <c r="CL7" s="0" t="n">
        <v>1169</v>
      </c>
      <c r="CM7" s="0" t="n">
        <v>4</v>
      </c>
      <c r="CN7" s="0" t="n">
        <v>0</v>
      </c>
      <c r="CO7" s="0" t="n">
        <v>4</v>
      </c>
      <c r="CP7" s="0" t="n">
        <v>234</v>
      </c>
      <c r="CQ7" s="0" t="n">
        <v>4</v>
      </c>
      <c r="CR7" s="0" t="n">
        <v>531</v>
      </c>
      <c r="CS7" s="0" t="n">
        <v>4</v>
      </c>
      <c r="CT7" s="0" t="n">
        <v>0</v>
      </c>
      <c r="CU7" s="0" t="n">
        <v>4</v>
      </c>
      <c r="CV7" s="0" t="n">
        <v>53</v>
      </c>
      <c r="CW7" s="0" t="n">
        <v>4</v>
      </c>
      <c r="CX7" s="0" t="n">
        <v>18</v>
      </c>
    </row>
    <row r="8" customFormat="false" ht="12.75" hidden="false" customHeight="false" outlineLevel="0" collapsed="false">
      <c r="B8" s="0" t="n">
        <v>5</v>
      </c>
      <c r="C8" s="0" t="n">
        <v>175</v>
      </c>
      <c r="D8" s="0" t="n">
        <v>99</v>
      </c>
      <c r="E8" s="0" t="n">
        <v>5</v>
      </c>
      <c r="F8" s="0" t="n">
        <v>31</v>
      </c>
      <c r="G8" s="0" t="n">
        <v>5</v>
      </c>
      <c r="H8" s="0" t="n">
        <v>956486</v>
      </c>
      <c r="I8" s="0" t="n">
        <v>5</v>
      </c>
      <c r="J8" s="0" t="n">
        <v>256</v>
      </c>
      <c r="K8" s="0" t="n">
        <v>5</v>
      </c>
      <c r="L8" s="0" t="n">
        <v>81</v>
      </c>
      <c r="M8" s="0" t="n">
        <v>5</v>
      </c>
      <c r="N8" s="0" t="n">
        <v>86</v>
      </c>
      <c r="O8" s="0" t="n">
        <v>5</v>
      </c>
      <c r="P8" s="0" t="n">
        <v>0</v>
      </c>
      <c r="Q8" s="0" t="n">
        <v>5</v>
      </c>
      <c r="R8" s="0" t="n">
        <v>0</v>
      </c>
      <c r="S8" s="0" t="n">
        <v>5</v>
      </c>
      <c r="T8" s="0" t="n">
        <v>154</v>
      </c>
      <c r="U8" s="0" t="n">
        <v>5</v>
      </c>
      <c r="V8" s="0" t="n">
        <v>124</v>
      </c>
      <c r="W8" s="0" t="n">
        <v>5</v>
      </c>
      <c r="X8" s="0" t="n">
        <v>0</v>
      </c>
      <c r="Y8" s="0" t="n">
        <v>5</v>
      </c>
      <c r="Z8" s="0" t="n">
        <v>0</v>
      </c>
      <c r="AA8" s="0" t="n">
        <v>5</v>
      </c>
      <c r="AB8" s="0" t="n">
        <v>255</v>
      </c>
      <c r="AC8" s="0" t="n">
        <v>5</v>
      </c>
      <c r="AD8" s="0" t="n">
        <v>107</v>
      </c>
      <c r="AE8" s="0" t="n">
        <v>5</v>
      </c>
      <c r="AF8" s="0" t="n">
        <v>18</v>
      </c>
      <c r="AG8" s="0" t="n">
        <v>5</v>
      </c>
      <c r="AH8" s="0" t="n">
        <v>320</v>
      </c>
      <c r="AI8" s="0" t="n">
        <v>5</v>
      </c>
      <c r="AJ8" s="0" t="n">
        <v>186</v>
      </c>
      <c r="AK8" s="0" t="n">
        <v>5</v>
      </c>
      <c r="AL8" s="0" t="n">
        <v>4014</v>
      </c>
      <c r="AM8" s="0" t="n">
        <v>5</v>
      </c>
      <c r="AN8" s="0" t="n">
        <v>8</v>
      </c>
      <c r="AO8" s="0" t="n">
        <v>5</v>
      </c>
      <c r="AP8" s="0" t="n">
        <v>14</v>
      </c>
      <c r="AQ8" s="0" t="n">
        <v>5</v>
      </c>
      <c r="AR8" s="0" t="n">
        <v>0</v>
      </c>
      <c r="AS8" s="0" t="n">
        <v>5</v>
      </c>
      <c r="AT8" s="0" t="n">
        <v>83</v>
      </c>
      <c r="AU8" s="0" t="n">
        <v>5</v>
      </c>
      <c r="AV8" s="0" t="n">
        <v>55</v>
      </c>
      <c r="AW8" s="0" t="n">
        <v>5</v>
      </c>
      <c r="AX8" s="0" t="n">
        <v>747</v>
      </c>
      <c r="AY8" s="0" t="n">
        <v>5</v>
      </c>
      <c r="AZ8" s="0" t="n">
        <v>6516</v>
      </c>
      <c r="BA8" s="0" t="n">
        <v>5</v>
      </c>
      <c r="BB8" s="0" t="n">
        <v>0</v>
      </c>
      <c r="BC8" s="0" t="n">
        <v>5</v>
      </c>
      <c r="BD8" s="0" t="n">
        <v>17</v>
      </c>
      <c r="BE8" s="0" t="n">
        <v>5</v>
      </c>
      <c r="BF8" s="0" t="n">
        <v>0</v>
      </c>
      <c r="BG8" s="0" t="n">
        <v>5</v>
      </c>
      <c r="BH8" s="0" t="n">
        <v>0</v>
      </c>
      <c r="BI8" s="0" t="n">
        <v>5</v>
      </c>
      <c r="BJ8" s="0" t="n">
        <v>0</v>
      </c>
      <c r="BK8" s="0" t="n">
        <v>5</v>
      </c>
      <c r="BL8" s="0" t="n">
        <v>30</v>
      </c>
      <c r="BM8" s="0" t="n">
        <v>5</v>
      </c>
      <c r="BN8" s="0" t="n">
        <v>52</v>
      </c>
      <c r="BO8" s="0" t="n">
        <v>5</v>
      </c>
      <c r="BP8" s="0" t="n">
        <v>126</v>
      </c>
      <c r="BQ8" s="0" t="n">
        <v>5</v>
      </c>
      <c r="BR8" s="0" t="n">
        <v>0</v>
      </c>
      <c r="BS8" s="0" t="n">
        <v>5</v>
      </c>
      <c r="BT8" s="0" t="n">
        <v>116</v>
      </c>
      <c r="BU8" s="0" t="n">
        <v>5</v>
      </c>
      <c r="BV8" s="0" t="n">
        <v>16513</v>
      </c>
      <c r="BW8" s="0" t="n">
        <v>5</v>
      </c>
      <c r="BX8" s="0" t="n">
        <v>41</v>
      </c>
      <c r="BY8" s="0" t="n">
        <v>5</v>
      </c>
      <c r="BZ8" s="0" t="n">
        <v>76</v>
      </c>
      <c r="CA8" s="0" t="n">
        <v>5</v>
      </c>
      <c r="CB8" s="0" t="n">
        <v>0</v>
      </c>
      <c r="CC8" s="0" t="n">
        <v>5</v>
      </c>
      <c r="CD8" s="0" t="n">
        <v>38</v>
      </c>
      <c r="CE8" s="0" t="n">
        <v>5</v>
      </c>
      <c r="CF8" s="0" t="n">
        <v>36</v>
      </c>
      <c r="CG8" s="0" t="n">
        <v>5</v>
      </c>
      <c r="CH8" s="0" t="n">
        <v>2382</v>
      </c>
      <c r="CI8" s="0" t="n">
        <v>5</v>
      </c>
      <c r="CJ8" s="0" t="n">
        <v>7232</v>
      </c>
      <c r="CK8" s="0" t="n">
        <v>5</v>
      </c>
      <c r="CL8" s="0" t="n">
        <v>0</v>
      </c>
      <c r="CM8" s="0" t="n">
        <v>5</v>
      </c>
      <c r="CN8" s="0" t="n">
        <v>0</v>
      </c>
      <c r="CO8" s="0" t="n">
        <v>5</v>
      </c>
      <c r="CP8" s="0" t="n">
        <v>45</v>
      </c>
      <c r="CQ8" s="0" t="n">
        <v>5</v>
      </c>
      <c r="CR8" s="0" t="n">
        <v>0</v>
      </c>
      <c r="CS8" s="0" t="n">
        <v>5</v>
      </c>
      <c r="CT8" s="0" t="n">
        <v>39</v>
      </c>
      <c r="CU8" s="0" t="n">
        <v>5</v>
      </c>
      <c r="CV8" s="0" t="n">
        <v>87</v>
      </c>
      <c r="CW8" s="0" t="n">
        <v>5</v>
      </c>
      <c r="CX8" s="0" t="n">
        <v>0</v>
      </c>
    </row>
    <row r="9" customFormat="false" ht="12.75" hidden="false" customHeight="false" outlineLevel="0" collapsed="false">
      <c r="B9" s="0" t="n">
        <v>6</v>
      </c>
      <c r="C9" s="0" t="n">
        <v>758</v>
      </c>
      <c r="D9" s="0" t="n">
        <v>122</v>
      </c>
      <c r="E9" s="0" t="n">
        <v>6</v>
      </c>
      <c r="F9" s="0" t="n">
        <v>7529</v>
      </c>
      <c r="G9" s="0" t="n">
        <v>6</v>
      </c>
      <c r="H9" s="0" t="n">
        <v>354</v>
      </c>
      <c r="I9" s="0" t="n">
        <v>6</v>
      </c>
      <c r="J9" s="0" t="n">
        <v>13845907</v>
      </c>
      <c r="K9" s="0" t="n">
        <v>6</v>
      </c>
      <c r="L9" s="0" t="n">
        <v>2244</v>
      </c>
      <c r="M9" s="0" t="n">
        <v>6</v>
      </c>
      <c r="N9" s="0" t="n">
        <v>603</v>
      </c>
      <c r="O9" s="0" t="n">
        <v>6</v>
      </c>
      <c r="P9" s="0" t="n">
        <v>202</v>
      </c>
      <c r="Q9" s="0" t="n">
        <v>6</v>
      </c>
      <c r="R9" s="0" t="n">
        <v>158</v>
      </c>
      <c r="S9" s="0" t="n">
        <v>6</v>
      </c>
      <c r="T9" s="0" t="n">
        <v>2375</v>
      </c>
      <c r="U9" s="0" t="n">
        <v>6</v>
      </c>
      <c r="V9" s="0" t="n">
        <v>1594</v>
      </c>
      <c r="W9" s="0" t="n">
        <v>6</v>
      </c>
      <c r="X9" s="0" t="n">
        <v>1464</v>
      </c>
      <c r="Y9" s="0" t="n">
        <v>6</v>
      </c>
      <c r="Z9" s="0" t="n">
        <v>928</v>
      </c>
      <c r="AA9" s="0" t="n">
        <v>6</v>
      </c>
      <c r="AB9" s="0" t="n">
        <v>2136</v>
      </c>
      <c r="AC9" s="0" t="n">
        <v>6</v>
      </c>
      <c r="AD9" s="0" t="n">
        <v>618</v>
      </c>
      <c r="AE9" s="0" t="n">
        <v>6</v>
      </c>
      <c r="AF9" s="0" t="n">
        <v>378</v>
      </c>
      <c r="AG9" s="0" t="n">
        <v>6</v>
      </c>
      <c r="AH9" s="0" t="n">
        <v>337</v>
      </c>
      <c r="AI9" s="0" t="n">
        <v>6</v>
      </c>
      <c r="AJ9" s="0" t="n">
        <v>550</v>
      </c>
      <c r="AK9" s="0" t="n">
        <v>6</v>
      </c>
      <c r="AL9" s="0" t="n">
        <v>936</v>
      </c>
      <c r="AM9" s="0" t="n">
        <v>6</v>
      </c>
      <c r="AN9" s="0" t="n">
        <v>69</v>
      </c>
      <c r="AO9" s="0" t="n">
        <v>6</v>
      </c>
      <c r="AP9" s="0" t="n">
        <v>922</v>
      </c>
      <c r="AQ9" s="0" t="n">
        <v>6</v>
      </c>
      <c r="AR9" s="0" t="n">
        <v>1104</v>
      </c>
      <c r="AS9" s="0" t="n">
        <v>6</v>
      </c>
      <c r="AT9" s="0" t="n">
        <v>1572</v>
      </c>
      <c r="AU9" s="0" t="n">
        <v>6</v>
      </c>
      <c r="AV9" s="0" t="n">
        <v>922</v>
      </c>
      <c r="AW9" s="0" t="n">
        <v>6</v>
      </c>
      <c r="AX9" s="0" t="n">
        <v>225</v>
      </c>
      <c r="AY9" s="0" t="n">
        <v>6</v>
      </c>
      <c r="AZ9" s="0" t="n">
        <v>976</v>
      </c>
      <c r="BA9" s="0" t="n">
        <v>6</v>
      </c>
      <c r="BB9" s="0" t="n">
        <v>602</v>
      </c>
      <c r="BC9" s="0" t="n">
        <v>6</v>
      </c>
      <c r="BD9" s="0" t="n">
        <v>452</v>
      </c>
      <c r="BE9" s="0" t="n">
        <v>6</v>
      </c>
      <c r="BF9" s="0" t="n">
        <v>4686</v>
      </c>
      <c r="BG9" s="0" t="n">
        <v>6</v>
      </c>
      <c r="BH9" s="0" t="n">
        <v>192</v>
      </c>
      <c r="BI9" s="0" t="n">
        <v>6</v>
      </c>
      <c r="BJ9" s="0" t="n">
        <v>1282</v>
      </c>
      <c r="BK9" s="0" t="n">
        <v>6</v>
      </c>
      <c r="BL9" s="0" t="n">
        <v>606</v>
      </c>
      <c r="BM9" s="0" t="n">
        <v>6</v>
      </c>
      <c r="BN9" s="0" t="n">
        <v>2970</v>
      </c>
      <c r="BO9" s="0" t="n">
        <v>6</v>
      </c>
      <c r="BP9" s="0" t="n">
        <v>972</v>
      </c>
      <c r="BQ9" s="0" t="n">
        <v>6</v>
      </c>
      <c r="BR9" s="0" t="n">
        <v>30</v>
      </c>
      <c r="BS9" s="0" t="n">
        <v>6</v>
      </c>
      <c r="BT9" s="0" t="n">
        <v>1352</v>
      </c>
      <c r="BU9" s="0" t="n">
        <v>6</v>
      </c>
      <c r="BV9" s="0" t="n">
        <v>768</v>
      </c>
      <c r="BW9" s="0" t="n">
        <v>6</v>
      </c>
      <c r="BX9" s="0" t="n">
        <v>4252</v>
      </c>
      <c r="BY9" s="0" t="n">
        <v>6</v>
      </c>
      <c r="BZ9" s="0" t="n">
        <v>1575</v>
      </c>
      <c r="CA9" s="0" t="n">
        <v>6</v>
      </c>
      <c r="CB9" s="0" t="n">
        <v>114</v>
      </c>
      <c r="CC9" s="0" t="n">
        <v>6</v>
      </c>
      <c r="CD9" s="0" t="n">
        <v>159</v>
      </c>
      <c r="CE9" s="0" t="n">
        <v>6</v>
      </c>
      <c r="CF9" s="0" t="n">
        <v>318</v>
      </c>
      <c r="CG9" s="0" t="n">
        <v>6</v>
      </c>
      <c r="CH9" s="0" t="n">
        <v>879</v>
      </c>
      <c r="CI9" s="0" t="n">
        <v>6</v>
      </c>
      <c r="CJ9" s="0" t="n">
        <v>4994</v>
      </c>
      <c r="CK9" s="0" t="n">
        <v>6</v>
      </c>
      <c r="CL9" s="0" t="n">
        <v>1788</v>
      </c>
      <c r="CM9" s="0" t="n">
        <v>6</v>
      </c>
      <c r="CN9" s="0" t="n">
        <v>15</v>
      </c>
      <c r="CO9" s="0" t="n">
        <v>6</v>
      </c>
      <c r="CP9" s="0" t="n">
        <v>1557</v>
      </c>
      <c r="CQ9" s="0" t="n">
        <v>6</v>
      </c>
      <c r="CR9" s="0" t="n">
        <v>3471</v>
      </c>
      <c r="CS9" s="0" t="n">
        <v>6</v>
      </c>
      <c r="CT9" s="0" t="n">
        <v>104</v>
      </c>
      <c r="CU9" s="0" t="n">
        <v>6</v>
      </c>
      <c r="CV9" s="0" t="n">
        <v>512</v>
      </c>
      <c r="CW9" s="0" t="n">
        <v>6</v>
      </c>
      <c r="CX9" s="0" t="n">
        <v>184</v>
      </c>
    </row>
    <row r="10" customFormat="false" ht="12.75" hidden="false" customHeight="false" outlineLevel="0" collapsed="false">
      <c r="B10" s="0" t="n">
        <v>7</v>
      </c>
      <c r="C10" s="0" t="n">
        <v>0</v>
      </c>
      <c r="D10" s="0" t="n">
        <v>0</v>
      </c>
      <c r="E10" s="0" t="n">
        <v>7</v>
      </c>
      <c r="F10" s="0" t="n">
        <v>0</v>
      </c>
      <c r="G10" s="0" t="n">
        <v>7</v>
      </c>
      <c r="H10" s="0" t="n">
        <v>0</v>
      </c>
      <c r="I10" s="0" t="n">
        <v>7</v>
      </c>
      <c r="J10" s="0" t="n">
        <v>0</v>
      </c>
      <c r="K10" s="0" t="n">
        <v>7</v>
      </c>
      <c r="L10" s="0" t="n">
        <v>0</v>
      </c>
      <c r="M10" s="0" t="n">
        <v>7</v>
      </c>
      <c r="N10" s="0" t="n">
        <v>0</v>
      </c>
      <c r="O10" s="0" t="n">
        <v>7</v>
      </c>
      <c r="P10" s="0" t="n">
        <v>0</v>
      </c>
      <c r="Q10" s="0" t="n">
        <v>7</v>
      </c>
      <c r="R10" s="0" t="n">
        <v>0</v>
      </c>
      <c r="S10" s="0" t="n">
        <v>7</v>
      </c>
      <c r="T10" s="0" t="n">
        <v>0</v>
      </c>
      <c r="U10" s="0" t="n">
        <v>7</v>
      </c>
      <c r="V10" s="0" t="n">
        <v>0</v>
      </c>
      <c r="W10" s="0" t="n">
        <v>7</v>
      </c>
      <c r="X10" s="0" t="n">
        <v>0</v>
      </c>
      <c r="Y10" s="0" t="n">
        <v>7</v>
      </c>
      <c r="Z10" s="0" t="n">
        <v>0</v>
      </c>
      <c r="AA10" s="0" t="n">
        <v>7</v>
      </c>
      <c r="AB10" s="0" t="n">
        <v>0</v>
      </c>
      <c r="AC10" s="0" t="n">
        <v>7</v>
      </c>
      <c r="AD10" s="0" t="n">
        <v>0</v>
      </c>
      <c r="AE10" s="0" t="n">
        <v>7</v>
      </c>
      <c r="AF10" s="0" t="n">
        <v>0</v>
      </c>
      <c r="AG10" s="0" t="n">
        <v>7</v>
      </c>
      <c r="AH10" s="0" t="n">
        <v>0</v>
      </c>
      <c r="AI10" s="0" t="n">
        <v>7</v>
      </c>
      <c r="AJ10" s="0" t="n">
        <v>0</v>
      </c>
      <c r="AK10" s="0" t="n">
        <v>7</v>
      </c>
      <c r="AL10" s="0" t="n">
        <v>0</v>
      </c>
      <c r="AM10" s="0" t="n">
        <v>7</v>
      </c>
      <c r="AN10" s="0" t="n">
        <v>0</v>
      </c>
      <c r="AO10" s="0" t="n">
        <v>7</v>
      </c>
      <c r="AP10" s="0" t="n">
        <v>0</v>
      </c>
      <c r="AQ10" s="0" t="n">
        <v>7</v>
      </c>
      <c r="AR10" s="0" t="n">
        <v>0</v>
      </c>
      <c r="AS10" s="0" t="n">
        <v>7</v>
      </c>
      <c r="AT10" s="0" t="n">
        <v>0</v>
      </c>
      <c r="AU10" s="0" t="n">
        <v>7</v>
      </c>
      <c r="AV10" s="0" t="n">
        <v>0</v>
      </c>
      <c r="AW10" s="0" t="n">
        <v>7</v>
      </c>
      <c r="AX10" s="0" t="n">
        <v>0</v>
      </c>
      <c r="AY10" s="0" t="n">
        <v>7</v>
      </c>
      <c r="AZ10" s="0" t="n">
        <v>0</v>
      </c>
      <c r="BA10" s="0" t="n">
        <v>7</v>
      </c>
      <c r="BB10" s="0" t="n">
        <v>0</v>
      </c>
      <c r="BC10" s="0" t="n">
        <v>7</v>
      </c>
      <c r="BD10" s="0" t="n">
        <v>0</v>
      </c>
      <c r="BE10" s="0" t="n">
        <v>7</v>
      </c>
      <c r="BF10" s="0" t="n">
        <v>0</v>
      </c>
      <c r="BG10" s="0" t="n">
        <v>7</v>
      </c>
      <c r="BH10" s="0" t="n">
        <v>0</v>
      </c>
      <c r="BI10" s="0" t="n">
        <v>7</v>
      </c>
      <c r="BJ10" s="0" t="n">
        <v>0</v>
      </c>
      <c r="BK10" s="0" t="n">
        <v>7</v>
      </c>
      <c r="BL10" s="0" t="n">
        <v>0</v>
      </c>
      <c r="BM10" s="0" t="n">
        <v>7</v>
      </c>
      <c r="BN10" s="0" t="n">
        <v>0</v>
      </c>
      <c r="BO10" s="0" t="n">
        <v>7</v>
      </c>
      <c r="BP10" s="0" t="n">
        <v>0</v>
      </c>
      <c r="BQ10" s="0" t="n">
        <v>7</v>
      </c>
      <c r="BR10" s="0" t="n">
        <v>0</v>
      </c>
      <c r="BS10" s="0" t="n">
        <v>7</v>
      </c>
      <c r="BT10" s="0" t="n">
        <v>0</v>
      </c>
      <c r="BU10" s="0" t="n">
        <v>7</v>
      </c>
      <c r="BV10" s="0" t="n">
        <v>0</v>
      </c>
      <c r="BW10" s="0" t="n">
        <v>7</v>
      </c>
      <c r="BX10" s="0" t="n">
        <v>0</v>
      </c>
      <c r="BY10" s="0" t="n">
        <v>7</v>
      </c>
      <c r="BZ10" s="0" t="n">
        <v>0</v>
      </c>
      <c r="CA10" s="0" t="n">
        <v>7</v>
      </c>
      <c r="CB10" s="0" t="n">
        <v>0</v>
      </c>
      <c r="CC10" s="0" t="n">
        <v>7</v>
      </c>
      <c r="CD10" s="0" t="n">
        <v>0</v>
      </c>
      <c r="CE10" s="0" t="n">
        <v>7</v>
      </c>
      <c r="CF10" s="0" t="n">
        <v>0</v>
      </c>
      <c r="CG10" s="0" t="n">
        <v>7</v>
      </c>
      <c r="CH10" s="0" t="n">
        <v>0</v>
      </c>
      <c r="CI10" s="0" t="n">
        <v>7</v>
      </c>
      <c r="CJ10" s="0" t="n">
        <v>0</v>
      </c>
      <c r="CK10" s="0" t="n">
        <v>7</v>
      </c>
      <c r="CL10" s="0" t="n">
        <v>0</v>
      </c>
      <c r="CM10" s="0" t="n">
        <v>7</v>
      </c>
      <c r="CN10" s="0" t="n">
        <v>0</v>
      </c>
      <c r="CO10" s="0" t="n">
        <v>7</v>
      </c>
      <c r="CP10" s="0" t="n">
        <v>0</v>
      </c>
      <c r="CQ10" s="0" t="n">
        <v>7</v>
      </c>
      <c r="CR10" s="0" t="n">
        <v>0</v>
      </c>
      <c r="CS10" s="0" t="n">
        <v>7</v>
      </c>
      <c r="CT10" s="0" t="n">
        <v>0</v>
      </c>
      <c r="CU10" s="0" t="n">
        <v>7</v>
      </c>
      <c r="CV10" s="0" t="n">
        <v>0</v>
      </c>
      <c r="CW10" s="0" t="n">
        <v>7</v>
      </c>
      <c r="CX10" s="0" t="n">
        <v>0</v>
      </c>
    </row>
    <row r="11" customFormat="false" ht="12.75" hidden="false" customHeight="false" outlineLevel="0" collapsed="false">
      <c r="B11" s="0" t="n">
        <v>8</v>
      </c>
      <c r="C11" s="0" t="n">
        <v>22</v>
      </c>
      <c r="D11" s="0" t="n">
        <v>0</v>
      </c>
      <c r="E11" s="0" t="n">
        <v>8</v>
      </c>
      <c r="F11" s="0" t="n">
        <v>553</v>
      </c>
      <c r="G11" s="0" t="n">
        <v>8</v>
      </c>
      <c r="H11" s="0" t="n">
        <v>55</v>
      </c>
      <c r="I11" s="0" t="n">
        <v>8</v>
      </c>
      <c r="J11" s="0" t="n">
        <v>1431</v>
      </c>
      <c r="K11" s="0" t="n">
        <v>8</v>
      </c>
      <c r="L11" s="0" t="n">
        <v>1615227</v>
      </c>
      <c r="M11" s="0" t="n">
        <v>8</v>
      </c>
      <c r="N11" s="0" t="n">
        <v>123</v>
      </c>
      <c r="O11" s="0" t="n">
        <v>8</v>
      </c>
      <c r="P11" s="0" t="n">
        <v>0</v>
      </c>
      <c r="Q11" s="0" t="n">
        <v>8</v>
      </c>
      <c r="R11" s="0" t="n">
        <v>0</v>
      </c>
      <c r="S11" s="0" t="n">
        <v>8</v>
      </c>
      <c r="T11" s="0" t="n">
        <v>727</v>
      </c>
      <c r="U11" s="0" t="n">
        <v>8</v>
      </c>
      <c r="V11" s="0" t="n">
        <v>363</v>
      </c>
      <c r="W11" s="0" t="n">
        <v>8</v>
      </c>
      <c r="X11" s="0" t="n">
        <v>25</v>
      </c>
      <c r="Y11" s="0" t="n">
        <v>8</v>
      </c>
      <c r="Z11" s="0" t="n">
        <v>64</v>
      </c>
      <c r="AA11" s="0" t="n">
        <v>8</v>
      </c>
      <c r="AB11" s="0" t="n">
        <v>285</v>
      </c>
      <c r="AC11" s="0" t="n">
        <v>8</v>
      </c>
      <c r="AD11" s="0" t="n">
        <v>77</v>
      </c>
      <c r="AE11" s="0" t="n">
        <v>8</v>
      </c>
      <c r="AF11" s="0" t="n">
        <v>105</v>
      </c>
      <c r="AG11" s="0" t="n">
        <v>8</v>
      </c>
      <c r="AH11" s="0" t="n">
        <v>450</v>
      </c>
      <c r="AI11" s="0" t="n">
        <v>8</v>
      </c>
      <c r="AJ11" s="0" t="n">
        <v>364</v>
      </c>
      <c r="AK11" s="0" t="n">
        <v>8</v>
      </c>
      <c r="AL11" s="0" t="n">
        <v>189</v>
      </c>
      <c r="AM11" s="0" t="n">
        <v>8</v>
      </c>
      <c r="AN11" s="0" t="n">
        <v>9</v>
      </c>
      <c r="AO11" s="0" t="n">
        <v>8</v>
      </c>
      <c r="AP11" s="0" t="n">
        <v>199</v>
      </c>
      <c r="AQ11" s="0" t="n">
        <v>8</v>
      </c>
      <c r="AR11" s="0" t="n">
        <v>272</v>
      </c>
      <c r="AS11" s="0" t="n">
        <v>8</v>
      </c>
      <c r="AT11" s="0" t="n">
        <v>129</v>
      </c>
      <c r="AU11" s="0" t="n">
        <v>8</v>
      </c>
      <c r="AV11" s="0" t="n">
        <v>215</v>
      </c>
      <c r="AW11" s="0" t="n">
        <v>8</v>
      </c>
      <c r="AX11" s="0" t="n">
        <v>39</v>
      </c>
      <c r="AY11" s="0" t="n">
        <v>8</v>
      </c>
      <c r="AZ11" s="0" t="n">
        <v>289</v>
      </c>
      <c r="BA11" s="0" t="n">
        <v>8</v>
      </c>
      <c r="BB11" s="0" t="n">
        <v>34</v>
      </c>
      <c r="BC11" s="0" t="n">
        <v>8</v>
      </c>
      <c r="BD11" s="0" t="n">
        <v>548</v>
      </c>
      <c r="BE11" s="0" t="n">
        <v>8</v>
      </c>
      <c r="BF11" s="0" t="n">
        <v>227</v>
      </c>
      <c r="BG11" s="0" t="n">
        <v>8</v>
      </c>
      <c r="BH11" s="0" t="n">
        <v>27</v>
      </c>
      <c r="BI11" s="0" t="n">
        <v>8</v>
      </c>
      <c r="BJ11" s="0" t="n">
        <v>175</v>
      </c>
      <c r="BK11" s="0" t="n">
        <v>8</v>
      </c>
      <c r="BL11" s="0" t="n">
        <v>774</v>
      </c>
      <c r="BM11" s="0" t="n">
        <v>8</v>
      </c>
      <c r="BN11" s="0" t="n">
        <v>355</v>
      </c>
      <c r="BO11" s="0" t="n">
        <v>8</v>
      </c>
      <c r="BP11" s="0" t="n">
        <v>156</v>
      </c>
      <c r="BQ11" s="0" t="n">
        <v>8</v>
      </c>
      <c r="BR11" s="0" t="n">
        <v>135</v>
      </c>
      <c r="BS11" s="0" t="n">
        <v>8</v>
      </c>
      <c r="BT11" s="0" t="n">
        <v>367</v>
      </c>
      <c r="BU11" s="0" t="n">
        <v>8</v>
      </c>
      <c r="BV11" s="0" t="n">
        <v>205</v>
      </c>
      <c r="BW11" s="0" t="n">
        <v>8</v>
      </c>
      <c r="BX11" s="0" t="n">
        <v>131</v>
      </c>
      <c r="BY11" s="0" t="n">
        <v>8</v>
      </c>
      <c r="BZ11" s="0" t="n">
        <v>190</v>
      </c>
      <c r="CA11" s="0" t="n">
        <v>8</v>
      </c>
      <c r="CB11" s="0" t="n">
        <v>0</v>
      </c>
      <c r="CC11" s="0" t="n">
        <v>8</v>
      </c>
      <c r="CD11" s="0" t="n">
        <v>78</v>
      </c>
      <c r="CE11" s="0" t="n">
        <v>8</v>
      </c>
      <c r="CF11" s="0" t="n">
        <v>93</v>
      </c>
      <c r="CG11" s="0" t="n">
        <v>8</v>
      </c>
      <c r="CH11" s="0" t="n">
        <v>153</v>
      </c>
      <c r="CI11" s="0" t="n">
        <v>8</v>
      </c>
      <c r="CJ11" s="0" t="n">
        <v>1022</v>
      </c>
      <c r="CK11" s="0" t="n">
        <v>8</v>
      </c>
      <c r="CL11" s="0" t="n">
        <v>480</v>
      </c>
      <c r="CM11" s="0" t="n">
        <v>8</v>
      </c>
      <c r="CN11" s="0" t="n">
        <v>5</v>
      </c>
      <c r="CO11" s="0" t="n">
        <v>8</v>
      </c>
      <c r="CP11" s="0" t="n">
        <v>363</v>
      </c>
      <c r="CQ11" s="0" t="n">
        <v>8</v>
      </c>
      <c r="CR11" s="0" t="n">
        <v>303</v>
      </c>
      <c r="CS11" s="0" t="n">
        <v>8</v>
      </c>
      <c r="CT11" s="0" t="n">
        <v>32</v>
      </c>
      <c r="CU11" s="0" t="n">
        <v>8</v>
      </c>
      <c r="CV11" s="0" t="n">
        <v>291</v>
      </c>
      <c r="CW11" s="0" t="n">
        <v>8</v>
      </c>
      <c r="CX11" s="0" t="n">
        <v>806</v>
      </c>
    </row>
    <row r="12" customFormat="false" ht="12.75" hidden="false" customHeight="false" outlineLevel="0" collapsed="false">
      <c r="B12" s="0" t="n">
        <v>9</v>
      </c>
      <c r="C12" s="0" t="n">
        <v>13</v>
      </c>
      <c r="D12" s="0" t="n">
        <v>0</v>
      </c>
      <c r="E12" s="0" t="n">
        <v>9</v>
      </c>
      <c r="F12" s="0" t="n">
        <v>44</v>
      </c>
      <c r="G12" s="0" t="n">
        <v>9</v>
      </c>
      <c r="H12" s="0" t="n">
        <v>0</v>
      </c>
      <c r="I12" s="0" t="n">
        <v>9</v>
      </c>
      <c r="J12" s="0" t="n">
        <v>256</v>
      </c>
      <c r="K12" s="0" t="n">
        <v>9</v>
      </c>
      <c r="L12" s="0" t="n">
        <v>21</v>
      </c>
      <c r="M12" s="0" t="n">
        <v>9</v>
      </c>
      <c r="N12" s="0" t="n">
        <v>1592891</v>
      </c>
      <c r="O12" s="0" t="n">
        <v>9</v>
      </c>
      <c r="P12" s="0" t="n">
        <v>9</v>
      </c>
      <c r="Q12" s="0" t="n">
        <v>9</v>
      </c>
      <c r="R12" s="0" t="n">
        <v>83</v>
      </c>
      <c r="S12" s="0" t="n">
        <v>9</v>
      </c>
      <c r="T12" s="0" t="n">
        <v>1139</v>
      </c>
      <c r="U12" s="0" t="n">
        <v>9</v>
      </c>
      <c r="V12" s="0" t="n">
        <v>70</v>
      </c>
      <c r="W12" s="0" t="n">
        <v>9</v>
      </c>
      <c r="X12" s="0" t="n">
        <v>0</v>
      </c>
      <c r="Y12" s="0" t="n">
        <v>9</v>
      </c>
      <c r="Z12" s="0" t="n">
        <v>0</v>
      </c>
      <c r="AA12" s="0" t="n">
        <v>9</v>
      </c>
      <c r="AB12" s="0" t="n">
        <v>345</v>
      </c>
      <c r="AC12" s="0" t="n">
        <v>9</v>
      </c>
      <c r="AD12" s="0" t="n">
        <v>93</v>
      </c>
      <c r="AE12" s="0" t="n">
        <v>9</v>
      </c>
      <c r="AF12" s="0" t="n">
        <v>0</v>
      </c>
      <c r="AG12" s="0" t="n">
        <v>9</v>
      </c>
      <c r="AH12" s="0" t="n">
        <v>94</v>
      </c>
      <c r="AI12" s="0" t="n">
        <v>9</v>
      </c>
      <c r="AJ12" s="0" t="n">
        <v>0</v>
      </c>
      <c r="AK12" s="0" t="n">
        <v>9</v>
      </c>
      <c r="AL12" s="0" t="n">
        <v>126</v>
      </c>
      <c r="AM12" s="0" t="n">
        <v>9</v>
      </c>
      <c r="AN12" s="0" t="n">
        <v>251</v>
      </c>
      <c r="AO12" s="0" t="n">
        <v>9</v>
      </c>
      <c r="AP12" s="0" t="n">
        <v>174</v>
      </c>
      <c r="AQ12" s="0" t="n">
        <v>9</v>
      </c>
      <c r="AR12" s="0" t="n">
        <v>27399</v>
      </c>
      <c r="AS12" s="0" t="n">
        <v>9</v>
      </c>
      <c r="AT12" s="0" t="n">
        <v>121</v>
      </c>
      <c r="AU12" s="0" t="n">
        <v>9</v>
      </c>
      <c r="AV12" s="0" t="n">
        <v>61</v>
      </c>
      <c r="AW12" s="0" t="n">
        <v>9</v>
      </c>
      <c r="AX12" s="0" t="n">
        <v>9</v>
      </c>
      <c r="AY12" s="0" t="n">
        <v>9</v>
      </c>
      <c r="AZ12" s="0" t="n">
        <v>130</v>
      </c>
      <c r="BA12" s="0" t="n">
        <v>9</v>
      </c>
      <c r="BB12" s="0" t="n">
        <v>23</v>
      </c>
      <c r="BC12" s="0" t="n">
        <v>9</v>
      </c>
      <c r="BD12" s="0" t="n">
        <v>0</v>
      </c>
      <c r="BE12" s="0" t="n">
        <v>9</v>
      </c>
      <c r="BF12" s="0" t="n">
        <v>0</v>
      </c>
      <c r="BG12" s="0" t="n">
        <v>9</v>
      </c>
      <c r="BH12" s="0" t="n">
        <v>689</v>
      </c>
      <c r="BI12" s="0" t="n">
        <v>9</v>
      </c>
      <c r="BJ12" s="0" t="n">
        <v>2500</v>
      </c>
      <c r="BK12" s="0" t="n">
        <v>9</v>
      </c>
      <c r="BL12" s="0" t="n">
        <v>9</v>
      </c>
      <c r="BM12" s="0" t="n">
        <v>9</v>
      </c>
      <c r="BN12" s="0" t="n">
        <v>30718</v>
      </c>
      <c r="BO12" s="0" t="n">
        <v>9</v>
      </c>
      <c r="BP12" s="0" t="n">
        <v>93</v>
      </c>
      <c r="BQ12" s="0" t="n">
        <v>9</v>
      </c>
      <c r="BR12" s="0" t="n">
        <v>0</v>
      </c>
      <c r="BS12" s="0" t="n">
        <v>9</v>
      </c>
      <c r="BT12" s="0" t="n">
        <v>275</v>
      </c>
      <c r="BU12" s="0" t="n">
        <v>9</v>
      </c>
      <c r="BV12" s="0" t="n">
        <v>68</v>
      </c>
      <c r="BW12" s="0" t="n">
        <v>9</v>
      </c>
      <c r="BX12" s="0" t="n">
        <v>0</v>
      </c>
      <c r="BY12" s="0" t="n">
        <v>9</v>
      </c>
      <c r="BZ12" s="0" t="n">
        <v>816</v>
      </c>
      <c r="CA12" s="0" t="n">
        <v>9</v>
      </c>
      <c r="CB12" s="0" t="n">
        <v>9153</v>
      </c>
      <c r="CC12" s="0" t="n">
        <v>9</v>
      </c>
      <c r="CD12" s="0" t="n">
        <v>0</v>
      </c>
      <c r="CE12" s="0" t="n">
        <v>9</v>
      </c>
      <c r="CF12" s="0" t="n">
        <v>126</v>
      </c>
      <c r="CG12" s="0" t="n">
        <v>9</v>
      </c>
      <c r="CH12" s="0" t="n">
        <v>96</v>
      </c>
      <c r="CI12" s="0" t="n">
        <v>9</v>
      </c>
      <c r="CJ12" s="0" t="n">
        <v>263</v>
      </c>
      <c r="CK12" s="0" t="n">
        <v>9</v>
      </c>
      <c r="CL12" s="0" t="n">
        <v>20</v>
      </c>
      <c r="CM12" s="0" t="n">
        <v>9</v>
      </c>
      <c r="CN12" s="0" t="n">
        <v>274</v>
      </c>
      <c r="CO12" s="0" t="n">
        <v>9</v>
      </c>
      <c r="CP12" s="0" t="n">
        <v>405</v>
      </c>
      <c r="CQ12" s="0" t="n">
        <v>9</v>
      </c>
      <c r="CR12" s="0" t="n">
        <v>42</v>
      </c>
      <c r="CS12" s="0" t="n">
        <v>9</v>
      </c>
      <c r="CT12" s="0" t="n">
        <v>83</v>
      </c>
      <c r="CU12" s="0" t="n">
        <v>9</v>
      </c>
      <c r="CV12" s="0" t="n">
        <v>37</v>
      </c>
      <c r="CW12" s="0" t="n">
        <v>9</v>
      </c>
      <c r="CX12" s="0" t="n">
        <v>0</v>
      </c>
    </row>
    <row r="13" customFormat="false" ht="12.75" hidden="false" customHeight="false" outlineLevel="0" collapsed="false">
      <c r="B13" s="0" t="n">
        <v>10</v>
      </c>
      <c r="C13" s="0" t="n">
        <v>0</v>
      </c>
      <c r="D13" s="0" t="n">
        <v>0</v>
      </c>
      <c r="E13" s="0" t="n">
        <v>10</v>
      </c>
      <c r="F13" s="0" t="n">
        <v>0</v>
      </c>
      <c r="G13" s="0" t="n">
        <v>10</v>
      </c>
      <c r="H13" s="0" t="n">
        <v>0</v>
      </c>
      <c r="I13" s="0" t="n">
        <v>10</v>
      </c>
      <c r="J13" s="0" t="n">
        <v>73</v>
      </c>
      <c r="K13" s="0" t="n">
        <v>10</v>
      </c>
      <c r="L13" s="0" t="n">
        <v>45</v>
      </c>
      <c r="M13" s="0" t="n">
        <v>10</v>
      </c>
      <c r="N13" s="0" t="n">
        <v>33</v>
      </c>
      <c r="O13" s="0" t="n">
        <v>10</v>
      </c>
      <c r="P13" s="0" t="n">
        <v>84</v>
      </c>
      <c r="Q13" s="0" t="n">
        <v>10</v>
      </c>
      <c r="R13" s="0" t="n">
        <v>302176</v>
      </c>
      <c r="S13" s="0" t="n">
        <v>10</v>
      </c>
      <c r="T13" s="0" t="n">
        <v>200</v>
      </c>
      <c r="U13" s="0" t="n">
        <v>10</v>
      </c>
      <c r="V13" s="0" t="n">
        <v>0</v>
      </c>
      <c r="W13" s="0" t="n">
        <v>10</v>
      </c>
      <c r="X13" s="0" t="n">
        <v>0</v>
      </c>
      <c r="Y13" s="0" t="n">
        <v>10</v>
      </c>
      <c r="Z13" s="0" t="n">
        <v>20</v>
      </c>
      <c r="AA13" s="0" t="n">
        <v>10</v>
      </c>
      <c r="AB13" s="0" t="n">
        <v>93</v>
      </c>
      <c r="AC13" s="0" t="n">
        <v>10</v>
      </c>
      <c r="AD13" s="0" t="n">
        <v>28</v>
      </c>
      <c r="AE13" s="0" t="n">
        <v>10</v>
      </c>
      <c r="AF13" s="0" t="n">
        <v>0</v>
      </c>
      <c r="AG13" s="0" t="n">
        <v>10</v>
      </c>
      <c r="AH13" s="0" t="n">
        <v>0</v>
      </c>
      <c r="AI13" s="0" t="n">
        <v>10</v>
      </c>
      <c r="AJ13" s="0" t="n">
        <v>21</v>
      </c>
      <c r="AK13" s="0" t="n">
        <v>10</v>
      </c>
      <c r="AL13" s="0" t="n">
        <v>0</v>
      </c>
      <c r="AM13" s="0" t="n">
        <v>10</v>
      </c>
      <c r="AN13" s="0" t="n">
        <v>0</v>
      </c>
      <c r="AO13" s="0" t="n">
        <v>10</v>
      </c>
      <c r="AP13" s="0" t="n">
        <v>18852</v>
      </c>
      <c r="AQ13" s="0" t="n">
        <v>10</v>
      </c>
      <c r="AR13" s="0" t="n">
        <v>31</v>
      </c>
      <c r="AS13" s="0" t="n">
        <v>10</v>
      </c>
      <c r="AT13" s="0" t="n">
        <v>38</v>
      </c>
      <c r="AU13" s="0" t="n">
        <v>10</v>
      </c>
      <c r="AV13" s="0" t="n">
        <v>0</v>
      </c>
      <c r="AW13" s="0" t="n">
        <v>10</v>
      </c>
      <c r="AX13" s="0" t="n">
        <v>0</v>
      </c>
      <c r="AY13" s="0" t="n">
        <v>10</v>
      </c>
      <c r="AZ13" s="0" t="n">
        <v>0</v>
      </c>
      <c r="BA13" s="0" t="n">
        <v>10</v>
      </c>
      <c r="BB13" s="0" t="n">
        <v>0</v>
      </c>
      <c r="BC13" s="0" t="n">
        <v>10</v>
      </c>
      <c r="BD13" s="0" t="n">
        <v>0</v>
      </c>
      <c r="BE13" s="0" t="n">
        <v>10</v>
      </c>
      <c r="BF13" s="0" t="n">
        <v>21</v>
      </c>
      <c r="BG13" s="0" t="n">
        <v>10</v>
      </c>
      <c r="BH13" s="0" t="n">
        <v>28</v>
      </c>
      <c r="BI13" s="0" t="n">
        <v>10</v>
      </c>
      <c r="BJ13" s="0" t="n">
        <v>6753</v>
      </c>
      <c r="BK13" s="0" t="n">
        <v>10</v>
      </c>
      <c r="BL13" s="0" t="n">
        <v>18</v>
      </c>
      <c r="BM13" s="0" t="n">
        <v>10</v>
      </c>
      <c r="BN13" s="0" t="n">
        <v>287</v>
      </c>
      <c r="BO13" s="0" t="n">
        <v>10</v>
      </c>
      <c r="BP13" s="0" t="n">
        <v>186</v>
      </c>
      <c r="BQ13" s="0" t="n">
        <v>10</v>
      </c>
      <c r="BR13" s="0" t="n">
        <v>0</v>
      </c>
      <c r="BS13" s="0" t="n">
        <v>10</v>
      </c>
      <c r="BT13" s="0" t="n">
        <v>67</v>
      </c>
      <c r="BU13" s="0" t="n">
        <v>10</v>
      </c>
      <c r="BV13" s="0" t="n">
        <v>0</v>
      </c>
      <c r="BW13" s="0" t="n">
        <v>10</v>
      </c>
      <c r="BX13" s="0" t="n">
        <v>0</v>
      </c>
      <c r="BY13" s="0" t="n">
        <v>10</v>
      </c>
      <c r="BZ13" s="0" t="n">
        <v>21188</v>
      </c>
      <c r="CA13" s="0" t="n">
        <v>10</v>
      </c>
      <c r="CB13" s="0" t="n">
        <v>0</v>
      </c>
      <c r="CC13" s="0" t="n">
        <v>10</v>
      </c>
      <c r="CD13" s="0" t="n">
        <v>0</v>
      </c>
      <c r="CE13" s="0" t="n">
        <v>10</v>
      </c>
      <c r="CF13" s="0" t="n">
        <v>69</v>
      </c>
      <c r="CG13" s="0" t="n">
        <v>10</v>
      </c>
      <c r="CH13" s="0" t="n">
        <v>51</v>
      </c>
      <c r="CI13" s="0" t="n">
        <v>10</v>
      </c>
      <c r="CJ13" s="0" t="n">
        <v>58</v>
      </c>
      <c r="CK13" s="0" t="n">
        <v>10</v>
      </c>
      <c r="CL13" s="0" t="n">
        <v>27</v>
      </c>
      <c r="CM13" s="0" t="n">
        <v>10</v>
      </c>
      <c r="CN13" s="0" t="n">
        <v>10</v>
      </c>
      <c r="CO13" s="0" t="n">
        <v>10</v>
      </c>
      <c r="CP13" s="0" t="n">
        <v>219</v>
      </c>
      <c r="CQ13" s="0" t="n">
        <v>10</v>
      </c>
      <c r="CR13" s="0" t="n">
        <v>0</v>
      </c>
      <c r="CS13" s="0" t="n">
        <v>10</v>
      </c>
      <c r="CT13" s="0" t="n">
        <v>0</v>
      </c>
      <c r="CU13" s="0" t="n">
        <v>10</v>
      </c>
      <c r="CV13" s="0" t="n">
        <v>10</v>
      </c>
      <c r="CW13" s="0" t="n">
        <v>10</v>
      </c>
      <c r="CX13" s="0" t="n">
        <v>0</v>
      </c>
    </row>
    <row r="14" customFormat="false" ht="12.75" hidden="false" customHeight="false" outlineLevel="0" collapsed="false">
      <c r="B14" s="0" t="n">
        <v>11</v>
      </c>
      <c r="C14" s="0" t="n">
        <v>267</v>
      </c>
      <c r="D14" s="0" t="n">
        <v>0</v>
      </c>
      <c r="E14" s="0" t="n">
        <v>11</v>
      </c>
      <c r="F14" s="0" t="n">
        <v>137</v>
      </c>
      <c r="G14" s="0" t="n">
        <v>11</v>
      </c>
      <c r="H14" s="0" t="n">
        <v>28</v>
      </c>
      <c r="I14" s="0" t="n">
        <v>11</v>
      </c>
      <c r="J14" s="0" t="n">
        <v>743</v>
      </c>
      <c r="K14" s="0" t="n">
        <v>11</v>
      </c>
      <c r="L14" s="0" t="n">
        <v>39</v>
      </c>
      <c r="M14" s="0" t="n">
        <v>11</v>
      </c>
      <c r="N14" s="0" t="n">
        <v>332</v>
      </c>
      <c r="O14" s="0" t="n">
        <v>11</v>
      </c>
      <c r="P14" s="0" t="n">
        <v>236825</v>
      </c>
      <c r="Q14" s="0" t="n">
        <v>11</v>
      </c>
      <c r="R14" s="0" t="n">
        <v>265</v>
      </c>
      <c r="S14" s="0" t="n">
        <v>11</v>
      </c>
      <c r="T14" s="0" t="n">
        <v>415</v>
      </c>
      <c r="U14" s="0" t="n">
        <v>11</v>
      </c>
      <c r="V14" s="0" t="n">
        <v>328</v>
      </c>
      <c r="W14" s="0" t="n">
        <v>11</v>
      </c>
      <c r="X14" s="0" t="n">
        <v>50</v>
      </c>
      <c r="Y14" s="0" t="n">
        <v>11</v>
      </c>
      <c r="Z14" s="0" t="n">
        <v>36</v>
      </c>
      <c r="AA14" s="0" t="n">
        <v>11</v>
      </c>
      <c r="AB14" s="0" t="n">
        <v>438</v>
      </c>
      <c r="AC14" s="0" t="n">
        <v>11</v>
      </c>
      <c r="AD14" s="0" t="n">
        <v>114</v>
      </c>
      <c r="AE14" s="0" t="n">
        <v>11</v>
      </c>
      <c r="AF14" s="0" t="n">
        <v>26</v>
      </c>
      <c r="AG14" s="0" t="n">
        <v>11</v>
      </c>
      <c r="AH14" s="0" t="n">
        <v>26</v>
      </c>
      <c r="AI14" s="0" t="n">
        <v>11</v>
      </c>
      <c r="AJ14" s="0" t="n">
        <v>100</v>
      </c>
      <c r="AK14" s="0" t="n">
        <v>11</v>
      </c>
      <c r="AL14" s="0" t="n">
        <v>84</v>
      </c>
      <c r="AM14" s="0" t="n">
        <v>11</v>
      </c>
      <c r="AN14" s="0" t="n">
        <v>13</v>
      </c>
      <c r="AO14" s="0" t="n">
        <v>11</v>
      </c>
      <c r="AP14" s="0" t="n">
        <v>290836</v>
      </c>
      <c r="AQ14" s="0" t="n">
        <v>11</v>
      </c>
      <c r="AR14" s="0" t="n">
        <v>473</v>
      </c>
      <c r="AS14" s="0" t="n">
        <v>11</v>
      </c>
      <c r="AT14" s="0" t="n">
        <v>268</v>
      </c>
      <c r="AU14" s="0" t="n">
        <v>11</v>
      </c>
      <c r="AV14" s="0" t="n">
        <v>46</v>
      </c>
      <c r="AW14" s="0" t="n">
        <v>11</v>
      </c>
      <c r="AX14" s="0" t="n">
        <v>81</v>
      </c>
      <c r="AY14" s="0" t="n">
        <v>11</v>
      </c>
      <c r="AZ14" s="0" t="n">
        <v>173</v>
      </c>
      <c r="BA14" s="0" t="n">
        <v>11</v>
      </c>
      <c r="BB14" s="0" t="n">
        <v>22</v>
      </c>
      <c r="BC14" s="0" t="n">
        <v>11</v>
      </c>
      <c r="BD14" s="0" t="n">
        <v>8</v>
      </c>
      <c r="BE14" s="0" t="n">
        <v>11</v>
      </c>
      <c r="BF14" s="0" t="n">
        <v>13</v>
      </c>
      <c r="BG14" s="0" t="n">
        <v>11</v>
      </c>
      <c r="BH14" s="0" t="n">
        <v>35</v>
      </c>
      <c r="BI14" s="0" t="n">
        <v>11</v>
      </c>
      <c r="BJ14" s="0" t="n">
        <v>694</v>
      </c>
      <c r="BK14" s="0" t="n">
        <v>11</v>
      </c>
      <c r="BL14" s="0" t="n">
        <v>117</v>
      </c>
      <c r="BM14" s="0" t="n">
        <v>11</v>
      </c>
      <c r="BN14" s="0" t="n">
        <v>1278</v>
      </c>
      <c r="BO14" s="0" t="n">
        <v>11</v>
      </c>
      <c r="BP14" s="0" t="n">
        <v>342</v>
      </c>
      <c r="BQ14" s="0" t="n">
        <v>11</v>
      </c>
      <c r="BR14" s="0" t="n">
        <v>0</v>
      </c>
      <c r="BS14" s="0" t="n">
        <v>11</v>
      </c>
      <c r="BT14" s="0" t="n">
        <v>360</v>
      </c>
      <c r="BU14" s="0" t="n">
        <v>11</v>
      </c>
      <c r="BV14" s="0" t="n">
        <v>51</v>
      </c>
      <c r="BW14" s="0" t="n">
        <v>11</v>
      </c>
      <c r="BX14" s="0" t="n">
        <v>51</v>
      </c>
      <c r="BY14" s="0" t="n">
        <v>11</v>
      </c>
      <c r="BZ14" s="0" t="n">
        <v>1621</v>
      </c>
      <c r="CA14" s="0" t="n">
        <v>11</v>
      </c>
      <c r="CB14" s="0" t="n">
        <v>60</v>
      </c>
      <c r="CC14" s="0" t="n">
        <v>11</v>
      </c>
      <c r="CD14" s="0" t="n">
        <v>0</v>
      </c>
      <c r="CE14" s="0" t="n">
        <v>11</v>
      </c>
      <c r="CF14" s="0" t="n">
        <v>165</v>
      </c>
      <c r="CG14" s="0" t="n">
        <v>11</v>
      </c>
      <c r="CH14" s="0" t="n">
        <v>108</v>
      </c>
      <c r="CI14" s="0" t="n">
        <v>11</v>
      </c>
      <c r="CJ14" s="0" t="n">
        <v>530</v>
      </c>
      <c r="CK14" s="0" t="n">
        <v>11</v>
      </c>
      <c r="CL14" s="0" t="n">
        <v>104</v>
      </c>
      <c r="CM14" s="0" t="n">
        <v>11</v>
      </c>
      <c r="CN14" s="0" t="n">
        <v>0</v>
      </c>
      <c r="CO14" s="0" t="n">
        <v>11</v>
      </c>
      <c r="CP14" s="0" t="n">
        <v>192627</v>
      </c>
      <c r="CQ14" s="0" t="n">
        <v>11</v>
      </c>
      <c r="CR14" s="0" t="n">
        <v>108</v>
      </c>
      <c r="CS14" s="0" t="n">
        <v>11</v>
      </c>
      <c r="CT14" s="0" t="n">
        <v>1094</v>
      </c>
      <c r="CU14" s="0" t="n">
        <v>11</v>
      </c>
      <c r="CV14" s="0" t="n">
        <v>68</v>
      </c>
      <c r="CW14" s="0" t="n">
        <v>11</v>
      </c>
      <c r="CX14" s="0" t="n">
        <v>0</v>
      </c>
    </row>
    <row r="15" customFormat="false" ht="12.75" hidden="false" customHeight="false" outlineLevel="0" collapsed="false">
      <c r="B15" s="0" t="n">
        <v>12</v>
      </c>
      <c r="C15" s="0" t="n">
        <v>6311</v>
      </c>
      <c r="D15" s="0" t="n">
        <v>0</v>
      </c>
      <c r="E15" s="0" t="n">
        <v>12</v>
      </c>
      <c r="F15" s="0" t="n">
        <v>502</v>
      </c>
      <c r="G15" s="0" t="n">
        <v>12</v>
      </c>
      <c r="H15" s="0" t="n">
        <v>395</v>
      </c>
      <c r="I15" s="0" t="n">
        <v>12</v>
      </c>
      <c r="J15" s="0" t="n">
        <v>2235</v>
      </c>
      <c r="K15" s="0" t="n">
        <v>12</v>
      </c>
      <c r="L15" s="0" t="n">
        <v>357</v>
      </c>
      <c r="M15" s="0" t="n">
        <v>12</v>
      </c>
      <c r="N15" s="0" t="n">
        <v>663</v>
      </c>
      <c r="O15" s="0" t="n">
        <v>12</v>
      </c>
      <c r="P15" s="0" t="n">
        <v>22</v>
      </c>
      <c r="Q15" s="0" t="n">
        <v>12</v>
      </c>
      <c r="R15" s="0" t="n">
        <v>115</v>
      </c>
      <c r="S15" s="0" t="n">
        <v>12</v>
      </c>
      <c r="T15" s="0" t="n">
        <v>5728391</v>
      </c>
      <c r="U15" s="0" t="n">
        <v>12</v>
      </c>
      <c r="V15" s="0" t="n">
        <v>8332</v>
      </c>
      <c r="W15" s="0" t="n">
        <v>12</v>
      </c>
      <c r="X15" s="0" t="n">
        <v>23</v>
      </c>
      <c r="Y15" s="0" t="n">
        <v>12</v>
      </c>
      <c r="Z15" s="0" t="n">
        <v>28</v>
      </c>
      <c r="AA15" s="0" t="n">
        <v>12</v>
      </c>
      <c r="AB15" s="0" t="n">
        <v>1317</v>
      </c>
      <c r="AC15" s="0" t="n">
        <v>12</v>
      </c>
      <c r="AD15" s="0" t="n">
        <v>856</v>
      </c>
      <c r="AE15" s="0" t="n">
        <v>12</v>
      </c>
      <c r="AF15" s="0" t="n">
        <v>68</v>
      </c>
      <c r="AG15" s="0" t="n">
        <v>12</v>
      </c>
      <c r="AH15" s="0" t="n">
        <v>107</v>
      </c>
      <c r="AI15" s="0" t="n">
        <v>12</v>
      </c>
      <c r="AJ15" s="0" t="n">
        <v>775</v>
      </c>
      <c r="AK15" s="0" t="n">
        <v>12</v>
      </c>
      <c r="AL15" s="0" t="n">
        <v>981</v>
      </c>
      <c r="AM15" s="0" t="n">
        <v>12</v>
      </c>
      <c r="AN15" s="0" t="n">
        <v>235</v>
      </c>
      <c r="AO15" s="0" t="n">
        <v>12</v>
      </c>
      <c r="AP15" s="0" t="n">
        <v>1080</v>
      </c>
      <c r="AQ15" s="0" t="n">
        <v>12</v>
      </c>
      <c r="AR15" s="0" t="n">
        <v>1025</v>
      </c>
      <c r="AS15" s="0" t="n">
        <v>12</v>
      </c>
      <c r="AT15" s="0" t="n">
        <v>1421</v>
      </c>
      <c r="AU15" s="0" t="n">
        <v>12</v>
      </c>
      <c r="AV15" s="0" t="n">
        <v>608</v>
      </c>
      <c r="AW15" s="0" t="n">
        <v>12</v>
      </c>
      <c r="AX15" s="0" t="n">
        <v>666</v>
      </c>
      <c r="AY15" s="0" t="n">
        <v>12</v>
      </c>
      <c r="AZ15" s="0" t="n">
        <v>445</v>
      </c>
      <c r="BA15" s="0" t="n">
        <v>12</v>
      </c>
      <c r="BB15" s="0" t="n">
        <v>58</v>
      </c>
      <c r="BC15" s="0" t="n">
        <v>12</v>
      </c>
      <c r="BD15" s="0" t="n">
        <v>54</v>
      </c>
      <c r="BE15" s="0" t="n">
        <v>12</v>
      </c>
      <c r="BF15" s="0" t="n">
        <v>122</v>
      </c>
      <c r="BG15" s="0" t="n">
        <v>12</v>
      </c>
      <c r="BH15" s="0" t="n">
        <v>220</v>
      </c>
      <c r="BI15" s="0" t="n">
        <v>12</v>
      </c>
      <c r="BJ15" s="0" t="n">
        <v>1353</v>
      </c>
      <c r="BK15" s="0" t="n">
        <v>12</v>
      </c>
      <c r="BL15" s="0" t="n">
        <v>120</v>
      </c>
      <c r="BM15" s="0" t="n">
        <v>12</v>
      </c>
      <c r="BN15" s="0" t="n">
        <v>3118</v>
      </c>
      <c r="BO15" s="0" t="n">
        <v>12</v>
      </c>
      <c r="BP15" s="0" t="n">
        <v>1734</v>
      </c>
      <c r="BQ15" s="0" t="n">
        <v>12</v>
      </c>
      <c r="BR15" s="0" t="n">
        <v>10</v>
      </c>
      <c r="BS15" s="0" t="n">
        <v>12</v>
      </c>
      <c r="BT15" s="0" t="n">
        <v>1677</v>
      </c>
      <c r="BU15" s="0" t="n">
        <v>12</v>
      </c>
      <c r="BV15" s="0" t="n">
        <v>194</v>
      </c>
      <c r="BW15" s="0" t="n">
        <v>12</v>
      </c>
      <c r="BX15" s="0" t="n">
        <v>7</v>
      </c>
      <c r="BY15" s="0" t="n">
        <v>12</v>
      </c>
      <c r="BZ15" s="0" t="n">
        <v>1503</v>
      </c>
      <c r="CA15" s="0" t="n">
        <v>12</v>
      </c>
      <c r="CB15" s="0" t="n">
        <v>95</v>
      </c>
      <c r="CC15" s="0" t="n">
        <v>12</v>
      </c>
      <c r="CD15" s="0" t="n">
        <v>0</v>
      </c>
      <c r="CE15" s="0" t="n">
        <v>12</v>
      </c>
      <c r="CF15" s="0" t="n">
        <v>1239</v>
      </c>
      <c r="CG15" s="0" t="n">
        <v>12</v>
      </c>
      <c r="CH15" s="0" t="n">
        <v>1017</v>
      </c>
      <c r="CI15" s="0" t="n">
        <v>12</v>
      </c>
      <c r="CJ15" s="0" t="n">
        <v>2561</v>
      </c>
      <c r="CK15" s="0" t="n">
        <v>12</v>
      </c>
      <c r="CL15" s="0" t="n">
        <v>21</v>
      </c>
      <c r="CM15" s="0" t="n">
        <v>12</v>
      </c>
      <c r="CN15" s="0" t="n">
        <v>63</v>
      </c>
      <c r="CO15" s="0" t="n">
        <v>12</v>
      </c>
      <c r="CP15" s="0" t="n">
        <v>1614</v>
      </c>
      <c r="CQ15" s="0" t="n">
        <v>12</v>
      </c>
      <c r="CR15" s="0" t="n">
        <v>180</v>
      </c>
      <c r="CS15" s="0" t="n">
        <v>12</v>
      </c>
      <c r="CT15" s="0" t="n">
        <v>194</v>
      </c>
      <c r="CU15" s="0" t="n">
        <v>12</v>
      </c>
      <c r="CV15" s="0" t="n">
        <v>388</v>
      </c>
      <c r="CW15" s="0" t="n">
        <v>12</v>
      </c>
      <c r="CX15" s="0" t="n">
        <v>54</v>
      </c>
    </row>
    <row r="16" customFormat="false" ht="12.75" hidden="false" customHeight="false" outlineLevel="0" collapsed="false">
      <c r="B16" s="0" t="n">
        <v>13</v>
      </c>
      <c r="C16" s="0" t="n">
        <v>30252</v>
      </c>
      <c r="D16" s="0" t="n">
        <v>23</v>
      </c>
      <c r="E16" s="0" t="n">
        <v>13</v>
      </c>
      <c r="F16" s="0" t="n">
        <v>257</v>
      </c>
      <c r="G16" s="0" t="n">
        <v>13</v>
      </c>
      <c r="H16" s="0" t="n">
        <v>260</v>
      </c>
      <c r="I16" s="0" t="n">
        <v>13</v>
      </c>
      <c r="J16" s="0" t="n">
        <v>1006</v>
      </c>
      <c r="K16" s="0" t="n">
        <v>13</v>
      </c>
      <c r="L16" s="0" t="n">
        <v>168</v>
      </c>
      <c r="M16" s="0" t="n">
        <v>13</v>
      </c>
      <c r="N16" s="0" t="n">
        <v>354</v>
      </c>
      <c r="O16" s="0" t="n">
        <v>13</v>
      </c>
      <c r="P16" s="0" t="n">
        <v>57</v>
      </c>
      <c r="Q16" s="0" t="n">
        <v>13</v>
      </c>
      <c r="R16" s="0" t="n">
        <v>58</v>
      </c>
      <c r="S16" s="0" t="n">
        <v>13</v>
      </c>
      <c r="T16" s="0" t="n">
        <v>9681</v>
      </c>
      <c r="U16" s="0" t="n">
        <v>13</v>
      </c>
      <c r="V16" s="0" t="n">
        <v>3033833</v>
      </c>
      <c r="W16" s="0" t="n">
        <v>13</v>
      </c>
      <c r="X16" s="0" t="n">
        <v>100</v>
      </c>
      <c r="Y16" s="0" t="n">
        <v>13</v>
      </c>
      <c r="Z16" s="0" t="n">
        <v>32</v>
      </c>
      <c r="AA16" s="0" t="n">
        <v>13</v>
      </c>
      <c r="AB16" s="0" t="n">
        <v>780</v>
      </c>
      <c r="AC16" s="0" t="n">
        <v>13</v>
      </c>
      <c r="AD16" s="0" t="n">
        <v>299</v>
      </c>
      <c r="AE16" s="0" t="n">
        <v>13</v>
      </c>
      <c r="AF16" s="0" t="n">
        <v>81</v>
      </c>
      <c r="AG16" s="0" t="n">
        <v>13</v>
      </c>
      <c r="AH16" s="0" t="n">
        <v>159</v>
      </c>
      <c r="AI16" s="0" t="n">
        <v>13</v>
      </c>
      <c r="AJ16" s="0" t="n">
        <v>657</v>
      </c>
      <c r="AK16" s="0" t="n">
        <v>13</v>
      </c>
      <c r="AL16" s="0" t="n">
        <v>504</v>
      </c>
      <c r="AM16" s="0" t="n">
        <v>13</v>
      </c>
      <c r="AN16" s="0" t="n">
        <v>106</v>
      </c>
      <c r="AO16" s="0" t="n">
        <v>13</v>
      </c>
      <c r="AP16" s="0" t="n">
        <v>525</v>
      </c>
      <c r="AQ16" s="0" t="n">
        <v>13</v>
      </c>
      <c r="AR16" s="0" t="n">
        <v>269</v>
      </c>
      <c r="AS16" s="0" t="n">
        <v>13</v>
      </c>
      <c r="AT16" s="0" t="n">
        <v>387</v>
      </c>
      <c r="AU16" s="0" t="n">
        <v>13</v>
      </c>
      <c r="AV16" s="0" t="n">
        <v>88</v>
      </c>
      <c r="AW16" s="0" t="n">
        <v>13</v>
      </c>
      <c r="AX16" s="0" t="n">
        <v>747</v>
      </c>
      <c r="AY16" s="0" t="n">
        <v>13</v>
      </c>
      <c r="AZ16" s="0" t="n">
        <v>285</v>
      </c>
      <c r="BA16" s="0" t="n">
        <v>13</v>
      </c>
      <c r="BB16" s="0" t="n">
        <v>105</v>
      </c>
      <c r="BC16" s="0" t="n">
        <v>13</v>
      </c>
      <c r="BD16" s="0" t="n">
        <v>64</v>
      </c>
      <c r="BE16" s="0" t="n">
        <v>13</v>
      </c>
      <c r="BF16" s="0" t="n">
        <v>42</v>
      </c>
      <c r="BG16" s="0" t="n">
        <v>13</v>
      </c>
      <c r="BH16" s="0" t="n">
        <v>95</v>
      </c>
      <c r="BI16" s="0" t="n">
        <v>13</v>
      </c>
      <c r="BJ16" s="0" t="n">
        <v>569</v>
      </c>
      <c r="BK16" s="0" t="n">
        <v>13</v>
      </c>
      <c r="BL16" s="0" t="n">
        <v>111</v>
      </c>
      <c r="BM16" s="0" t="n">
        <v>13</v>
      </c>
      <c r="BN16" s="0" t="n">
        <v>738</v>
      </c>
      <c r="BO16" s="0" t="n">
        <v>13</v>
      </c>
      <c r="BP16" s="0" t="n">
        <v>3960</v>
      </c>
      <c r="BQ16" s="0" t="n">
        <v>13</v>
      </c>
      <c r="BR16" s="0" t="n">
        <v>0</v>
      </c>
      <c r="BS16" s="0" t="n">
        <v>13</v>
      </c>
      <c r="BT16" s="0" t="n">
        <v>722</v>
      </c>
      <c r="BU16" s="0" t="n">
        <v>13</v>
      </c>
      <c r="BV16" s="0" t="n">
        <v>394</v>
      </c>
      <c r="BW16" s="0" t="n">
        <v>13</v>
      </c>
      <c r="BX16" s="0" t="n">
        <v>144</v>
      </c>
      <c r="BY16" s="0" t="n">
        <v>13</v>
      </c>
      <c r="BZ16" s="0" t="n">
        <v>831</v>
      </c>
      <c r="CA16" s="0" t="n">
        <v>13</v>
      </c>
      <c r="CB16" s="0" t="n">
        <v>204</v>
      </c>
      <c r="CC16" s="0" t="n">
        <v>13</v>
      </c>
      <c r="CD16" s="0" t="n">
        <v>29</v>
      </c>
      <c r="CE16" s="0" t="n">
        <v>13</v>
      </c>
      <c r="CF16" s="0" t="n">
        <v>17454</v>
      </c>
      <c r="CG16" s="0" t="n">
        <v>13</v>
      </c>
      <c r="CH16" s="0" t="n">
        <v>11970</v>
      </c>
      <c r="CI16" s="0" t="n">
        <v>13</v>
      </c>
      <c r="CJ16" s="0" t="n">
        <v>1543</v>
      </c>
      <c r="CK16" s="0" t="n">
        <v>13</v>
      </c>
      <c r="CL16" s="0" t="n">
        <v>67</v>
      </c>
      <c r="CM16" s="0" t="n">
        <v>13</v>
      </c>
      <c r="CN16" s="0" t="n">
        <v>0</v>
      </c>
      <c r="CO16" s="0" t="n">
        <v>13</v>
      </c>
      <c r="CP16" s="0" t="n">
        <v>1155</v>
      </c>
      <c r="CQ16" s="0" t="n">
        <v>13</v>
      </c>
      <c r="CR16" s="0" t="n">
        <v>123</v>
      </c>
      <c r="CS16" s="0" t="n">
        <v>13</v>
      </c>
      <c r="CT16" s="0" t="n">
        <v>62</v>
      </c>
      <c r="CU16" s="0" t="n">
        <v>13</v>
      </c>
      <c r="CV16" s="0" t="n">
        <v>281</v>
      </c>
      <c r="CW16" s="0" t="n">
        <v>13</v>
      </c>
      <c r="CX16" s="0" t="n">
        <v>39</v>
      </c>
    </row>
    <row r="17" customFormat="false" ht="12.75" hidden="false" customHeight="false" outlineLevel="0" collapsed="false">
      <c r="B17" s="0" t="n">
        <v>14</v>
      </c>
      <c r="C17" s="0" t="n">
        <v>0</v>
      </c>
      <c r="D17" s="0" t="n">
        <v>0</v>
      </c>
      <c r="E17" s="0" t="n">
        <v>14</v>
      </c>
      <c r="F17" s="0" t="n">
        <v>0</v>
      </c>
      <c r="G17" s="0" t="n">
        <v>14</v>
      </c>
      <c r="H17" s="0" t="n">
        <v>0</v>
      </c>
      <c r="I17" s="0" t="n">
        <v>14</v>
      </c>
      <c r="J17" s="0" t="n">
        <v>0</v>
      </c>
      <c r="K17" s="0" t="n">
        <v>14</v>
      </c>
      <c r="L17" s="0" t="n">
        <v>0</v>
      </c>
      <c r="M17" s="0" t="n">
        <v>14</v>
      </c>
      <c r="N17" s="0" t="n">
        <v>0</v>
      </c>
      <c r="O17" s="0" t="n">
        <v>14</v>
      </c>
      <c r="P17" s="0" t="n">
        <v>0</v>
      </c>
      <c r="Q17" s="0" t="n">
        <v>14</v>
      </c>
      <c r="R17" s="0" t="n">
        <v>0</v>
      </c>
      <c r="S17" s="0" t="n">
        <v>14</v>
      </c>
      <c r="T17" s="0" t="n">
        <v>0</v>
      </c>
      <c r="U17" s="0" t="n">
        <v>14</v>
      </c>
      <c r="V17" s="0" t="n">
        <v>0</v>
      </c>
      <c r="W17" s="0" t="n">
        <v>14</v>
      </c>
      <c r="X17" s="0" t="n">
        <v>0</v>
      </c>
      <c r="Y17" s="0" t="n">
        <v>14</v>
      </c>
      <c r="Z17" s="0" t="n">
        <v>0</v>
      </c>
      <c r="AA17" s="0" t="n">
        <v>14</v>
      </c>
      <c r="AB17" s="0" t="n">
        <v>0</v>
      </c>
      <c r="AC17" s="0" t="n">
        <v>14</v>
      </c>
      <c r="AD17" s="0" t="n">
        <v>0</v>
      </c>
      <c r="AE17" s="0" t="n">
        <v>14</v>
      </c>
      <c r="AF17" s="0" t="n">
        <v>0</v>
      </c>
      <c r="AG17" s="0" t="n">
        <v>14</v>
      </c>
      <c r="AH17" s="0" t="n">
        <v>0</v>
      </c>
      <c r="AI17" s="0" t="n">
        <v>14</v>
      </c>
      <c r="AJ17" s="0" t="n">
        <v>0</v>
      </c>
      <c r="AK17" s="0" t="n">
        <v>14</v>
      </c>
      <c r="AL17" s="0" t="n">
        <v>0</v>
      </c>
      <c r="AM17" s="0" t="n">
        <v>14</v>
      </c>
      <c r="AN17" s="0" t="n">
        <v>0</v>
      </c>
      <c r="AO17" s="0" t="n">
        <v>14</v>
      </c>
      <c r="AP17" s="0" t="n">
        <v>0</v>
      </c>
      <c r="AQ17" s="0" t="n">
        <v>14</v>
      </c>
      <c r="AR17" s="0" t="n">
        <v>0</v>
      </c>
      <c r="AS17" s="0" t="n">
        <v>14</v>
      </c>
      <c r="AT17" s="0" t="n">
        <v>0</v>
      </c>
      <c r="AU17" s="0" t="n">
        <v>14</v>
      </c>
      <c r="AV17" s="0" t="n">
        <v>0</v>
      </c>
      <c r="AW17" s="0" t="n">
        <v>14</v>
      </c>
      <c r="AX17" s="0" t="n">
        <v>0</v>
      </c>
      <c r="AY17" s="0" t="n">
        <v>14</v>
      </c>
      <c r="AZ17" s="0" t="n">
        <v>0</v>
      </c>
      <c r="BA17" s="0" t="n">
        <v>14</v>
      </c>
      <c r="BB17" s="0" t="n">
        <v>0</v>
      </c>
      <c r="BC17" s="0" t="n">
        <v>14</v>
      </c>
      <c r="BD17" s="0" t="n">
        <v>0</v>
      </c>
      <c r="BE17" s="0" t="n">
        <v>14</v>
      </c>
      <c r="BF17" s="0" t="n">
        <v>0</v>
      </c>
      <c r="BG17" s="0" t="n">
        <v>14</v>
      </c>
      <c r="BH17" s="0" t="n">
        <v>0</v>
      </c>
      <c r="BI17" s="0" t="n">
        <v>14</v>
      </c>
      <c r="BJ17" s="0" t="n">
        <v>0</v>
      </c>
      <c r="BK17" s="0" t="n">
        <v>14</v>
      </c>
      <c r="BL17" s="0" t="n">
        <v>0</v>
      </c>
      <c r="BM17" s="0" t="n">
        <v>14</v>
      </c>
      <c r="BN17" s="0" t="n">
        <v>0</v>
      </c>
      <c r="BO17" s="0" t="n">
        <v>14</v>
      </c>
      <c r="BP17" s="0" t="n">
        <v>0</v>
      </c>
      <c r="BQ17" s="0" t="n">
        <v>14</v>
      </c>
      <c r="BR17" s="0" t="n">
        <v>0</v>
      </c>
      <c r="BS17" s="0" t="n">
        <v>14</v>
      </c>
      <c r="BT17" s="0" t="n">
        <v>0</v>
      </c>
      <c r="BU17" s="0" t="n">
        <v>14</v>
      </c>
      <c r="BV17" s="0" t="n">
        <v>0</v>
      </c>
      <c r="BW17" s="0" t="n">
        <v>14</v>
      </c>
      <c r="BX17" s="0" t="n">
        <v>0</v>
      </c>
      <c r="BY17" s="0" t="n">
        <v>14</v>
      </c>
      <c r="BZ17" s="0" t="n">
        <v>0</v>
      </c>
      <c r="CA17" s="0" t="n">
        <v>14</v>
      </c>
      <c r="CB17" s="0" t="n">
        <v>0</v>
      </c>
      <c r="CC17" s="0" t="n">
        <v>14</v>
      </c>
      <c r="CD17" s="0" t="n">
        <v>0</v>
      </c>
      <c r="CE17" s="0" t="n">
        <v>14</v>
      </c>
      <c r="CF17" s="0" t="n">
        <v>0</v>
      </c>
      <c r="CG17" s="0" t="n">
        <v>14</v>
      </c>
      <c r="CH17" s="0" t="n">
        <v>0</v>
      </c>
      <c r="CI17" s="0" t="n">
        <v>14</v>
      </c>
      <c r="CJ17" s="0" t="n">
        <v>0</v>
      </c>
      <c r="CK17" s="0" t="n">
        <v>14</v>
      </c>
      <c r="CL17" s="0" t="n">
        <v>0</v>
      </c>
      <c r="CM17" s="0" t="n">
        <v>14</v>
      </c>
      <c r="CN17" s="0" t="n">
        <v>0</v>
      </c>
      <c r="CO17" s="0" t="n">
        <v>14</v>
      </c>
      <c r="CP17" s="0" t="n">
        <v>0</v>
      </c>
      <c r="CQ17" s="0" t="n">
        <v>14</v>
      </c>
      <c r="CR17" s="0" t="n">
        <v>0</v>
      </c>
      <c r="CS17" s="0" t="n">
        <v>14</v>
      </c>
      <c r="CT17" s="0" t="n">
        <v>0</v>
      </c>
      <c r="CU17" s="0" t="n">
        <v>14</v>
      </c>
      <c r="CV17" s="0" t="n">
        <v>0</v>
      </c>
      <c r="CW17" s="0" t="n">
        <v>14</v>
      </c>
      <c r="CX17" s="0" t="n">
        <v>0</v>
      </c>
    </row>
    <row r="18" customFormat="false" ht="12.75" hidden="false" customHeight="false" outlineLevel="0" collapsed="false">
      <c r="B18" s="0" t="n">
        <v>15</v>
      </c>
      <c r="C18" s="0" t="n">
        <v>0</v>
      </c>
      <c r="D18" s="0" t="n">
        <v>61</v>
      </c>
      <c r="E18" s="0" t="n">
        <v>15</v>
      </c>
      <c r="F18" s="0" t="n">
        <v>46</v>
      </c>
      <c r="G18" s="0" t="n">
        <v>15</v>
      </c>
      <c r="H18" s="0" t="n">
        <v>0</v>
      </c>
      <c r="I18" s="0" t="n">
        <v>15</v>
      </c>
      <c r="J18" s="0" t="n">
        <v>1725</v>
      </c>
      <c r="K18" s="0" t="n">
        <v>15</v>
      </c>
      <c r="L18" s="0" t="n">
        <v>129</v>
      </c>
      <c r="M18" s="0" t="n">
        <v>15</v>
      </c>
      <c r="N18" s="0" t="n">
        <v>54</v>
      </c>
      <c r="O18" s="0" t="n">
        <v>15</v>
      </c>
      <c r="P18" s="0" t="n">
        <v>0</v>
      </c>
      <c r="Q18" s="0" t="n">
        <v>15</v>
      </c>
      <c r="R18" s="0" t="n">
        <v>0</v>
      </c>
      <c r="S18" s="0" t="n">
        <v>15</v>
      </c>
      <c r="T18" s="0" t="n">
        <v>103</v>
      </c>
      <c r="U18" s="0" t="n">
        <v>15</v>
      </c>
      <c r="V18" s="0" t="n">
        <v>39</v>
      </c>
      <c r="W18" s="0" t="n">
        <v>15</v>
      </c>
      <c r="X18" s="0" t="n">
        <v>560335</v>
      </c>
      <c r="Y18" s="0" t="n">
        <v>15</v>
      </c>
      <c r="Z18" s="0" t="n">
        <v>40</v>
      </c>
      <c r="AA18" s="0" t="n">
        <v>15</v>
      </c>
      <c r="AB18" s="0" t="n">
        <v>192</v>
      </c>
      <c r="AC18" s="0" t="n">
        <v>15</v>
      </c>
      <c r="AD18" s="0" t="n">
        <v>37</v>
      </c>
      <c r="AE18" s="0" t="n">
        <v>15</v>
      </c>
      <c r="AF18" s="0" t="n">
        <v>29</v>
      </c>
      <c r="AG18" s="0" t="n">
        <v>15</v>
      </c>
      <c r="AH18" s="0" t="n">
        <v>40</v>
      </c>
      <c r="AI18" s="0" t="n">
        <v>15</v>
      </c>
      <c r="AJ18" s="0" t="n">
        <v>42</v>
      </c>
      <c r="AK18" s="0" t="n">
        <v>15</v>
      </c>
      <c r="AL18" s="0" t="n">
        <v>117</v>
      </c>
      <c r="AM18" s="0" t="n">
        <v>15</v>
      </c>
      <c r="AN18" s="0" t="n">
        <v>26</v>
      </c>
      <c r="AO18" s="0" t="n">
        <v>15</v>
      </c>
      <c r="AP18" s="0" t="n">
        <v>101</v>
      </c>
      <c r="AQ18" s="0" t="n">
        <v>15</v>
      </c>
      <c r="AR18" s="0" t="n">
        <v>67</v>
      </c>
      <c r="AS18" s="0" t="n">
        <v>15</v>
      </c>
      <c r="AT18" s="0" t="n">
        <v>110</v>
      </c>
      <c r="AU18" s="0" t="n">
        <v>15</v>
      </c>
      <c r="AV18" s="0" t="n">
        <v>36</v>
      </c>
      <c r="AW18" s="0" t="n">
        <v>15</v>
      </c>
      <c r="AX18" s="0" t="n">
        <v>45</v>
      </c>
      <c r="AY18" s="0" t="n">
        <v>15</v>
      </c>
      <c r="AZ18" s="0" t="n">
        <v>61</v>
      </c>
      <c r="BA18" s="0" t="n">
        <v>15</v>
      </c>
      <c r="BB18" s="0" t="n">
        <v>0</v>
      </c>
      <c r="BC18" s="0" t="n">
        <v>15</v>
      </c>
      <c r="BD18" s="0" t="n">
        <v>21</v>
      </c>
      <c r="BE18" s="0" t="n">
        <v>15</v>
      </c>
      <c r="BF18" s="0" t="n">
        <v>23</v>
      </c>
      <c r="BG18" s="0" t="n">
        <v>15</v>
      </c>
      <c r="BH18" s="0" t="n">
        <v>0</v>
      </c>
      <c r="BI18" s="0" t="n">
        <v>15</v>
      </c>
      <c r="BJ18" s="0" t="n">
        <v>83</v>
      </c>
      <c r="BK18" s="0" t="n">
        <v>15</v>
      </c>
      <c r="BL18" s="0" t="n">
        <v>60</v>
      </c>
      <c r="BM18" s="0" t="n">
        <v>15</v>
      </c>
      <c r="BN18" s="0" t="n">
        <v>88</v>
      </c>
      <c r="BO18" s="0" t="n">
        <v>15</v>
      </c>
      <c r="BP18" s="0" t="n">
        <v>114</v>
      </c>
      <c r="BQ18" s="0" t="n">
        <v>15</v>
      </c>
      <c r="BR18" s="0" t="n">
        <v>0</v>
      </c>
      <c r="BS18" s="0" t="n">
        <v>15</v>
      </c>
      <c r="BT18" s="0" t="n">
        <v>41</v>
      </c>
      <c r="BU18" s="0" t="n">
        <v>15</v>
      </c>
      <c r="BV18" s="0" t="n">
        <v>78</v>
      </c>
      <c r="BW18" s="0" t="n">
        <v>15</v>
      </c>
      <c r="BX18" s="0" t="n">
        <v>236</v>
      </c>
      <c r="BY18" s="0" t="n">
        <v>15</v>
      </c>
      <c r="BZ18" s="0" t="n">
        <v>120</v>
      </c>
      <c r="CA18" s="0" t="n">
        <v>15</v>
      </c>
      <c r="CB18" s="0" t="n">
        <v>15</v>
      </c>
      <c r="CC18" s="0" t="n">
        <v>15</v>
      </c>
      <c r="CD18" s="0" t="n">
        <v>0</v>
      </c>
      <c r="CE18" s="0" t="n">
        <v>15</v>
      </c>
      <c r="CF18" s="0" t="n">
        <v>90</v>
      </c>
      <c r="CG18" s="0" t="n">
        <v>15</v>
      </c>
      <c r="CH18" s="0" t="n">
        <v>36</v>
      </c>
      <c r="CI18" s="0" t="n">
        <v>15</v>
      </c>
      <c r="CJ18" s="0" t="n">
        <v>596</v>
      </c>
      <c r="CK18" s="0" t="n">
        <v>15</v>
      </c>
      <c r="CL18" s="0" t="n">
        <v>86</v>
      </c>
      <c r="CM18" s="0" t="n">
        <v>15</v>
      </c>
      <c r="CN18" s="0" t="n">
        <v>0</v>
      </c>
      <c r="CO18" s="0" t="n">
        <v>15</v>
      </c>
      <c r="CP18" s="0" t="n">
        <v>114</v>
      </c>
      <c r="CQ18" s="0" t="n">
        <v>15</v>
      </c>
      <c r="CR18" s="0" t="n">
        <v>462</v>
      </c>
      <c r="CS18" s="0" t="n">
        <v>15</v>
      </c>
      <c r="CT18" s="0" t="n">
        <v>25</v>
      </c>
      <c r="CU18" s="0" t="n">
        <v>15</v>
      </c>
      <c r="CV18" s="0" t="n">
        <v>0</v>
      </c>
      <c r="CW18" s="0" t="n">
        <v>15</v>
      </c>
      <c r="CX18" s="0" t="n">
        <v>0</v>
      </c>
    </row>
    <row r="19" customFormat="false" ht="12.75" hidden="false" customHeight="false" outlineLevel="0" collapsed="false">
      <c r="B19" s="0" t="n">
        <v>16</v>
      </c>
      <c r="C19" s="0" t="n">
        <v>0</v>
      </c>
      <c r="D19" s="0" t="n">
        <v>27</v>
      </c>
      <c r="E19" s="0" t="n">
        <v>16</v>
      </c>
      <c r="F19" s="0" t="n">
        <v>129</v>
      </c>
      <c r="G19" s="0" t="n">
        <v>16</v>
      </c>
      <c r="H19" s="0" t="n">
        <v>0</v>
      </c>
      <c r="I19" s="0" t="n">
        <v>16</v>
      </c>
      <c r="J19" s="0" t="n">
        <v>296</v>
      </c>
      <c r="K19" s="0" t="n">
        <v>16</v>
      </c>
      <c r="L19" s="0" t="n">
        <v>105</v>
      </c>
      <c r="M19" s="0" t="n">
        <v>16</v>
      </c>
      <c r="N19" s="0" t="n">
        <v>0</v>
      </c>
      <c r="O19" s="0" t="n">
        <v>16</v>
      </c>
      <c r="P19" s="0" t="n">
        <v>0</v>
      </c>
      <c r="Q19" s="0" t="n">
        <v>16</v>
      </c>
      <c r="R19" s="0" t="n">
        <v>0</v>
      </c>
      <c r="S19" s="0" t="n">
        <v>16</v>
      </c>
      <c r="T19" s="0" t="n">
        <v>0</v>
      </c>
      <c r="U19" s="0" t="n">
        <v>16</v>
      </c>
      <c r="V19" s="0" t="n">
        <v>28</v>
      </c>
      <c r="W19" s="0" t="n">
        <v>16</v>
      </c>
      <c r="X19" s="0" t="n">
        <v>0</v>
      </c>
      <c r="Y19" s="0" t="n">
        <v>16</v>
      </c>
      <c r="Z19" s="0" t="n">
        <v>416600</v>
      </c>
      <c r="AA19" s="0" t="n">
        <v>16</v>
      </c>
      <c r="AB19" s="0" t="n">
        <v>93</v>
      </c>
      <c r="AC19" s="0" t="n">
        <v>16</v>
      </c>
      <c r="AD19" s="0" t="n">
        <v>16</v>
      </c>
      <c r="AE19" s="0" t="n">
        <v>16</v>
      </c>
      <c r="AF19" s="0" t="n">
        <v>0</v>
      </c>
      <c r="AG19" s="0" t="n">
        <v>16</v>
      </c>
      <c r="AH19" s="0" t="n">
        <v>22</v>
      </c>
      <c r="AI19" s="0" t="n">
        <v>16</v>
      </c>
      <c r="AJ19" s="0" t="n">
        <v>0</v>
      </c>
      <c r="AK19" s="0" t="n">
        <v>16</v>
      </c>
      <c r="AL19" s="0" t="n">
        <v>0</v>
      </c>
      <c r="AM19" s="0" t="n">
        <v>16</v>
      </c>
      <c r="AN19" s="0" t="n">
        <v>0</v>
      </c>
      <c r="AO19" s="0" t="n">
        <v>16</v>
      </c>
      <c r="AP19" s="0" t="n">
        <v>14</v>
      </c>
      <c r="AQ19" s="0" t="n">
        <v>16</v>
      </c>
      <c r="AR19" s="0" t="n">
        <v>0</v>
      </c>
      <c r="AS19" s="0" t="n">
        <v>16</v>
      </c>
      <c r="AT19" s="0" t="n">
        <v>45</v>
      </c>
      <c r="AU19" s="0" t="n">
        <v>16</v>
      </c>
      <c r="AV19" s="0" t="n">
        <v>0</v>
      </c>
      <c r="AW19" s="0" t="n">
        <v>16</v>
      </c>
      <c r="AX19" s="0" t="n">
        <v>0</v>
      </c>
      <c r="AY19" s="0" t="n">
        <v>16</v>
      </c>
      <c r="AZ19" s="0" t="n">
        <v>0</v>
      </c>
      <c r="BA19" s="0" t="n">
        <v>16</v>
      </c>
      <c r="BB19" s="0" t="n">
        <v>353</v>
      </c>
      <c r="BC19" s="0" t="n">
        <v>16</v>
      </c>
      <c r="BD19" s="0" t="n">
        <v>0</v>
      </c>
      <c r="BE19" s="0" t="n">
        <v>16</v>
      </c>
      <c r="BF19" s="0" t="n">
        <v>168</v>
      </c>
      <c r="BG19" s="0" t="n">
        <v>16</v>
      </c>
      <c r="BH19" s="0" t="n">
        <v>0</v>
      </c>
      <c r="BI19" s="0" t="n">
        <v>16</v>
      </c>
      <c r="BJ19" s="0" t="n">
        <v>38</v>
      </c>
      <c r="BK19" s="0" t="n">
        <v>16</v>
      </c>
      <c r="BL19" s="0" t="n">
        <v>33</v>
      </c>
      <c r="BM19" s="0" t="n">
        <v>16</v>
      </c>
      <c r="BN19" s="0" t="n">
        <v>44</v>
      </c>
      <c r="BO19" s="0" t="n">
        <v>16</v>
      </c>
      <c r="BP19" s="0" t="n">
        <v>9</v>
      </c>
      <c r="BQ19" s="0" t="n">
        <v>16</v>
      </c>
      <c r="BR19" s="0" t="n">
        <v>0</v>
      </c>
      <c r="BS19" s="0" t="n">
        <v>16</v>
      </c>
      <c r="BT19" s="0" t="n">
        <v>0</v>
      </c>
      <c r="BU19" s="0" t="n">
        <v>16</v>
      </c>
      <c r="BV19" s="0" t="n">
        <v>20</v>
      </c>
      <c r="BW19" s="0" t="n">
        <v>16</v>
      </c>
      <c r="BX19" s="0" t="n">
        <v>1670</v>
      </c>
      <c r="BY19" s="0" t="n">
        <v>16</v>
      </c>
      <c r="BZ19" s="0" t="n">
        <v>0</v>
      </c>
      <c r="CA19" s="0" t="n">
        <v>16</v>
      </c>
      <c r="CB19" s="0" t="n">
        <v>0</v>
      </c>
      <c r="CC19" s="0" t="n">
        <v>16</v>
      </c>
      <c r="CD19" s="0" t="n">
        <v>0</v>
      </c>
      <c r="CE19" s="0" t="n">
        <v>16</v>
      </c>
      <c r="CF19" s="0" t="n">
        <v>0</v>
      </c>
      <c r="CG19" s="0" t="n">
        <v>16</v>
      </c>
      <c r="CH19" s="0" t="n">
        <v>18</v>
      </c>
      <c r="CI19" s="0" t="n">
        <v>16</v>
      </c>
      <c r="CJ19" s="0" t="n">
        <v>96</v>
      </c>
      <c r="CK19" s="0" t="n">
        <v>16</v>
      </c>
      <c r="CL19" s="0" t="n">
        <v>847</v>
      </c>
      <c r="CM19" s="0" t="n">
        <v>16</v>
      </c>
      <c r="CN19" s="0" t="n">
        <v>0</v>
      </c>
      <c r="CO19" s="0" t="n">
        <v>16</v>
      </c>
      <c r="CP19" s="0" t="n">
        <v>36</v>
      </c>
      <c r="CQ19" s="0" t="n">
        <v>16</v>
      </c>
      <c r="CR19" s="0" t="n">
        <v>6768</v>
      </c>
      <c r="CS19" s="0" t="n">
        <v>16</v>
      </c>
      <c r="CT19" s="0" t="n">
        <v>0</v>
      </c>
      <c r="CU19" s="0" t="n">
        <v>16</v>
      </c>
      <c r="CV19" s="0" t="n">
        <v>53</v>
      </c>
      <c r="CW19" s="0" t="n">
        <v>16</v>
      </c>
      <c r="CX19" s="0" t="n">
        <v>258</v>
      </c>
    </row>
    <row r="20" customFormat="false" ht="12.75" hidden="false" customHeight="false" outlineLevel="0" collapsed="false">
      <c r="B20" s="0" t="n">
        <v>17</v>
      </c>
      <c r="C20" s="0" t="n">
        <v>361</v>
      </c>
      <c r="D20" s="0" t="n">
        <v>11</v>
      </c>
      <c r="E20" s="0" t="n">
        <v>17</v>
      </c>
      <c r="F20" s="0" t="n">
        <v>659</v>
      </c>
      <c r="G20" s="0" t="n">
        <v>17</v>
      </c>
      <c r="H20" s="0" t="n">
        <v>312</v>
      </c>
      <c r="I20" s="0" t="n">
        <v>17</v>
      </c>
      <c r="J20" s="0" t="n">
        <v>1340</v>
      </c>
      <c r="K20" s="0" t="n">
        <v>17</v>
      </c>
      <c r="L20" s="0" t="n">
        <v>849</v>
      </c>
      <c r="M20" s="0" t="n">
        <v>17</v>
      </c>
      <c r="N20" s="0" t="n">
        <v>522</v>
      </c>
      <c r="O20" s="0" t="n">
        <v>17</v>
      </c>
      <c r="P20" s="0" t="n">
        <v>14</v>
      </c>
      <c r="Q20" s="0" t="n">
        <v>17</v>
      </c>
      <c r="R20" s="0" t="n">
        <v>108</v>
      </c>
      <c r="S20" s="0" t="n">
        <v>17</v>
      </c>
      <c r="T20" s="0" t="n">
        <v>2142</v>
      </c>
      <c r="U20" s="0" t="n">
        <v>17</v>
      </c>
      <c r="V20" s="0" t="n">
        <v>628</v>
      </c>
      <c r="W20" s="0" t="n">
        <v>17</v>
      </c>
      <c r="X20" s="0" t="n">
        <v>62</v>
      </c>
      <c r="Y20" s="0" t="n">
        <v>17</v>
      </c>
      <c r="Z20" s="0" t="n">
        <v>56</v>
      </c>
      <c r="AA20" s="0" t="n">
        <v>17</v>
      </c>
      <c r="AB20" s="0" t="n">
        <v>5180802</v>
      </c>
      <c r="AC20" s="0" t="n">
        <v>17</v>
      </c>
      <c r="AD20" s="0" t="n">
        <v>52308</v>
      </c>
      <c r="AE20" s="0" t="n">
        <v>17</v>
      </c>
      <c r="AF20" s="0" t="n">
        <v>20249</v>
      </c>
      <c r="AG20" s="0" t="n">
        <v>17</v>
      </c>
      <c r="AH20" s="0" t="n">
        <v>385</v>
      </c>
      <c r="AI20" s="0" t="n">
        <v>17</v>
      </c>
      <c r="AJ20" s="0" t="n">
        <v>2206</v>
      </c>
      <c r="AK20" s="0" t="n">
        <v>17</v>
      </c>
      <c r="AL20" s="0" t="n">
        <v>327</v>
      </c>
      <c r="AM20" s="0" t="n">
        <v>17</v>
      </c>
      <c r="AN20" s="0" t="n">
        <v>31</v>
      </c>
      <c r="AO20" s="0" t="n">
        <v>17</v>
      </c>
      <c r="AP20" s="0" t="n">
        <v>380</v>
      </c>
      <c r="AQ20" s="0" t="n">
        <v>17</v>
      </c>
      <c r="AR20" s="0" t="n">
        <v>341</v>
      </c>
      <c r="AS20" s="0" t="n">
        <v>17</v>
      </c>
      <c r="AT20" s="0" t="n">
        <v>3487</v>
      </c>
      <c r="AU20" s="0" t="n">
        <v>17</v>
      </c>
      <c r="AV20" s="0" t="n">
        <v>1498</v>
      </c>
      <c r="AW20" s="0" t="n">
        <v>17</v>
      </c>
      <c r="AX20" s="0" t="n">
        <v>384</v>
      </c>
      <c r="AY20" s="0" t="n">
        <v>17</v>
      </c>
      <c r="AZ20" s="0" t="n">
        <v>18813</v>
      </c>
      <c r="BA20" s="0" t="n">
        <v>17</v>
      </c>
      <c r="BB20" s="0" t="n">
        <v>29</v>
      </c>
      <c r="BC20" s="0" t="n">
        <v>17</v>
      </c>
      <c r="BD20" s="0" t="n">
        <v>262</v>
      </c>
      <c r="BE20" s="0" t="n">
        <v>17</v>
      </c>
      <c r="BF20" s="0" t="n">
        <v>164</v>
      </c>
      <c r="BG20" s="0" t="n">
        <v>17</v>
      </c>
      <c r="BH20" s="0" t="n">
        <v>78</v>
      </c>
      <c r="BI20" s="0" t="n">
        <v>17</v>
      </c>
      <c r="BJ20" s="0" t="n">
        <v>683</v>
      </c>
      <c r="BK20" s="0" t="n">
        <v>17</v>
      </c>
      <c r="BL20" s="0" t="n">
        <v>126</v>
      </c>
      <c r="BM20" s="0" t="n">
        <v>17</v>
      </c>
      <c r="BN20" s="0" t="n">
        <v>1234</v>
      </c>
      <c r="BO20" s="0" t="n">
        <v>17</v>
      </c>
      <c r="BP20" s="0" t="n">
        <v>390</v>
      </c>
      <c r="BQ20" s="0" t="n">
        <v>17</v>
      </c>
      <c r="BR20" s="0" t="n">
        <v>135</v>
      </c>
      <c r="BS20" s="0" t="n">
        <v>17</v>
      </c>
      <c r="BT20" s="0" t="n">
        <v>1922</v>
      </c>
      <c r="BU20" s="0" t="n">
        <v>17</v>
      </c>
      <c r="BV20" s="0" t="n">
        <v>201</v>
      </c>
      <c r="BW20" s="0" t="n">
        <v>17</v>
      </c>
      <c r="BX20" s="0" t="n">
        <v>0</v>
      </c>
      <c r="BY20" s="0" t="n">
        <v>17</v>
      </c>
      <c r="BZ20" s="0" t="n">
        <v>900</v>
      </c>
      <c r="CA20" s="0" t="n">
        <v>17</v>
      </c>
      <c r="CB20" s="0" t="n">
        <v>57</v>
      </c>
      <c r="CC20" s="0" t="n">
        <v>17</v>
      </c>
      <c r="CD20" s="0" t="n">
        <v>0</v>
      </c>
      <c r="CE20" s="0" t="n">
        <v>17</v>
      </c>
      <c r="CF20" s="0" t="n">
        <v>474</v>
      </c>
      <c r="CG20" s="0" t="n">
        <v>17</v>
      </c>
      <c r="CH20" s="0" t="n">
        <v>774</v>
      </c>
      <c r="CI20" s="0" t="n">
        <v>17</v>
      </c>
      <c r="CJ20" s="0" t="n">
        <v>1806</v>
      </c>
      <c r="CK20" s="0" t="n">
        <v>17</v>
      </c>
      <c r="CL20" s="0" t="n">
        <v>105</v>
      </c>
      <c r="CM20" s="0" t="n">
        <v>17</v>
      </c>
      <c r="CN20" s="0" t="n">
        <v>0</v>
      </c>
      <c r="CO20" s="0" t="n">
        <v>17</v>
      </c>
      <c r="CP20" s="0" t="n">
        <v>483</v>
      </c>
      <c r="CQ20" s="0" t="n">
        <v>17</v>
      </c>
      <c r="CR20" s="0" t="n">
        <v>330</v>
      </c>
      <c r="CS20" s="0" t="n">
        <v>17</v>
      </c>
      <c r="CT20" s="0" t="n">
        <v>106</v>
      </c>
      <c r="CU20" s="0" t="n">
        <v>17</v>
      </c>
      <c r="CV20" s="0" t="n">
        <v>32445</v>
      </c>
      <c r="CW20" s="0" t="n">
        <v>17</v>
      </c>
      <c r="CX20" s="0" t="n">
        <v>127</v>
      </c>
    </row>
    <row r="21" customFormat="false" ht="12.75" hidden="false" customHeight="false" outlineLevel="0" collapsed="false">
      <c r="B21" s="0" t="n">
        <v>18</v>
      </c>
      <c r="C21" s="0" t="n">
        <v>67</v>
      </c>
      <c r="D21" s="0" t="n">
        <v>8</v>
      </c>
      <c r="E21" s="0" t="n">
        <v>18</v>
      </c>
      <c r="F21" s="0" t="n">
        <v>191</v>
      </c>
      <c r="G21" s="0" t="n">
        <v>18</v>
      </c>
      <c r="H21" s="0" t="n">
        <v>97</v>
      </c>
      <c r="I21" s="0" t="n">
        <v>18</v>
      </c>
      <c r="J21" s="0" t="n">
        <v>453</v>
      </c>
      <c r="K21" s="0" t="n">
        <v>18</v>
      </c>
      <c r="L21" s="0" t="n">
        <v>123</v>
      </c>
      <c r="M21" s="0" t="n">
        <v>18</v>
      </c>
      <c r="N21" s="0" t="n">
        <v>95</v>
      </c>
      <c r="O21" s="0" t="n">
        <v>18</v>
      </c>
      <c r="P21" s="0" t="n">
        <v>67</v>
      </c>
      <c r="Q21" s="0" t="n">
        <v>18</v>
      </c>
      <c r="R21" s="0" t="n">
        <v>41</v>
      </c>
      <c r="S21" s="0" t="n">
        <v>18</v>
      </c>
      <c r="T21" s="0" t="n">
        <v>778</v>
      </c>
      <c r="U21" s="0" t="n">
        <v>18</v>
      </c>
      <c r="V21" s="0" t="n">
        <v>204</v>
      </c>
      <c r="W21" s="0" t="n">
        <v>18</v>
      </c>
      <c r="X21" s="0" t="n">
        <v>34</v>
      </c>
      <c r="Y21" s="0" t="n">
        <v>18</v>
      </c>
      <c r="Z21" s="0" t="n">
        <v>12</v>
      </c>
      <c r="AA21" s="0" t="n">
        <v>18</v>
      </c>
      <c r="AB21" s="0" t="n">
        <v>21624</v>
      </c>
      <c r="AC21" s="0" t="n">
        <v>18</v>
      </c>
      <c r="AD21" s="0" t="n">
        <v>2457406</v>
      </c>
      <c r="AE21" s="0" t="n">
        <v>18</v>
      </c>
      <c r="AF21" s="0" t="n">
        <v>204</v>
      </c>
      <c r="AG21" s="0" t="n">
        <v>18</v>
      </c>
      <c r="AH21" s="0" t="n">
        <v>208</v>
      </c>
      <c r="AI21" s="0" t="n">
        <v>18</v>
      </c>
      <c r="AJ21" s="0" t="n">
        <v>19545</v>
      </c>
      <c r="AK21" s="0" t="n">
        <v>18</v>
      </c>
      <c r="AL21" s="0" t="n">
        <v>114</v>
      </c>
      <c r="AM21" s="0" t="n">
        <v>18</v>
      </c>
      <c r="AN21" s="0" t="n">
        <v>26</v>
      </c>
      <c r="AO21" s="0" t="n">
        <v>18</v>
      </c>
      <c r="AP21" s="0" t="n">
        <v>111</v>
      </c>
      <c r="AQ21" s="0" t="n">
        <v>18</v>
      </c>
      <c r="AR21" s="0" t="n">
        <v>102</v>
      </c>
      <c r="AS21" s="0" t="n">
        <v>18</v>
      </c>
      <c r="AT21" s="0" t="n">
        <v>20228</v>
      </c>
      <c r="AU21" s="0" t="n">
        <v>18</v>
      </c>
      <c r="AV21" s="0" t="n">
        <v>65</v>
      </c>
      <c r="AW21" s="0" t="n">
        <v>18</v>
      </c>
      <c r="AX21" s="0" t="n">
        <v>123</v>
      </c>
      <c r="AY21" s="0" t="n">
        <v>18</v>
      </c>
      <c r="AZ21" s="0" t="n">
        <v>434</v>
      </c>
      <c r="BA21" s="0" t="n">
        <v>18</v>
      </c>
      <c r="BB21" s="0" t="n">
        <v>0</v>
      </c>
      <c r="BC21" s="0" t="n">
        <v>18</v>
      </c>
      <c r="BD21" s="0" t="n">
        <v>30</v>
      </c>
      <c r="BE21" s="0" t="n">
        <v>18</v>
      </c>
      <c r="BF21" s="0" t="n">
        <v>0</v>
      </c>
      <c r="BG21" s="0" t="n">
        <v>18</v>
      </c>
      <c r="BH21" s="0" t="n">
        <v>24</v>
      </c>
      <c r="BI21" s="0" t="n">
        <v>18</v>
      </c>
      <c r="BJ21" s="0" t="n">
        <v>206</v>
      </c>
      <c r="BK21" s="0" t="n">
        <v>18</v>
      </c>
      <c r="BL21" s="0" t="n">
        <v>0</v>
      </c>
      <c r="BM21" s="0" t="n">
        <v>18</v>
      </c>
      <c r="BN21" s="0" t="n">
        <v>293</v>
      </c>
      <c r="BO21" s="0" t="n">
        <v>18</v>
      </c>
      <c r="BP21" s="0" t="n">
        <v>234</v>
      </c>
      <c r="BQ21" s="0" t="n">
        <v>18</v>
      </c>
      <c r="BR21" s="0" t="n">
        <v>10</v>
      </c>
      <c r="BS21" s="0" t="n">
        <v>18</v>
      </c>
      <c r="BT21" s="0" t="n">
        <v>14140</v>
      </c>
      <c r="BU21" s="0" t="n">
        <v>18</v>
      </c>
      <c r="BV21" s="0" t="n">
        <v>151</v>
      </c>
      <c r="BW21" s="0" t="n">
        <v>18</v>
      </c>
      <c r="BX21" s="0" t="n">
        <v>20</v>
      </c>
      <c r="BY21" s="0" t="n">
        <v>18</v>
      </c>
      <c r="BZ21" s="0" t="n">
        <v>737</v>
      </c>
      <c r="CA21" s="0" t="n">
        <v>18</v>
      </c>
      <c r="CB21" s="0" t="n">
        <v>0</v>
      </c>
      <c r="CC21" s="0" t="n">
        <v>18</v>
      </c>
      <c r="CD21" s="0" t="n">
        <v>34</v>
      </c>
      <c r="CE21" s="0" t="n">
        <v>18</v>
      </c>
      <c r="CF21" s="0" t="n">
        <v>24</v>
      </c>
      <c r="CG21" s="0" t="n">
        <v>18</v>
      </c>
      <c r="CH21" s="0" t="n">
        <v>825</v>
      </c>
      <c r="CI21" s="0" t="n">
        <v>18</v>
      </c>
      <c r="CJ21" s="0" t="n">
        <v>574</v>
      </c>
      <c r="CK21" s="0" t="n">
        <v>18</v>
      </c>
      <c r="CL21" s="0" t="n">
        <v>47</v>
      </c>
      <c r="CM21" s="0" t="n">
        <v>18</v>
      </c>
      <c r="CN21" s="0" t="n">
        <v>0</v>
      </c>
      <c r="CO21" s="0" t="n">
        <v>18</v>
      </c>
      <c r="CP21" s="0" t="n">
        <v>279</v>
      </c>
      <c r="CQ21" s="0" t="n">
        <v>18</v>
      </c>
      <c r="CR21" s="0" t="n">
        <v>135</v>
      </c>
      <c r="CS21" s="0" t="n">
        <v>18</v>
      </c>
      <c r="CT21" s="0" t="n">
        <v>207</v>
      </c>
      <c r="CU21" s="0" t="n">
        <v>18</v>
      </c>
      <c r="CV21" s="0" t="n">
        <v>434</v>
      </c>
      <c r="CW21" s="0" t="n">
        <v>18</v>
      </c>
      <c r="CX21" s="0" t="n">
        <v>0</v>
      </c>
    </row>
    <row r="22" customFormat="false" ht="12.75" hidden="false" customHeight="false" outlineLevel="0" collapsed="false">
      <c r="B22" s="0" t="n">
        <v>19</v>
      </c>
      <c r="C22" s="0" t="n">
        <v>0</v>
      </c>
      <c r="D22" s="0" t="n">
        <v>0</v>
      </c>
      <c r="E22" s="0" t="n">
        <v>19</v>
      </c>
      <c r="F22" s="0" t="n">
        <v>79</v>
      </c>
      <c r="G22" s="0" t="n">
        <v>19</v>
      </c>
      <c r="H22" s="0" t="n">
        <v>51</v>
      </c>
      <c r="I22" s="0" t="n">
        <v>19</v>
      </c>
      <c r="J22" s="0" t="n">
        <v>99</v>
      </c>
      <c r="K22" s="0" t="n">
        <v>19</v>
      </c>
      <c r="L22" s="0" t="n">
        <v>207</v>
      </c>
      <c r="M22" s="0" t="n">
        <v>19</v>
      </c>
      <c r="N22" s="0" t="n">
        <v>22</v>
      </c>
      <c r="O22" s="0" t="n">
        <v>19</v>
      </c>
      <c r="P22" s="0" t="n">
        <v>0</v>
      </c>
      <c r="Q22" s="0" t="n">
        <v>19</v>
      </c>
      <c r="R22" s="0" t="n">
        <v>0</v>
      </c>
      <c r="S22" s="0" t="n">
        <v>19</v>
      </c>
      <c r="T22" s="0" t="n">
        <v>187</v>
      </c>
      <c r="U22" s="0" t="n">
        <v>19</v>
      </c>
      <c r="V22" s="0" t="n">
        <v>89</v>
      </c>
      <c r="W22" s="0" t="n">
        <v>19</v>
      </c>
      <c r="X22" s="0" t="n">
        <v>0</v>
      </c>
      <c r="Y22" s="0" t="n">
        <v>19</v>
      </c>
      <c r="Z22" s="0" t="n">
        <v>0</v>
      </c>
      <c r="AA22" s="0" t="n">
        <v>19</v>
      </c>
      <c r="AB22" s="0" t="n">
        <v>22707</v>
      </c>
      <c r="AC22" s="0" t="n">
        <v>19</v>
      </c>
      <c r="AD22" s="0" t="n">
        <v>194</v>
      </c>
      <c r="AE22" s="0" t="n">
        <v>19</v>
      </c>
      <c r="AF22" s="0" t="n">
        <v>1260120</v>
      </c>
      <c r="AG22" s="0" t="n">
        <v>19</v>
      </c>
      <c r="AH22" s="0" t="n">
        <v>327</v>
      </c>
      <c r="AI22" s="0" t="n">
        <v>19</v>
      </c>
      <c r="AJ22" s="0" t="n">
        <v>91</v>
      </c>
      <c r="AK22" s="0" t="n">
        <v>19</v>
      </c>
      <c r="AL22" s="0" t="n">
        <v>27</v>
      </c>
      <c r="AM22" s="0" t="n">
        <v>19</v>
      </c>
      <c r="AN22" s="0" t="n">
        <v>0</v>
      </c>
      <c r="AO22" s="0" t="n">
        <v>19</v>
      </c>
      <c r="AP22" s="0" t="n">
        <v>20</v>
      </c>
      <c r="AQ22" s="0" t="n">
        <v>19</v>
      </c>
      <c r="AR22" s="0" t="n">
        <v>0</v>
      </c>
      <c r="AS22" s="0" t="n">
        <v>19</v>
      </c>
      <c r="AT22" s="0" t="n">
        <v>123</v>
      </c>
      <c r="AU22" s="0" t="n">
        <v>19</v>
      </c>
      <c r="AV22" s="0" t="n">
        <v>2601</v>
      </c>
      <c r="AW22" s="0" t="n">
        <v>19</v>
      </c>
      <c r="AX22" s="0" t="n">
        <v>33</v>
      </c>
      <c r="AY22" s="0" t="n">
        <v>19</v>
      </c>
      <c r="AZ22" s="0" t="n">
        <v>3718</v>
      </c>
      <c r="BA22" s="0" t="n">
        <v>19</v>
      </c>
      <c r="BB22" s="0" t="n">
        <v>0</v>
      </c>
      <c r="BC22" s="0" t="n">
        <v>19</v>
      </c>
      <c r="BD22" s="0" t="n">
        <v>11064</v>
      </c>
      <c r="BE22" s="0" t="n">
        <v>19</v>
      </c>
      <c r="BF22" s="0" t="n">
        <v>0</v>
      </c>
      <c r="BG22" s="0" t="n">
        <v>19</v>
      </c>
      <c r="BH22" s="0" t="n">
        <v>0</v>
      </c>
      <c r="BI22" s="0" t="n">
        <v>19</v>
      </c>
      <c r="BJ22" s="0" t="n">
        <v>26</v>
      </c>
      <c r="BK22" s="0" t="n">
        <v>19</v>
      </c>
      <c r="BL22" s="0" t="n">
        <v>15</v>
      </c>
      <c r="BM22" s="0" t="n">
        <v>19</v>
      </c>
      <c r="BN22" s="0" t="n">
        <v>44</v>
      </c>
      <c r="BO22" s="0" t="n">
        <v>19</v>
      </c>
      <c r="BP22" s="0" t="n">
        <v>129</v>
      </c>
      <c r="BQ22" s="0" t="n">
        <v>19</v>
      </c>
      <c r="BR22" s="0" t="n">
        <v>45</v>
      </c>
      <c r="BS22" s="0" t="n">
        <v>19</v>
      </c>
      <c r="BT22" s="0" t="n">
        <v>151</v>
      </c>
      <c r="BU22" s="0" t="n">
        <v>19</v>
      </c>
      <c r="BV22" s="0" t="n">
        <v>134</v>
      </c>
      <c r="BW22" s="0" t="n">
        <v>19</v>
      </c>
      <c r="BX22" s="0" t="n">
        <v>61</v>
      </c>
      <c r="BY22" s="0" t="n">
        <v>19</v>
      </c>
      <c r="BZ22" s="0" t="n">
        <v>79</v>
      </c>
      <c r="CA22" s="0" t="n">
        <v>19</v>
      </c>
      <c r="CB22" s="0" t="n">
        <v>0</v>
      </c>
      <c r="CC22" s="0" t="n">
        <v>19</v>
      </c>
      <c r="CD22" s="0" t="n">
        <v>1598</v>
      </c>
      <c r="CE22" s="0" t="n">
        <v>19</v>
      </c>
      <c r="CF22" s="0" t="n">
        <v>57</v>
      </c>
      <c r="CG22" s="0" t="n">
        <v>19</v>
      </c>
      <c r="CH22" s="0" t="n">
        <v>153</v>
      </c>
      <c r="CI22" s="0" t="n">
        <v>19</v>
      </c>
      <c r="CJ22" s="0" t="n">
        <v>330</v>
      </c>
      <c r="CK22" s="0" t="n">
        <v>19</v>
      </c>
      <c r="CL22" s="0" t="n">
        <v>21</v>
      </c>
      <c r="CM22" s="0" t="n">
        <v>19</v>
      </c>
      <c r="CN22" s="0" t="n">
        <v>26</v>
      </c>
      <c r="CO22" s="0" t="n">
        <v>19</v>
      </c>
      <c r="CP22" s="0" t="n">
        <v>24</v>
      </c>
      <c r="CQ22" s="0" t="n">
        <v>19</v>
      </c>
      <c r="CR22" s="0" t="n">
        <v>0</v>
      </c>
      <c r="CS22" s="0" t="n">
        <v>19</v>
      </c>
      <c r="CT22" s="0" t="n">
        <v>48</v>
      </c>
      <c r="CU22" s="0" t="n">
        <v>19</v>
      </c>
      <c r="CV22" s="0" t="n">
        <v>3679</v>
      </c>
      <c r="CW22" s="0" t="n">
        <v>19</v>
      </c>
      <c r="CX22" s="0" t="n">
        <v>46</v>
      </c>
    </row>
    <row r="23" customFormat="false" ht="12.75" hidden="false" customHeight="false" outlineLevel="0" collapsed="false">
      <c r="B23" s="0" t="n">
        <v>20</v>
      </c>
      <c r="C23" s="0" t="n">
        <v>245</v>
      </c>
      <c r="D23" s="0" t="n">
        <v>0</v>
      </c>
      <c r="E23" s="0" t="n">
        <v>20</v>
      </c>
      <c r="F23" s="0" t="n">
        <v>196</v>
      </c>
      <c r="G23" s="0" t="n">
        <v>20</v>
      </c>
      <c r="H23" s="0" t="n">
        <v>299</v>
      </c>
      <c r="I23" s="0" t="n">
        <v>20</v>
      </c>
      <c r="J23" s="0" t="n">
        <v>177</v>
      </c>
      <c r="K23" s="0" t="n">
        <v>20</v>
      </c>
      <c r="L23" s="0" t="n">
        <v>822</v>
      </c>
      <c r="M23" s="0" t="n">
        <v>20</v>
      </c>
      <c r="N23" s="0" t="n">
        <v>0</v>
      </c>
      <c r="O23" s="0" t="n">
        <v>20</v>
      </c>
      <c r="P23" s="0" t="n">
        <v>36</v>
      </c>
      <c r="Q23" s="0" t="n">
        <v>20</v>
      </c>
      <c r="R23" s="0" t="n">
        <v>0</v>
      </c>
      <c r="S23" s="0" t="n">
        <v>20</v>
      </c>
      <c r="T23" s="0" t="n">
        <v>108</v>
      </c>
      <c r="U23" s="0" t="n">
        <v>20</v>
      </c>
      <c r="V23" s="0" t="n">
        <v>156</v>
      </c>
      <c r="W23" s="0" t="n">
        <v>20</v>
      </c>
      <c r="X23" s="0" t="n">
        <v>0</v>
      </c>
      <c r="Y23" s="0" t="n">
        <v>20</v>
      </c>
      <c r="Z23" s="0" t="n">
        <v>8</v>
      </c>
      <c r="AA23" s="0" t="n">
        <v>20</v>
      </c>
      <c r="AB23" s="0" t="n">
        <v>369</v>
      </c>
      <c r="AC23" s="0" t="n">
        <v>20</v>
      </c>
      <c r="AD23" s="0" t="n">
        <v>196</v>
      </c>
      <c r="AE23" s="0" t="n">
        <v>20</v>
      </c>
      <c r="AF23" s="0" t="n">
        <v>332</v>
      </c>
      <c r="AG23" s="0" t="n">
        <v>20</v>
      </c>
      <c r="AH23" s="0" t="n">
        <v>1085242</v>
      </c>
      <c r="AI23" s="0" t="n">
        <v>20</v>
      </c>
      <c r="AJ23" s="0" t="n">
        <v>101</v>
      </c>
      <c r="AK23" s="0" t="n">
        <v>20</v>
      </c>
      <c r="AL23" s="0" t="n">
        <v>0</v>
      </c>
      <c r="AM23" s="0" t="n">
        <v>20</v>
      </c>
      <c r="AN23" s="0" t="n">
        <v>0</v>
      </c>
      <c r="AO23" s="0" t="n">
        <v>20</v>
      </c>
      <c r="AP23" s="0" t="n">
        <v>40</v>
      </c>
      <c r="AQ23" s="0" t="n">
        <v>20</v>
      </c>
      <c r="AR23" s="0" t="n">
        <v>18</v>
      </c>
      <c r="AS23" s="0" t="n">
        <v>20</v>
      </c>
      <c r="AT23" s="0" t="n">
        <v>151</v>
      </c>
      <c r="AU23" s="0" t="n">
        <v>20</v>
      </c>
      <c r="AV23" s="0" t="n">
        <v>97</v>
      </c>
      <c r="AW23" s="0" t="n">
        <v>20</v>
      </c>
      <c r="AX23" s="0" t="n">
        <v>45</v>
      </c>
      <c r="AY23" s="0" t="n">
        <v>20</v>
      </c>
      <c r="AZ23" s="0" t="n">
        <v>71061</v>
      </c>
      <c r="BA23" s="0" t="n">
        <v>20</v>
      </c>
      <c r="BB23" s="0" t="n">
        <v>38</v>
      </c>
      <c r="BC23" s="0" t="n">
        <v>20</v>
      </c>
      <c r="BD23" s="0" t="n">
        <v>1139</v>
      </c>
      <c r="BE23" s="0" t="n">
        <v>20</v>
      </c>
      <c r="BF23" s="0" t="n">
        <v>0</v>
      </c>
      <c r="BG23" s="0" t="n">
        <v>20</v>
      </c>
      <c r="BH23" s="0" t="n">
        <v>0</v>
      </c>
      <c r="BI23" s="0" t="n">
        <v>20</v>
      </c>
      <c r="BJ23" s="0" t="n">
        <v>68</v>
      </c>
      <c r="BK23" s="0" t="n">
        <v>20</v>
      </c>
      <c r="BL23" s="0" t="n">
        <v>90</v>
      </c>
      <c r="BM23" s="0" t="n">
        <v>20</v>
      </c>
      <c r="BN23" s="0" t="n">
        <v>53</v>
      </c>
      <c r="BO23" s="0" t="n">
        <v>20</v>
      </c>
      <c r="BP23" s="0" t="n">
        <v>39</v>
      </c>
      <c r="BQ23" s="0" t="n">
        <v>20</v>
      </c>
      <c r="BR23" s="0" t="n">
        <v>25</v>
      </c>
      <c r="BS23" s="0" t="n">
        <v>20</v>
      </c>
      <c r="BT23" s="0" t="n">
        <v>286</v>
      </c>
      <c r="BU23" s="0" t="n">
        <v>20</v>
      </c>
      <c r="BV23" s="0" t="n">
        <v>4783</v>
      </c>
      <c r="BW23" s="0" t="n">
        <v>20</v>
      </c>
      <c r="BX23" s="0" t="n">
        <v>31</v>
      </c>
      <c r="BY23" s="0" t="n">
        <v>20</v>
      </c>
      <c r="BZ23" s="0" t="n">
        <v>174</v>
      </c>
      <c r="CA23" s="0" t="n">
        <v>20</v>
      </c>
      <c r="CB23" s="0" t="n">
        <v>16</v>
      </c>
      <c r="CC23" s="0" t="n">
        <v>20</v>
      </c>
      <c r="CD23" s="0" t="n">
        <v>86</v>
      </c>
      <c r="CE23" s="0" t="n">
        <v>20</v>
      </c>
      <c r="CF23" s="0" t="n">
        <v>30</v>
      </c>
      <c r="CG23" s="0" t="n">
        <v>20</v>
      </c>
      <c r="CH23" s="0" t="n">
        <v>111</v>
      </c>
      <c r="CI23" s="0" t="n">
        <v>20</v>
      </c>
      <c r="CJ23" s="0" t="n">
        <v>779</v>
      </c>
      <c r="CK23" s="0" t="n">
        <v>20</v>
      </c>
      <c r="CL23" s="0" t="n">
        <v>0</v>
      </c>
      <c r="CM23" s="0" t="n">
        <v>20</v>
      </c>
      <c r="CN23" s="0" t="n">
        <v>0</v>
      </c>
      <c r="CO23" s="0" t="n">
        <v>20</v>
      </c>
      <c r="CP23" s="0" t="n">
        <v>72</v>
      </c>
      <c r="CQ23" s="0" t="n">
        <v>20</v>
      </c>
      <c r="CR23" s="0" t="n">
        <v>69</v>
      </c>
      <c r="CS23" s="0" t="n">
        <v>20</v>
      </c>
      <c r="CT23" s="0" t="n">
        <v>0</v>
      </c>
      <c r="CU23" s="0" t="n">
        <v>20</v>
      </c>
      <c r="CV23" s="0" t="n">
        <v>125</v>
      </c>
      <c r="CW23" s="0" t="n">
        <v>20</v>
      </c>
      <c r="CX23" s="0" t="n">
        <v>0</v>
      </c>
    </row>
    <row r="24" customFormat="false" ht="12.75" hidden="false" customHeight="false" outlineLevel="0" collapsed="false">
      <c r="B24" s="0" t="n">
        <v>21</v>
      </c>
      <c r="C24" s="0" t="n">
        <v>228</v>
      </c>
      <c r="D24" s="0" t="n">
        <v>7</v>
      </c>
      <c r="E24" s="0" t="n">
        <v>21</v>
      </c>
      <c r="F24" s="0" t="n">
        <v>73</v>
      </c>
      <c r="G24" s="0" t="n">
        <v>21</v>
      </c>
      <c r="H24" s="0" t="n">
        <v>78</v>
      </c>
      <c r="I24" s="0" t="n">
        <v>21</v>
      </c>
      <c r="J24" s="0" t="n">
        <v>338</v>
      </c>
      <c r="K24" s="0" t="n">
        <v>21</v>
      </c>
      <c r="L24" s="0" t="n">
        <v>138</v>
      </c>
      <c r="M24" s="0" t="n">
        <v>21</v>
      </c>
      <c r="N24" s="0" t="n">
        <v>30</v>
      </c>
      <c r="O24" s="0" t="n">
        <v>21</v>
      </c>
      <c r="P24" s="0" t="n">
        <v>19</v>
      </c>
      <c r="Q24" s="0" t="n">
        <v>21</v>
      </c>
      <c r="R24" s="0" t="n">
        <v>0</v>
      </c>
      <c r="S24" s="0" t="n">
        <v>21</v>
      </c>
      <c r="T24" s="0" t="n">
        <v>656</v>
      </c>
      <c r="U24" s="0" t="n">
        <v>21</v>
      </c>
      <c r="V24" s="0" t="n">
        <v>407</v>
      </c>
      <c r="W24" s="0" t="n">
        <v>21</v>
      </c>
      <c r="X24" s="0" t="n">
        <v>0</v>
      </c>
      <c r="Y24" s="0" t="n">
        <v>21</v>
      </c>
      <c r="Z24" s="0" t="n">
        <v>0</v>
      </c>
      <c r="AA24" s="0" t="n">
        <v>21</v>
      </c>
      <c r="AB24" s="0" t="n">
        <v>2646</v>
      </c>
      <c r="AC24" s="0" t="n">
        <v>21</v>
      </c>
      <c r="AD24" s="0" t="n">
        <v>39681</v>
      </c>
      <c r="AE24" s="0" t="n">
        <v>21</v>
      </c>
      <c r="AF24" s="0" t="n">
        <v>84</v>
      </c>
      <c r="AG24" s="0" t="n">
        <v>21</v>
      </c>
      <c r="AH24" s="0" t="n">
        <v>98</v>
      </c>
      <c r="AI24" s="0" t="n">
        <v>21</v>
      </c>
      <c r="AJ24" s="0" t="n">
        <v>1455109</v>
      </c>
      <c r="AK24" s="0" t="n">
        <v>21</v>
      </c>
      <c r="AL24" s="0" t="n">
        <v>135</v>
      </c>
      <c r="AM24" s="0" t="n">
        <v>21</v>
      </c>
      <c r="AN24" s="0" t="n">
        <v>0</v>
      </c>
      <c r="AO24" s="0" t="n">
        <v>21</v>
      </c>
      <c r="AP24" s="0" t="n">
        <v>92</v>
      </c>
      <c r="AQ24" s="0" t="n">
        <v>21</v>
      </c>
      <c r="AR24" s="0" t="n">
        <v>117</v>
      </c>
      <c r="AS24" s="0" t="n">
        <v>21</v>
      </c>
      <c r="AT24" s="0" t="n">
        <v>326</v>
      </c>
      <c r="AU24" s="0" t="n">
        <v>21</v>
      </c>
      <c r="AV24" s="0" t="n">
        <v>128</v>
      </c>
      <c r="AW24" s="0" t="n">
        <v>21</v>
      </c>
      <c r="AX24" s="0" t="n">
        <v>138</v>
      </c>
      <c r="AY24" s="0" t="n">
        <v>21</v>
      </c>
      <c r="AZ24" s="0" t="n">
        <v>627</v>
      </c>
      <c r="BA24" s="0" t="n">
        <v>21</v>
      </c>
      <c r="BB24" s="0" t="n">
        <v>69</v>
      </c>
      <c r="BC24" s="0" t="n">
        <v>21</v>
      </c>
      <c r="BD24" s="0" t="n">
        <v>8</v>
      </c>
      <c r="BE24" s="0" t="n">
        <v>21</v>
      </c>
      <c r="BF24" s="0" t="n">
        <v>24</v>
      </c>
      <c r="BG24" s="0" t="n">
        <v>21</v>
      </c>
      <c r="BH24" s="0" t="n">
        <v>129</v>
      </c>
      <c r="BI24" s="0" t="n">
        <v>21</v>
      </c>
      <c r="BJ24" s="0" t="n">
        <v>72</v>
      </c>
      <c r="BK24" s="0" t="n">
        <v>21</v>
      </c>
      <c r="BL24" s="0" t="n">
        <v>63</v>
      </c>
      <c r="BM24" s="0" t="n">
        <v>21</v>
      </c>
      <c r="BN24" s="0" t="n">
        <v>194</v>
      </c>
      <c r="BO24" s="0" t="n">
        <v>21</v>
      </c>
      <c r="BP24" s="0" t="n">
        <v>270</v>
      </c>
      <c r="BQ24" s="0" t="n">
        <v>21</v>
      </c>
      <c r="BR24" s="0" t="n">
        <v>10</v>
      </c>
      <c r="BS24" s="0" t="n">
        <v>21</v>
      </c>
      <c r="BT24" s="0" t="n">
        <v>23921</v>
      </c>
      <c r="BU24" s="0" t="n">
        <v>21</v>
      </c>
      <c r="BV24" s="0" t="n">
        <v>181</v>
      </c>
      <c r="BW24" s="0" t="n">
        <v>21</v>
      </c>
      <c r="BX24" s="0" t="n">
        <v>13</v>
      </c>
      <c r="BY24" s="0" t="n">
        <v>21</v>
      </c>
      <c r="BZ24" s="0" t="n">
        <v>241</v>
      </c>
      <c r="CA24" s="0" t="n">
        <v>21</v>
      </c>
      <c r="CB24" s="0" t="n">
        <v>0</v>
      </c>
      <c r="CC24" s="0" t="n">
        <v>21</v>
      </c>
      <c r="CD24" s="0" t="n">
        <v>0</v>
      </c>
      <c r="CE24" s="0" t="n">
        <v>21</v>
      </c>
      <c r="CF24" s="0" t="n">
        <v>126</v>
      </c>
      <c r="CG24" s="0" t="n">
        <v>21</v>
      </c>
      <c r="CH24" s="0" t="n">
        <v>19320</v>
      </c>
      <c r="CI24" s="0" t="n">
        <v>21</v>
      </c>
      <c r="CJ24" s="0" t="n">
        <v>304</v>
      </c>
      <c r="CK24" s="0" t="n">
        <v>21</v>
      </c>
      <c r="CL24" s="0" t="n">
        <v>20</v>
      </c>
      <c r="CM24" s="0" t="n">
        <v>21</v>
      </c>
      <c r="CN24" s="0" t="n">
        <v>0</v>
      </c>
      <c r="CO24" s="0" t="n">
        <v>21</v>
      </c>
      <c r="CP24" s="0" t="n">
        <v>1842</v>
      </c>
      <c r="CQ24" s="0" t="n">
        <v>21</v>
      </c>
      <c r="CR24" s="0" t="n">
        <v>132</v>
      </c>
      <c r="CS24" s="0" t="n">
        <v>21</v>
      </c>
      <c r="CT24" s="0" t="n">
        <v>3943</v>
      </c>
      <c r="CU24" s="0" t="n">
        <v>21</v>
      </c>
      <c r="CV24" s="0" t="n">
        <v>179</v>
      </c>
      <c r="CW24" s="0" t="n">
        <v>21</v>
      </c>
      <c r="CX24" s="0" t="n">
        <v>0</v>
      </c>
    </row>
    <row r="25" customFormat="false" ht="12.75" hidden="false" customHeight="false" outlineLevel="0" collapsed="false">
      <c r="B25" s="0" t="n">
        <v>22</v>
      </c>
      <c r="C25" s="0" t="n">
        <v>2135</v>
      </c>
      <c r="D25" s="0" t="n">
        <v>0</v>
      </c>
      <c r="E25" s="0" t="n">
        <v>22</v>
      </c>
      <c r="F25" s="0" t="n">
        <v>0</v>
      </c>
      <c r="G25" s="0" t="n">
        <v>22</v>
      </c>
      <c r="H25" s="0" t="n">
        <v>1574</v>
      </c>
      <c r="I25" s="0" t="n">
        <v>22</v>
      </c>
      <c r="J25" s="0" t="n">
        <v>486</v>
      </c>
      <c r="K25" s="0" t="n">
        <v>22</v>
      </c>
      <c r="L25" s="0" t="n">
        <v>51</v>
      </c>
      <c r="M25" s="0" t="n">
        <v>22</v>
      </c>
      <c r="N25" s="0" t="n">
        <v>72</v>
      </c>
      <c r="O25" s="0" t="n">
        <v>22</v>
      </c>
      <c r="P25" s="0" t="n">
        <v>15</v>
      </c>
      <c r="Q25" s="0" t="n">
        <v>22</v>
      </c>
      <c r="R25" s="0" t="n">
        <v>0</v>
      </c>
      <c r="S25" s="0" t="n">
        <v>22</v>
      </c>
      <c r="T25" s="0" t="n">
        <v>1785</v>
      </c>
      <c r="U25" s="0" t="n">
        <v>22</v>
      </c>
      <c r="V25" s="0" t="n">
        <v>435</v>
      </c>
      <c r="W25" s="0" t="n">
        <v>22</v>
      </c>
      <c r="X25" s="0" t="n">
        <v>25</v>
      </c>
      <c r="Y25" s="0" t="n">
        <v>22</v>
      </c>
      <c r="Z25" s="0" t="n">
        <v>0</v>
      </c>
      <c r="AA25" s="0" t="n">
        <v>22</v>
      </c>
      <c r="AB25" s="0" t="n">
        <v>429</v>
      </c>
      <c r="AC25" s="0" t="n">
        <v>22</v>
      </c>
      <c r="AD25" s="0" t="n">
        <v>82</v>
      </c>
      <c r="AE25" s="0" t="n">
        <v>22</v>
      </c>
      <c r="AF25" s="0" t="n">
        <v>21</v>
      </c>
      <c r="AG25" s="0" t="n">
        <v>22</v>
      </c>
      <c r="AH25" s="0" t="n">
        <v>50</v>
      </c>
      <c r="AI25" s="0" t="n">
        <v>22</v>
      </c>
      <c r="AJ25" s="0" t="n">
        <v>128</v>
      </c>
      <c r="AK25" s="0" t="n">
        <v>22</v>
      </c>
      <c r="AL25" s="0" t="n">
        <v>1592430</v>
      </c>
      <c r="AM25" s="0" t="n">
        <v>22</v>
      </c>
      <c r="AN25" s="0" t="n">
        <v>82</v>
      </c>
      <c r="AO25" s="0" t="n">
        <v>22</v>
      </c>
      <c r="AP25" s="0" t="n">
        <v>103</v>
      </c>
      <c r="AQ25" s="0" t="n">
        <v>22</v>
      </c>
      <c r="AR25" s="0" t="n">
        <v>128</v>
      </c>
      <c r="AS25" s="0" t="n">
        <v>22</v>
      </c>
      <c r="AT25" s="0" t="n">
        <v>57</v>
      </c>
      <c r="AU25" s="0" t="n">
        <v>22</v>
      </c>
      <c r="AV25" s="0" t="n">
        <v>32</v>
      </c>
      <c r="AW25" s="0" t="n">
        <v>22</v>
      </c>
      <c r="AX25" s="0" t="n">
        <v>15159</v>
      </c>
      <c r="AY25" s="0" t="n">
        <v>22</v>
      </c>
      <c r="AZ25" s="0" t="n">
        <v>287</v>
      </c>
      <c r="BA25" s="0" t="n">
        <v>22</v>
      </c>
      <c r="BB25" s="0" t="n">
        <v>0</v>
      </c>
      <c r="BC25" s="0" t="n">
        <v>22</v>
      </c>
      <c r="BD25" s="0" t="n">
        <v>0</v>
      </c>
      <c r="BE25" s="0" t="n">
        <v>22</v>
      </c>
      <c r="BF25" s="0" t="n">
        <v>23</v>
      </c>
      <c r="BG25" s="0" t="n">
        <v>22</v>
      </c>
      <c r="BH25" s="0" t="n">
        <v>7</v>
      </c>
      <c r="BI25" s="0" t="n">
        <v>22</v>
      </c>
      <c r="BJ25" s="0" t="n">
        <v>86</v>
      </c>
      <c r="BK25" s="0" t="n">
        <v>22</v>
      </c>
      <c r="BL25" s="0" t="n">
        <v>21</v>
      </c>
      <c r="BM25" s="0" t="n">
        <v>22</v>
      </c>
      <c r="BN25" s="0" t="n">
        <v>235</v>
      </c>
      <c r="BO25" s="0" t="n">
        <v>22</v>
      </c>
      <c r="BP25" s="0" t="n">
        <v>201</v>
      </c>
      <c r="BQ25" s="0" t="n">
        <v>22</v>
      </c>
      <c r="BR25" s="0" t="n">
        <v>0</v>
      </c>
      <c r="BS25" s="0" t="n">
        <v>22</v>
      </c>
      <c r="BT25" s="0" t="n">
        <v>122</v>
      </c>
      <c r="BU25" s="0" t="n">
        <v>22</v>
      </c>
      <c r="BV25" s="0" t="n">
        <v>318</v>
      </c>
      <c r="BW25" s="0" t="n">
        <v>22</v>
      </c>
      <c r="BX25" s="0" t="n">
        <v>0</v>
      </c>
      <c r="BY25" s="0" t="n">
        <v>22</v>
      </c>
      <c r="BZ25" s="0" t="n">
        <v>166</v>
      </c>
      <c r="CA25" s="0" t="n">
        <v>22</v>
      </c>
      <c r="CB25" s="0" t="n">
        <v>0</v>
      </c>
      <c r="CC25" s="0" t="n">
        <v>22</v>
      </c>
      <c r="CD25" s="0" t="n">
        <v>0</v>
      </c>
      <c r="CE25" s="0" t="n">
        <v>22</v>
      </c>
      <c r="CF25" s="0" t="n">
        <v>126</v>
      </c>
      <c r="CG25" s="0" t="n">
        <v>22</v>
      </c>
      <c r="CH25" s="0" t="n">
        <v>642</v>
      </c>
      <c r="CI25" s="0" t="n">
        <v>22</v>
      </c>
      <c r="CJ25" s="0" t="n">
        <v>8800</v>
      </c>
      <c r="CK25" s="0" t="n">
        <v>22</v>
      </c>
      <c r="CL25" s="0" t="n">
        <v>24</v>
      </c>
      <c r="CM25" s="0" t="n">
        <v>22</v>
      </c>
      <c r="CN25" s="0" t="n">
        <v>47</v>
      </c>
      <c r="CO25" s="0" t="n">
        <v>22</v>
      </c>
      <c r="CP25" s="0" t="n">
        <v>246</v>
      </c>
      <c r="CQ25" s="0" t="n">
        <v>22</v>
      </c>
      <c r="CR25" s="0" t="n">
        <v>78</v>
      </c>
      <c r="CS25" s="0" t="n">
        <v>22</v>
      </c>
      <c r="CT25" s="0" t="n">
        <v>4</v>
      </c>
      <c r="CU25" s="0" t="n">
        <v>22</v>
      </c>
      <c r="CV25" s="0" t="n">
        <v>67</v>
      </c>
      <c r="CW25" s="0" t="n">
        <v>22</v>
      </c>
      <c r="CX25" s="0" t="n">
        <v>0</v>
      </c>
    </row>
    <row r="26" customFormat="false" ht="12.75" hidden="false" customHeight="false" outlineLevel="0" collapsed="false">
      <c r="B26" s="0" t="n">
        <v>23</v>
      </c>
      <c r="C26" s="0" t="n">
        <v>19</v>
      </c>
      <c r="D26" s="0" t="n">
        <v>0</v>
      </c>
      <c r="E26" s="0" t="n">
        <v>23</v>
      </c>
      <c r="F26" s="0" t="n">
        <v>0</v>
      </c>
      <c r="G26" s="0" t="n">
        <v>23</v>
      </c>
      <c r="H26" s="0" t="n">
        <v>0</v>
      </c>
      <c r="I26" s="0" t="n">
        <v>23</v>
      </c>
      <c r="J26" s="0" t="n">
        <v>83</v>
      </c>
      <c r="K26" s="0" t="n">
        <v>23</v>
      </c>
      <c r="L26" s="0" t="n">
        <v>0</v>
      </c>
      <c r="M26" s="0" t="n">
        <v>23</v>
      </c>
      <c r="N26" s="0" t="n">
        <v>89</v>
      </c>
      <c r="O26" s="0" t="n">
        <v>23</v>
      </c>
      <c r="P26" s="0" t="n">
        <v>36</v>
      </c>
      <c r="Q26" s="0" t="n">
        <v>23</v>
      </c>
      <c r="R26" s="0" t="n">
        <v>0</v>
      </c>
      <c r="S26" s="0" t="n">
        <v>23</v>
      </c>
      <c r="T26" s="0" t="n">
        <v>226</v>
      </c>
      <c r="U26" s="0" t="n">
        <v>23</v>
      </c>
      <c r="V26" s="0" t="n">
        <v>67</v>
      </c>
      <c r="W26" s="0" t="n">
        <v>23</v>
      </c>
      <c r="X26" s="0" t="n">
        <v>0</v>
      </c>
      <c r="Y26" s="0" t="n">
        <v>23</v>
      </c>
      <c r="Z26" s="0" t="n">
        <v>0</v>
      </c>
      <c r="AA26" s="0" t="n">
        <v>23</v>
      </c>
      <c r="AB26" s="0" t="n">
        <v>75</v>
      </c>
      <c r="AC26" s="0" t="n">
        <v>23</v>
      </c>
      <c r="AD26" s="0" t="n">
        <v>0</v>
      </c>
      <c r="AE26" s="0" t="n">
        <v>23</v>
      </c>
      <c r="AF26" s="0" t="n">
        <v>0</v>
      </c>
      <c r="AG26" s="0" t="n">
        <v>23</v>
      </c>
      <c r="AH26" s="0" t="n">
        <v>0</v>
      </c>
      <c r="AI26" s="0" t="n">
        <v>23</v>
      </c>
      <c r="AJ26" s="0" t="n">
        <v>0</v>
      </c>
      <c r="AK26" s="0" t="n">
        <v>23</v>
      </c>
      <c r="AL26" s="0" t="n">
        <v>18</v>
      </c>
      <c r="AM26" s="0" t="n">
        <v>23</v>
      </c>
      <c r="AN26" s="0" t="n">
        <v>555308</v>
      </c>
      <c r="AO26" s="0" t="n">
        <v>23</v>
      </c>
      <c r="AP26" s="0" t="n">
        <v>104</v>
      </c>
      <c r="AQ26" s="0" t="n">
        <v>23</v>
      </c>
      <c r="AR26" s="0" t="n">
        <v>1484</v>
      </c>
      <c r="AS26" s="0" t="n">
        <v>23</v>
      </c>
      <c r="AT26" s="0" t="n">
        <v>0</v>
      </c>
      <c r="AU26" s="0" t="n">
        <v>23</v>
      </c>
      <c r="AV26" s="0" t="n">
        <v>0</v>
      </c>
      <c r="AW26" s="0" t="n">
        <v>23</v>
      </c>
      <c r="AX26" s="0" t="n">
        <v>42</v>
      </c>
      <c r="AY26" s="0" t="n">
        <v>23</v>
      </c>
      <c r="AZ26" s="0" t="n">
        <v>92</v>
      </c>
      <c r="BA26" s="0" t="n">
        <v>23</v>
      </c>
      <c r="BB26" s="0" t="n">
        <v>0</v>
      </c>
      <c r="BC26" s="0" t="n">
        <v>23</v>
      </c>
      <c r="BD26" s="0" t="n">
        <v>0</v>
      </c>
      <c r="BE26" s="0" t="n">
        <v>23</v>
      </c>
      <c r="BF26" s="0" t="n">
        <v>0</v>
      </c>
      <c r="BG26" s="0" t="n">
        <v>23</v>
      </c>
      <c r="BH26" s="0" t="n">
        <v>8208</v>
      </c>
      <c r="BI26" s="0" t="n">
        <v>23</v>
      </c>
      <c r="BJ26" s="0" t="n">
        <v>58</v>
      </c>
      <c r="BK26" s="0" t="n">
        <v>23</v>
      </c>
      <c r="BL26" s="0" t="n">
        <v>0</v>
      </c>
      <c r="BM26" s="0" t="n">
        <v>23</v>
      </c>
      <c r="BN26" s="0" t="n">
        <v>278</v>
      </c>
      <c r="BO26" s="0" t="n">
        <v>23</v>
      </c>
      <c r="BP26" s="0" t="n">
        <v>27</v>
      </c>
      <c r="BQ26" s="0" t="n">
        <v>23</v>
      </c>
      <c r="BR26" s="0" t="n">
        <v>0</v>
      </c>
      <c r="BS26" s="0" t="n">
        <v>23</v>
      </c>
      <c r="BT26" s="0" t="n">
        <v>0</v>
      </c>
      <c r="BU26" s="0" t="n">
        <v>23</v>
      </c>
      <c r="BV26" s="0" t="n">
        <v>28</v>
      </c>
      <c r="BW26" s="0" t="n">
        <v>23</v>
      </c>
      <c r="BX26" s="0" t="n">
        <v>0</v>
      </c>
      <c r="BY26" s="0" t="n">
        <v>23</v>
      </c>
      <c r="BZ26" s="0" t="n">
        <v>175</v>
      </c>
      <c r="CA26" s="0" t="n">
        <v>23</v>
      </c>
      <c r="CB26" s="0" t="n">
        <v>136</v>
      </c>
      <c r="CC26" s="0" t="n">
        <v>23</v>
      </c>
      <c r="CD26" s="0" t="n">
        <v>0</v>
      </c>
      <c r="CE26" s="0" t="n">
        <v>23</v>
      </c>
      <c r="CF26" s="0" t="n">
        <v>27</v>
      </c>
      <c r="CG26" s="0" t="n">
        <v>23</v>
      </c>
      <c r="CH26" s="0" t="n">
        <v>6</v>
      </c>
      <c r="CI26" s="0" t="n">
        <v>23</v>
      </c>
      <c r="CJ26" s="0" t="n">
        <v>75</v>
      </c>
      <c r="CK26" s="0" t="n">
        <v>23</v>
      </c>
      <c r="CL26" s="0" t="n">
        <v>0</v>
      </c>
      <c r="CM26" s="0" t="n">
        <v>23</v>
      </c>
      <c r="CN26" s="0" t="n">
        <v>77</v>
      </c>
      <c r="CO26" s="0" t="n">
        <v>23</v>
      </c>
      <c r="CP26" s="0" t="n">
        <v>228</v>
      </c>
      <c r="CQ26" s="0" t="n">
        <v>23</v>
      </c>
      <c r="CR26" s="0" t="n">
        <v>0</v>
      </c>
      <c r="CS26" s="0" t="n">
        <v>23</v>
      </c>
      <c r="CT26" s="0" t="n">
        <v>0</v>
      </c>
      <c r="CU26" s="0" t="n">
        <v>23</v>
      </c>
      <c r="CV26" s="0" t="n">
        <v>0</v>
      </c>
      <c r="CW26" s="0" t="n">
        <v>23</v>
      </c>
      <c r="CX26" s="0" t="n">
        <v>29</v>
      </c>
    </row>
    <row r="27" customFormat="false" ht="12.75" hidden="false" customHeight="false" outlineLevel="0" collapsed="false">
      <c r="B27" s="0" t="n">
        <v>24</v>
      </c>
      <c r="C27" s="0" t="n">
        <v>98</v>
      </c>
      <c r="D27" s="0" t="n">
        <v>0</v>
      </c>
      <c r="E27" s="0" t="n">
        <v>24</v>
      </c>
      <c r="F27" s="0" t="n">
        <v>230</v>
      </c>
      <c r="G27" s="0" t="n">
        <v>24</v>
      </c>
      <c r="H27" s="0" t="n">
        <v>90</v>
      </c>
      <c r="I27" s="0" t="n">
        <v>24</v>
      </c>
      <c r="J27" s="0" t="n">
        <v>600</v>
      </c>
      <c r="K27" s="0" t="n">
        <v>24</v>
      </c>
      <c r="L27" s="0" t="n">
        <v>60</v>
      </c>
      <c r="M27" s="0" t="n">
        <v>24</v>
      </c>
      <c r="N27" s="0" t="n">
        <v>501</v>
      </c>
      <c r="O27" s="0" t="n">
        <v>24</v>
      </c>
      <c r="P27" s="0" t="n">
        <v>37439</v>
      </c>
      <c r="Q27" s="0" t="n">
        <v>24</v>
      </c>
      <c r="R27" s="0" t="n">
        <v>9755</v>
      </c>
      <c r="S27" s="0" t="n">
        <v>24</v>
      </c>
      <c r="T27" s="0" t="n">
        <v>1111</v>
      </c>
      <c r="U27" s="0" t="n">
        <v>24</v>
      </c>
      <c r="V27" s="0" t="n">
        <v>659</v>
      </c>
      <c r="W27" s="0" t="n">
        <v>24</v>
      </c>
      <c r="X27" s="0" t="n">
        <v>17</v>
      </c>
      <c r="Y27" s="0" t="n">
        <v>24</v>
      </c>
      <c r="Z27" s="0" t="n">
        <v>0</v>
      </c>
      <c r="AA27" s="0" t="n">
        <v>24</v>
      </c>
      <c r="AB27" s="0" t="n">
        <v>267</v>
      </c>
      <c r="AC27" s="0" t="n">
        <v>24</v>
      </c>
      <c r="AD27" s="0" t="n">
        <v>111</v>
      </c>
      <c r="AE27" s="0" t="n">
        <v>24</v>
      </c>
      <c r="AF27" s="0" t="n">
        <v>25</v>
      </c>
      <c r="AG27" s="0" t="n">
        <v>24</v>
      </c>
      <c r="AH27" s="0" t="n">
        <v>128</v>
      </c>
      <c r="AI27" s="0" t="n">
        <v>24</v>
      </c>
      <c r="AJ27" s="0" t="n">
        <v>140</v>
      </c>
      <c r="AK27" s="0" t="n">
        <v>24</v>
      </c>
      <c r="AL27" s="0" t="n">
        <v>63</v>
      </c>
      <c r="AM27" s="0" t="n">
        <v>24</v>
      </c>
      <c r="AN27" s="0" t="n">
        <v>53</v>
      </c>
      <c r="AO27" s="0" t="n">
        <v>24</v>
      </c>
      <c r="AP27" s="0" t="n">
        <v>2046451</v>
      </c>
      <c r="AQ27" s="0" t="n">
        <v>24</v>
      </c>
      <c r="AR27" s="0" t="n">
        <v>516</v>
      </c>
      <c r="AS27" s="0" t="n">
        <v>24</v>
      </c>
      <c r="AT27" s="0" t="n">
        <v>235</v>
      </c>
      <c r="AU27" s="0" t="n">
        <v>24</v>
      </c>
      <c r="AV27" s="0" t="n">
        <v>9</v>
      </c>
      <c r="AW27" s="0" t="n">
        <v>24</v>
      </c>
      <c r="AX27" s="0" t="n">
        <v>21</v>
      </c>
      <c r="AY27" s="0" t="n">
        <v>24</v>
      </c>
      <c r="AZ27" s="0" t="n">
        <v>108</v>
      </c>
      <c r="BA27" s="0" t="n">
        <v>24</v>
      </c>
      <c r="BB27" s="0" t="n">
        <v>0</v>
      </c>
      <c r="BC27" s="0" t="n">
        <v>24</v>
      </c>
      <c r="BD27" s="0" t="n">
        <v>0</v>
      </c>
      <c r="BE27" s="0" t="n">
        <v>24</v>
      </c>
      <c r="BF27" s="0" t="n">
        <v>0</v>
      </c>
      <c r="BG27" s="0" t="n">
        <v>24</v>
      </c>
      <c r="BH27" s="0" t="n">
        <v>95</v>
      </c>
      <c r="BI27" s="0" t="n">
        <v>24</v>
      </c>
      <c r="BJ27" s="0" t="n">
        <v>1428</v>
      </c>
      <c r="BK27" s="0" t="n">
        <v>24</v>
      </c>
      <c r="BL27" s="0" t="n">
        <v>90</v>
      </c>
      <c r="BM27" s="0" t="n">
        <v>24</v>
      </c>
      <c r="BN27" s="0" t="n">
        <v>1025</v>
      </c>
      <c r="BO27" s="0" t="n">
        <v>24</v>
      </c>
      <c r="BP27" s="0" t="n">
        <v>882</v>
      </c>
      <c r="BQ27" s="0" t="n">
        <v>24</v>
      </c>
      <c r="BR27" s="0" t="n">
        <v>0</v>
      </c>
      <c r="BS27" s="0" t="n">
        <v>24</v>
      </c>
      <c r="BT27" s="0" t="n">
        <v>615</v>
      </c>
      <c r="BU27" s="0" t="n">
        <v>24</v>
      </c>
      <c r="BV27" s="0" t="n">
        <v>24</v>
      </c>
      <c r="BW27" s="0" t="n">
        <v>24</v>
      </c>
      <c r="BX27" s="0" t="n">
        <v>48</v>
      </c>
      <c r="BY27" s="0" t="n">
        <v>24</v>
      </c>
      <c r="BZ27" s="0" t="n">
        <v>31921</v>
      </c>
      <c r="CA27" s="0" t="n">
        <v>24</v>
      </c>
      <c r="CB27" s="0" t="n">
        <v>18</v>
      </c>
      <c r="CC27" s="0" t="n">
        <v>24</v>
      </c>
      <c r="CD27" s="0" t="n">
        <v>0</v>
      </c>
      <c r="CE27" s="0" t="n">
        <v>24</v>
      </c>
      <c r="CF27" s="0" t="n">
        <v>171</v>
      </c>
      <c r="CG27" s="0" t="n">
        <v>24</v>
      </c>
      <c r="CH27" s="0" t="n">
        <v>243</v>
      </c>
      <c r="CI27" s="0" t="n">
        <v>24</v>
      </c>
      <c r="CJ27" s="0" t="n">
        <v>711</v>
      </c>
      <c r="CK27" s="0" t="n">
        <v>24</v>
      </c>
      <c r="CL27" s="0" t="n">
        <v>63</v>
      </c>
      <c r="CM27" s="0" t="n">
        <v>24</v>
      </c>
      <c r="CN27" s="0" t="n">
        <v>53</v>
      </c>
      <c r="CO27" s="0" t="n">
        <v>24</v>
      </c>
      <c r="CP27" s="0" t="n">
        <v>49044</v>
      </c>
      <c r="CQ27" s="0" t="n">
        <v>24</v>
      </c>
      <c r="CR27" s="0" t="n">
        <v>126</v>
      </c>
      <c r="CS27" s="0" t="n">
        <v>24</v>
      </c>
      <c r="CT27" s="0" t="n">
        <v>14648</v>
      </c>
      <c r="CU27" s="0" t="n">
        <v>24</v>
      </c>
      <c r="CV27" s="0" t="n">
        <v>72</v>
      </c>
      <c r="CW27" s="0" t="n">
        <v>24</v>
      </c>
      <c r="CX27" s="0" t="n">
        <v>0</v>
      </c>
    </row>
    <row r="28" customFormat="false" ht="12.75" hidden="false" customHeight="false" outlineLevel="0" collapsed="false">
      <c r="B28" s="0" t="n">
        <v>25</v>
      </c>
      <c r="C28" s="0" t="n">
        <v>42</v>
      </c>
      <c r="D28" s="0" t="n">
        <v>19</v>
      </c>
      <c r="E28" s="0" t="n">
        <v>25</v>
      </c>
      <c r="F28" s="0" t="n">
        <v>99</v>
      </c>
      <c r="G28" s="0" t="n">
        <v>25</v>
      </c>
      <c r="H28" s="0" t="n">
        <v>0</v>
      </c>
      <c r="I28" s="0" t="n">
        <v>25</v>
      </c>
      <c r="J28" s="0" t="n">
        <v>879</v>
      </c>
      <c r="K28" s="0" t="n">
        <v>25</v>
      </c>
      <c r="L28" s="0" t="n">
        <v>153</v>
      </c>
      <c r="M28" s="0" t="n">
        <v>25</v>
      </c>
      <c r="N28" s="0" t="n">
        <v>11942</v>
      </c>
      <c r="O28" s="0" t="n">
        <v>25</v>
      </c>
      <c r="P28" s="0" t="n">
        <v>77</v>
      </c>
      <c r="Q28" s="0" t="n">
        <v>25</v>
      </c>
      <c r="R28" s="0" t="n">
        <v>36</v>
      </c>
      <c r="S28" s="0" t="n">
        <v>25</v>
      </c>
      <c r="T28" s="0" t="n">
        <v>1441</v>
      </c>
      <c r="U28" s="0" t="n">
        <v>25</v>
      </c>
      <c r="V28" s="0" t="n">
        <v>230</v>
      </c>
      <c r="W28" s="0" t="n">
        <v>25</v>
      </c>
      <c r="X28" s="0" t="n">
        <v>17</v>
      </c>
      <c r="Y28" s="0" t="n">
        <v>25</v>
      </c>
      <c r="Z28" s="0" t="n">
        <v>32</v>
      </c>
      <c r="AA28" s="0" t="n">
        <v>25</v>
      </c>
      <c r="AB28" s="0" t="n">
        <v>399</v>
      </c>
      <c r="AC28" s="0" t="n">
        <v>25</v>
      </c>
      <c r="AD28" s="0" t="n">
        <v>154</v>
      </c>
      <c r="AE28" s="0" t="n">
        <v>25</v>
      </c>
      <c r="AF28" s="0" t="n">
        <v>8</v>
      </c>
      <c r="AG28" s="0" t="n">
        <v>25</v>
      </c>
      <c r="AH28" s="0" t="n">
        <v>0</v>
      </c>
      <c r="AI28" s="0" t="n">
        <v>25</v>
      </c>
      <c r="AJ28" s="0" t="n">
        <v>36</v>
      </c>
      <c r="AK28" s="0" t="n">
        <v>25</v>
      </c>
      <c r="AL28" s="0" t="n">
        <v>75</v>
      </c>
      <c r="AM28" s="0" t="n">
        <v>25</v>
      </c>
      <c r="AN28" s="0" t="n">
        <v>2405</v>
      </c>
      <c r="AO28" s="0" t="n">
        <v>25</v>
      </c>
      <c r="AP28" s="0" t="n">
        <v>289</v>
      </c>
      <c r="AQ28" s="0" t="n">
        <v>25</v>
      </c>
      <c r="AR28" s="0" t="n">
        <v>2891207</v>
      </c>
      <c r="AS28" s="0" t="n">
        <v>25</v>
      </c>
      <c r="AT28" s="0" t="n">
        <v>241</v>
      </c>
      <c r="AU28" s="0" t="n">
        <v>25</v>
      </c>
      <c r="AV28" s="0" t="n">
        <v>199</v>
      </c>
      <c r="AW28" s="0" t="n">
        <v>25</v>
      </c>
      <c r="AX28" s="0" t="n">
        <v>42</v>
      </c>
      <c r="AY28" s="0" t="n">
        <v>25</v>
      </c>
      <c r="AZ28" s="0" t="n">
        <v>79</v>
      </c>
      <c r="BA28" s="0" t="n">
        <v>25</v>
      </c>
      <c r="BB28" s="0" t="n">
        <v>38</v>
      </c>
      <c r="BC28" s="0" t="n">
        <v>25</v>
      </c>
      <c r="BD28" s="0" t="n">
        <v>50</v>
      </c>
      <c r="BE28" s="0" t="n">
        <v>25</v>
      </c>
      <c r="BF28" s="0" t="n">
        <v>0</v>
      </c>
      <c r="BG28" s="0" t="n">
        <v>25</v>
      </c>
      <c r="BH28" s="0" t="n">
        <v>75051</v>
      </c>
      <c r="BI28" s="0" t="n">
        <v>25</v>
      </c>
      <c r="BJ28" s="0" t="n">
        <v>1041</v>
      </c>
      <c r="BK28" s="0" t="n">
        <v>25</v>
      </c>
      <c r="BL28" s="0" t="n">
        <v>87</v>
      </c>
      <c r="BM28" s="0" t="n">
        <v>25</v>
      </c>
      <c r="BN28" s="0" t="n">
        <v>6410</v>
      </c>
      <c r="BO28" s="0" t="n">
        <v>25</v>
      </c>
      <c r="BP28" s="0" t="n">
        <v>198</v>
      </c>
      <c r="BQ28" s="0" t="n">
        <v>25</v>
      </c>
      <c r="BR28" s="0" t="n">
        <v>60</v>
      </c>
      <c r="BS28" s="0" t="n">
        <v>25</v>
      </c>
      <c r="BT28" s="0" t="n">
        <v>492</v>
      </c>
      <c r="BU28" s="0" t="n">
        <v>25</v>
      </c>
      <c r="BV28" s="0" t="n">
        <v>0</v>
      </c>
      <c r="BW28" s="0" t="n">
        <v>25</v>
      </c>
      <c r="BX28" s="0" t="n">
        <v>0</v>
      </c>
      <c r="BY28" s="0" t="n">
        <v>25</v>
      </c>
      <c r="BZ28" s="0" t="n">
        <v>995</v>
      </c>
      <c r="CA28" s="0" t="n">
        <v>25</v>
      </c>
      <c r="CB28" s="0" t="n">
        <v>45365</v>
      </c>
      <c r="CC28" s="0" t="n">
        <v>25</v>
      </c>
      <c r="CD28" s="0" t="n">
        <v>18</v>
      </c>
      <c r="CE28" s="0" t="n">
        <v>25</v>
      </c>
      <c r="CF28" s="0" t="n">
        <v>189</v>
      </c>
      <c r="CG28" s="0" t="n">
        <v>25</v>
      </c>
      <c r="CH28" s="0" t="n">
        <v>96</v>
      </c>
      <c r="CI28" s="0" t="n">
        <v>25</v>
      </c>
      <c r="CJ28" s="0" t="n">
        <v>503</v>
      </c>
      <c r="CK28" s="0" t="n">
        <v>25</v>
      </c>
      <c r="CL28" s="0" t="n">
        <v>51</v>
      </c>
      <c r="CM28" s="0" t="n">
        <v>25</v>
      </c>
      <c r="CN28" s="0" t="n">
        <v>2547</v>
      </c>
      <c r="CO28" s="0" t="n">
        <v>25</v>
      </c>
      <c r="CP28" s="0" t="n">
        <v>615</v>
      </c>
      <c r="CQ28" s="0" t="n">
        <v>25</v>
      </c>
      <c r="CR28" s="0" t="n">
        <v>90</v>
      </c>
      <c r="CS28" s="0" t="n">
        <v>25</v>
      </c>
      <c r="CT28" s="0" t="n">
        <v>32</v>
      </c>
      <c r="CU28" s="0" t="n">
        <v>25</v>
      </c>
      <c r="CV28" s="0" t="n">
        <v>14</v>
      </c>
      <c r="CW28" s="0" t="n">
        <v>25</v>
      </c>
      <c r="CX28" s="0" t="n">
        <v>0</v>
      </c>
    </row>
    <row r="29" customFormat="false" ht="12.75" hidden="false" customHeight="false" outlineLevel="0" collapsed="false">
      <c r="B29" s="0" t="n">
        <v>26</v>
      </c>
      <c r="C29" s="0" t="n">
        <v>279</v>
      </c>
      <c r="D29" s="0" t="n">
        <v>0</v>
      </c>
      <c r="E29" s="0" t="n">
        <v>26</v>
      </c>
      <c r="F29" s="0" t="n">
        <v>257</v>
      </c>
      <c r="G29" s="0" t="n">
        <v>26</v>
      </c>
      <c r="H29" s="0" t="n">
        <v>97</v>
      </c>
      <c r="I29" s="0" t="n">
        <v>26</v>
      </c>
      <c r="J29" s="0" t="n">
        <v>823</v>
      </c>
      <c r="K29" s="0" t="n">
        <v>26</v>
      </c>
      <c r="L29" s="0" t="n">
        <v>99</v>
      </c>
      <c r="M29" s="0" t="n">
        <v>26</v>
      </c>
      <c r="N29" s="0" t="n">
        <v>77</v>
      </c>
      <c r="O29" s="0" t="n">
        <v>26</v>
      </c>
      <c r="P29" s="0" t="n">
        <v>0</v>
      </c>
      <c r="Q29" s="0" t="n">
        <v>26</v>
      </c>
      <c r="R29" s="0" t="n">
        <v>64</v>
      </c>
      <c r="S29" s="0" t="n">
        <v>26</v>
      </c>
      <c r="T29" s="0" t="n">
        <v>1636</v>
      </c>
      <c r="U29" s="0" t="n">
        <v>26</v>
      </c>
      <c r="V29" s="0" t="n">
        <v>443</v>
      </c>
      <c r="W29" s="0" t="n">
        <v>26</v>
      </c>
      <c r="X29" s="0" t="n">
        <v>36</v>
      </c>
      <c r="Y29" s="0" t="n">
        <v>26</v>
      </c>
      <c r="Z29" s="0" t="n">
        <v>48</v>
      </c>
      <c r="AA29" s="0" t="n">
        <v>26</v>
      </c>
      <c r="AB29" s="0" t="n">
        <v>1932</v>
      </c>
      <c r="AC29" s="0" t="n">
        <v>26</v>
      </c>
      <c r="AD29" s="0" t="n">
        <v>6400</v>
      </c>
      <c r="AE29" s="0" t="n">
        <v>26</v>
      </c>
      <c r="AF29" s="0" t="n">
        <v>68</v>
      </c>
      <c r="AG29" s="0" t="n">
        <v>26</v>
      </c>
      <c r="AH29" s="0" t="n">
        <v>51</v>
      </c>
      <c r="AI29" s="0" t="n">
        <v>26</v>
      </c>
      <c r="AJ29" s="0" t="n">
        <v>247</v>
      </c>
      <c r="AK29" s="0" t="n">
        <v>26</v>
      </c>
      <c r="AL29" s="0" t="n">
        <v>162</v>
      </c>
      <c r="AM29" s="0" t="n">
        <v>26</v>
      </c>
      <c r="AN29" s="0" t="n">
        <v>21</v>
      </c>
      <c r="AO29" s="0" t="n">
        <v>26</v>
      </c>
      <c r="AP29" s="0" t="n">
        <v>300</v>
      </c>
      <c r="AQ29" s="0" t="n">
        <v>26</v>
      </c>
      <c r="AR29" s="0" t="n">
        <v>131</v>
      </c>
      <c r="AS29" s="0" t="n">
        <v>26</v>
      </c>
      <c r="AT29" s="0" t="n">
        <v>4025505</v>
      </c>
      <c r="AU29" s="0" t="n">
        <v>26</v>
      </c>
      <c r="AV29" s="0" t="n">
        <v>462</v>
      </c>
      <c r="AW29" s="0" t="n">
        <v>26</v>
      </c>
      <c r="AX29" s="0" t="n">
        <v>69</v>
      </c>
      <c r="AY29" s="0" t="n">
        <v>26</v>
      </c>
      <c r="AZ29" s="0" t="n">
        <v>359</v>
      </c>
      <c r="BA29" s="0" t="n">
        <v>26</v>
      </c>
      <c r="BB29" s="0" t="n">
        <v>0</v>
      </c>
      <c r="BC29" s="0" t="n">
        <v>26</v>
      </c>
      <c r="BD29" s="0" t="n">
        <v>0</v>
      </c>
      <c r="BE29" s="0" t="n">
        <v>26</v>
      </c>
      <c r="BF29" s="0" t="n">
        <v>16</v>
      </c>
      <c r="BG29" s="0" t="n">
        <v>26</v>
      </c>
      <c r="BH29" s="0" t="n">
        <v>40</v>
      </c>
      <c r="BI29" s="0" t="n">
        <v>26</v>
      </c>
      <c r="BJ29" s="0" t="n">
        <v>349</v>
      </c>
      <c r="BK29" s="0" t="n">
        <v>26</v>
      </c>
      <c r="BL29" s="0" t="n">
        <v>36</v>
      </c>
      <c r="BM29" s="0" t="n">
        <v>26</v>
      </c>
      <c r="BN29" s="0" t="n">
        <v>576</v>
      </c>
      <c r="BO29" s="0" t="n">
        <v>26</v>
      </c>
      <c r="BP29" s="0" t="n">
        <v>174</v>
      </c>
      <c r="BQ29" s="0" t="n">
        <v>26</v>
      </c>
      <c r="BR29" s="0" t="n">
        <v>60</v>
      </c>
      <c r="BS29" s="0" t="n">
        <v>26</v>
      </c>
      <c r="BT29" s="0" t="n">
        <v>9301</v>
      </c>
      <c r="BU29" s="0" t="n">
        <v>26</v>
      </c>
      <c r="BV29" s="0" t="n">
        <v>133</v>
      </c>
      <c r="BW29" s="0" t="n">
        <v>26</v>
      </c>
      <c r="BX29" s="0" t="n">
        <v>39</v>
      </c>
      <c r="BY29" s="0" t="n">
        <v>26</v>
      </c>
      <c r="BZ29" s="0" t="n">
        <v>647</v>
      </c>
      <c r="CA29" s="0" t="n">
        <v>26</v>
      </c>
      <c r="CB29" s="0" t="n">
        <v>23</v>
      </c>
      <c r="CC29" s="0" t="n">
        <v>26</v>
      </c>
      <c r="CD29" s="0" t="n">
        <v>9</v>
      </c>
      <c r="CE29" s="0" t="n">
        <v>26</v>
      </c>
      <c r="CF29" s="0" t="n">
        <v>69</v>
      </c>
      <c r="CG29" s="0" t="n">
        <v>26</v>
      </c>
      <c r="CH29" s="0" t="n">
        <v>483</v>
      </c>
      <c r="CI29" s="0" t="n">
        <v>26</v>
      </c>
      <c r="CJ29" s="0" t="n">
        <v>740</v>
      </c>
      <c r="CK29" s="0" t="n">
        <v>26</v>
      </c>
      <c r="CL29" s="0" t="n">
        <v>30</v>
      </c>
      <c r="CM29" s="0" t="n">
        <v>26</v>
      </c>
      <c r="CN29" s="0" t="n">
        <v>0</v>
      </c>
      <c r="CO29" s="0" t="n">
        <v>26</v>
      </c>
      <c r="CP29" s="0" t="n">
        <v>252</v>
      </c>
      <c r="CQ29" s="0" t="n">
        <v>26</v>
      </c>
      <c r="CR29" s="0" t="n">
        <v>150</v>
      </c>
      <c r="CS29" s="0" t="n">
        <v>26</v>
      </c>
      <c r="CT29" s="0" t="n">
        <v>82</v>
      </c>
      <c r="CU29" s="0" t="n">
        <v>26</v>
      </c>
      <c r="CV29" s="0" t="n">
        <v>5068</v>
      </c>
      <c r="CW29" s="0" t="n">
        <v>26</v>
      </c>
      <c r="CX29" s="0" t="n">
        <v>0</v>
      </c>
    </row>
    <row r="30" customFormat="false" ht="12.75" hidden="false" customHeight="false" outlineLevel="0" collapsed="false">
      <c r="B30" s="0" t="n">
        <v>27</v>
      </c>
      <c r="C30" s="0" t="n">
        <v>172</v>
      </c>
      <c r="D30" s="0" t="n">
        <v>27</v>
      </c>
      <c r="E30" s="0" t="n">
        <v>27</v>
      </c>
      <c r="F30" s="0" t="n">
        <v>181</v>
      </c>
      <c r="G30" s="0" t="n">
        <v>27</v>
      </c>
      <c r="H30" s="0" t="n">
        <v>71</v>
      </c>
      <c r="I30" s="0" t="n">
        <v>27</v>
      </c>
      <c r="J30" s="0" t="n">
        <v>408</v>
      </c>
      <c r="K30" s="0" t="n">
        <v>27</v>
      </c>
      <c r="L30" s="0" t="n">
        <v>207</v>
      </c>
      <c r="M30" s="0" t="n">
        <v>27</v>
      </c>
      <c r="N30" s="0" t="n">
        <v>68</v>
      </c>
      <c r="O30" s="0" t="n">
        <v>27</v>
      </c>
      <c r="P30" s="0" t="n">
        <v>0</v>
      </c>
      <c r="Q30" s="0" t="n">
        <v>27</v>
      </c>
      <c r="R30" s="0" t="n">
        <v>0</v>
      </c>
      <c r="S30" s="0" t="n">
        <v>27</v>
      </c>
      <c r="T30" s="0" t="n">
        <v>454</v>
      </c>
      <c r="U30" s="0" t="n">
        <v>27</v>
      </c>
      <c r="V30" s="0" t="n">
        <v>188</v>
      </c>
      <c r="W30" s="0" t="n">
        <v>27</v>
      </c>
      <c r="X30" s="0" t="n">
        <v>0</v>
      </c>
      <c r="Y30" s="0" t="n">
        <v>27</v>
      </c>
      <c r="Z30" s="0" t="n">
        <v>16</v>
      </c>
      <c r="AA30" s="0" t="n">
        <v>27</v>
      </c>
      <c r="AB30" s="0" t="n">
        <v>1002</v>
      </c>
      <c r="AC30" s="0" t="n">
        <v>27</v>
      </c>
      <c r="AD30" s="0" t="n">
        <v>172</v>
      </c>
      <c r="AE30" s="0" t="n">
        <v>27</v>
      </c>
      <c r="AF30" s="0" t="n">
        <v>3285</v>
      </c>
      <c r="AG30" s="0" t="n">
        <v>27</v>
      </c>
      <c r="AH30" s="0" t="n">
        <v>184</v>
      </c>
      <c r="AI30" s="0" t="n">
        <v>27</v>
      </c>
      <c r="AJ30" s="0" t="n">
        <v>79</v>
      </c>
      <c r="AK30" s="0" t="n">
        <v>27</v>
      </c>
      <c r="AL30" s="0" t="n">
        <v>54</v>
      </c>
      <c r="AM30" s="0" t="n">
        <v>27</v>
      </c>
      <c r="AN30" s="0" t="n">
        <v>61</v>
      </c>
      <c r="AO30" s="0" t="n">
        <v>27</v>
      </c>
      <c r="AP30" s="0" t="n">
        <v>131</v>
      </c>
      <c r="AQ30" s="0" t="n">
        <v>27</v>
      </c>
      <c r="AR30" s="0" t="n">
        <v>122</v>
      </c>
      <c r="AS30" s="0" t="n">
        <v>27</v>
      </c>
      <c r="AT30" s="0" t="n">
        <v>624</v>
      </c>
      <c r="AU30" s="0" t="n">
        <v>27</v>
      </c>
      <c r="AV30" s="0" t="n">
        <v>2120206</v>
      </c>
      <c r="AW30" s="0" t="n">
        <v>27</v>
      </c>
      <c r="AX30" s="0" t="n">
        <v>75</v>
      </c>
      <c r="AY30" s="0" t="n">
        <v>27</v>
      </c>
      <c r="AZ30" s="0" t="n">
        <v>343</v>
      </c>
      <c r="BA30" s="0" t="n">
        <v>27</v>
      </c>
      <c r="BB30" s="0" t="n">
        <v>88</v>
      </c>
      <c r="BC30" s="0" t="n">
        <v>27</v>
      </c>
      <c r="BD30" s="0" t="n">
        <v>69</v>
      </c>
      <c r="BE30" s="0" t="n">
        <v>27</v>
      </c>
      <c r="BF30" s="0" t="n">
        <v>24</v>
      </c>
      <c r="BG30" s="0" t="n">
        <v>27</v>
      </c>
      <c r="BH30" s="0" t="n">
        <v>78</v>
      </c>
      <c r="BI30" s="0" t="n">
        <v>27</v>
      </c>
      <c r="BJ30" s="0" t="n">
        <v>125</v>
      </c>
      <c r="BK30" s="0" t="n">
        <v>27</v>
      </c>
      <c r="BL30" s="0" t="n">
        <v>24</v>
      </c>
      <c r="BM30" s="0" t="n">
        <v>27</v>
      </c>
      <c r="BN30" s="0" t="n">
        <v>131</v>
      </c>
      <c r="BO30" s="0" t="n">
        <v>27</v>
      </c>
      <c r="BP30" s="0" t="n">
        <v>105</v>
      </c>
      <c r="BQ30" s="0" t="n">
        <v>27</v>
      </c>
      <c r="BR30" s="0" t="n">
        <v>8560</v>
      </c>
      <c r="BS30" s="0" t="n">
        <v>27</v>
      </c>
      <c r="BT30" s="0" t="n">
        <v>446</v>
      </c>
      <c r="BU30" s="0" t="n">
        <v>27</v>
      </c>
      <c r="BV30" s="0" t="n">
        <v>204</v>
      </c>
      <c r="BW30" s="0" t="n">
        <v>27</v>
      </c>
      <c r="BX30" s="0" t="n">
        <v>54</v>
      </c>
      <c r="BY30" s="0" t="n">
        <v>27</v>
      </c>
      <c r="BZ30" s="0" t="n">
        <v>199</v>
      </c>
      <c r="CA30" s="0" t="n">
        <v>27</v>
      </c>
      <c r="CB30" s="0" t="n">
        <v>28</v>
      </c>
      <c r="CC30" s="0" t="n">
        <v>27</v>
      </c>
      <c r="CD30" s="0" t="n">
        <v>1380</v>
      </c>
      <c r="CE30" s="0" t="n">
        <v>27</v>
      </c>
      <c r="CF30" s="0" t="n">
        <v>132</v>
      </c>
      <c r="CG30" s="0" t="n">
        <v>27</v>
      </c>
      <c r="CH30" s="0" t="n">
        <v>276</v>
      </c>
      <c r="CI30" s="0" t="n">
        <v>27</v>
      </c>
      <c r="CJ30" s="0" t="n">
        <v>528</v>
      </c>
      <c r="CK30" s="0" t="n">
        <v>27</v>
      </c>
      <c r="CL30" s="0" t="n">
        <v>27</v>
      </c>
      <c r="CM30" s="0" t="n">
        <v>27</v>
      </c>
      <c r="CN30" s="0" t="n">
        <v>0</v>
      </c>
      <c r="CO30" s="0" t="n">
        <v>27</v>
      </c>
      <c r="CP30" s="0" t="n">
        <v>129</v>
      </c>
      <c r="CQ30" s="0" t="n">
        <v>27</v>
      </c>
      <c r="CR30" s="0" t="n">
        <v>228</v>
      </c>
      <c r="CS30" s="0" t="n">
        <v>27</v>
      </c>
      <c r="CT30" s="0" t="n">
        <v>32</v>
      </c>
      <c r="CU30" s="0" t="n">
        <v>27</v>
      </c>
      <c r="CV30" s="0" t="n">
        <v>29375</v>
      </c>
      <c r="CW30" s="0" t="n">
        <v>27</v>
      </c>
      <c r="CX30" s="0" t="n">
        <v>7</v>
      </c>
    </row>
    <row r="31" customFormat="false" ht="12.75" hidden="false" customHeight="false" outlineLevel="0" collapsed="false">
      <c r="B31" s="0" t="n">
        <v>28</v>
      </c>
      <c r="C31" s="0" t="n">
        <v>9740</v>
      </c>
      <c r="D31" s="0" t="n">
        <v>11</v>
      </c>
      <c r="E31" s="0" t="n">
        <v>28</v>
      </c>
      <c r="F31" s="0" t="n">
        <v>16</v>
      </c>
      <c r="G31" s="0" t="n">
        <v>28</v>
      </c>
      <c r="H31" s="0" t="n">
        <v>1216</v>
      </c>
      <c r="I31" s="0" t="n">
        <v>28</v>
      </c>
      <c r="J31" s="0" t="n">
        <v>130</v>
      </c>
      <c r="K31" s="0" t="n">
        <v>28</v>
      </c>
      <c r="L31" s="0" t="n">
        <v>45</v>
      </c>
      <c r="M31" s="0" t="n">
        <v>28</v>
      </c>
      <c r="N31" s="0" t="n">
        <v>30</v>
      </c>
      <c r="O31" s="0" t="n">
        <v>28</v>
      </c>
      <c r="P31" s="0" t="n">
        <v>19</v>
      </c>
      <c r="Q31" s="0" t="n">
        <v>28</v>
      </c>
      <c r="R31" s="0" t="n">
        <v>0</v>
      </c>
      <c r="S31" s="0" t="n">
        <v>28</v>
      </c>
      <c r="T31" s="0" t="n">
        <v>441</v>
      </c>
      <c r="U31" s="0" t="n">
        <v>28</v>
      </c>
      <c r="V31" s="0" t="n">
        <v>444</v>
      </c>
      <c r="W31" s="0" t="n">
        <v>28</v>
      </c>
      <c r="X31" s="0" t="n">
        <v>31</v>
      </c>
      <c r="Y31" s="0" t="n">
        <v>28</v>
      </c>
      <c r="Z31" s="0" t="n">
        <v>0</v>
      </c>
      <c r="AA31" s="0" t="n">
        <v>28</v>
      </c>
      <c r="AB31" s="0" t="n">
        <v>258</v>
      </c>
      <c r="AC31" s="0" t="n">
        <v>28</v>
      </c>
      <c r="AD31" s="0" t="n">
        <v>118</v>
      </c>
      <c r="AE31" s="0" t="n">
        <v>28</v>
      </c>
      <c r="AF31" s="0" t="n">
        <v>60</v>
      </c>
      <c r="AG31" s="0" t="n">
        <v>28</v>
      </c>
      <c r="AH31" s="0" t="n">
        <v>43</v>
      </c>
      <c r="AI31" s="0" t="n">
        <v>28</v>
      </c>
      <c r="AJ31" s="0" t="n">
        <v>101</v>
      </c>
      <c r="AK31" s="0" t="n">
        <v>28</v>
      </c>
      <c r="AL31" s="0" t="n">
        <v>7245</v>
      </c>
      <c r="AM31" s="0" t="n">
        <v>28</v>
      </c>
      <c r="AN31" s="0" t="n">
        <v>0</v>
      </c>
      <c r="AO31" s="0" t="n">
        <v>28</v>
      </c>
      <c r="AP31" s="0" t="n">
        <v>48</v>
      </c>
      <c r="AQ31" s="0" t="n">
        <v>28</v>
      </c>
      <c r="AR31" s="0" t="n">
        <v>46</v>
      </c>
      <c r="AS31" s="0" t="n">
        <v>28</v>
      </c>
      <c r="AT31" s="0" t="n">
        <v>43</v>
      </c>
      <c r="AU31" s="0" t="n">
        <v>28</v>
      </c>
      <c r="AV31" s="0" t="n">
        <v>23</v>
      </c>
      <c r="AW31" s="0" t="n">
        <v>28</v>
      </c>
      <c r="AX31" s="0" t="n">
        <v>961746</v>
      </c>
      <c r="AY31" s="0" t="n">
        <v>28</v>
      </c>
      <c r="AZ31" s="0" t="n">
        <v>99</v>
      </c>
      <c r="BA31" s="0" t="n">
        <v>28</v>
      </c>
      <c r="BB31" s="0" t="n">
        <v>0</v>
      </c>
      <c r="BC31" s="0" t="n">
        <v>28</v>
      </c>
      <c r="BD31" s="0" t="n">
        <v>59</v>
      </c>
      <c r="BE31" s="0" t="n">
        <v>28</v>
      </c>
      <c r="BF31" s="0" t="n">
        <v>24</v>
      </c>
      <c r="BG31" s="0" t="n">
        <v>28</v>
      </c>
      <c r="BH31" s="0" t="n">
        <v>34</v>
      </c>
      <c r="BI31" s="0" t="n">
        <v>28</v>
      </c>
      <c r="BJ31" s="0" t="n">
        <v>46</v>
      </c>
      <c r="BK31" s="0" t="n">
        <v>28</v>
      </c>
      <c r="BL31" s="0" t="n">
        <v>24</v>
      </c>
      <c r="BM31" s="0" t="n">
        <v>28</v>
      </c>
      <c r="BN31" s="0" t="n">
        <v>65</v>
      </c>
      <c r="BO31" s="0" t="n">
        <v>28</v>
      </c>
      <c r="BP31" s="0" t="n">
        <v>210</v>
      </c>
      <c r="BQ31" s="0" t="n">
        <v>28</v>
      </c>
      <c r="BR31" s="0" t="n">
        <v>0</v>
      </c>
      <c r="BS31" s="0" t="n">
        <v>28</v>
      </c>
      <c r="BT31" s="0" t="n">
        <v>98</v>
      </c>
      <c r="BU31" s="0" t="n">
        <v>28</v>
      </c>
      <c r="BV31" s="0" t="n">
        <v>197</v>
      </c>
      <c r="BW31" s="0" t="n">
        <v>28</v>
      </c>
      <c r="BX31" s="0" t="n">
        <v>16</v>
      </c>
      <c r="BY31" s="0" t="n">
        <v>28</v>
      </c>
      <c r="BZ31" s="0" t="n">
        <v>117</v>
      </c>
      <c r="CA31" s="0" t="n">
        <v>28</v>
      </c>
      <c r="CB31" s="0" t="n">
        <v>0</v>
      </c>
      <c r="CC31" s="0" t="n">
        <v>28</v>
      </c>
      <c r="CD31" s="0" t="n">
        <v>0</v>
      </c>
      <c r="CE31" s="0" t="n">
        <v>28</v>
      </c>
      <c r="CF31" s="0" t="n">
        <v>90</v>
      </c>
      <c r="CG31" s="0" t="n">
        <v>28</v>
      </c>
      <c r="CH31" s="0" t="n">
        <v>8394</v>
      </c>
      <c r="CI31" s="0" t="n">
        <v>28</v>
      </c>
      <c r="CJ31" s="0" t="n">
        <v>558</v>
      </c>
      <c r="CK31" s="0" t="n">
        <v>28</v>
      </c>
      <c r="CL31" s="0" t="n">
        <v>24</v>
      </c>
      <c r="CM31" s="0" t="n">
        <v>28</v>
      </c>
      <c r="CN31" s="0" t="n">
        <v>0</v>
      </c>
      <c r="CO31" s="0" t="n">
        <v>28</v>
      </c>
      <c r="CP31" s="0" t="n">
        <v>42</v>
      </c>
      <c r="CQ31" s="0" t="n">
        <v>28</v>
      </c>
      <c r="CR31" s="0" t="n">
        <v>27</v>
      </c>
      <c r="CS31" s="0" t="n">
        <v>28</v>
      </c>
      <c r="CT31" s="0" t="n">
        <v>18</v>
      </c>
      <c r="CU31" s="0" t="n">
        <v>28</v>
      </c>
      <c r="CV31" s="0" t="n">
        <v>9</v>
      </c>
      <c r="CW31" s="0" t="n">
        <v>28</v>
      </c>
      <c r="CX31" s="0" t="n">
        <v>0</v>
      </c>
    </row>
    <row r="32" customFormat="false" ht="12.75" hidden="false" customHeight="false" outlineLevel="0" collapsed="false">
      <c r="B32" s="0" t="n">
        <v>29</v>
      </c>
      <c r="C32" s="0" t="n">
        <v>152</v>
      </c>
      <c r="D32" s="0" t="n">
        <v>22</v>
      </c>
      <c r="E32" s="0" t="n">
        <v>29</v>
      </c>
      <c r="F32" s="0" t="n">
        <v>337</v>
      </c>
      <c r="G32" s="0" t="n">
        <v>29</v>
      </c>
      <c r="H32" s="0" t="n">
        <v>2997</v>
      </c>
      <c r="I32" s="0" t="n">
        <v>29</v>
      </c>
      <c r="J32" s="0" t="n">
        <v>760</v>
      </c>
      <c r="K32" s="0" t="n">
        <v>29</v>
      </c>
      <c r="L32" s="0" t="n">
        <v>246</v>
      </c>
      <c r="M32" s="0" t="n">
        <v>29</v>
      </c>
      <c r="N32" s="0" t="n">
        <v>135</v>
      </c>
      <c r="O32" s="0" t="n">
        <v>29</v>
      </c>
      <c r="P32" s="0" t="n">
        <v>0</v>
      </c>
      <c r="Q32" s="0" t="n">
        <v>29</v>
      </c>
      <c r="R32" s="0" t="n">
        <v>19</v>
      </c>
      <c r="S32" s="0" t="n">
        <v>29</v>
      </c>
      <c r="T32" s="0" t="n">
        <v>427</v>
      </c>
      <c r="U32" s="0" t="n">
        <v>29</v>
      </c>
      <c r="V32" s="0" t="n">
        <v>355</v>
      </c>
      <c r="W32" s="0" t="n">
        <v>29</v>
      </c>
      <c r="X32" s="0" t="n">
        <v>31</v>
      </c>
      <c r="Y32" s="0" t="n">
        <v>29</v>
      </c>
      <c r="Z32" s="0" t="n">
        <v>4</v>
      </c>
      <c r="AA32" s="0" t="n">
        <v>29</v>
      </c>
      <c r="AB32" s="0" t="n">
        <v>76875</v>
      </c>
      <c r="AC32" s="0" t="n">
        <v>29</v>
      </c>
      <c r="AD32" s="0" t="n">
        <v>248</v>
      </c>
      <c r="AE32" s="0" t="n">
        <v>29</v>
      </c>
      <c r="AF32" s="0" t="n">
        <v>1100</v>
      </c>
      <c r="AG32" s="0" t="n">
        <v>29</v>
      </c>
      <c r="AH32" s="0" t="n">
        <v>79508</v>
      </c>
      <c r="AI32" s="0" t="n">
        <v>29</v>
      </c>
      <c r="AJ32" s="0" t="n">
        <v>604</v>
      </c>
      <c r="AK32" s="0" t="n">
        <v>29</v>
      </c>
      <c r="AL32" s="0" t="n">
        <v>327</v>
      </c>
      <c r="AM32" s="0" t="n">
        <v>29</v>
      </c>
      <c r="AN32" s="0" t="n">
        <v>22</v>
      </c>
      <c r="AO32" s="0" t="n">
        <v>29</v>
      </c>
      <c r="AP32" s="0" t="n">
        <v>108</v>
      </c>
      <c r="AQ32" s="0" t="n">
        <v>29</v>
      </c>
      <c r="AR32" s="0" t="n">
        <v>120</v>
      </c>
      <c r="AS32" s="0" t="n">
        <v>29</v>
      </c>
      <c r="AT32" s="0" t="n">
        <v>409</v>
      </c>
      <c r="AU32" s="0" t="n">
        <v>29</v>
      </c>
      <c r="AV32" s="0" t="n">
        <v>347</v>
      </c>
      <c r="AW32" s="0" t="n">
        <v>29</v>
      </c>
      <c r="AX32" s="0" t="n">
        <v>180</v>
      </c>
      <c r="AY32" s="0" t="n">
        <v>29</v>
      </c>
      <c r="AZ32" s="0" t="n">
        <v>2225682</v>
      </c>
      <c r="BA32" s="0" t="n">
        <v>29</v>
      </c>
      <c r="BB32" s="0" t="n">
        <v>16</v>
      </c>
      <c r="BC32" s="0" t="n">
        <v>29</v>
      </c>
      <c r="BD32" s="0" t="n">
        <v>619</v>
      </c>
      <c r="BE32" s="0" t="n">
        <v>29</v>
      </c>
      <c r="BF32" s="0" t="n">
        <v>63</v>
      </c>
      <c r="BG32" s="0" t="n">
        <v>29</v>
      </c>
      <c r="BH32" s="0" t="n">
        <v>7</v>
      </c>
      <c r="BI32" s="0" t="n">
        <v>29</v>
      </c>
      <c r="BJ32" s="0" t="n">
        <v>149</v>
      </c>
      <c r="BK32" s="0" t="n">
        <v>29</v>
      </c>
      <c r="BL32" s="0" t="n">
        <v>69</v>
      </c>
      <c r="BM32" s="0" t="n">
        <v>29</v>
      </c>
      <c r="BN32" s="0" t="n">
        <v>422</v>
      </c>
      <c r="BO32" s="0" t="n">
        <v>29</v>
      </c>
      <c r="BP32" s="0" t="n">
        <v>141</v>
      </c>
      <c r="BQ32" s="0" t="n">
        <v>29</v>
      </c>
      <c r="BR32" s="0" t="n">
        <v>30</v>
      </c>
      <c r="BS32" s="0" t="n">
        <v>29</v>
      </c>
      <c r="BT32" s="0" t="n">
        <v>532</v>
      </c>
      <c r="BU32" s="0" t="n">
        <v>29</v>
      </c>
      <c r="BV32" s="0" t="n">
        <v>3068</v>
      </c>
      <c r="BW32" s="0" t="n">
        <v>29</v>
      </c>
      <c r="BX32" s="0" t="n">
        <v>73</v>
      </c>
      <c r="BY32" s="0" t="n">
        <v>29</v>
      </c>
      <c r="BZ32" s="0" t="n">
        <v>360</v>
      </c>
      <c r="CA32" s="0" t="n">
        <v>29</v>
      </c>
      <c r="CB32" s="0" t="n">
        <v>36</v>
      </c>
      <c r="CC32" s="0" t="n">
        <v>29</v>
      </c>
      <c r="CD32" s="0" t="n">
        <v>52</v>
      </c>
      <c r="CE32" s="0" t="n">
        <v>29</v>
      </c>
      <c r="CF32" s="0" t="n">
        <v>42</v>
      </c>
      <c r="CG32" s="0" t="n">
        <v>29</v>
      </c>
      <c r="CH32" s="0" t="n">
        <v>519</v>
      </c>
      <c r="CI32" s="0" t="n">
        <v>29</v>
      </c>
      <c r="CJ32" s="0" t="n">
        <v>1354</v>
      </c>
      <c r="CK32" s="0" t="n">
        <v>29</v>
      </c>
      <c r="CL32" s="0" t="n">
        <v>81</v>
      </c>
      <c r="CM32" s="0" t="n">
        <v>29</v>
      </c>
      <c r="CN32" s="0" t="n">
        <v>20</v>
      </c>
      <c r="CO32" s="0" t="n">
        <v>29</v>
      </c>
      <c r="CP32" s="0" t="n">
        <v>246</v>
      </c>
      <c r="CQ32" s="0" t="n">
        <v>29</v>
      </c>
      <c r="CR32" s="0" t="n">
        <v>162</v>
      </c>
      <c r="CS32" s="0" t="n">
        <v>29</v>
      </c>
      <c r="CT32" s="0" t="n">
        <v>154</v>
      </c>
      <c r="CU32" s="0" t="n">
        <v>29</v>
      </c>
      <c r="CV32" s="0" t="n">
        <v>178</v>
      </c>
      <c r="CW32" s="0" t="n">
        <v>29</v>
      </c>
      <c r="CX32" s="0" t="n">
        <v>61</v>
      </c>
    </row>
    <row r="33" customFormat="false" ht="12.75" hidden="false" customHeight="false" outlineLevel="0" collapsed="false">
      <c r="B33" s="0" t="n">
        <v>30</v>
      </c>
      <c r="C33" s="0" t="n">
        <v>0</v>
      </c>
      <c r="D33" s="0" t="n">
        <v>0</v>
      </c>
      <c r="E33" s="0" t="n">
        <v>30</v>
      </c>
      <c r="F33" s="0" t="n">
        <v>0</v>
      </c>
      <c r="G33" s="0" t="n">
        <v>30</v>
      </c>
      <c r="H33" s="0" t="n">
        <v>7</v>
      </c>
      <c r="I33" s="0" t="n">
        <v>30</v>
      </c>
      <c r="J33" s="0" t="n">
        <v>116</v>
      </c>
      <c r="K33" s="0" t="n">
        <v>30</v>
      </c>
      <c r="L33" s="0" t="n">
        <v>132</v>
      </c>
      <c r="M33" s="0" t="n">
        <v>30</v>
      </c>
      <c r="N33" s="0" t="n">
        <v>0</v>
      </c>
      <c r="O33" s="0" t="n">
        <v>30</v>
      </c>
      <c r="P33" s="0" t="n">
        <v>0</v>
      </c>
      <c r="Q33" s="0" t="n">
        <v>30</v>
      </c>
      <c r="R33" s="0" t="n">
        <v>0</v>
      </c>
      <c r="S33" s="0" t="n">
        <v>30</v>
      </c>
      <c r="T33" s="0" t="n">
        <v>17</v>
      </c>
      <c r="U33" s="0" t="n">
        <v>30</v>
      </c>
      <c r="V33" s="0" t="n">
        <v>0</v>
      </c>
      <c r="W33" s="0" t="n">
        <v>30</v>
      </c>
      <c r="X33" s="0" t="n">
        <v>8</v>
      </c>
      <c r="Y33" s="0" t="n">
        <v>30</v>
      </c>
      <c r="Z33" s="0" t="n">
        <v>336</v>
      </c>
      <c r="AA33" s="0" t="n">
        <v>30</v>
      </c>
      <c r="AB33" s="0" t="n">
        <v>6</v>
      </c>
      <c r="AC33" s="0" t="n">
        <v>30</v>
      </c>
      <c r="AD33" s="0" t="n">
        <v>0</v>
      </c>
      <c r="AE33" s="0" t="n">
        <v>30</v>
      </c>
      <c r="AF33" s="0" t="n">
        <v>0</v>
      </c>
      <c r="AG33" s="0" t="n">
        <v>30</v>
      </c>
      <c r="AH33" s="0" t="n">
        <v>0</v>
      </c>
      <c r="AI33" s="0" t="n">
        <v>30</v>
      </c>
      <c r="AJ33" s="0" t="n">
        <v>0</v>
      </c>
      <c r="AK33" s="0" t="n">
        <v>30</v>
      </c>
      <c r="AL33" s="0" t="n">
        <v>24</v>
      </c>
      <c r="AM33" s="0" t="n">
        <v>30</v>
      </c>
      <c r="AN33" s="0" t="n">
        <v>18</v>
      </c>
      <c r="AO33" s="0" t="n">
        <v>30</v>
      </c>
      <c r="AP33" s="0" t="n">
        <v>0</v>
      </c>
      <c r="AQ33" s="0" t="n">
        <v>30</v>
      </c>
      <c r="AR33" s="0" t="n">
        <v>0</v>
      </c>
      <c r="AS33" s="0" t="n">
        <v>30</v>
      </c>
      <c r="AT33" s="0" t="n">
        <v>0</v>
      </c>
      <c r="AU33" s="0" t="n">
        <v>30</v>
      </c>
      <c r="AV33" s="0" t="n">
        <v>102</v>
      </c>
      <c r="AW33" s="0" t="n">
        <v>30</v>
      </c>
      <c r="AX33" s="0" t="n">
        <v>0</v>
      </c>
      <c r="AY33" s="0" t="n">
        <v>30</v>
      </c>
      <c r="AZ33" s="0" t="n">
        <v>24</v>
      </c>
      <c r="BA33" s="0" t="n">
        <v>30</v>
      </c>
      <c r="BB33" s="0" t="n">
        <v>345041</v>
      </c>
      <c r="BC33" s="0" t="n">
        <v>30</v>
      </c>
      <c r="BD33" s="0" t="n">
        <v>0</v>
      </c>
      <c r="BE33" s="0" t="n">
        <v>30</v>
      </c>
      <c r="BF33" s="0" t="n">
        <v>66</v>
      </c>
      <c r="BG33" s="0" t="n">
        <v>30</v>
      </c>
      <c r="BH33" s="0" t="n">
        <v>0</v>
      </c>
      <c r="BI33" s="0" t="n">
        <v>30</v>
      </c>
      <c r="BJ33" s="0" t="n">
        <v>0</v>
      </c>
      <c r="BK33" s="0" t="n">
        <v>30</v>
      </c>
      <c r="BL33" s="0" t="n">
        <v>51</v>
      </c>
      <c r="BM33" s="0" t="n">
        <v>30</v>
      </c>
      <c r="BN33" s="0" t="n">
        <v>0</v>
      </c>
      <c r="BO33" s="0" t="n">
        <v>30</v>
      </c>
      <c r="BP33" s="0" t="n">
        <v>0</v>
      </c>
      <c r="BQ33" s="0" t="n">
        <v>30</v>
      </c>
      <c r="BR33" s="0" t="n">
        <v>305</v>
      </c>
      <c r="BS33" s="0" t="n">
        <v>30</v>
      </c>
      <c r="BT33" s="0" t="n">
        <v>39</v>
      </c>
      <c r="BU33" s="0" t="n">
        <v>30</v>
      </c>
      <c r="BV33" s="0" t="n">
        <v>0</v>
      </c>
      <c r="BW33" s="0" t="n">
        <v>30</v>
      </c>
      <c r="BX33" s="0" t="n">
        <v>101</v>
      </c>
      <c r="BY33" s="0" t="n">
        <v>30</v>
      </c>
      <c r="BZ33" s="0" t="n">
        <v>21</v>
      </c>
      <c r="CA33" s="0" t="n">
        <v>30</v>
      </c>
      <c r="CB33" s="0" t="n">
        <v>0</v>
      </c>
      <c r="CC33" s="0" t="n">
        <v>30</v>
      </c>
      <c r="CD33" s="0" t="n">
        <v>48</v>
      </c>
      <c r="CE33" s="0" t="n">
        <v>30</v>
      </c>
      <c r="CF33" s="0" t="n">
        <v>15</v>
      </c>
      <c r="CG33" s="0" t="n">
        <v>30</v>
      </c>
      <c r="CH33" s="0" t="n">
        <v>0</v>
      </c>
      <c r="CI33" s="0" t="n">
        <v>30</v>
      </c>
      <c r="CJ33" s="0" t="n">
        <v>39</v>
      </c>
      <c r="CK33" s="0" t="n">
        <v>30</v>
      </c>
      <c r="CL33" s="0" t="n">
        <v>140</v>
      </c>
      <c r="CM33" s="0" t="n">
        <v>30</v>
      </c>
      <c r="CN33" s="0" t="n">
        <v>0</v>
      </c>
      <c r="CO33" s="0" t="n">
        <v>30</v>
      </c>
      <c r="CP33" s="0" t="n">
        <v>21</v>
      </c>
      <c r="CQ33" s="0" t="n">
        <v>30</v>
      </c>
      <c r="CR33" s="0" t="n">
        <v>327</v>
      </c>
      <c r="CS33" s="0" t="n">
        <v>30</v>
      </c>
      <c r="CT33" s="0" t="n">
        <v>0</v>
      </c>
      <c r="CU33" s="0" t="n">
        <v>30</v>
      </c>
      <c r="CV33" s="0" t="n">
        <v>0</v>
      </c>
      <c r="CW33" s="0" t="n">
        <v>30</v>
      </c>
      <c r="CX33" s="0" t="n">
        <v>807</v>
      </c>
    </row>
    <row r="34" customFormat="false" ht="12.75" hidden="false" customHeight="false" outlineLevel="0" collapsed="false">
      <c r="B34" s="0" t="n">
        <v>31</v>
      </c>
      <c r="C34" s="0" t="n">
        <v>7</v>
      </c>
      <c r="D34" s="0" t="n">
        <v>0</v>
      </c>
      <c r="E34" s="0" t="n">
        <v>31</v>
      </c>
      <c r="F34" s="0" t="n">
        <v>90</v>
      </c>
      <c r="G34" s="0" t="n">
        <v>31</v>
      </c>
      <c r="H34" s="0" t="n">
        <v>72</v>
      </c>
      <c r="I34" s="0" t="n">
        <v>31</v>
      </c>
      <c r="J34" s="0" t="n">
        <v>283</v>
      </c>
      <c r="K34" s="0" t="n">
        <v>31</v>
      </c>
      <c r="L34" s="0" t="n">
        <v>867</v>
      </c>
      <c r="M34" s="0" t="n">
        <v>31</v>
      </c>
      <c r="N34" s="0" t="n">
        <v>0</v>
      </c>
      <c r="O34" s="0" t="n">
        <v>31</v>
      </c>
      <c r="P34" s="0" t="n">
        <v>0</v>
      </c>
      <c r="Q34" s="0" t="n">
        <v>31</v>
      </c>
      <c r="R34" s="0" t="n">
        <v>22</v>
      </c>
      <c r="S34" s="0" t="n">
        <v>31</v>
      </c>
      <c r="T34" s="0" t="n">
        <v>10</v>
      </c>
      <c r="U34" s="0" t="n">
        <v>31</v>
      </c>
      <c r="V34" s="0" t="n">
        <v>92</v>
      </c>
      <c r="W34" s="0" t="n">
        <v>31</v>
      </c>
      <c r="X34" s="0" t="n">
        <v>0</v>
      </c>
      <c r="Y34" s="0" t="n">
        <v>31</v>
      </c>
      <c r="Z34" s="0" t="n">
        <v>32</v>
      </c>
      <c r="AA34" s="0" t="n">
        <v>31</v>
      </c>
      <c r="AB34" s="0" t="n">
        <v>219</v>
      </c>
      <c r="AC34" s="0" t="n">
        <v>31</v>
      </c>
      <c r="AD34" s="0" t="n">
        <v>41</v>
      </c>
      <c r="AE34" s="0" t="n">
        <v>31</v>
      </c>
      <c r="AF34" s="0" t="n">
        <v>25955</v>
      </c>
      <c r="AG34" s="0" t="n">
        <v>31</v>
      </c>
      <c r="AH34" s="0" t="n">
        <v>1296</v>
      </c>
      <c r="AI34" s="0" t="n">
        <v>31</v>
      </c>
      <c r="AJ34" s="0" t="n">
        <v>0</v>
      </c>
      <c r="AK34" s="0" t="n">
        <v>31</v>
      </c>
      <c r="AL34" s="0" t="n">
        <v>93</v>
      </c>
      <c r="AM34" s="0" t="n">
        <v>31</v>
      </c>
      <c r="AN34" s="0" t="n">
        <v>0</v>
      </c>
      <c r="AO34" s="0" t="n">
        <v>31</v>
      </c>
      <c r="AP34" s="0" t="n">
        <v>80</v>
      </c>
      <c r="AQ34" s="0" t="n">
        <v>31</v>
      </c>
      <c r="AR34" s="0" t="n">
        <v>0</v>
      </c>
      <c r="AS34" s="0" t="n">
        <v>31</v>
      </c>
      <c r="AT34" s="0" t="n">
        <v>118</v>
      </c>
      <c r="AU34" s="0" t="n">
        <v>31</v>
      </c>
      <c r="AV34" s="0" t="n">
        <v>256</v>
      </c>
      <c r="AW34" s="0" t="n">
        <v>31</v>
      </c>
      <c r="AX34" s="0" t="n">
        <v>0</v>
      </c>
      <c r="AY34" s="0" t="n">
        <v>31</v>
      </c>
      <c r="AZ34" s="0" t="n">
        <v>670</v>
      </c>
      <c r="BA34" s="0" t="n">
        <v>31</v>
      </c>
      <c r="BB34" s="0" t="n">
        <v>0</v>
      </c>
      <c r="BC34" s="0" t="n">
        <v>31</v>
      </c>
      <c r="BD34" s="0" t="n">
        <v>755943</v>
      </c>
      <c r="BE34" s="0" t="n">
        <v>31</v>
      </c>
      <c r="BF34" s="0" t="n">
        <v>24</v>
      </c>
      <c r="BG34" s="0" t="n">
        <v>31</v>
      </c>
      <c r="BH34" s="0" t="n">
        <v>0</v>
      </c>
      <c r="BI34" s="0" t="n">
        <v>31</v>
      </c>
      <c r="BJ34" s="0" t="n">
        <v>18</v>
      </c>
      <c r="BK34" s="0" t="n">
        <v>31</v>
      </c>
      <c r="BL34" s="0" t="n">
        <v>168</v>
      </c>
      <c r="BM34" s="0" t="n">
        <v>31</v>
      </c>
      <c r="BN34" s="0" t="n">
        <v>6</v>
      </c>
      <c r="BO34" s="0" t="n">
        <v>31</v>
      </c>
      <c r="BP34" s="0" t="n">
        <v>69</v>
      </c>
      <c r="BQ34" s="0" t="n">
        <v>31</v>
      </c>
      <c r="BR34" s="0" t="n">
        <v>70</v>
      </c>
      <c r="BS34" s="0" t="n">
        <v>31</v>
      </c>
      <c r="BT34" s="0" t="n">
        <v>135</v>
      </c>
      <c r="BU34" s="0" t="n">
        <v>31</v>
      </c>
      <c r="BV34" s="0" t="n">
        <v>253</v>
      </c>
      <c r="BW34" s="0" t="n">
        <v>31</v>
      </c>
      <c r="BX34" s="0" t="n">
        <v>0</v>
      </c>
      <c r="BY34" s="0" t="n">
        <v>31</v>
      </c>
      <c r="BZ34" s="0" t="n">
        <v>87</v>
      </c>
      <c r="CA34" s="0" t="n">
        <v>31</v>
      </c>
      <c r="CB34" s="0" t="n">
        <v>65</v>
      </c>
      <c r="CC34" s="0" t="n">
        <v>31</v>
      </c>
      <c r="CD34" s="0" t="n">
        <v>878</v>
      </c>
      <c r="CE34" s="0" t="n">
        <v>31</v>
      </c>
      <c r="CF34" s="0" t="n">
        <v>24</v>
      </c>
      <c r="CG34" s="0" t="n">
        <v>31</v>
      </c>
      <c r="CH34" s="0" t="n">
        <v>120</v>
      </c>
      <c r="CI34" s="0" t="n">
        <v>31</v>
      </c>
      <c r="CJ34" s="0" t="n">
        <v>543</v>
      </c>
      <c r="CK34" s="0" t="n">
        <v>31</v>
      </c>
      <c r="CL34" s="0" t="n">
        <v>83</v>
      </c>
      <c r="CM34" s="0" t="n">
        <v>31</v>
      </c>
      <c r="CN34" s="0" t="n">
        <v>0</v>
      </c>
      <c r="CO34" s="0" t="n">
        <v>31</v>
      </c>
      <c r="CP34" s="0" t="n">
        <v>21</v>
      </c>
      <c r="CQ34" s="0" t="n">
        <v>31</v>
      </c>
      <c r="CR34" s="0" t="n">
        <v>87</v>
      </c>
      <c r="CS34" s="0" t="n">
        <v>31</v>
      </c>
      <c r="CT34" s="0" t="n">
        <v>0</v>
      </c>
      <c r="CU34" s="0" t="n">
        <v>31</v>
      </c>
      <c r="CV34" s="0" t="n">
        <v>143</v>
      </c>
      <c r="CW34" s="0" t="n">
        <v>31</v>
      </c>
      <c r="CX34" s="0" t="n">
        <v>561</v>
      </c>
    </row>
    <row r="35" customFormat="false" ht="12.75" hidden="false" customHeight="false" outlineLevel="0" collapsed="false">
      <c r="B35" s="0" t="n">
        <v>32</v>
      </c>
      <c r="C35" s="0" t="n">
        <v>32</v>
      </c>
      <c r="D35" s="0" t="n">
        <v>73</v>
      </c>
      <c r="E35" s="0" t="n">
        <v>32</v>
      </c>
      <c r="F35" s="0" t="n">
        <v>8186</v>
      </c>
      <c r="G35" s="0" t="n">
        <v>32</v>
      </c>
      <c r="H35" s="0" t="n">
        <v>29</v>
      </c>
      <c r="I35" s="0" t="n">
        <v>32</v>
      </c>
      <c r="J35" s="0" t="n">
        <v>11509</v>
      </c>
      <c r="K35" s="0" t="n">
        <v>32</v>
      </c>
      <c r="L35" s="0" t="n">
        <v>666</v>
      </c>
      <c r="M35" s="0" t="n">
        <v>32</v>
      </c>
      <c r="N35" s="0" t="n">
        <v>17</v>
      </c>
      <c r="O35" s="0" t="n">
        <v>32</v>
      </c>
      <c r="P35" s="0" t="n">
        <v>0</v>
      </c>
      <c r="Q35" s="0" t="n">
        <v>32</v>
      </c>
      <c r="R35" s="0" t="n">
        <v>0</v>
      </c>
      <c r="S35" s="0" t="n">
        <v>32</v>
      </c>
      <c r="T35" s="0" t="n">
        <v>227</v>
      </c>
      <c r="U35" s="0" t="n">
        <v>32</v>
      </c>
      <c r="V35" s="0" t="n">
        <v>42</v>
      </c>
      <c r="W35" s="0" t="n">
        <v>32</v>
      </c>
      <c r="X35" s="0" t="n">
        <v>47</v>
      </c>
      <c r="Y35" s="0" t="n">
        <v>32</v>
      </c>
      <c r="Z35" s="0" t="n">
        <v>724</v>
      </c>
      <c r="AA35" s="0" t="n">
        <v>32</v>
      </c>
      <c r="AB35" s="0" t="n">
        <v>117</v>
      </c>
      <c r="AC35" s="0" t="n">
        <v>32</v>
      </c>
      <c r="AD35" s="0" t="n">
        <v>100</v>
      </c>
      <c r="AE35" s="0" t="n">
        <v>32</v>
      </c>
      <c r="AF35" s="0" t="n">
        <v>0</v>
      </c>
      <c r="AG35" s="0" t="n">
        <v>32</v>
      </c>
      <c r="AH35" s="0" t="n">
        <v>97</v>
      </c>
      <c r="AI35" s="0" t="n">
        <v>32</v>
      </c>
      <c r="AJ35" s="0" t="n">
        <v>72</v>
      </c>
      <c r="AK35" s="0" t="n">
        <v>32</v>
      </c>
      <c r="AL35" s="0" t="n">
        <v>69</v>
      </c>
      <c r="AM35" s="0" t="n">
        <v>32</v>
      </c>
      <c r="AN35" s="0" t="n">
        <v>0</v>
      </c>
      <c r="AO35" s="0" t="n">
        <v>32</v>
      </c>
      <c r="AP35" s="0" t="n">
        <v>31</v>
      </c>
      <c r="AQ35" s="0" t="n">
        <v>32</v>
      </c>
      <c r="AR35" s="0" t="n">
        <v>40</v>
      </c>
      <c r="AS35" s="0" t="n">
        <v>32</v>
      </c>
      <c r="AT35" s="0" t="n">
        <v>56</v>
      </c>
      <c r="AU35" s="0" t="n">
        <v>32</v>
      </c>
      <c r="AV35" s="0" t="n">
        <v>78</v>
      </c>
      <c r="AW35" s="0" t="n">
        <v>32</v>
      </c>
      <c r="AX35" s="0" t="n">
        <v>6</v>
      </c>
      <c r="AY35" s="0" t="n">
        <v>32</v>
      </c>
      <c r="AZ35" s="0" t="n">
        <v>58</v>
      </c>
      <c r="BA35" s="0" t="n">
        <v>32</v>
      </c>
      <c r="BB35" s="0" t="n">
        <v>71</v>
      </c>
      <c r="BC35" s="0" t="n">
        <v>32</v>
      </c>
      <c r="BD35" s="0" t="n">
        <v>13</v>
      </c>
      <c r="BE35" s="0" t="n">
        <v>32</v>
      </c>
      <c r="BF35" s="0" t="n">
        <v>592906</v>
      </c>
      <c r="BG35" s="0" t="n">
        <v>32</v>
      </c>
      <c r="BH35" s="0" t="n">
        <v>54</v>
      </c>
      <c r="BI35" s="0" t="n">
        <v>32</v>
      </c>
      <c r="BJ35" s="0" t="n">
        <v>81</v>
      </c>
      <c r="BK35" s="0" t="n">
        <v>32</v>
      </c>
      <c r="BL35" s="0" t="n">
        <v>213</v>
      </c>
      <c r="BM35" s="0" t="n">
        <v>32</v>
      </c>
      <c r="BN35" s="0" t="n">
        <v>171</v>
      </c>
      <c r="BO35" s="0" t="n">
        <v>32</v>
      </c>
      <c r="BP35" s="0" t="n">
        <v>12</v>
      </c>
      <c r="BQ35" s="0" t="n">
        <v>32</v>
      </c>
      <c r="BR35" s="0" t="n">
        <v>0</v>
      </c>
      <c r="BS35" s="0" t="n">
        <v>32</v>
      </c>
      <c r="BT35" s="0" t="n">
        <v>38</v>
      </c>
      <c r="BU35" s="0" t="n">
        <v>32</v>
      </c>
      <c r="BV35" s="0" t="n">
        <v>157</v>
      </c>
      <c r="BW35" s="0" t="n">
        <v>32</v>
      </c>
      <c r="BX35" s="0" t="n">
        <v>116</v>
      </c>
      <c r="BY35" s="0" t="n">
        <v>32</v>
      </c>
      <c r="BZ35" s="0" t="n">
        <v>37</v>
      </c>
      <c r="CA35" s="0" t="n">
        <v>32</v>
      </c>
      <c r="CB35" s="0" t="n">
        <v>0</v>
      </c>
      <c r="CC35" s="0" t="n">
        <v>32</v>
      </c>
      <c r="CD35" s="0" t="n">
        <v>13</v>
      </c>
      <c r="CE35" s="0" t="n">
        <v>32</v>
      </c>
      <c r="CF35" s="0" t="n">
        <v>39</v>
      </c>
      <c r="CG35" s="0" t="n">
        <v>32</v>
      </c>
      <c r="CH35" s="0" t="n">
        <v>117</v>
      </c>
      <c r="CI35" s="0" t="n">
        <v>32</v>
      </c>
      <c r="CJ35" s="0" t="n">
        <v>610</v>
      </c>
      <c r="CK35" s="0" t="n">
        <v>32</v>
      </c>
      <c r="CL35" s="0" t="n">
        <v>2150</v>
      </c>
      <c r="CM35" s="0" t="n">
        <v>32</v>
      </c>
      <c r="CN35" s="0" t="n">
        <v>0</v>
      </c>
      <c r="CO35" s="0" t="n">
        <v>32</v>
      </c>
      <c r="CP35" s="0" t="n">
        <v>54</v>
      </c>
      <c r="CQ35" s="0" t="n">
        <v>32</v>
      </c>
      <c r="CR35" s="0" t="n">
        <v>450</v>
      </c>
      <c r="CS35" s="0" t="n">
        <v>32</v>
      </c>
      <c r="CT35" s="0" t="n">
        <v>0</v>
      </c>
      <c r="CU35" s="0" t="n">
        <v>32</v>
      </c>
      <c r="CV35" s="0" t="n">
        <v>49</v>
      </c>
      <c r="CW35" s="0" t="n">
        <v>32</v>
      </c>
      <c r="CX35" s="0" t="n">
        <v>146</v>
      </c>
    </row>
    <row r="36" customFormat="false" ht="12.75" hidden="false" customHeight="false" outlineLevel="0" collapsed="false">
      <c r="B36" s="0" t="n">
        <v>33</v>
      </c>
      <c r="C36" s="0" t="n">
        <v>0</v>
      </c>
      <c r="D36" s="0" t="n">
        <v>0</v>
      </c>
      <c r="E36" s="0" t="n">
        <v>33</v>
      </c>
      <c r="F36" s="0" t="n">
        <v>0</v>
      </c>
      <c r="G36" s="0" t="n">
        <v>33</v>
      </c>
      <c r="H36" s="0" t="n">
        <v>0</v>
      </c>
      <c r="I36" s="0" t="n">
        <v>33</v>
      </c>
      <c r="J36" s="0" t="n">
        <v>118</v>
      </c>
      <c r="K36" s="0" t="n">
        <v>33</v>
      </c>
      <c r="L36" s="0" t="n">
        <v>0</v>
      </c>
      <c r="M36" s="0" t="n">
        <v>33</v>
      </c>
      <c r="N36" s="0" t="n">
        <v>259</v>
      </c>
      <c r="O36" s="0" t="n">
        <v>33</v>
      </c>
      <c r="P36" s="0" t="n">
        <v>0</v>
      </c>
      <c r="Q36" s="0" t="n">
        <v>33</v>
      </c>
      <c r="R36" s="0" t="n">
        <v>0</v>
      </c>
      <c r="S36" s="0" t="n">
        <v>33</v>
      </c>
      <c r="T36" s="0" t="n">
        <v>203</v>
      </c>
      <c r="U36" s="0" t="n">
        <v>33</v>
      </c>
      <c r="V36" s="0" t="n">
        <v>90</v>
      </c>
      <c r="W36" s="0" t="n">
        <v>33</v>
      </c>
      <c r="X36" s="0" t="n">
        <v>0</v>
      </c>
      <c r="Y36" s="0" t="n">
        <v>33</v>
      </c>
      <c r="Z36" s="0" t="n">
        <v>0</v>
      </c>
      <c r="AA36" s="0" t="n">
        <v>33</v>
      </c>
      <c r="AB36" s="0" t="n">
        <v>42</v>
      </c>
      <c r="AC36" s="0" t="n">
        <v>33</v>
      </c>
      <c r="AD36" s="0" t="n">
        <v>0</v>
      </c>
      <c r="AE36" s="0" t="n">
        <v>33</v>
      </c>
      <c r="AF36" s="0" t="n">
        <v>0</v>
      </c>
      <c r="AG36" s="0" t="n">
        <v>33</v>
      </c>
      <c r="AH36" s="0" t="n">
        <v>7</v>
      </c>
      <c r="AI36" s="0" t="n">
        <v>33</v>
      </c>
      <c r="AJ36" s="0" t="n">
        <v>18</v>
      </c>
      <c r="AK36" s="0" t="n">
        <v>33</v>
      </c>
      <c r="AL36" s="0" t="n">
        <v>27</v>
      </c>
      <c r="AM36" s="0" t="n">
        <v>33</v>
      </c>
      <c r="AN36" s="0" t="n">
        <v>12967</v>
      </c>
      <c r="AO36" s="0" t="n">
        <v>33</v>
      </c>
      <c r="AP36" s="0" t="n">
        <v>73</v>
      </c>
      <c r="AQ36" s="0" t="n">
        <v>33</v>
      </c>
      <c r="AR36" s="0" t="n">
        <v>18364</v>
      </c>
      <c r="AS36" s="0" t="n">
        <v>33</v>
      </c>
      <c r="AT36" s="0" t="n">
        <v>0</v>
      </c>
      <c r="AU36" s="0" t="n">
        <v>33</v>
      </c>
      <c r="AV36" s="0" t="n">
        <v>9</v>
      </c>
      <c r="AW36" s="0" t="n">
        <v>33</v>
      </c>
      <c r="AX36" s="0" t="n">
        <v>0</v>
      </c>
      <c r="AY36" s="0" t="n">
        <v>33</v>
      </c>
      <c r="AZ36" s="0" t="n">
        <v>37</v>
      </c>
      <c r="BA36" s="0" t="n">
        <v>33</v>
      </c>
      <c r="BB36" s="0" t="n">
        <v>0</v>
      </c>
      <c r="BC36" s="0" t="n">
        <v>33</v>
      </c>
      <c r="BD36" s="0" t="n">
        <v>0</v>
      </c>
      <c r="BE36" s="0" t="n">
        <v>33</v>
      </c>
      <c r="BF36" s="0" t="n">
        <v>0</v>
      </c>
      <c r="BG36" s="0" t="n">
        <v>33</v>
      </c>
      <c r="BH36" s="0" t="n">
        <v>469770</v>
      </c>
      <c r="BI36" s="0" t="n">
        <v>33</v>
      </c>
      <c r="BJ36" s="0" t="n">
        <v>116</v>
      </c>
      <c r="BK36" s="0" t="n">
        <v>33</v>
      </c>
      <c r="BL36" s="0" t="n">
        <v>0</v>
      </c>
      <c r="BM36" s="0" t="n">
        <v>33</v>
      </c>
      <c r="BN36" s="0" t="n">
        <v>297</v>
      </c>
      <c r="BO36" s="0" t="n">
        <v>33</v>
      </c>
      <c r="BP36" s="0" t="n">
        <v>45</v>
      </c>
      <c r="BQ36" s="0" t="n">
        <v>33</v>
      </c>
      <c r="BR36" s="0" t="n">
        <v>0</v>
      </c>
      <c r="BS36" s="0" t="n">
        <v>33</v>
      </c>
      <c r="BT36" s="0" t="n">
        <v>22</v>
      </c>
      <c r="BU36" s="0" t="n">
        <v>33</v>
      </c>
      <c r="BV36" s="0" t="n">
        <v>34</v>
      </c>
      <c r="BW36" s="0" t="n">
        <v>33</v>
      </c>
      <c r="BX36" s="0" t="n">
        <v>0</v>
      </c>
      <c r="BY36" s="0" t="n">
        <v>33</v>
      </c>
      <c r="BZ36" s="0" t="n">
        <v>107</v>
      </c>
      <c r="CA36" s="0" t="n">
        <v>33</v>
      </c>
      <c r="CB36" s="0" t="n">
        <v>182</v>
      </c>
      <c r="CC36" s="0" t="n">
        <v>33</v>
      </c>
      <c r="CD36" s="0" t="n">
        <v>0</v>
      </c>
      <c r="CE36" s="0" t="n">
        <v>33</v>
      </c>
      <c r="CF36" s="0" t="n">
        <v>0</v>
      </c>
      <c r="CG36" s="0" t="n">
        <v>33</v>
      </c>
      <c r="CH36" s="0" t="n">
        <v>21</v>
      </c>
      <c r="CI36" s="0" t="n">
        <v>33</v>
      </c>
      <c r="CJ36" s="0" t="n">
        <v>72</v>
      </c>
      <c r="CK36" s="0" t="n">
        <v>33</v>
      </c>
      <c r="CL36" s="0" t="n">
        <v>0</v>
      </c>
      <c r="CM36" s="0" t="n">
        <v>33</v>
      </c>
      <c r="CN36" s="0" t="n">
        <v>10515</v>
      </c>
      <c r="CO36" s="0" t="n">
        <v>33</v>
      </c>
      <c r="CP36" s="0" t="n">
        <v>84</v>
      </c>
      <c r="CQ36" s="0" t="n">
        <v>33</v>
      </c>
      <c r="CR36" s="0" t="n">
        <v>0</v>
      </c>
      <c r="CS36" s="0" t="n">
        <v>33</v>
      </c>
      <c r="CT36" s="0" t="n">
        <v>0</v>
      </c>
      <c r="CU36" s="0" t="n">
        <v>33</v>
      </c>
      <c r="CV36" s="0" t="n">
        <v>0</v>
      </c>
      <c r="CW36" s="0" t="n">
        <v>33</v>
      </c>
      <c r="CX36" s="0" t="n">
        <v>7</v>
      </c>
    </row>
    <row r="37" customFormat="false" ht="12.75" hidden="false" customHeight="false" outlineLevel="0" collapsed="false">
      <c r="B37" s="0" t="n">
        <v>34</v>
      </c>
      <c r="C37" s="0" t="n">
        <v>203</v>
      </c>
      <c r="D37" s="0" t="n">
        <v>0</v>
      </c>
      <c r="E37" s="0" t="n">
        <v>34</v>
      </c>
      <c r="F37" s="0" t="n">
        <v>139</v>
      </c>
      <c r="G37" s="0" t="n">
        <v>34</v>
      </c>
      <c r="H37" s="0" t="n">
        <v>47</v>
      </c>
      <c r="I37" s="0" t="n">
        <v>34</v>
      </c>
      <c r="J37" s="0" t="n">
        <v>886</v>
      </c>
      <c r="K37" s="0" t="n">
        <v>34</v>
      </c>
      <c r="L37" s="0" t="n">
        <v>348</v>
      </c>
      <c r="M37" s="0" t="n">
        <v>34</v>
      </c>
      <c r="N37" s="0" t="n">
        <v>3220</v>
      </c>
      <c r="O37" s="0" t="n">
        <v>34</v>
      </c>
      <c r="P37" s="0" t="n">
        <v>46</v>
      </c>
      <c r="Q37" s="0" t="n">
        <v>34</v>
      </c>
      <c r="R37" s="0" t="n">
        <v>3524</v>
      </c>
      <c r="S37" s="0" t="n">
        <v>34</v>
      </c>
      <c r="T37" s="0" t="n">
        <v>2010</v>
      </c>
      <c r="U37" s="0" t="n">
        <v>34</v>
      </c>
      <c r="V37" s="0" t="n">
        <v>440</v>
      </c>
      <c r="W37" s="0" t="n">
        <v>34</v>
      </c>
      <c r="X37" s="0" t="n">
        <v>84</v>
      </c>
      <c r="Y37" s="0" t="n">
        <v>34</v>
      </c>
      <c r="Z37" s="0" t="n">
        <v>40</v>
      </c>
      <c r="AA37" s="0" t="n">
        <v>34</v>
      </c>
      <c r="AB37" s="0" t="n">
        <v>660</v>
      </c>
      <c r="AC37" s="0" t="n">
        <v>34</v>
      </c>
      <c r="AD37" s="0" t="n">
        <v>361</v>
      </c>
      <c r="AE37" s="0" t="n">
        <v>34</v>
      </c>
      <c r="AF37" s="0" t="n">
        <v>83</v>
      </c>
      <c r="AG37" s="0" t="n">
        <v>34</v>
      </c>
      <c r="AH37" s="0" t="n">
        <v>72</v>
      </c>
      <c r="AI37" s="0" t="n">
        <v>34</v>
      </c>
      <c r="AJ37" s="0" t="n">
        <v>122</v>
      </c>
      <c r="AK37" s="0" t="n">
        <v>34</v>
      </c>
      <c r="AL37" s="0" t="n">
        <v>96</v>
      </c>
      <c r="AM37" s="0" t="n">
        <v>34</v>
      </c>
      <c r="AN37" s="0" t="n">
        <v>274</v>
      </c>
      <c r="AO37" s="0" t="n">
        <v>34</v>
      </c>
      <c r="AP37" s="0" t="n">
        <v>1710</v>
      </c>
      <c r="AQ37" s="0" t="n">
        <v>34</v>
      </c>
      <c r="AR37" s="0" t="n">
        <v>1059</v>
      </c>
      <c r="AS37" s="0" t="n">
        <v>34</v>
      </c>
      <c r="AT37" s="0" t="n">
        <v>337</v>
      </c>
      <c r="AU37" s="0" t="n">
        <v>34</v>
      </c>
      <c r="AV37" s="0" t="n">
        <v>89</v>
      </c>
      <c r="AW37" s="0" t="n">
        <v>34</v>
      </c>
      <c r="AX37" s="0" t="n">
        <v>33</v>
      </c>
      <c r="AY37" s="0" t="n">
        <v>34</v>
      </c>
      <c r="AZ37" s="0" t="n">
        <v>256</v>
      </c>
      <c r="BA37" s="0" t="n">
        <v>34</v>
      </c>
      <c r="BB37" s="0" t="n">
        <v>23</v>
      </c>
      <c r="BC37" s="0" t="n">
        <v>34</v>
      </c>
      <c r="BD37" s="0" t="n">
        <v>29</v>
      </c>
      <c r="BE37" s="0" t="n">
        <v>34</v>
      </c>
      <c r="BF37" s="0" t="n">
        <v>38</v>
      </c>
      <c r="BG37" s="0" t="n">
        <v>34</v>
      </c>
      <c r="BH37" s="0" t="n">
        <v>260</v>
      </c>
      <c r="BI37" s="0" t="n">
        <v>34</v>
      </c>
      <c r="BJ37" s="0" t="n">
        <v>3353084</v>
      </c>
      <c r="BK37" s="0" t="n">
        <v>34</v>
      </c>
      <c r="BL37" s="0" t="n">
        <v>36</v>
      </c>
      <c r="BM37" s="0" t="n">
        <v>34</v>
      </c>
      <c r="BN37" s="0" t="n">
        <v>125381</v>
      </c>
      <c r="BO37" s="0" t="n">
        <v>34</v>
      </c>
      <c r="BP37" s="0" t="n">
        <v>858</v>
      </c>
      <c r="BQ37" s="0" t="n">
        <v>34</v>
      </c>
      <c r="BR37" s="0" t="n">
        <v>0</v>
      </c>
      <c r="BS37" s="0" t="n">
        <v>34</v>
      </c>
      <c r="BT37" s="0" t="n">
        <v>879</v>
      </c>
      <c r="BU37" s="0" t="n">
        <v>34</v>
      </c>
      <c r="BV37" s="0" t="n">
        <v>89</v>
      </c>
      <c r="BW37" s="0" t="n">
        <v>34</v>
      </c>
      <c r="BX37" s="0" t="n">
        <v>22</v>
      </c>
      <c r="BY37" s="0" t="n">
        <v>34</v>
      </c>
      <c r="BZ37" s="0" t="n">
        <v>107381</v>
      </c>
      <c r="CA37" s="0" t="n">
        <v>34</v>
      </c>
      <c r="CB37" s="0" t="n">
        <v>132</v>
      </c>
      <c r="CC37" s="0" t="n">
        <v>34</v>
      </c>
      <c r="CD37" s="0" t="n">
        <v>0</v>
      </c>
      <c r="CE37" s="0" t="n">
        <v>34</v>
      </c>
      <c r="CF37" s="0" t="n">
        <v>273</v>
      </c>
      <c r="CG37" s="0" t="n">
        <v>34</v>
      </c>
      <c r="CH37" s="0" t="n">
        <v>57</v>
      </c>
      <c r="CI37" s="0" t="n">
        <v>34</v>
      </c>
      <c r="CJ37" s="0" t="n">
        <v>783</v>
      </c>
      <c r="CK37" s="0" t="n">
        <v>34</v>
      </c>
      <c r="CL37" s="0" t="n">
        <v>11</v>
      </c>
      <c r="CM37" s="0" t="n">
        <v>34</v>
      </c>
      <c r="CN37" s="0" t="n">
        <v>5</v>
      </c>
      <c r="CO37" s="0" t="n">
        <v>34</v>
      </c>
      <c r="CP37" s="0" t="n">
        <v>1155</v>
      </c>
      <c r="CQ37" s="0" t="n">
        <v>34</v>
      </c>
      <c r="CR37" s="0" t="n">
        <v>234</v>
      </c>
      <c r="CS37" s="0" t="n">
        <v>34</v>
      </c>
      <c r="CT37" s="0" t="n">
        <v>266</v>
      </c>
      <c r="CU37" s="0" t="n">
        <v>34</v>
      </c>
      <c r="CV37" s="0" t="n">
        <v>86</v>
      </c>
      <c r="CW37" s="0" t="n">
        <v>34</v>
      </c>
      <c r="CX37" s="0" t="n">
        <v>0</v>
      </c>
    </row>
    <row r="38" customFormat="false" ht="12.75" hidden="false" customHeight="false" outlineLevel="0" collapsed="false">
      <c r="B38" s="0" t="n">
        <v>35</v>
      </c>
      <c r="C38" s="0" t="n">
        <v>32</v>
      </c>
      <c r="D38" s="0" t="n">
        <v>0</v>
      </c>
      <c r="E38" s="0" t="n">
        <v>35</v>
      </c>
      <c r="F38" s="0" t="n">
        <v>1555</v>
      </c>
      <c r="G38" s="0" t="n">
        <v>35</v>
      </c>
      <c r="H38" s="0" t="n">
        <v>50</v>
      </c>
      <c r="I38" s="0" t="n">
        <v>35</v>
      </c>
      <c r="J38" s="0" t="n">
        <v>426</v>
      </c>
      <c r="K38" s="0" t="n">
        <v>35</v>
      </c>
      <c r="L38" s="0" t="n">
        <v>1287</v>
      </c>
      <c r="M38" s="0" t="n">
        <v>35</v>
      </c>
      <c r="N38" s="0" t="n">
        <v>17</v>
      </c>
      <c r="O38" s="0" t="n">
        <v>35</v>
      </c>
      <c r="P38" s="0" t="n">
        <v>0</v>
      </c>
      <c r="Q38" s="0" t="n">
        <v>35</v>
      </c>
      <c r="R38" s="0" t="n">
        <v>0</v>
      </c>
      <c r="S38" s="0" t="n">
        <v>35</v>
      </c>
      <c r="T38" s="0" t="n">
        <v>119</v>
      </c>
      <c r="U38" s="0" t="n">
        <v>35</v>
      </c>
      <c r="V38" s="0" t="n">
        <v>0</v>
      </c>
      <c r="W38" s="0" t="n">
        <v>35</v>
      </c>
      <c r="X38" s="0" t="n">
        <v>0</v>
      </c>
      <c r="Y38" s="0" t="n">
        <v>35</v>
      </c>
      <c r="Z38" s="0" t="n">
        <v>96</v>
      </c>
      <c r="AA38" s="0" t="n">
        <v>35</v>
      </c>
      <c r="AB38" s="0" t="n">
        <v>39</v>
      </c>
      <c r="AC38" s="0" t="n">
        <v>35</v>
      </c>
      <c r="AD38" s="0" t="n">
        <v>16</v>
      </c>
      <c r="AE38" s="0" t="n">
        <v>35</v>
      </c>
      <c r="AF38" s="0" t="n">
        <v>0</v>
      </c>
      <c r="AG38" s="0" t="n">
        <v>35</v>
      </c>
      <c r="AH38" s="0" t="n">
        <v>36</v>
      </c>
      <c r="AI38" s="0" t="n">
        <v>35</v>
      </c>
      <c r="AJ38" s="0" t="n">
        <v>0</v>
      </c>
      <c r="AK38" s="0" t="n">
        <v>35</v>
      </c>
      <c r="AL38" s="0" t="n">
        <v>0</v>
      </c>
      <c r="AM38" s="0" t="n">
        <v>35</v>
      </c>
      <c r="AN38" s="0" t="n">
        <v>0</v>
      </c>
      <c r="AO38" s="0" t="n">
        <v>35</v>
      </c>
      <c r="AP38" s="0" t="n">
        <v>17</v>
      </c>
      <c r="AQ38" s="0" t="n">
        <v>35</v>
      </c>
      <c r="AR38" s="0" t="n">
        <v>21</v>
      </c>
      <c r="AS38" s="0" t="n">
        <v>35</v>
      </c>
      <c r="AT38" s="0" t="n">
        <v>49</v>
      </c>
      <c r="AU38" s="0" t="n">
        <v>35</v>
      </c>
      <c r="AV38" s="0" t="n">
        <v>119</v>
      </c>
      <c r="AW38" s="0" t="n">
        <v>35</v>
      </c>
      <c r="AX38" s="0" t="n">
        <v>42</v>
      </c>
      <c r="AY38" s="0" t="n">
        <v>35</v>
      </c>
      <c r="AZ38" s="0" t="n">
        <v>51</v>
      </c>
      <c r="BA38" s="0" t="n">
        <v>35</v>
      </c>
      <c r="BB38" s="0" t="n">
        <v>0</v>
      </c>
      <c r="BC38" s="0" t="n">
        <v>35</v>
      </c>
      <c r="BD38" s="0" t="n">
        <v>0</v>
      </c>
      <c r="BE38" s="0" t="n">
        <v>35</v>
      </c>
      <c r="BF38" s="0" t="n">
        <v>68</v>
      </c>
      <c r="BG38" s="0" t="n">
        <v>35</v>
      </c>
      <c r="BH38" s="0" t="n">
        <v>0</v>
      </c>
      <c r="BI38" s="0" t="n">
        <v>35</v>
      </c>
      <c r="BJ38" s="0" t="n">
        <v>66</v>
      </c>
      <c r="BK38" s="0" t="n">
        <v>35</v>
      </c>
      <c r="BL38" s="0" t="n">
        <v>614664</v>
      </c>
      <c r="BM38" s="0" t="n">
        <v>35</v>
      </c>
      <c r="BN38" s="0" t="n">
        <v>59</v>
      </c>
      <c r="BO38" s="0" t="n">
        <v>35</v>
      </c>
      <c r="BP38" s="0" t="n">
        <v>0</v>
      </c>
      <c r="BQ38" s="0" t="n">
        <v>35</v>
      </c>
      <c r="BR38" s="0" t="n">
        <v>0</v>
      </c>
      <c r="BS38" s="0" t="n">
        <v>35</v>
      </c>
      <c r="BT38" s="0" t="n">
        <v>6</v>
      </c>
      <c r="BU38" s="0" t="n">
        <v>35</v>
      </c>
      <c r="BV38" s="0" t="n">
        <v>299</v>
      </c>
      <c r="BW38" s="0" t="n">
        <v>35</v>
      </c>
      <c r="BX38" s="0" t="n">
        <v>19</v>
      </c>
      <c r="BY38" s="0" t="n">
        <v>35</v>
      </c>
      <c r="BZ38" s="0" t="n">
        <v>7</v>
      </c>
      <c r="CA38" s="0" t="n">
        <v>35</v>
      </c>
      <c r="CB38" s="0" t="n">
        <v>0</v>
      </c>
      <c r="CC38" s="0" t="n">
        <v>35</v>
      </c>
      <c r="CD38" s="0" t="n">
        <v>0</v>
      </c>
      <c r="CE38" s="0" t="n">
        <v>35</v>
      </c>
      <c r="CF38" s="0" t="n">
        <v>36</v>
      </c>
      <c r="CG38" s="0" t="n">
        <v>35</v>
      </c>
      <c r="CH38" s="0" t="n">
        <v>54</v>
      </c>
      <c r="CI38" s="0" t="n">
        <v>35</v>
      </c>
      <c r="CJ38" s="0" t="n">
        <v>6981</v>
      </c>
      <c r="CK38" s="0" t="n">
        <v>35</v>
      </c>
      <c r="CL38" s="0" t="n">
        <v>208</v>
      </c>
      <c r="CM38" s="0" t="n">
        <v>35</v>
      </c>
      <c r="CN38" s="0" t="n">
        <v>0</v>
      </c>
      <c r="CO38" s="0" t="n">
        <v>35</v>
      </c>
      <c r="CP38" s="0" t="n">
        <v>102</v>
      </c>
      <c r="CQ38" s="0" t="n">
        <v>35</v>
      </c>
      <c r="CR38" s="0" t="n">
        <v>15</v>
      </c>
      <c r="CS38" s="0" t="n">
        <v>35</v>
      </c>
      <c r="CT38" s="0" t="n">
        <v>0</v>
      </c>
      <c r="CU38" s="0" t="n">
        <v>35</v>
      </c>
      <c r="CV38" s="0" t="n">
        <v>28</v>
      </c>
      <c r="CW38" s="0" t="n">
        <v>35</v>
      </c>
      <c r="CX38" s="0" t="n">
        <v>46</v>
      </c>
    </row>
    <row r="39" customFormat="false" ht="12.75" hidden="false" customHeight="false" outlineLevel="0" collapsed="false">
      <c r="B39" s="0" t="n">
        <v>36</v>
      </c>
      <c r="C39" s="0" t="n">
        <v>348</v>
      </c>
      <c r="D39" s="0" t="n">
        <v>30</v>
      </c>
      <c r="E39" s="0" t="n">
        <v>36</v>
      </c>
      <c r="F39" s="0" t="n">
        <v>343</v>
      </c>
      <c r="G39" s="0" t="n">
        <v>36</v>
      </c>
      <c r="H39" s="0" t="n">
        <v>42</v>
      </c>
      <c r="I39" s="0" t="n">
        <v>36</v>
      </c>
      <c r="J39" s="0" t="n">
        <v>3513</v>
      </c>
      <c r="K39" s="0" t="n">
        <v>36</v>
      </c>
      <c r="L39" s="0" t="n">
        <v>528</v>
      </c>
      <c r="M39" s="0" t="n">
        <v>36</v>
      </c>
      <c r="N39" s="0" t="n">
        <v>54519</v>
      </c>
      <c r="O39" s="0" t="n">
        <v>36</v>
      </c>
      <c r="P39" s="0" t="n">
        <v>505</v>
      </c>
      <c r="Q39" s="0" t="n">
        <v>36</v>
      </c>
      <c r="R39" s="0" t="n">
        <v>440</v>
      </c>
      <c r="S39" s="0" t="n">
        <v>36</v>
      </c>
      <c r="T39" s="0" t="n">
        <v>5596</v>
      </c>
      <c r="U39" s="0" t="n">
        <v>36</v>
      </c>
      <c r="V39" s="0" t="n">
        <v>1071</v>
      </c>
      <c r="W39" s="0" t="n">
        <v>36</v>
      </c>
      <c r="X39" s="0" t="n">
        <v>44</v>
      </c>
      <c r="Y39" s="0" t="n">
        <v>36</v>
      </c>
      <c r="Z39" s="0" t="n">
        <v>44</v>
      </c>
      <c r="AA39" s="0" t="n">
        <v>36</v>
      </c>
      <c r="AB39" s="0" t="n">
        <v>1251</v>
      </c>
      <c r="AC39" s="0" t="n">
        <v>36</v>
      </c>
      <c r="AD39" s="0" t="n">
        <v>405</v>
      </c>
      <c r="AE39" s="0" t="n">
        <v>36</v>
      </c>
      <c r="AF39" s="0" t="n">
        <v>206</v>
      </c>
      <c r="AG39" s="0" t="n">
        <v>36</v>
      </c>
      <c r="AH39" s="0" t="n">
        <v>75</v>
      </c>
      <c r="AI39" s="0" t="n">
        <v>36</v>
      </c>
      <c r="AJ39" s="0" t="n">
        <v>202</v>
      </c>
      <c r="AK39" s="0" t="n">
        <v>36</v>
      </c>
      <c r="AL39" s="0" t="n">
        <v>744</v>
      </c>
      <c r="AM39" s="0" t="n">
        <v>36</v>
      </c>
      <c r="AN39" s="0" t="n">
        <v>375</v>
      </c>
      <c r="AO39" s="0" t="n">
        <v>36</v>
      </c>
      <c r="AP39" s="0" t="n">
        <v>1568</v>
      </c>
      <c r="AQ39" s="0" t="n">
        <v>36</v>
      </c>
      <c r="AR39" s="0" t="n">
        <v>4911</v>
      </c>
      <c r="AS39" s="0" t="n">
        <v>36</v>
      </c>
      <c r="AT39" s="0" t="n">
        <v>835</v>
      </c>
      <c r="AU39" s="0" t="n">
        <v>36</v>
      </c>
      <c r="AV39" s="0" t="n">
        <v>380</v>
      </c>
      <c r="AW39" s="0" t="n">
        <v>36</v>
      </c>
      <c r="AX39" s="0" t="n">
        <v>138</v>
      </c>
      <c r="AY39" s="0" t="n">
        <v>36</v>
      </c>
      <c r="AZ39" s="0" t="n">
        <v>315</v>
      </c>
      <c r="BA39" s="0" t="n">
        <v>36</v>
      </c>
      <c r="BB39" s="0" t="n">
        <v>15</v>
      </c>
      <c r="BC39" s="0" t="n">
        <v>36</v>
      </c>
      <c r="BD39" s="0" t="n">
        <v>111</v>
      </c>
      <c r="BE39" s="0" t="n">
        <v>36</v>
      </c>
      <c r="BF39" s="0" t="n">
        <v>150</v>
      </c>
      <c r="BG39" s="0" t="n">
        <v>36</v>
      </c>
      <c r="BH39" s="0" t="n">
        <v>736</v>
      </c>
      <c r="BI39" s="0" t="n">
        <v>36</v>
      </c>
      <c r="BJ39" s="0" t="n">
        <v>308153</v>
      </c>
      <c r="BK39" s="0" t="n">
        <v>36</v>
      </c>
      <c r="BL39" s="0" t="n">
        <v>126</v>
      </c>
      <c r="BM39" s="0" t="n">
        <v>36</v>
      </c>
      <c r="BN39" s="0" t="n">
        <v>7992613</v>
      </c>
      <c r="BO39" s="0" t="n">
        <v>36</v>
      </c>
      <c r="BP39" s="0" t="n">
        <v>1122</v>
      </c>
      <c r="BQ39" s="0" t="n">
        <v>36</v>
      </c>
      <c r="BR39" s="0" t="n">
        <v>40</v>
      </c>
      <c r="BS39" s="0" t="n">
        <v>36</v>
      </c>
      <c r="BT39" s="0" t="n">
        <v>1324</v>
      </c>
      <c r="BU39" s="0" t="n">
        <v>36</v>
      </c>
      <c r="BV39" s="0" t="n">
        <v>116</v>
      </c>
      <c r="BW39" s="0" t="n">
        <v>36</v>
      </c>
      <c r="BX39" s="0" t="n">
        <v>200</v>
      </c>
      <c r="BY39" s="0" t="n">
        <v>36</v>
      </c>
      <c r="BZ39" s="0" t="n">
        <v>29234</v>
      </c>
      <c r="CA39" s="0" t="n">
        <v>36</v>
      </c>
      <c r="CB39" s="0" t="n">
        <v>601</v>
      </c>
      <c r="CC39" s="0" t="n">
        <v>36</v>
      </c>
      <c r="CD39" s="0" t="n">
        <v>24</v>
      </c>
      <c r="CE39" s="0" t="n">
        <v>36</v>
      </c>
      <c r="CF39" s="0" t="n">
        <v>615</v>
      </c>
      <c r="CG39" s="0" t="n">
        <v>36</v>
      </c>
      <c r="CH39" s="0" t="n">
        <v>603</v>
      </c>
      <c r="CI39" s="0" t="n">
        <v>36</v>
      </c>
      <c r="CJ39" s="0" t="n">
        <v>1368</v>
      </c>
      <c r="CK39" s="0" t="n">
        <v>36</v>
      </c>
      <c r="CL39" s="0" t="n">
        <v>103</v>
      </c>
      <c r="CM39" s="0" t="n">
        <v>36</v>
      </c>
      <c r="CN39" s="0" t="n">
        <v>2203</v>
      </c>
      <c r="CO39" s="0" t="n">
        <v>36</v>
      </c>
      <c r="CP39" s="0" t="n">
        <v>3501</v>
      </c>
      <c r="CQ39" s="0" t="n">
        <v>36</v>
      </c>
      <c r="CR39" s="0" t="n">
        <v>198</v>
      </c>
      <c r="CS39" s="0" t="n">
        <v>36</v>
      </c>
      <c r="CT39" s="0" t="n">
        <v>130</v>
      </c>
      <c r="CU39" s="0" t="n">
        <v>36</v>
      </c>
      <c r="CV39" s="0" t="n">
        <v>298</v>
      </c>
      <c r="CW39" s="0" t="n">
        <v>36</v>
      </c>
      <c r="CX39" s="0" t="n">
        <v>22</v>
      </c>
    </row>
    <row r="40" customFormat="false" ht="12.75" hidden="false" customHeight="false" outlineLevel="0" collapsed="false">
      <c r="B40" s="0" t="n">
        <v>37</v>
      </c>
      <c r="C40" s="0" t="n">
        <v>689</v>
      </c>
      <c r="D40" s="0" t="n">
        <v>8</v>
      </c>
      <c r="E40" s="0" t="n">
        <v>37</v>
      </c>
      <c r="F40" s="0" t="n">
        <v>106</v>
      </c>
      <c r="G40" s="0" t="n">
        <v>37</v>
      </c>
      <c r="H40" s="0" t="n">
        <v>66</v>
      </c>
      <c r="I40" s="0" t="n">
        <v>37</v>
      </c>
      <c r="J40" s="0" t="n">
        <v>471</v>
      </c>
      <c r="K40" s="0" t="n">
        <v>37</v>
      </c>
      <c r="L40" s="0" t="n">
        <v>117</v>
      </c>
      <c r="M40" s="0" t="n">
        <v>37</v>
      </c>
      <c r="N40" s="0" t="n">
        <v>181</v>
      </c>
      <c r="O40" s="0" t="n">
        <v>37</v>
      </c>
      <c r="P40" s="0" t="n">
        <v>156</v>
      </c>
      <c r="Q40" s="0" t="n">
        <v>37</v>
      </c>
      <c r="R40" s="0" t="n">
        <v>32</v>
      </c>
      <c r="S40" s="0" t="n">
        <v>37</v>
      </c>
      <c r="T40" s="0" t="n">
        <v>2052</v>
      </c>
      <c r="U40" s="0" t="n">
        <v>37</v>
      </c>
      <c r="V40" s="0" t="n">
        <v>2958</v>
      </c>
      <c r="W40" s="0" t="n">
        <v>37</v>
      </c>
      <c r="X40" s="0" t="n">
        <v>34</v>
      </c>
      <c r="Y40" s="0" t="n">
        <v>37</v>
      </c>
      <c r="Z40" s="0" t="n">
        <v>8</v>
      </c>
      <c r="AA40" s="0" t="n">
        <v>37</v>
      </c>
      <c r="AB40" s="0" t="n">
        <v>516</v>
      </c>
      <c r="AC40" s="0" t="n">
        <v>37</v>
      </c>
      <c r="AD40" s="0" t="n">
        <v>269</v>
      </c>
      <c r="AE40" s="0" t="n">
        <v>37</v>
      </c>
      <c r="AF40" s="0" t="n">
        <v>69</v>
      </c>
      <c r="AG40" s="0" t="n">
        <v>37</v>
      </c>
      <c r="AH40" s="0" t="n">
        <v>191</v>
      </c>
      <c r="AI40" s="0" t="n">
        <v>37</v>
      </c>
      <c r="AJ40" s="0" t="n">
        <v>419</v>
      </c>
      <c r="AK40" s="0" t="n">
        <v>37</v>
      </c>
      <c r="AL40" s="0" t="n">
        <v>294</v>
      </c>
      <c r="AM40" s="0" t="n">
        <v>37</v>
      </c>
      <c r="AN40" s="0" t="n">
        <v>9</v>
      </c>
      <c r="AO40" s="0" t="n">
        <v>37</v>
      </c>
      <c r="AP40" s="0" t="n">
        <v>697</v>
      </c>
      <c r="AQ40" s="0" t="n">
        <v>37</v>
      </c>
      <c r="AR40" s="0" t="n">
        <v>368</v>
      </c>
      <c r="AS40" s="0" t="n">
        <v>37</v>
      </c>
      <c r="AT40" s="0" t="n">
        <v>328</v>
      </c>
      <c r="AU40" s="0" t="n">
        <v>37</v>
      </c>
      <c r="AV40" s="0" t="n">
        <v>110</v>
      </c>
      <c r="AW40" s="0" t="n">
        <v>37</v>
      </c>
      <c r="AX40" s="0" t="n">
        <v>342</v>
      </c>
      <c r="AY40" s="0" t="n">
        <v>37</v>
      </c>
      <c r="AZ40" s="0" t="n">
        <v>133</v>
      </c>
      <c r="BA40" s="0" t="n">
        <v>37</v>
      </c>
      <c r="BB40" s="0" t="n">
        <v>26</v>
      </c>
      <c r="BC40" s="0" t="n">
        <v>37</v>
      </c>
      <c r="BD40" s="0" t="n">
        <v>0</v>
      </c>
      <c r="BE40" s="0" t="n">
        <v>37</v>
      </c>
      <c r="BF40" s="0" t="n">
        <v>21</v>
      </c>
      <c r="BG40" s="0" t="n">
        <v>37</v>
      </c>
      <c r="BH40" s="0" t="n">
        <v>61</v>
      </c>
      <c r="BI40" s="0" t="n">
        <v>37</v>
      </c>
      <c r="BJ40" s="0" t="n">
        <v>504</v>
      </c>
      <c r="BK40" s="0" t="n">
        <v>37</v>
      </c>
      <c r="BL40" s="0" t="n">
        <v>18</v>
      </c>
      <c r="BM40" s="0" t="n">
        <v>37</v>
      </c>
      <c r="BN40" s="0" t="n">
        <v>982</v>
      </c>
      <c r="BO40" s="0" t="n">
        <v>37</v>
      </c>
      <c r="BP40" s="0" t="n">
        <v>3230625</v>
      </c>
      <c r="BQ40" s="0" t="n">
        <v>37</v>
      </c>
      <c r="BR40" s="0" t="n">
        <v>0</v>
      </c>
      <c r="BS40" s="0" t="n">
        <v>37</v>
      </c>
      <c r="BT40" s="0" t="n">
        <v>780</v>
      </c>
      <c r="BU40" s="0" t="n">
        <v>37</v>
      </c>
      <c r="BV40" s="0" t="n">
        <v>109</v>
      </c>
      <c r="BW40" s="0" t="n">
        <v>37</v>
      </c>
      <c r="BX40" s="0" t="n">
        <v>77</v>
      </c>
      <c r="BY40" s="0" t="n">
        <v>37</v>
      </c>
      <c r="BZ40" s="0" t="n">
        <v>1024</v>
      </c>
      <c r="CA40" s="0" t="n">
        <v>37</v>
      </c>
      <c r="CB40" s="0" t="n">
        <v>52</v>
      </c>
      <c r="CC40" s="0" t="n">
        <v>37</v>
      </c>
      <c r="CD40" s="0" t="n">
        <v>0</v>
      </c>
      <c r="CE40" s="0" t="n">
        <v>37</v>
      </c>
      <c r="CF40" s="0" t="n">
        <v>40143</v>
      </c>
      <c r="CG40" s="0" t="n">
        <v>37</v>
      </c>
      <c r="CH40" s="0" t="n">
        <v>3444</v>
      </c>
      <c r="CI40" s="0" t="n">
        <v>37</v>
      </c>
      <c r="CJ40" s="0" t="n">
        <v>943</v>
      </c>
      <c r="CK40" s="0" t="n">
        <v>37</v>
      </c>
      <c r="CL40" s="0" t="n">
        <v>24</v>
      </c>
      <c r="CM40" s="0" t="n">
        <v>37</v>
      </c>
      <c r="CN40" s="0" t="n">
        <v>0</v>
      </c>
      <c r="CO40" s="0" t="n">
        <v>37</v>
      </c>
      <c r="CP40" s="0" t="n">
        <v>13383</v>
      </c>
      <c r="CQ40" s="0" t="n">
        <v>37</v>
      </c>
      <c r="CR40" s="0" t="n">
        <v>111</v>
      </c>
      <c r="CS40" s="0" t="n">
        <v>37</v>
      </c>
      <c r="CT40" s="0" t="n">
        <v>631</v>
      </c>
      <c r="CU40" s="0" t="n">
        <v>37</v>
      </c>
      <c r="CV40" s="0" t="n">
        <v>149</v>
      </c>
      <c r="CW40" s="0" t="n">
        <v>37</v>
      </c>
      <c r="CX40" s="0" t="n">
        <v>8</v>
      </c>
    </row>
    <row r="41" customFormat="false" ht="12.75" hidden="false" customHeight="false" outlineLevel="0" collapsed="false">
      <c r="B41" s="0" t="n">
        <v>38</v>
      </c>
      <c r="C41" s="0" t="n">
        <v>32</v>
      </c>
      <c r="D41" s="0" t="n">
        <v>0</v>
      </c>
      <c r="E41" s="0" t="n">
        <v>38</v>
      </c>
      <c r="F41" s="0" t="n">
        <v>69</v>
      </c>
      <c r="G41" s="0" t="n">
        <v>38</v>
      </c>
      <c r="H41" s="0" t="n">
        <v>0</v>
      </c>
      <c r="I41" s="0" t="n">
        <v>38</v>
      </c>
      <c r="J41" s="0" t="n">
        <v>91</v>
      </c>
      <c r="K41" s="0" t="n">
        <v>38</v>
      </c>
      <c r="L41" s="0" t="n">
        <v>72</v>
      </c>
      <c r="M41" s="0" t="n">
        <v>38</v>
      </c>
      <c r="N41" s="0" t="n">
        <v>0</v>
      </c>
      <c r="O41" s="0" t="n">
        <v>38</v>
      </c>
      <c r="P41" s="0" t="n">
        <v>0</v>
      </c>
      <c r="Q41" s="0" t="n">
        <v>38</v>
      </c>
      <c r="R41" s="0" t="n">
        <v>0</v>
      </c>
      <c r="S41" s="0" t="n">
        <v>38</v>
      </c>
      <c r="T41" s="0" t="n">
        <v>22</v>
      </c>
      <c r="U41" s="0" t="n">
        <v>38</v>
      </c>
      <c r="V41" s="0" t="n">
        <v>0</v>
      </c>
      <c r="W41" s="0" t="n">
        <v>38</v>
      </c>
      <c r="X41" s="0" t="n">
        <v>0</v>
      </c>
      <c r="Y41" s="0" t="n">
        <v>38</v>
      </c>
      <c r="Z41" s="0" t="n">
        <v>0</v>
      </c>
      <c r="AA41" s="0" t="n">
        <v>38</v>
      </c>
      <c r="AB41" s="0" t="n">
        <v>105</v>
      </c>
      <c r="AC41" s="0" t="n">
        <v>38</v>
      </c>
      <c r="AD41" s="0" t="n">
        <v>0</v>
      </c>
      <c r="AE41" s="0" t="n">
        <v>38</v>
      </c>
      <c r="AF41" s="0" t="n">
        <v>12</v>
      </c>
      <c r="AG41" s="0" t="n">
        <v>38</v>
      </c>
      <c r="AH41" s="0" t="n">
        <v>58</v>
      </c>
      <c r="AI41" s="0" t="n">
        <v>38</v>
      </c>
      <c r="AJ41" s="0" t="n">
        <v>0</v>
      </c>
      <c r="AK41" s="0" t="n">
        <v>38</v>
      </c>
      <c r="AL41" s="0" t="n">
        <v>0</v>
      </c>
      <c r="AM41" s="0" t="n">
        <v>38</v>
      </c>
      <c r="AN41" s="0" t="n">
        <v>0</v>
      </c>
      <c r="AO41" s="0" t="n">
        <v>38</v>
      </c>
      <c r="AP41" s="0" t="n">
        <v>0</v>
      </c>
      <c r="AQ41" s="0" t="n">
        <v>38</v>
      </c>
      <c r="AR41" s="0" t="n">
        <v>0</v>
      </c>
      <c r="AS41" s="0" t="n">
        <v>38</v>
      </c>
      <c r="AT41" s="0" t="n">
        <v>27</v>
      </c>
      <c r="AU41" s="0" t="n">
        <v>38</v>
      </c>
      <c r="AV41" s="0" t="n">
        <v>15425</v>
      </c>
      <c r="AW41" s="0" t="n">
        <v>38</v>
      </c>
      <c r="AX41" s="0" t="n">
        <v>0</v>
      </c>
      <c r="AY41" s="0" t="n">
        <v>38</v>
      </c>
      <c r="AZ41" s="0" t="n">
        <v>105</v>
      </c>
      <c r="BA41" s="0" t="n">
        <v>38</v>
      </c>
      <c r="BB41" s="0" t="n">
        <v>415</v>
      </c>
      <c r="BC41" s="0" t="n">
        <v>38</v>
      </c>
      <c r="BD41" s="0" t="n">
        <v>8</v>
      </c>
      <c r="BE41" s="0" t="n">
        <v>38</v>
      </c>
      <c r="BF41" s="0" t="n">
        <v>0</v>
      </c>
      <c r="BG41" s="0" t="n">
        <v>38</v>
      </c>
      <c r="BH41" s="0" t="n">
        <v>0</v>
      </c>
      <c r="BI41" s="0" t="n">
        <v>38</v>
      </c>
      <c r="BJ41" s="0" t="n">
        <v>0</v>
      </c>
      <c r="BK41" s="0" t="n">
        <v>38</v>
      </c>
      <c r="BL41" s="0" t="n">
        <v>0</v>
      </c>
      <c r="BM41" s="0" t="n">
        <v>38</v>
      </c>
      <c r="BN41" s="0" t="n">
        <v>45</v>
      </c>
      <c r="BO41" s="0" t="n">
        <v>38</v>
      </c>
      <c r="BP41" s="0" t="n">
        <v>33</v>
      </c>
      <c r="BQ41" s="0" t="n">
        <v>38</v>
      </c>
      <c r="BR41" s="0" t="n">
        <v>283510</v>
      </c>
      <c r="BS41" s="0" t="n">
        <v>38</v>
      </c>
      <c r="BT41" s="0" t="n">
        <v>71</v>
      </c>
      <c r="BU41" s="0" t="n">
        <v>38</v>
      </c>
      <c r="BV41" s="0" t="n">
        <v>37</v>
      </c>
      <c r="BW41" s="0" t="n">
        <v>38</v>
      </c>
      <c r="BX41" s="0" t="n">
        <v>64</v>
      </c>
      <c r="BY41" s="0" t="n">
        <v>38</v>
      </c>
      <c r="BZ41" s="0" t="n">
        <v>7</v>
      </c>
      <c r="CA41" s="0" t="n">
        <v>38</v>
      </c>
      <c r="CB41" s="0" t="n">
        <v>23</v>
      </c>
      <c r="CC41" s="0" t="n">
        <v>38</v>
      </c>
      <c r="CD41" s="0" t="n">
        <v>620</v>
      </c>
      <c r="CE41" s="0" t="n">
        <v>38</v>
      </c>
      <c r="CF41" s="0" t="n">
        <v>0</v>
      </c>
      <c r="CG41" s="0" t="n">
        <v>38</v>
      </c>
      <c r="CH41" s="0" t="n">
        <v>0</v>
      </c>
      <c r="CI41" s="0" t="n">
        <v>38</v>
      </c>
      <c r="CJ41" s="0" t="n">
        <v>34</v>
      </c>
      <c r="CK41" s="0" t="n">
        <v>38</v>
      </c>
      <c r="CL41" s="0" t="n">
        <v>0</v>
      </c>
      <c r="CM41" s="0" t="n">
        <v>38</v>
      </c>
      <c r="CN41" s="0" t="n">
        <v>0</v>
      </c>
      <c r="CO41" s="0" t="n">
        <v>38</v>
      </c>
      <c r="CP41" s="0" t="n">
        <v>30</v>
      </c>
      <c r="CQ41" s="0" t="n">
        <v>38</v>
      </c>
      <c r="CR41" s="0" t="n">
        <v>51</v>
      </c>
      <c r="CS41" s="0" t="n">
        <v>38</v>
      </c>
      <c r="CT41" s="0" t="n">
        <v>0</v>
      </c>
      <c r="CU41" s="0" t="n">
        <v>38</v>
      </c>
      <c r="CV41" s="0" t="n">
        <v>52</v>
      </c>
      <c r="CW41" s="0" t="n">
        <v>38</v>
      </c>
      <c r="CX41" s="0" t="n">
        <v>134</v>
      </c>
    </row>
    <row r="42" customFormat="false" ht="12.75" hidden="false" customHeight="false" outlineLevel="0" collapsed="false">
      <c r="B42" s="0" t="n">
        <v>39</v>
      </c>
      <c r="C42" s="0" t="n">
        <v>252</v>
      </c>
      <c r="D42" s="0" t="n">
        <v>15</v>
      </c>
      <c r="E42" s="0" t="n">
        <v>39</v>
      </c>
      <c r="F42" s="0" t="n">
        <v>308</v>
      </c>
      <c r="G42" s="0" t="n">
        <v>39</v>
      </c>
      <c r="H42" s="0" t="n">
        <v>81</v>
      </c>
      <c r="I42" s="0" t="n">
        <v>39</v>
      </c>
      <c r="J42" s="0" t="n">
        <v>806</v>
      </c>
      <c r="K42" s="0" t="n">
        <v>39</v>
      </c>
      <c r="L42" s="0" t="n">
        <v>306</v>
      </c>
      <c r="M42" s="0" t="n">
        <v>39</v>
      </c>
      <c r="N42" s="0" t="n">
        <v>179</v>
      </c>
      <c r="O42" s="0" t="n">
        <v>39</v>
      </c>
      <c r="P42" s="0" t="n">
        <v>82</v>
      </c>
      <c r="Q42" s="0" t="n">
        <v>39</v>
      </c>
      <c r="R42" s="0" t="n">
        <v>57</v>
      </c>
      <c r="S42" s="0" t="n">
        <v>39</v>
      </c>
      <c r="T42" s="0" t="n">
        <v>1283</v>
      </c>
      <c r="U42" s="0" t="n">
        <v>39</v>
      </c>
      <c r="V42" s="0" t="n">
        <v>663</v>
      </c>
      <c r="W42" s="0" t="n">
        <v>39</v>
      </c>
      <c r="X42" s="0" t="n">
        <v>33</v>
      </c>
      <c r="Y42" s="0" t="n">
        <v>39</v>
      </c>
      <c r="Z42" s="0" t="n">
        <v>24</v>
      </c>
      <c r="AA42" s="0" t="n">
        <v>39</v>
      </c>
      <c r="AB42" s="0" t="n">
        <v>1620</v>
      </c>
      <c r="AC42" s="0" t="n">
        <v>39</v>
      </c>
      <c r="AD42" s="0" t="n">
        <v>18508</v>
      </c>
      <c r="AE42" s="0" t="n">
        <v>39</v>
      </c>
      <c r="AF42" s="0" t="n">
        <v>188</v>
      </c>
      <c r="AG42" s="0" t="n">
        <v>39</v>
      </c>
      <c r="AH42" s="0" t="n">
        <v>47</v>
      </c>
      <c r="AI42" s="0" t="n">
        <v>39</v>
      </c>
      <c r="AJ42" s="0" t="n">
        <v>57668</v>
      </c>
      <c r="AK42" s="0" t="n">
        <v>39</v>
      </c>
      <c r="AL42" s="0" t="n">
        <v>168</v>
      </c>
      <c r="AM42" s="0" t="n">
        <v>39</v>
      </c>
      <c r="AN42" s="0" t="n">
        <v>36</v>
      </c>
      <c r="AO42" s="0" t="n">
        <v>39</v>
      </c>
      <c r="AP42" s="0" t="n">
        <v>213</v>
      </c>
      <c r="AQ42" s="0" t="n">
        <v>39</v>
      </c>
      <c r="AR42" s="0" t="n">
        <v>335</v>
      </c>
      <c r="AS42" s="0" t="n">
        <v>39</v>
      </c>
      <c r="AT42" s="0" t="n">
        <v>20259</v>
      </c>
      <c r="AU42" s="0" t="n">
        <v>39</v>
      </c>
      <c r="AV42" s="0" t="n">
        <v>206</v>
      </c>
      <c r="AW42" s="0" t="n">
        <v>39</v>
      </c>
      <c r="AX42" s="0" t="n">
        <v>72</v>
      </c>
      <c r="AY42" s="0" t="n">
        <v>39</v>
      </c>
      <c r="AZ42" s="0" t="n">
        <v>480</v>
      </c>
      <c r="BA42" s="0" t="n">
        <v>39</v>
      </c>
      <c r="BB42" s="0" t="n">
        <v>12</v>
      </c>
      <c r="BC42" s="0" t="n">
        <v>39</v>
      </c>
      <c r="BD42" s="0" t="n">
        <v>41</v>
      </c>
      <c r="BE42" s="0" t="n">
        <v>39</v>
      </c>
      <c r="BF42" s="0" t="n">
        <v>78</v>
      </c>
      <c r="BG42" s="0" t="n">
        <v>39</v>
      </c>
      <c r="BH42" s="0" t="n">
        <v>120</v>
      </c>
      <c r="BI42" s="0" t="n">
        <v>39</v>
      </c>
      <c r="BJ42" s="0" t="n">
        <v>637</v>
      </c>
      <c r="BK42" s="0" t="n">
        <v>39</v>
      </c>
      <c r="BL42" s="0" t="n">
        <v>45</v>
      </c>
      <c r="BM42" s="0" t="n">
        <v>39</v>
      </c>
      <c r="BN42" s="0" t="n">
        <v>1259</v>
      </c>
      <c r="BO42" s="0" t="n">
        <v>39</v>
      </c>
      <c r="BP42" s="0" t="n">
        <v>657</v>
      </c>
      <c r="BQ42" s="0" t="n">
        <v>39</v>
      </c>
      <c r="BR42" s="0" t="n">
        <v>35</v>
      </c>
      <c r="BS42" s="0" t="n">
        <v>39</v>
      </c>
      <c r="BT42" s="0" t="n">
        <v>4722080</v>
      </c>
      <c r="BU42" s="0" t="n">
        <v>39</v>
      </c>
      <c r="BV42" s="0" t="n">
        <v>251</v>
      </c>
      <c r="BW42" s="0" t="n">
        <v>39</v>
      </c>
      <c r="BX42" s="0" t="n">
        <v>0</v>
      </c>
      <c r="BY42" s="0" t="n">
        <v>39</v>
      </c>
      <c r="BZ42" s="0" t="n">
        <v>12063</v>
      </c>
      <c r="CA42" s="0" t="n">
        <v>39</v>
      </c>
      <c r="CB42" s="0" t="n">
        <v>38</v>
      </c>
      <c r="CC42" s="0" t="n">
        <v>39</v>
      </c>
      <c r="CD42" s="0" t="n">
        <v>53</v>
      </c>
      <c r="CE42" s="0" t="n">
        <v>39</v>
      </c>
      <c r="CF42" s="0" t="n">
        <v>228</v>
      </c>
      <c r="CG42" s="0" t="n">
        <v>39</v>
      </c>
      <c r="CH42" s="0" t="n">
        <v>669</v>
      </c>
      <c r="CI42" s="0" t="n">
        <v>39</v>
      </c>
      <c r="CJ42" s="0" t="n">
        <v>1014</v>
      </c>
      <c r="CK42" s="0" t="n">
        <v>39</v>
      </c>
      <c r="CL42" s="0" t="n">
        <v>114</v>
      </c>
      <c r="CM42" s="0" t="n">
        <v>39</v>
      </c>
      <c r="CN42" s="0" t="n">
        <v>31</v>
      </c>
      <c r="CO42" s="0" t="n">
        <v>39</v>
      </c>
      <c r="CP42" s="0" t="n">
        <v>570</v>
      </c>
      <c r="CQ42" s="0" t="n">
        <v>39</v>
      </c>
      <c r="CR42" s="0" t="n">
        <v>90</v>
      </c>
      <c r="CS42" s="0" t="n">
        <v>39</v>
      </c>
      <c r="CT42" s="0" t="n">
        <v>15191</v>
      </c>
      <c r="CU42" s="0" t="n">
        <v>39</v>
      </c>
      <c r="CV42" s="0" t="n">
        <v>279</v>
      </c>
      <c r="CW42" s="0" t="n">
        <v>39</v>
      </c>
      <c r="CX42" s="0" t="n">
        <v>7</v>
      </c>
    </row>
    <row r="43" customFormat="false" ht="12.75" hidden="false" customHeight="false" outlineLevel="0" collapsed="false">
      <c r="B43" s="0" t="n">
        <v>40</v>
      </c>
      <c r="C43" s="0" t="n">
        <v>118</v>
      </c>
      <c r="D43" s="0" t="n">
        <v>23</v>
      </c>
      <c r="E43" s="0" t="n">
        <v>40</v>
      </c>
      <c r="F43" s="0" t="n">
        <v>85</v>
      </c>
      <c r="G43" s="0" t="n">
        <v>40</v>
      </c>
      <c r="H43" s="0" t="n">
        <v>2973</v>
      </c>
      <c r="I43" s="0" t="n">
        <v>40</v>
      </c>
      <c r="J43" s="0" t="n">
        <v>386</v>
      </c>
      <c r="K43" s="0" t="n">
        <v>40</v>
      </c>
      <c r="L43" s="0" t="n">
        <v>303</v>
      </c>
      <c r="M43" s="0" t="n">
        <v>40</v>
      </c>
      <c r="N43" s="0" t="n">
        <v>11</v>
      </c>
      <c r="O43" s="0" t="n">
        <v>40</v>
      </c>
      <c r="P43" s="0" t="n">
        <v>0</v>
      </c>
      <c r="Q43" s="0" t="n">
        <v>40</v>
      </c>
      <c r="R43" s="0" t="n">
        <v>19</v>
      </c>
      <c r="S43" s="0" t="n">
        <v>40</v>
      </c>
      <c r="T43" s="0" t="n">
        <v>310</v>
      </c>
      <c r="U43" s="0" t="n">
        <v>40</v>
      </c>
      <c r="V43" s="0" t="n">
        <v>149</v>
      </c>
      <c r="W43" s="0" t="n">
        <v>40</v>
      </c>
      <c r="X43" s="0" t="n">
        <v>8</v>
      </c>
      <c r="Y43" s="0" t="n">
        <v>40</v>
      </c>
      <c r="Z43" s="0" t="n">
        <v>0</v>
      </c>
      <c r="AA43" s="0" t="n">
        <v>40</v>
      </c>
      <c r="AB43" s="0" t="n">
        <v>189</v>
      </c>
      <c r="AC43" s="0" t="n">
        <v>40</v>
      </c>
      <c r="AD43" s="0" t="n">
        <v>55</v>
      </c>
      <c r="AE43" s="0" t="n">
        <v>40</v>
      </c>
      <c r="AF43" s="0" t="n">
        <v>100</v>
      </c>
      <c r="AG43" s="0" t="n">
        <v>40</v>
      </c>
      <c r="AH43" s="0" t="n">
        <v>2511</v>
      </c>
      <c r="AI43" s="0" t="n">
        <v>40</v>
      </c>
      <c r="AJ43" s="0" t="n">
        <v>75</v>
      </c>
      <c r="AK43" s="0" t="n">
        <v>40</v>
      </c>
      <c r="AL43" s="0" t="n">
        <v>180</v>
      </c>
      <c r="AM43" s="0" t="n">
        <v>40</v>
      </c>
      <c r="AN43" s="0" t="n">
        <v>0</v>
      </c>
      <c r="AO43" s="0" t="n">
        <v>40</v>
      </c>
      <c r="AP43" s="0" t="n">
        <v>29</v>
      </c>
      <c r="AQ43" s="0" t="n">
        <v>40</v>
      </c>
      <c r="AR43" s="0" t="n">
        <v>16</v>
      </c>
      <c r="AS43" s="0" t="n">
        <v>40</v>
      </c>
      <c r="AT43" s="0" t="n">
        <v>117</v>
      </c>
      <c r="AU43" s="0" t="n">
        <v>40</v>
      </c>
      <c r="AV43" s="0" t="n">
        <v>37</v>
      </c>
      <c r="AW43" s="0" t="n">
        <v>40</v>
      </c>
      <c r="AX43" s="0" t="n">
        <v>90</v>
      </c>
      <c r="AY43" s="0" t="n">
        <v>40</v>
      </c>
      <c r="AZ43" s="0" t="n">
        <v>1016</v>
      </c>
      <c r="BA43" s="0" t="n">
        <v>40</v>
      </c>
      <c r="BB43" s="0" t="n">
        <v>23</v>
      </c>
      <c r="BC43" s="0" t="n">
        <v>40</v>
      </c>
      <c r="BD43" s="0" t="n">
        <v>113</v>
      </c>
      <c r="BE43" s="0" t="n">
        <v>40</v>
      </c>
      <c r="BF43" s="0" t="n">
        <v>31</v>
      </c>
      <c r="BG43" s="0" t="n">
        <v>40</v>
      </c>
      <c r="BH43" s="0" t="n">
        <v>7</v>
      </c>
      <c r="BI43" s="0" t="n">
        <v>40</v>
      </c>
      <c r="BJ43" s="0" t="n">
        <v>32</v>
      </c>
      <c r="BK43" s="0" t="n">
        <v>40</v>
      </c>
      <c r="BL43" s="0" t="n">
        <v>240</v>
      </c>
      <c r="BM43" s="0" t="n">
        <v>40</v>
      </c>
      <c r="BN43" s="0" t="n">
        <v>101</v>
      </c>
      <c r="BO43" s="0" t="n">
        <v>40</v>
      </c>
      <c r="BP43" s="0" t="n">
        <v>195</v>
      </c>
      <c r="BQ43" s="0" t="n">
        <v>40</v>
      </c>
      <c r="BR43" s="0" t="n">
        <v>65</v>
      </c>
      <c r="BS43" s="0" t="n">
        <v>40</v>
      </c>
      <c r="BT43" s="0" t="n">
        <v>102</v>
      </c>
      <c r="BU43" s="0" t="n">
        <v>40</v>
      </c>
      <c r="BV43" s="0" t="n">
        <v>1328114</v>
      </c>
      <c r="BW43" s="0" t="n">
        <v>40</v>
      </c>
      <c r="BX43" s="0" t="n">
        <v>54</v>
      </c>
      <c r="BY43" s="0" t="n">
        <v>40</v>
      </c>
      <c r="BZ43" s="0" t="n">
        <v>57</v>
      </c>
      <c r="CA43" s="0" t="n">
        <v>40</v>
      </c>
      <c r="CB43" s="0" t="n">
        <v>0</v>
      </c>
      <c r="CC43" s="0" t="n">
        <v>40</v>
      </c>
      <c r="CD43" s="0" t="n">
        <v>0</v>
      </c>
      <c r="CE43" s="0" t="n">
        <v>40</v>
      </c>
      <c r="CF43" s="0" t="n">
        <v>147</v>
      </c>
      <c r="CG43" s="0" t="n">
        <v>40</v>
      </c>
      <c r="CH43" s="0" t="n">
        <v>126</v>
      </c>
      <c r="CI43" s="0" t="n">
        <v>40</v>
      </c>
      <c r="CJ43" s="0" t="n">
        <v>4094</v>
      </c>
      <c r="CK43" s="0" t="n">
        <v>40</v>
      </c>
      <c r="CL43" s="0" t="n">
        <v>30</v>
      </c>
      <c r="CM43" s="0" t="n">
        <v>40</v>
      </c>
      <c r="CN43" s="0" t="n">
        <v>0</v>
      </c>
      <c r="CO43" s="0" t="n">
        <v>40</v>
      </c>
      <c r="CP43" s="0" t="n">
        <v>102</v>
      </c>
      <c r="CQ43" s="0" t="n">
        <v>40</v>
      </c>
      <c r="CR43" s="0" t="n">
        <v>57</v>
      </c>
      <c r="CS43" s="0" t="n">
        <v>40</v>
      </c>
      <c r="CT43" s="0" t="n">
        <v>62</v>
      </c>
      <c r="CU43" s="0" t="n">
        <v>40</v>
      </c>
      <c r="CV43" s="0" t="n">
        <v>77</v>
      </c>
      <c r="CW43" s="0" t="n">
        <v>40</v>
      </c>
      <c r="CX43" s="0" t="n">
        <v>39</v>
      </c>
    </row>
    <row r="44" customFormat="false" ht="12.75" hidden="false" customHeight="false" outlineLevel="0" collapsed="false">
      <c r="B44" s="0" t="n">
        <v>41</v>
      </c>
      <c r="C44" s="0" t="n">
        <v>35</v>
      </c>
      <c r="D44" s="0" t="n">
        <v>8</v>
      </c>
      <c r="E44" s="0" t="n">
        <v>41</v>
      </c>
      <c r="F44" s="0" t="n">
        <v>71</v>
      </c>
      <c r="G44" s="0" t="n">
        <v>41</v>
      </c>
      <c r="H44" s="0" t="n">
        <v>57</v>
      </c>
      <c r="I44" s="0" t="n">
        <v>41</v>
      </c>
      <c r="J44" s="0" t="n">
        <v>2026</v>
      </c>
      <c r="K44" s="0" t="n">
        <v>41</v>
      </c>
      <c r="L44" s="0" t="n">
        <v>120</v>
      </c>
      <c r="M44" s="0" t="n">
        <v>41</v>
      </c>
      <c r="N44" s="0" t="n">
        <v>23</v>
      </c>
      <c r="O44" s="0" t="n">
        <v>41</v>
      </c>
      <c r="P44" s="0" t="n">
        <v>0</v>
      </c>
      <c r="Q44" s="0" t="n">
        <v>41</v>
      </c>
      <c r="R44" s="0" t="n">
        <v>0</v>
      </c>
      <c r="S44" s="0" t="n">
        <v>41</v>
      </c>
      <c r="T44" s="0" t="n">
        <v>77</v>
      </c>
      <c r="U44" s="0" t="n">
        <v>41</v>
      </c>
      <c r="V44" s="0" t="n">
        <v>36</v>
      </c>
      <c r="W44" s="0" t="n">
        <v>41</v>
      </c>
      <c r="X44" s="0" t="n">
        <v>22</v>
      </c>
      <c r="Y44" s="0" t="n">
        <v>41</v>
      </c>
      <c r="Z44" s="0" t="n">
        <v>3244</v>
      </c>
      <c r="AA44" s="0" t="n">
        <v>41</v>
      </c>
      <c r="AB44" s="0" t="n">
        <v>87</v>
      </c>
      <c r="AC44" s="0" t="n">
        <v>41</v>
      </c>
      <c r="AD44" s="0" t="n">
        <v>19</v>
      </c>
      <c r="AE44" s="0" t="n">
        <v>41</v>
      </c>
      <c r="AF44" s="0" t="n">
        <v>0</v>
      </c>
      <c r="AG44" s="0" t="n">
        <v>41</v>
      </c>
      <c r="AH44" s="0" t="n">
        <v>64</v>
      </c>
      <c r="AI44" s="0" t="n">
        <v>41</v>
      </c>
      <c r="AJ44" s="0" t="n">
        <v>0</v>
      </c>
      <c r="AK44" s="0" t="n">
        <v>41</v>
      </c>
      <c r="AL44" s="0" t="n">
        <v>42</v>
      </c>
      <c r="AM44" s="0" t="n">
        <v>41</v>
      </c>
      <c r="AN44" s="0" t="n">
        <v>0</v>
      </c>
      <c r="AO44" s="0" t="n">
        <v>41</v>
      </c>
      <c r="AP44" s="0" t="n">
        <v>93</v>
      </c>
      <c r="AQ44" s="0" t="n">
        <v>41</v>
      </c>
      <c r="AR44" s="0" t="n">
        <v>39</v>
      </c>
      <c r="AS44" s="0" t="n">
        <v>41</v>
      </c>
      <c r="AT44" s="0" t="n">
        <v>38</v>
      </c>
      <c r="AU44" s="0" t="n">
        <v>41</v>
      </c>
      <c r="AV44" s="0" t="n">
        <v>106</v>
      </c>
      <c r="AW44" s="0" t="n">
        <v>41</v>
      </c>
      <c r="AX44" s="0" t="n">
        <v>30</v>
      </c>
      <c r="AY44" s="0" t="n">
        <v>41</v>
      </c>
      <c r="AZ44" s="0" t="n">
        <v>27</v>
      </c>
      <c r="BA44" s="0" t="n">
        <v>41</v>
      </c>
      <c r="BB44" s="0" t="n">
        <v>224</v>
      </c>
      <c r="BC44" s="0" t="n">
        <v>41</v>
      </c>
      <c r="BD44" s="0" t="n">
        <v>0</v>
      </c>
      <c r="BE44" s="0" t="n">
        <v>41</v>
      </c>
      <c r="BF44" s="0" t="n">
        <v>86</v>
      </c>
      <c r="BG44" s="0" t="n">
        <v>41</v>
      </c>
      <c r="BH44" s="0" t="n">
        <v>7</v>
      </c>
      <c r="BI44" s="0" t="n">
        <v>41</v>
      </c>
      <c r="BJ44" s="0" t="n">
        <v>65</v>
      </c>
      <c r="BK44" s="0" t="n">
        <v>41</v>
      </c>
      <c r="BL44" s="0" t="n">
        <v>18</v>
      </c>
      <c r="BM44" s="0" t="n">
        <v>41</v>
      </c>
      <c r="BN44" s="0" t="n">
        <v>118</v>
      </c>
      <c r="BO44" s="0" t="n">
        <v>41</v>
      </c>
      <c r="BP44" s="0" t="n">
        <v>0</v>
      </c>
      <c r="BQ44" s="0" t="n">
        <v>41</v>
      </c>
      <c r="BR44" s="0" t="n">
        <v>30</v>
      </c>
      <c r="BS44" s="0" t="n">
        <v>41</v>
      </c>
      <c r="BT44" s="0" t="n">
        <v>41</v>
      </c>
      <c r="BU44" s="0" t="n">
        <v>41</v>
      </c>
      <c r="BV44" s="0" t="n">
        <v>37</v>
      </c>
      <c r="BW44" s="0" t="n">
        <v>41</v>
      </c>
      <c r="BX44" s="0" t="n">
        <v>1266489</v>
      </c>
      <c r="BY44" s="0" t="n">
        <v>41</v>
      </c>
      <c r="BZ44" s="0" t="n">
        <v>109</v>
      </c>
      <c r="CA44" s="0" t="n">
        <v>41</v>
      </c>
      <c r="CB44" s="0" t="n">
        <v>0</v>
      </c>
      <c r="CC44" s="0" t="n">
        <v>41</v>
      </c>
      <c r="CD44" s="0" t="n">
        <v>10</v>
      </c>
      <c r="CE44" s="0" t="n">
        <v>41</v>
      </c>
      <c r="CF44" s="0" t="n">
        <v>0</v>
      </c>
      <c r="CG44" s="0" t="n">
        <v>41</v>
      </c>
      <c r="CH44" s="0" t="n">
        <v>21</v>
      </c>
      <c r="CI44" s="0" t="n">
        <v>41</v>
      </c>
      <c r="CJ44" s="0" t="n">
        <v>134</v>
      </c>
      <c r="CK44" s="0" t="n">
        <v>41</v>
      </c>
      <c r="CL44" s="0" t="n">
        <v>101</v>
      </c>
      <c r="CM44" s="0" t="n">
        <v>41</v>
      </c>
      <c r="CN44" s="0" t="n">
        <v>0</v>
      </c>
      <c r="CO44" s="0" t="n">
        <v>41</v>
      </c>
      <c r="CP44" s="0" t="n">
        <v>66</v>
      </c>
      <c r="CQ44" s="0" t="n">
        <v>41</v>
      </c>
      <c r="CR44" s="0" t="n">
        <v>41604</v>
      </c>
      <c r="CS44" s="0" t="n">
        <v>41</v>
      </c>
      <c r="CT44" s="0" t="n">
        <v>0</v>
      </c>
      <c r="CU44" s="0" t="n">
        <v>41</v>
      </c>
      <c r="CV44" s="0" t="n">
        <v>19</v>
      </c>
      <c r="CW44" s="0" t="n">
        <v>41</v>
      </c>
      <c r="CX44" s="0" t="n">
        <v>39</v>
      </c>
    </row>
    <row r="45" customFormat="false" ht="12.75" hidden="false" customHeight="false" outlineLevel="0" collapsed="false">
      <c r="B45" s="0" t="n">
        <v>42</v>
      </c>
      <c r="C45" s="0" t="n">
        <v>224</v>
      </c>
      <c r="D45" s="0" t="n">
        <v>0</v>
      </c>
      <c r="E45" s="0" t="n">
        <v>42</v>
      </c>
      <c r="F45" s="0" t="n">
        <v>190</v>
      </c>
      <c r="G45" s="0" t="n">
        <v>42</v>
      </c>
      <c r="H45" s="0" t="n">
        <v>18</v>
      </c>
      <c r="I45" s="0" t="n">
        <v>42</v>
      </c>
      <c r="J45" s="0" t="n">
        <v>587</v>
      </c>
      <c r="K45" s="0" t="n">
        <v>42</v>
      </c>
      <c r="L45" s="0" t="n">
        <v>114</v>
      </c>
      <c r="M45" s="0" t="n">
        <v>42</v>
      </c>
      <c r="N45" s="0" t="n">
        <v>656</v>
      </c>
      <c r="O45" s="0" t="n">
        <v>42</v>
      </c>
      <c r="P45" s="0" t="n">
        <v>407</v>
      </c>
      <c r="Q45" s="0" t="n">
        <v>42</v>
      </c>
      <c r="R45" s="0" t="n">
        <v>16449</v>
      </c>
      <c r="S45" s="0" t="n">
        <v>42</v>
      </c>
      <c r="T45" s="0" t="n">
        <v>1785</v>
      </c>
      <c r="U45" s="0" t="n">
        <v>42</v>
      </c>
      <c r="V45" s="0" t="n">
        <v>489</v>
      </c>
      <c r="W45" s="0" t="n">
        <v>42</v>
      </c>
      <c r="X45" s="0" t="n">
        <v>0</v>
      </c>
      <c r="Y45" s="0" t="n">
        <v>42</v>
      </c>
      <c r="Z45" s="0" t="n">
        <v>32</v>
      </c>
      <c r="AA45" s="0" t="n">
        <v>42</v>
      </c>
      <c r="AB45" s="0" t="n">
        <v>717</v>
      </c>
      <c r="AC45" s="0" t="n">
        <v>42</v>
      </c>
      <c r="AD45" s="0" t="n">
        <v>415</v>
      </c>
      <c r="AE45" s="0" t="n">
        <v>42</v>
      </c>
      <c r="AF45" s="0" t="n">
        <v>75</v>
      </c>
      <c r="AG45" s="0" t="n">
        <v>42</v>
      </c>
      <c r="AH45" s="0" t="n">
        <v>55</v>
      </c>
      <c r="AI45" s="0" t="n">
        <v>42</v>
      </c>
      <c r="AJ45" s="0" t="n">
        <v>302</v>
      </c>
      <c r="AK45" s="0" t="n">
        <v>42</v>
      </c>
      <c r="AL45" s="0" t="n">
        <v>87</v>
      </c>
      <c r="AM45" s="0" t="n">
        <v>42</v>
      </c>
      <c r="AN45" s="0" t="n">
        <v>124</v>
      </c>
      <c r="AO45" s="0" t="n">
        <v>42</v>
      </c>
      <c r="AP45" s="0" t="n">
        <v>9756</v>
      </c>
      <c r="AQ45" s="0" t="n">
        <v>42</v>
      </c>
      <c r="AR45" s="0" t="n">
        <v>702</v>
      </c>
      <c r="AS45" s="0" t="n">
        <v>42</v>
      </c>
      <c r="AT45" s="0" t="n">
        <v>507</v>
      </c>
      <c r="AU45" s="0" t="n">
        <v>42</v>
      </c>
      <c r="AV45" s="0" t="n">
        <v>368</v>
      </c>
      <c r="AW45" s="0" t="n">
        <v>42</v>
      </c>
      <c r="AX45" s="0" t="n">
        <v>42</v>
      </c>
      <c r="AY45" s="0" t="n">
        <v>42</v>
      </c>
      <c r="AZ45" s="0" t="n">
        <v>434</v>
      </c>
      <c r="BA45" s="0" t="n">
        <v>42</v>
      </c>
      <c r="BB45" s="0" t="n">
        <v>46</v>
      </c>
      <c r="BC45" s="0" t="n">
        <v>42</v>
      </c>
      <c r="BD45" s="0" t="n">
        <v>109</v>
      </c>
      <c r="BE45" s="0" t="n">
        <v>42</v>
      </c>
      <c r="BF45" s="0" t="n">
        <v>18</v>
      </c>
      <c r="BG45" s="0" t="n">
        <v>42</v>
      </c>
      <c r="BH45" s="0" t="n">
        <v>132</v>
      </c>
      <c r="BI45" s="0" t="n">
        <v>42</v>
      </c>
      <c r="BJ45" s="0" t="n">
        <v>113662</v>
      </c>
      <c r="BK45" s="0" t="n">
        <v>42</v>
      </c>
      <c r="BL45" s="0" t="n">
        <v>150</v>
      </c>
      <c r="BM45" s="0" t="n">
        <v>42</v>
      </c>
      <c r="BN45" s="0" t="n">
        <v>10721</v>
      </c>
      <c r="BO45" s="0" t="n">
        <v>42</v>
      </c>
      <c r="BP45" s="0" t="n">
        <v>723</v>
      </c>
      <c r="BQ45" s="0" t="n">
        <v>42</v>
      </c>
      <c r="BR45" s="0" t="n">
        <v>30</v>
      </c>
      <c r="BS45" s="0" t="n">
        <v>42</v>
      </c>
      <c r="BT45" s="0" t="n">
        <v>12137</v>
      </c>
      <c r="BU45" s="0" t="n">
        <v>42</v>
      </c>
      <c r="BV45" s="0" t="n">
        <v>140</v>
      </c>
      <c r="BW45" s="0" t="n">
        <v>42</v>
      </c>
      <c r="BX45" s="0" t="n">
        <v>103</v>
      </c>
      <c r="BY45" s="0" t="n">
        <v>42</v>
      </c>
      <c r="BZ45" s="0" t="n">
        <v>5108930</v>
      </c>
      <c r="CA45" s="0" t="n">
        <v>42</v>
      </c>
      <c r="CB45" s="0" t="n">
        <v>72</v>
      </c>
      <c r="CC45" s="0" t="n">
        <v>42</v>
      </c>
      <c r="CD45" s="0" t="n">
        <v>0</v>
      </c>
      <c r="CE45" s="0" t="n">
        <v>42</v>
      </c>
      <c r="CF45" s="0" t="n">
        <v>327</v>
      </c>
      <c r="CG45" s="0" t="n">
        <v>42</v>
      </c>
      <c r="CH45" s="0" t="n">
        <v>204</v>
      </c>
      <c r="CI45" s="0" t="n">
        <v>42</v>
      </c>
      <c r="CJ45" s="0" t="n">
        <v>1066</v>
      </c>
      <c r="CK45" s="0" t="n">
        <v>42</v>
      </c>
      <c r="CL45" s="0" t="n">
        <v>27</v>
      </c>
      <c r="CM45" s="0" t="n">
        <v>42</v>
      </c>
      <c r="CN45" s="0" t="n">
        <v>104</v>
      </c>
      <c r="CO45" s="0" t="n">
        <v>42</v>
      </c>
      <c r="CP45" s="0" t="n">
        <v>1524</v>
      </c>
      <c r="CQ45" s="0" t="n">
        <v>42</v>
      </c>
      <c r="CR45" s="0" t="n">
        <v>171</v>
      </c>
      <c r="CS45" s="0" t="n">
        <v>42</v>
      </c>
      <c r="CT45" s="0" t="n">
        <v>4679</v>
      </c>
      <c r="CU45" s="0" t="n">
        <v>42</v>
      </c>
      <c r="CV45" s="0" t="n">
        <v>86</v>
      </c>
      <c r="CW45" s="0" t="n">
        <v>42</v>
      </c>
      <c r="CX45" s="0" t="n">
        <v>0</v>
      </c>
    </row>
    <row r="46" customFormat="false" ht="12.75" hidden="false" customHeight="false" outlineLevel="0" collapsed="false">
      <c r="B46" s="0" t="n">
        <v>43</v>
      </c>
      <c r="C46" s="0" t="n">
        <v>0</v>
      </c>
      <c r="D46" s="0" t="n">
        <v>0</v>
      </c>
      <c r="E46" s="0" t="n">
        <v>43</v>
      </c>
      <c r="F46" s="0" t="n">
        <v>0</v>
      </c>
      <c r="G46" s="0" t="n">
        <v>43</v>
      </c>
      <c r="H46" s="0" t="n">
        <v>0</v>
      </c>
      <c r="I46" s="0" t="n">
        <v>43</v>
      </c>
      <c r="J46" s="0" t="n">
        <v>0</v>
      </c>
      <c r="K46" s="0" t="n">
        <v>43</v>
      </c>
      <c r="L46" s="0" t="n">
        <v>0</v>
      </c>
      <c r="M46" s="0" t="n">
        <v>43</v>
      </c>
      <c r="N46" s="0" t="n">
        <v>0</v>
      </c>
      <c r="O46" s="0" t="n">
        <v>43</v>
      </c>
      <c r="P46" s="0" t="n">
        <v>0</v>
      </c>
      <c r="Q46" s="0" t="n">
        <v>43</v>
      </c>
      <c r="R46" s="0" t="n">
        <v>0</v>
      </c>
      <c r="S46" s="0" t="n">
        <v>43</v>
      </c>
      <c r="T46" s="0" t="n">
        <v>0</v>
      </c>
      <c r="U46" s="0" t="n">
        <v>43</v>
      </c>
      <c r="V46" s="0" t="n">
        <v>0</v>
      </c>
      <c r="W46" s="0" t="n">
        <v>43</v>
      </c>
      <c r="X46" s="0" t="n">
        <v>0</v>
      </c>
      <c r="Y46" s="0" t="n">
        <v>43</v>
      </c>
      <c r="Z46" s="0" t="n">
        <v>0</v>
      </c>
      <c r="AA46" s="0" t="n">
        <v>43</v>
      </c>
      <c r="AB46" s="0" t="n">
        <v>0</v>
      </c>
      <c r="AC46" s="0" t="n">
        <v>43</v>
      </c>
      <c r="AD46" s="0" t="n">
        <v>0</v>
      </c>
      <c r="AE46" s="0" t="n">
        <v>43</v>
      </c>
      <c r="AF46" s="0" t="n">
        <v>0</v>
      </c>
      <c r="AG46" s="0" t="n">
        <v>43</v>
      </c>
      <c r="AH46" s="0" t="n">
        <v>0</v>
      </c>
      <c r="AI46" s="0" t="n">
        <v>43</v>
      </c>
      <c r="AJ46" s="0" t="n">
        <v>0</v>
      </c>
      <c r="AK46" s="0" t="n">
        <v>43</v>
      </c>
      <c r="AL46" s="0" t="n">
        <v>0</v>
      </c>
      <c r="AM46" s="0" t="n">
        <v>43</v>
      </c>
      <c r="AN46" s="0" t="n">
        <v>0</v>
      </c>
      <c r="AO46" s="0" t="n">
        <v>43</v>
      </c>
      <c r="AP46" s="0" t="n">
        <v>0</v>
      </c>
      <c r="AQ46" s="0" t="n">
        <v>43</v>
      </c>
      <c r="AR46" s="0" t="n">
        <v>0</v>
      </c>
      <c r="AS46" s="0" t="n">
        <v>43</v>
      </c>
      <c r="AT46" s="0" t="n">
        <v>0</v>
      </c>
      <c r="AU46" s="0" t="n">
        <v>43</v>
      </c>
      <c r="AV46" s="0" t="n">
        <v>0</v>
      </c>
      <c r="AW46" s="0" t="n">
        <v>43</v>
      </c>
      <c r="AX46" s="0" t="n">
        <v>0</v>
      </c>
      <c r="AY46" s="0" t="n">
        <v>43</v>
      </c>
      <c r="AZ46" s="0" t="n">
        <v>0</v>
      </c>
      <c r="BA46" s="0" t="n">
        <v>43</v>
      </c>
      <c r="BB46" s="0" t="n">
        <v>0</v>
      </c>
      <c r="BC46" s="0" t="n">
        <v>43</v>
      </c>
      <c r="BD46" s="0" t="n">
        <v>0</v>
      </c>
      <c r="BE46" s="0" t="n">
        <v>43</v>
      </c>
      <c r="BF46" s="0" t="n">
        <v>0</v>
      </c>
      <c r="BG46" s="0" t="n">
        <v>43</v>
      </c>
      <c r="BH46" s="0" t="n">
        <v>0</v>
      </c>
      <c r="BI46" s="0" t="n">
        <v>43</v>
      </c>
      <c r="BJ46" s="0" t="n">
        <v>0</v>
      </c>
      <c r="BK46" s="0" t="n">
        <v>43</v>
      </c>
      <c r="BL46" s="0" t="n">
        <v>0</v>
      </c>
      <c r="BM46" s="0" t="n">
        <v>43</v>
      </c>
      <c r="BN46" s="0" t="n">
        <v>0</v>
      </c>
      <c r="BO46" s="0" t="n">
        <v>43</v>
      </c>
      <c r="BP46" s="0" t="n">
        <v>0</v>
      </c>
      <c r="BQ46" s="0" t="n">
        <v>43</v>
      </c>
      <c r="BR46" s="0" t="n">
        <v>0</v>
      </c>
      <c r="BS46" s="0" t="n">
        <v>43</v>
      </c>
      <c r="BT46" s="0" t="n">
        <v>0</v>
      </c>
      <c r="BU46" s="0" t="n">
        <v>43</v>
      </c>
      <c r="BV46" s="0" t="n">
        <v>0</v>
      </c>
      <c r="BW46" s="0" t="n">
        <v>43</v>
      </c>
      <c r="BX46" s="0" t="n">
        <v>0</v>
      </c>
      <c r="BY46" s="0" t="n">
        <v>43</v>
      </c>
      <c r="BZ46" s="0" t="n">
        <v>0</v>
      </c>
      <c r="CA46" s="0" t="n">
        <v>43</v>
      </c>
      <c r="CB46" s="0" t="n">
        <v>0</v>
      </c>
      <c r="CC46" s="0" t="n">
        <v>43</v>
      </c>
      <c r="CD46" s="0" t="n">
        <v>0</v>
      </c>
      <c r="CE46" s="0" t="n">
        <v>43</v>
      </c>
      <c r="CF46" s="0" t="n">
        <v>0</v>
      </c>
      <c r="CG46" s="0" t="n">
        <v>43</v>
      </c>
      <c r="CH46" s="0" t="n">
        <v>0</v>
      </c>
      <c r="CI46" s="0" t="n">
        <v>43</v>
      </c>
      <c r="CJ46" s="0" t="n">
        <v>0</v>
      </c>
      <c r="CK46" s="0" t="n">
        <v>43</v>
      </c>
      <c r="CL46" s="0" t="n">
        <v>0</v>
      </c>
      <c r="CM46" s="0" t="n">
        <v>43</v>
      </c>
      <c r="CN46" s="0" t="n">
        <v>0</v>
      </c>
      <c r="CO46" s="0" t="n">
        <v>43</v>
      </c>
      <c r="CP46" s="0" t="n">
        <v>0</v>
      </c>
      <c r="CQ46" s="0" t="n">
        <v>43</v>
      </c>
      <c r="CR46" s="0" t="n">
        <v>0</v>
      </c>
      <c r="CS46" s="0" t="n">
        <v>43</v>
      </c>
      <c r="CT46" s="0" t="n">
        <v>0</v>
      </c>
      <c r="CU46" s="0" t="n">
        <v>43</v>
      </c>
      <c r="CV46" s="0" t="n">
        <v>0</v>
      </c>
      <c r="CW46" s="0" t="n">
        <v>43</v>
      </c>
      <c r="CX46" s="0" t="n">
        <v>0</v>
      </c>
    </row>
    <row r="47" customFormat="false" ht="12.75" hidden="false" customHeight="false" outlineLevel="0" collapsed="false">
      <c r="B47" s="0" t="n">
        <v>44</v>
      </c>
      <c r="C47" s="0" t="n">
        <v>0</v>
      </c>
      <c r="D47" s="0" t="n">
        <v>0</v>
      </c>
      <c r="E47" s="0" t="n">
        <v>44</v>
      </c>
      <c r="F47" s="0" t="n">
        <v>28</v>
      </c>
      <c r="G47" s="0" t="n">
        <v>44</v>
      </c>
      <c r="H47" s="0" t="n">
        <v>3</v>
      </c>
      <c r="I47" s="0" t="n">
        <v>44</v>
      </c>
      <c r="J47" s="0" t="n">
        <v>162</v>
      </c>
      <c r="K47" s="0" t="n">
        <v>44</v>
      </c>
      <c r="L47" s="0" t="n">
        <v>0</v>
      </c>
      <c r="M47" s="0" t="n">
        <v>44</v>
      </c>
      <c r="N47" s="0" t="n">
        <v>2945</v>
      </c>
      <c r="O47" s="0" t="n">
        <v>44</v>
      </c>
      <c r="P47" s="0" t="n">
        <v>0</v>
      </c>
      <c r="Q47" s="0" t="n">
        <v>44</v>
      </c>
      <c r="R47" s="0" t="n">
        <v>0</v>
      </c>
      <c r="S47" s="0" t="n">
        <v>44</v>
      </c>
      <c r="T47" s="0" t="n">
        <v>215</v>
      </c>
      <c r="U47" s="0" t="n">
        <v>44</v>
      </c>
      <c r="V47" s="0" t="n">
        <v>31</v>
      </c>
      <c r="W47" s="0" t="n">
        <v>44</v>
      </c>
      <c r="X47" s="0" t="n">
        <v>16</v>
      </c>
      <c r="Y47" s="0" t="n">
        <v>44</v>
      </c>
      <c r="Z47" s="0" t="n">
        <v>24</v>
      </c>
      <c r="AA47" s="0" t="n">
        <v>44</v>
      </c>
      <c r="AB47" s="0" t="n">
        <v>132</v>
      </c>
      <c r="AC47" s="0" t="n">
        <v>44</v>
      </c>
      <c r="AD47" s="0" t="n">
        <v>16</v>
      </c>
      <c r="AE47" s="0" t="n">
        <v>44</v>
      </c>
      <c r="AF47" s="0" t="n">
        <v>0</v>
      </c>
      <c r="AG47" s="0" t="n">
        <v>44</v>
      </c>
      <c r="AH47" s="0" t="n">
        <v>0</v>
      </c>
      <c r="AI47" s="0" t="n">
        <v>44</v>
      </c>
      <c r="AJ47" s="0" t="n">
        <v>65</v>
      </c>
      <c r="AK47" s="0" t="n">
        <v>44</v>
      </c>
      <c r="AL47" s="0" t="n">
        <v>0</v>
      </c>
      <c r="AM47" s="0" t="n">
        <v>44</v>
      </c>
      <c r="AN47" s="0" t="n">
        <v>82</v>
      </c>
      <c r="AO47" s="0" t="n">
        <v>44</v>
      </c>
      <c r="AP47" s="0" t="n">
        <v>45</v>
      </c>
      <c r="AQ47" s="0" t="n">
        <v>44</v>
      </c>
      <c r="AR47" s="0" t="n">
        <v>29042</v>
      </c>
      <c r="AS47" s="0" t="n">
        <v>44</v>
      </c>
      <c r="AT47" s="0" t="n">
        <v>54</v>
      </c>
      <c r="AU47" s="0" t="n">
        <v>44</v>
      </c>
      <c r="AV47" s="0" t="n">
        <v>0</v>
      </c>
      <c r="AW47" s="0" t="n">
        <v>44</v>
      </c>
      <c r="AX47" s="0" t="n">
        <v>27</v>
      </c>
      <c r="AY47" s="0" t="n">
        <v>44</v>
      </c>
      <c r="AZ47" s="0" t="n">
        <v>7</v>
      </c>
      <c r="BA47" s="0" t="n">
        <v>44</v>
      </c>
      <c r="BB47" s="0" t="n">
        <v>0</v>
      </c>
      <c r="BC47" s="0" t="n">
        <v>44</v>
      </c>
      <c r="BD47" s="0" t="n">
        <v>0</v>
      </c>
      <c r="BE47" s="0" t="n">
        <v>44</v>
      </c>
      <c r="BF47" s="0" t="n">
        <v>8</v>
      </c>
      <c r="BG47" s="0" t="n">
        <v>44</v>
      </c>
      <c r="BH47" s="0" t="n">
        <v>524</v>
      </c>
      <c r="BI47" s="0" t="n">
        <v>44</v>
      </c>
      <c r="BJ47" s="0" t="n">
        <v>180</v>
      </c>
      <c r="BK47" s="0" t="n">
        <v>44</v>
      </c>
      <c r="BL47" s="0" t="n">
        <v>21</v>
      </c>
      <c r="BM47" s="0" t="n">
        <v>44</v>
      </c>
      <c r="BN47" s="0" t="n">
        <v>501</v>
      </c>
      <c r="BO47" s="0" t="n">
        <v>44</v>
      </c>
      <c r="BP47" s="0" t="n">
        <v>12</v>
      </c>
      <c r="BQ47" s="0" t="n">
        <v>44</v>
      </c>
      <c r="BR47" s="0" t="n">
        <v>0</v>
      </c>
      <c r="BS47" s="0" t="n">
        <v>44</v>
      </c>
      <c r="BT47" s="0" t="n">
        <v>71</v>
      </c>
      <c r="BU47" s="0" t="n">
        <v>44</v>
      </c>
      <c r="BV47" s="0" t="n">
        <v>21</v>
      </c>
      <c r="BW47" s="0" t="n">
        <v>44</v>
      </c>
      <c r="BX47" s="0" t="n">
        <v>0</v>
      </c>
      <c r="BY47" s="0" t="n">
        <v>44</v>
      </c>
      <c r="BZ47" s="0" t="n">
        <v>75</v>
      </c>
      <c r="CA47" s="0" t="n">
        <v>44</v>
      </c>
      <c r="CB47" s="0" t="n">
        <v>422025</v>
      </c>
      <c r="CC47" s="0" t="n">
        <v>44</v>
      </c>
      <c r="CD47" s="0" t="n">
        <v>0</v>
      </c>
      <c r="CE47" s="0" t="n">
        <v>44</v>
      </c>
      <c r="CF47" s="0" t="n">
        <v>27</v>
      </c>
      <c r="CG47" s="0" t="n">
        <v>44</v>
      </c>
      <c r="CH47" s="0" t="n">
        <v>0</v>
      </c>
      <c r="CI47" s="0" t="n">
        <v>44</v>
      </c>
      <c r="CJ47" s="0" t="n">
        <v>43</v>
      </c>
      <c r="CK47" s="0" t="n">
        <v>44</v>
      </c>
      <c r="CL47" s="0" t="n">
        <v>0</v>
      </c>
      <c r="CM47" s="0" t="n">
        <v>44</v>
      </c>
      <c r="CN47" s="0" t="n">
        <v>0</v>
      </c>
      <c r="CO47" s="0" t="n">
        <v>44</v>
      </c>
      <c r="CP47" s="0" t="n">
        <v>201</v>
      </c>
      <c r="CQ47" s="0" t="n">
        <v>44</v>
      </c>
      <c r="CR47" s="0" t="n">
        <v>18</v>
      </c>
      <c r="CS47" s="0" t="n">
        <v>44</v>
      </c>
      <c r="CT47" s="0" t="n">
        <v>0</v>
      </c>
      <c r="CU47" s="0" t="n">
        <v>44</v>
      </c>
      <c r="CV47" s="0" t="n">
        <v>0</v>
      </c>
      <c r="CW47" s="0" t="n">
        <v>44</v>
      </c>
      <c r="CX47" s="0" t="n">
        <v>0</v>
      </c>
    </row>
    <row r="48" customFormat="false" ht="12.75" hidden="false" customHeight="false" outlineLevel="0" collapsed="false">
      <c r="B48" s="0" t="n">
        <v>45</v>
      </c>
      <c r="C48" s="0" t="n">
        <v>845</v>
      </c>
      <c r="D48" s="0" t="n">
        <v>12</v>
      </c>
      <c r="E48" s="0" t="n">
        <v>45</v>
      </c>
      <c r="F48" s="0" t="n">
        <v>72</v>
      </c>
      <c r="G48" s="0" t="n">
        <v>45</v>
      </c>
      <c r="H48" s="0" t="n">
        <v>65</v>
      </c>
      <c r="I48" s="0" t="n">
        <v>45</v>
      </c>
      <c r="J48" s="0" t="n">
        <v>258</v>
      </c>
      <c r="K48" s="0" t="n">
        <v>45</v>
      </c>
      <c r="L48" s="0" t="n">
        <v>27</v>
      </c>
      <c r="M48" s="0" t="n">
        <v>45</v>
      </c>
      <c r="N48" s="0" t="n">
        <v>72</v>
      </c>
      <c r="O48" s="0" t="n">
        <v>45</v>
      </c>
      <c r="P48" s="0" t="n">
        <v>14</v>
      </c>
      <c r="Q48" s="0" t="n">
        <v>45</v>
      </c>
      <c r="R48" s="0" t="n">
        <v>64</v>
      </c>
      <c r="S48" s="0" t="n">
        <v>45</v>
      </c>
      <c r="T48" s="0" t="n">
        <v>1848</v>
      </c>
      <c r="U48" s="0" t="n">
        <v>45</v>
      </c>
      <c r="V48" s="0" t="n">
        <v>17853</v>
      </c>
      <c r="W48" s="0" t="n">
        <v>45</v>
      </c>
      <c r="X48" s="0" t="n">
        <v>0</v>
      </c>
      <c r="Y48" s="0" t="n">
        <v>45</v>
      </c>
      <c r="Z48" s="0" t="n">
        <v>0</v>
      </c>
      <c r="AA48" s="0" t="n">
        <v>45</v>
      </c>
      <c r="AB48" s="0" t="n">
        <v>240</v>
      </c>
      <c r="AC48" s="0" t="n">
        <v>45</v>
      </c>
      <c r="AD48" s="0" t="n">
        <v>142</v>
      </c>
      <c r="AE48" s="0" t="n">
        <v>45</v>
      </c>
      <c r="AF48" s="0" t="n">
        <v>50</v>
      </c>
      <c r="AG48" s="0" t="n">
        <v>45</v>
      </c>
      <c r="AH48" s="0" t="n">
        <v>51</v>
      </c>
      <c r="AI48" s="0" t="n">
        <v>45</v>
      </c>
      <c r="AJ48" s="0" t="n">
        <v>222</v>
      </c>
      <c r="AK48" s="0" t="n">
        <v>45</v>
      </c>
      <c r="AL48" s="0" t="n">
        <v>171</v>
      </c>
      <c r="AM48" s="0" t="n">
        <v>45</v>
      </c>
      <c r="AN48" s="0" t="n">
        <v>44</v>
      </c>
      <c r="AO48" s="0" t="n">
        <v>45</v>
      </c>
      <c r="AP48" s="0" t="n">
        <v>284</v>
      </c>
      <c r="AQ48" s="0" t="n">
        <v>45</v>
      </c>
      <c r="AR48" s="0" t="n">
        <v>221</v>
      </c>
      <c r="AS48" s="0" t="n">
        <v>45</v>
      </c>
      <c r="AT48" s="0" t="n">
        <v>228</v>
      </c>
      <c r="AU48" s="0" t="n">
        <v>45</v>
      </c>
      <c r="AV48" s="0" t="n">
        <v>116</v>
      </c>
      <c r="AW48" s="0" t="n">
        <v>45</v>
      </c>
      <c r="AX48" s="0" t="n">
        <v>288</v>
      </c>
      <c r="AY48" s="0" t="n">
        <v>45</v>
      </c>
      <c r="AZ48" s="0" t="n">
        <v>166</v>
      </c>
      <c r="BA48" s="0" t="n">
        <v>45</v>
      </c>
      <c r="BB48" s="0" t="n">
        <v>20</v>
      </c>
      <c r="BC48" s="0" t="n">
        <v>45</v>
      </c>
      <c r="BD48" s="0" t="n">
        <v>47</v>
      </c>
      <c r="BE48" s="0" t="n">
        <v>45</v>
      </c>
      <c r="BF48" s="0" t="n">
        <v>0</v>
      </c>
      <c r="BG48" s="0" t="n">
        <v>45</v>
      </c>
      <c r="BH48" s="0" t="n">
        <v>85</v>
      </c>
      <c r="BI48" s="0" t="n">
        <v>45</v>
      </c>
      <c r="BJ48" s="0" t="n">
        <v>284</v>
      </c>
      <c r="BK48" s="0" t="n">
        <v>45</v>
      </c>
      <c r="BL48" s="0" t="n">
        <v>0</v>
      </c>
      <c r="BM48" s="0" t="n">
        <v>45</v>
      </c>
      <c r="BN48" s="0" t="n">
        <v>457</v>
      </c>
      <c r="BO48" s="0" t="n">
        <v>45</v>
      </c>
      <c r="BP48" s="0" t="n">
        <v>18963</v>
      </c>
      <c r="BQ48" s="0" t="n">
        <v>45</v>
      </c>
      <c r="BR48" s="0" t="n">
        <v>0</v>
      </c>
      <c r="BS48" s="0" t="n">
        <v>45</v>
      </c>
      <c r="BT48" s="0" t="n">
        <v>378</v>
      </c>
      <c r="BU48" s="0" t="n">
        <v>45</v>
      </c>
      <c r="BV48" s="0" t="n">
        <v>66</v>
      </c>
      <c r="BW48" s="0" t="n">
        <v>45</v>
      </c>
      <c r="BX48" s="0" t="n">
        <v>80</v>
      </c>
      <c r="BY48" s="0" t="n">
        <v>45</v>
      </c>
      <c r="BZ48" s="0" t="n">
        <v>515</v>
      </c>
      <c r="CA48" s="0" t="n">
        <v>45</v>
      </c>
      <c r="CB48" s="0" t="n">
        <v>49</v>
      </c>
      <c r="CC48" s="0" t="n">
        <v>45</v>
      </c>
      <c r="CD48" s="0" t="n">
        <v>0</v>
      </c>
      <c r="CE48" s="0" t="n">
        <v>45</v>
      </c>
      <c r="CF48" s="0" t="n">
        <v>1563576</v>
      </c>
      <c r="CG48" s="0" t="n">
        <v>45</v>
      </c>
      <c r="CH48" s="0" t="n">
        <v>1068</v>
      </c>
      <c r="CI48" s="0" t="n">
        <v>45</v>
      </c>
      <c r="CJ48" s="0" t="n">
        <v>775</v>
      </c>
      <c r="CK48" s="0" t="n">
        <v>45</v>
      </c>
      <c r="CL48" s="0" t="n">
        <v>0</v>
      </c>
      <c r="CM48" s="0" t="n">
        <v>45</v>
      </c>
      <c r="CN48" s="0" t="n">
        <v>68</v>
      </c>
      <c r="CO48" s="0" t="n">
        <v>45</v>
      </c>
      <c r="CP48" s="0" t="n">
        <v>987</v>
      </c>
      <c r="CQ48" s="0" t="n">
        <v>45</v>
      </c>
      <c r="CR48" s="0" t="n">
        <v>135</v>
      </c>
      <c r="CS48" s="0" t="n">
        <v>45</v>
      </c>
      <c r="CT48" s="0" t="n">
        <v>249</v>
      </c>
      <c r="CU48" s="0" t="n">
        <v>45</v>
      </c>
      <c r="CV48" s="0" t="n">
        <v>75</v>
      </c>
      <c r="CW48" s="0" t="n">
        <v>45</v>
      </c>
      <c r="CX48" s="0" t="n">
        <v>0</v>
      </c>
    </row>
    <row r="49" customFormat="false" ht="12.75" hidden="false" customHeight="false" outlineLevel="0" collapsed="false">
      <c r="B49" s="0" t="n">
        <v>46</v>
      </c>
      <c r="C49" s="0" t="n">
        <v>0</v>
      </c>
      <c r="D49" s="0" t="n">
        <v>0</v>
      </c>
      <c r="E49" s="0" t="n">
        <v>46</v>
      </c>
      <c r="F49" s="0" t="n">
        <v>145</v>
      </c>
      <c r="G49" s="0" t="n">
        <v>46</v>
      </c>
      <c r="H49" s="0" t="n">
        <v>29</v>
      </c>
      <c r="I49" s="0" t="n">
        <v>46</v>
      </c>
      <c r="J49" s="0" t="n">
        <v>41</v>
      </c>
      <c r="K49" s="0" t="n">
        <v>46</v>
      </c>
      <c r="L49" s="0" t="n">
        <v>57</v>
      </c>
      <c r="M49" s="0" t="n">
        <v>46</v>
      </c>
      <c r="N49" s="0" t="n">
        <v>0</v>
      </c>
      <c r="O49" s="0" t="n">
        <v>46</v>
      </c>
      <c r="P49" s="0" t="n">
        <v>0</v>
      </c>
      <c r="Q49" s="0" t="n">
        <v>46</v>
      </c>
      <c r="R49" s="0" t="n">
        <v>0</v>
      </c>
      <c r="S49" s="0" t="n">
        <v>46</v>
      </c>
      <c r="T49" s="0" t="n">
        <v>0</v>
      </c>
      <c r="U49" s="0" t="n">
        <v>46</v>
      </c>
      <c r="V49" s="0" t="n">
        <v>58</v>
      </c>
      <c r="W49" s="0" t="n">
        <v>46</v>
      </c>
      <c r="X49" s="0" t="n">
        <v>0</v>
      </c>
      <c r="Y49" s="0" t="n">
        <v>46</v>
      </c>
      <c r="Z49" s="0" t="n">
        <v>0</v>
      </c>
      <c r="AA49" s="0" t="n">
        <v>46</v>
      </c>
      <c r="AB49" s="0" t="n">
        <v>21</v>
      </c>
      <c r="AC49" s="0" t="n">
        <v>46</v>
      </c>
      <c r="AD49" s="0" t="n">
        <v>0</v>
      </c>
      <c r="AE49" s="0" t="n">
        <v>46</v>
      </c>
      <c r="AF49" s="0" t="n">
        <v>1726</v>
      </c>
      <c r="AG49" s="0" t="n">
        <v>46</v>
      </c>
      <c r="AH49" s="0" t="n">
        <v>39</v>
      </c>
      <c r="AI49" s="0" t="n">
        <v>46</v>
      </c>
      <c r="AJ49" s="0" t="n">
        <v>0</v>
      </c>
      <c r="AK49" s="0" t="n">
        <v>46</v>
      </c>
      <c r="AL49" s="0" t="n">
        <v>0</v>
      </c>
      <c r="AM49" s="0" t="n">
        <v>46</v>
      </c>
      <c r="AN49" s="0" t="n">
        <v>0</v>
      </c>
      <c r="AO49" s="0" t="n">
        <v>46</v>
      </c>
      <c r="AP49" s="0" t="n">
        <v>0</v>
      </c>
      <c r="AQ49" s="0" t="n">
        <v>46</v>
      </c>
      <c r="AR49" s="0" t="n">
        <v>0</v>
      </c>
      <c r="AS49" s="0" t="n">
        <v>46</v>
      </c>
      <c r="AT49" s="0" t="n">
        <v>0</v>
      </c>
      <c r="AU49" s="0" t="n">
        <v>46</v>
      </c>
      <c r="AV49" s="0" t="n">
        <v>1785</v>
      </c>
      <c r="AW49" s="0" t="n">
        <v>46</v>
      </c>
      <c r="AX49" s="0" t="n">
        <v>0</v>
      </c>
      <c r="AY49" s="0" t="n">
        <v>46</v>
      </c>
      <c r="AZ49" s="0" t="n">
        <v>0</v>
      </c>
      <c r="BA49" s="0" t="n">
        <v>46</v>
      </c>
      <c r="BB49" s="0" t="n">
        <v>152</v>
      </c>
      <c r="BC49" s="0" t="n">
        <v>46</v>
      </c>
      <c r="BD49" s="0" t="n">
        <v>1787</v>
      </c>
      <c r="BE49" s="0" t="n">
        <v>46</v>
      </c>
      <c r="BF49" s="0" t="n">
        <v>0</v>
      </c>
      <c r="BG49" s="0" t="n">
        <v>46</v>
      </c>
      <c r="BH49" s="0" t="n">
        <v>0</v>
      </c>
      <c r="BI49" s="0" t="n">
        <v>46</v>
      </c>
      <c r="BJ49" s="0" t="n">
        <v>0</v>
      </c>
      <c r="BK49" s="0" t="n">
        <v>46</v>
      </c>
      <c r="BL49" s="0" t="n">
        <v>15</v>
      </c>
      <c r="BM49" s="0" t="n">
        <v>46</v>
      </c>
      <c r="BN49" s="0" t="n">
        <v>0</v>
      </c>
      <c r="BO49" s="0" t="n">
        <v>46</v>
      </c>
      <c r="BP49" s="0" t="n">
        <v>0</v>
      </c>
      <c r="BQ49" s="0" t="n">
        <v>46</v>
      </c>
      <c r="BR49" s="0" t="n">
        <v>670</v>
      </c>
      <c r="BS49" s="0" t="n">
        <v>46</v>
      </c>
      <c r="BT49" s="0" t="n">
        <v>23</v>
      </c>
      <c r="BU49" s="0" t="n">
        <v>46</v>
      </c>
      <c r="BV49" s="0" t="n">
        <v>27</v>
      </c>
      <c r="BW49" s="0" t="n">
        <v>46</v>
      </c>
      <c r="BX49" s="0" t="n">
        <v>0</v>
      </c>
      <c r="BY49" s="0" t="n">
        <v>46</v>
      </c>
      <c r="BZ49" s="0" t="n">
        <v>0</v>
      </c>
      <c r="CA49" s="0" t="n">
        <v>46</v>
      </c>
      <c r="CB49" s="0" t="n">
        <v>0</v>
      </c>
      <c r="CC49" s="0" t="n">
        <v>46</v>
      </c>
      <c r="CD49" s="0" t="n">
        <v>318516</v>
      </c>
      <c r="CE49" s="0" t="n">
        <v>46</v>
      </c>
      <c r="CF49" s="0" t="n">
        <v>18</v>
      </c>
      <c r="CG49" s="0" t="n">
        <v>46</v>
      </c>
      <c r="CH49" s="0" t="n">
        <v>0</v>
      </c>
      <c r="CI49" s="0" t="n">
        <v>46</v>
      </c>
      <c r="CJ49" s="0" t="n">
        <v>0</v>
      </c>
      <c r="CK49" s="0" t="n">
        <v>46</v>
      </c>
      <c r="CL49" s="0" t="n">
        <v>0</v>
      </c>
      <c r="CM49" s="0" t="n">
        <v>46</v>
      </c>
      <c r="CN49" s="0" t="n">
        <v>0</v>
      </c>
      <c r="CO49" s="0" t="n">
        <v>46</v>
      </c>
      <c r="CP49" s="0" t="n">
        <v>18</v>
      </c>
      <c r="CQ49" s="0" t="n">
        <v>46</v>
      </c>
      <c r="CR49" s="0" t="n">
        <v>51</v>
      </c>
      <c r="CS49" s="0" t="n">
        <v>46</v>
      </c>
      <c r="CT49" s="0" t="n">
        <v>0</v>
      </c>
      <c r="CU49" s="0" t="n">
        <v>46</v>
      </c>
      <c r="CV49" s="0" t="n">
        <v>48</v>
      </c>
      <c r="CW49" s="0" t="n">
        <v>46</v>
      </c>
      <c r="CX49" s="0" t="n">
        <v>194</v>
      </c>
    </row>
    <row r="50" customFormat="false" ht="12.75" hidden="false" customHeight="false" outlineLevel="0" collapsed="false">
      <c r="B50" s="0" t="n">
        <v>47</v>
      </c>
      <c r="C50" s="0" t="n">
        <v>6337</v>
      </c>
      <c r="D50" s="0" t="n">
        <v>7</v>
      </c>
      <c r="E50" s="0" t="n">
        <v>47</v>
      </c>
      <c r="F50" s="0" t="n">
        <v>51</v>
      </c>
      <c r="G50" s="0" t="n">
        <v>47</v>
      </c>
      <c r="H50" s="0" t="n">
        <v>10671</v>
      </c>
      <c r="I50" s="0" t="n">
        <v>47</v>
      </c>
      <c r="J50" s="0" t="n">
        <v>357</v>
      </c>
      <c r="K50" s="0" t="n">
        <v>47</v>
      </c>
      <c r="L50" s="0" t="n">
        <v>150</v>
      </c>
      <c r="M50" s="0" t="n">
        <v>47</v>
      </c>
      <c r="N50" s="0" t="n">
        <v>102</v>
      </c>
      <c r="O50" s="0" t="n">
        <v>47</v>
      </c>
      <c r="P50" s="0" t="n">
        <v>0</v>
      </c>
      <c r="Q50" s="0" t="n">
        <v>47</v>
      </c>
      <c r="R50" s="0" t="n">
        <v>0</v>
      </c>
      <c r="S50" s="0" t="n">
        <v>47</v>
      </c>
      <c r="T50" s="0" t="n">
        <v>1115</v>
      </c>
      <c r="U50" s="0" t="n">
        <v>47</v>
      </c>
      <c r="V50" s="0" t="n">
        <v>23865</v>
      </c>
      <c r="W50" s="0" t="n">
        <v>47</v>
      </c>
      <c r="X50" s="0" t="n">
        <v>0</v>
      </c>
      <c r="Y50" s="0" t="n">
        <v>47</v>
      </c>
      <c r="Z50" s="0" t="n">
        <v>0</v>
      </c>
      <c r="AA50" s="0" t="n">
        <v>47</v>
      </c>
      <c r="AB50" s="0" t="n">
        <v>681</v>
      </c>
      <c r="AC50" s="0" t="n">
        <v>47</v>
      </c>
      <c r="AD50" s="0" t="n">
        <v>510</v>
      </c>
      <c r="AE50" s="0" t="n">
        <v>47</v>
      </c>
      <c r="AF50" s="0" t="n">
        <v>150</v>
      </c>
      <c r="AG50" s="0" t="n">
        <v>47</v>
      </c>
      <c r="AH50" s="0" t="n">
        <v>57</v>
      </c>
      <c r="AI50" s="0" t="n">
        <v>47</v>
      </c>
      <c r="AJ50" s="0" t="n">
        <v>11897</v>
      </c>
      <c r="AK50" s="0" t="n">
        <v>47</v>
      </c>
      <c r="AL50" s="0" t="n">
        <v>456</v>
      </c>
      <c r="AM50" s="0" t="n">
        <v>47</v>
      </c>
      <c r="AN50" s="0" t="n">
        <v>0</v>
      </c>
      <c r="AO50" s="0" t="n">
        <v>47</v>
      </c>
      <c r="AP50" s="0" t="n">
        <v>174</v>
      </c>
      <c r="AQ50" s="0" t="n">
        <v>47</v>
      </c>
      <c r="AR50" s="0" t="n">
        <v>93</v>
      </c>
      <c r="AS50" s="0" t="n">
        <v>47</v>
      </c>
      <c r="AT50" s="0" t="n">
        <v>547</v>
      </c>
      <c r="AU50" s="0" t="n">
        <v>47</v>
      </c>
      <c r="AV50" s="0" t="n">
        <v>41</v>
      </c>
      <c r="AW50" s="0" t="n">
        <v>47</v>
      </c>
      <c r="AX50" s="0" t="n">
        <v>29922</v>
      </c>
      <c r="AY50" s="0" t="n">
        <v>47</v>
      </c>
      <c r="AZ50" s="0" t="n">
        <v>878</v>
      </c>
      <c r="BA50" s="0" t="n">
        <v>47</v>
      </c>
      <c r="BB50" s="0" t="n">
        <v>0</v>
      </c>
      <c r="BC50" s="0" t="n">
        <v>47</v>
      </c>
      <c r="BD50" s="0" t="n">
        <v>0</v>
      </c>
      <c r="BE50" s="0" t="n">
        <v>47</v>
      </c>
      <c r="BF50" s="0" t="n">
        <v>39</v>
      </c>
      <c r="BG50" s="0" t="n">
        <v>47</v>
      </c>
      <c r="BH50" s="0" t="n">
        <v>40</v>
      </c>
      <c r="BI50" s="0" t="n">
        <v>47</v>
      </c>
      <c r="BJ50" s="0" t="n">
        <v>335</v>
      </c>
      <c r="BK50" s="0" t="n">
        <v>47</v>
      </c>
      <c r="BL50" s="0" t="n">
        <v>0</v>
      </c>
      <c r="BM50" s="0" t="n">
        <v>47</v>
      </c>
      <c r="BN50" s="0" t="n">
        <v>561</v>
      </c>
      <c r="BO50" s="0" t="n">
        <v>47</v>
      </c>
      <c r="BP50" s="0" t="n">
        <v>1863</v>
      </c>
      <c r="BQ50" s="0" t="n">
        <v>47</v>
      </c>
      <c r="BR50" s="0" t="n">
        <v>0</v>
      </c>
      <c r="BS50" s="0" t="n">
        <v>47</v>
      </c>
      <c r="BT50" s="0" t="n">
        <v>931</v>
      </c>
      <c r="BU50" s="0" t="n">
        <v>47</v>
      </c>
      <c r="BV50" s="0" t="n">
        <v>205</v>
      </c>
      <c r="BW50" s="0" t="n">
        <v>47</v>
      </c>
      <c r="BX50" s="0" t="n">
        <v>19</v>
      </c>
      <c r="BY50" s="0" t="n">
        <v>47</v>
      </c>
      <c r="BZ50" s="0" t="n">
        <v>364</v>
      </c>
      <c r="CA50" s="0" t="n">
        <v>47</v>
      </c>
      <c r="CB50" s="0" t="n">
        <v>0</v>
      </c>
      <c r="CC50" s="0" t="n">
        <v>47</v>
      </c>
      <c r="CD50" s="0" t="n">
        <v>0</v>
      </c>
      <c r="CE50" s="0" t="n">
        <v>47</v>
      </c>
      <c r="CF50" s="0" t="n">
        <v>270</v>
      </c>
      <c r="CG50" s="0" t="n">
        <v>47</v>
      </c>
      <c r="CH50" s="0" t="n">
        <v>2167530</v>
      </c>
      <c r="CI50" s="0" t="n">
        <v>47</v>
      </c>
      <c r="CJ50" s="0" t="n">
        <v>907</v>
      </c>
      <c r="CK50" s="0" t="n">
        <v>47</v>
      </c>
      <c r="CL50" s="0" t="n">
        <v>7</v>
      </c>
      <c r="CM50" s="0" t="n">
        <v>47</v>
      </c>
      <c r="CN50" s="0" t="n">
        <v>0</v>
      </c>
      <c r="CO50" s="0" t="n">
        <v>47</v>
      </c>
      <c r="CP50" s="0" t="n">
        <v>10284</v>
      </c>
      <c r="CQ50" s="0" t="n">
        <v>47</v>
      </c>
      <c r="CR50" s="0" t="n">
        <v>60</v>
      </c>
      <c r="CS50" s="0" t="n">
        <v>47</v>
      </c>
      <c r="CT50" s="0" t="n">
        <v>154</v>
      </c>
      <c r="CU50" s="0" t="n">
        <v>47</v>
      </c>
      <c r="CV50" s="0" t="n">
        <v>88</v>
      </c>
      <c r="CW50" s="0" t="n">
        <v>47</v>
      </c>
      <c r="CX50" s="0" t="n">
        <v>0</v>
      </c>
    </row>
    <row r="51" customFormat="false" ht="12.75" hidden="false" customHeight="false" outlineLevel="0" collapsed="false">
      <c r="B51" s="0" t="n">
        <v>48</v>
      </c>
      <c r="C51" s="0" t="n">
        <v>999</v>
      </c>
      <c r="D51" s="0" t="n">
        <v>58</v>
      </c>
      <c r="E51" s="0" t="n">
        <v>48</v>
      </c>
      <c r="F51" s="0" t="n">
        <v>996</v>
      </c>
      <c r="G51" s="0" t="n">
        <v>48</v>
      </c>
      <c r="H51" s="0" t="n">
        <v>9042</v>
      </c>
      <c r="I51" s="0" t="n">
        <v>48</v>
      </c>
      <c r="J51" s="0" t="n">
        <v>3540</v>
      </c>
      <c r="K51" s="0" t="n">
        <v>48</v>
      </c>
      <c r="L51" s="0" t="n">
        <v>1182</v>
      </c>
      <c r="M51" s="0" t="n">
        <v>48</v>
      </c>
      <c r="N51" s="0" t="n">
        <v>463</v>
      </c>
      <c r="O51" s="0" t="n">
        <v>48</v>
      </c>
      <c r="P51" s="0" t="n">
        <v>82</v>
      </c>
      <c r="Q51" s="0" t="n">
        <v>48</v>
      </c>
      <c r="R51" s="0" t="n">
        <v>35</v>
      </c>
      <c r="S51" s="0" t="n">
        <v>48</v>
      </c>
      <c r="T51" s="0" t="n">
        <v>2467</v>
      </c>
      <c r="U51" s="0" t="n">
        <v>48</v>
      </c>
      <c r="V51" s="0" t="n">
        <v>1206</v>
      </c>
      <c r="W51" s="0" t="n">
        <v>48</v>
      </c>
      <c r="X51" s="0" t="n">
        <v>70</v>
      </c>
      <c r="Y51" s="0" t="n">
        <v>48</v>
      </c>
      <c r="Z51" s="0" t="n">
        <v>116</v>
      </c>
      <c r="AA51" s="0" t="n">
        <v>48</v>
      </c>
      <c r="AB51" s="0" t="n">
        <v>948</v>
      </c>
      <c r="AC51" s="0" t="n">
        <v>48</v>
      </c>
      <c r="AD51" s="0" t="n">
        <v>593</v>
      </c>
      <c r="AE51" s="0" t="n">
        <v>48</v>
      </c>
      <c r="AF51" s="0" t="n">
        <v>315</v>
      </c>
      <c r="AG51" s="0" t="n">
        <v>48</v>
      </c>
      <c r="AH51" s="0" t="n">
        <v>948</v>
      </c>
      <c r="AI51" s="0" t="n">
        <v>48</v>
      </c>
      <c r="AJ51" s="0" t="n">
        <v>449</v>
      </c>
      <c r="AK51" s="0" t="n">
        <v>48</v>
      </c>
      <c r="AL51" s="0" t="n">
        <v>11211</v>
      </c>
      <c r="AM51" s="0" t="n">
        <v>48</v>
      </c>
      <c r="AN51" s="0" t="n">
        <v>177</v>
      </c>
      <c r="AO51" s="0" t="n">
        <v>48</v>
      </c>
      <c r="AP51" s="0" t="n">
        <v>501</v>
      </c>
      <c r="AQ51" s="0" t="n">
        <v>48</v>
      </c>
      <c r="AR51" s="0" t="n">
        <v>706</v>
      </c>
      <c r="AS51" s="0" t="n">
        <v>48</v>
      </c>
      <c r="AT51" s="0" t="n">
        <v>893</v>
      </c>
      <c r="AU51" s="0" t="n">
        <v>48</v>
      </c>
      <c r="AV51" s="0" t="n">
        <v>370</v>
      </c>
      <c r="AW51" s="0" t="n">
        <v>48</v>
      </c>
      <c r="AX51" s="0" t="n">
        <v>2340</v>
      </c>
      <c r="AY51" s="0" t="n">
        <v>48</v>
      </c>
      <c r="AZ51" s="0" t="n">
        <v>1484</v>
      </c>
      <c r="BA51" s="0" t="n">
        <v>48</v>
      </c>
      <c r="BB51" s="0" t="n">
        <v>44</v>
      </c>
      <c r="BC51" s="0" t="n">
        <v>48</v>
      </c>
      <c r="BD51" s="0" t="n">
        <v>204</v>
      </c>
      <c r="BE51" s="0" t="n">
        <v>48</v>
      </c>
      <c r="BF51" s="0" t="n">
        <v>127</v>
      </c>
      <c r="BG51" s="0" t="n">
        <v>48</v>
      </c>
      <c r="BH51" s="0" t="n">
        <v>47</v>
      </c>
      <c r="BI51" s="0" t="n">
        <v>48</v>
      </c>
      <c r="BJ51" s="0" t="n">
        <v>719</v>
      </c>
      <c r="BK51" s="0" t="n">
        <v>48</v>
      </c>
      <c r="BL51" s="0" t="n">
        <v>9030</v>
      </c>
      <c r="BM51" s="0" t="n">
        <v>48</v>
      </c>
      <c r="BN51" s="0" t="n">
        <v>1147</v>
      </c>
      <c r="BO51" s="0" t="n">
        <v>48</v>
      </c>
      <c r="BP51" s="0" t="n">
        <v>666</v>
      </c>
      <c r="BQ51" s="0" t="n">
        <v>48</v>
      </c>
      <c r="BR51" s="0" t="n">
        <v>55</v>
      </c>
      <c r="BS51" s="0" t="n">
        <v>48</v>
      </c>
      <c r="BT51" s="0" t="n">
        <v>1036</v>
      </c>
      <c r="BU51" s="0" t="n">
        <v>48</v>
      </c>
      <c r="BV51" s="0" t="n">
        <v>9587</v>
      </c>
      <c r="BW51" s="0" t="n">
        <v>48</v>
      </c>
      <c r="BX51" s="0" t="n">
        <v>196</v>
      </c>
      <c r="BY51" s="0" t="n">
        <v>48</v>
      </c>
      <c r="BZ51" s="0" t="n">
        <v>1045</v>
      </c>
      <c r="CA51" s="0" t="n">
        <v>48</v>
      </c>
      <c r="CB51" s="0" t="n">
        <v>21</v>
      </c>
      <c r="CC51" s="0" t="n">
        <v>48</v>
      </c>
      <c r="CD51" s="0" t="n">
        <v>193</v>
      </c>
      <c r="CE51" s="0" t="n">
        <v>48</v>
      </c>
      <c r="CF51" s="0" t="n">
        <v>381</v>
      </c>
      <c r="CG51" s="0" t="n">
        <v>48</v>
      </c>
      <c r="CH51" s="0" t="n">
        <v>804</v>
      </c>
      <c r="CI51" s="0" t="n">
        <v>48</v>
      </c>
      <c r="CJ51" s="0" t="n">
        <v>7459209</v>
      </c>
      <c r="CK51" s="0" t="n">
        <v>48</v>
      </c>
      <c r="CL51" s="0" t="n">
        <v>284</v>
      </c>
      <c r="CM51" s="0" t="n">
        <v>48</v>
      </c>
      <c r="CN51" s="0" t="n">
        <v>30</v>
      </c>
      <c r="CO51" s="0" t="n">
        <v>48</v>
      </c>
      <c r="CP51" s="0" t="n">
        <v>906</v>
      </c>
      <c r="CQ51" s="0" t="n">
        <v>48</v>
      </c>
      <c r="CR51" s="0" t="n">
        <v>414</v>
      </c>
      <c r="CS51" s="0" t="n">
        <v>48</v>
      </c>
      <c r="CT51" s="0" t="n">
        <v>114</v>
      </c>
      <c r="CU51" s="0" t="n">
        <v>48</v>
      </c>
      <c r="CV51" s="0" t="n">
        <v>179</v>
      </c>
      <c r="CW51" s="0" t="n">
        <v>48</v>
      </c>
      <c r="CX51" s="0" t="n">
        <v>122</v>
      </c>
    </row>
    <row r="52" customFormat="false" ht="12.75" hidden="false" customHeight="false" outlineLevel="0" collapsed="false">
      <c r="B52" s="0" t="n">
        <v>49</v>
      </c>
      <c r="C52" s="0" t="n">
        <v>0</v>
      </c>
      <c r="D52" s="0" t="n">
        <v>0</v>
      </c>
      <c r="E52" s="0" t="n">
        <v>49</v>
      </c>
      <c r="F52" s="0" t="n">
        <v>449</v>
      </c>
      <c r="G52" s="0" t="n">
        <v>49</v>
      </c>
      <c r="H52" s="0" t="n">
        <v>0</v>
      </c>
      <c r="I52" s="0" t="n">
        <v>49</v>
      </c>
      <c r="J52" s="0" t="n">
        <v>1122</v>
      </c>
      <c r="K52" s="0" t="n">
        <v>49</v>
      </c>
      <c r="L52" s="0" t="n">
        <v>753</v>
      </c>
      <c r="M52" s="0" t="n">
        <v>49</v>
      </c>
      <c r="N52" s="0" t="n">
        <v>0</v>
      </c>
      <c r="O52" s="0" t="n">
        <v>49</v>
      </c>
      <c r="P52" s="0" t="n">
        <v>0</v>
      </c>
      <c r="Q52" s="0" t="n">
        <v>49</v>
      </c>
      <c r="R52" s="0" t="n">
        <v>0</v>
      </c>
      <c r="S52" s="0" t="n">
        <v>49</v>
      </c>
      <c r="T52" s="0" t="n">
        <v>75</v>
      </c>
      <c r="U52" s="0" t="n">
        <v>49</v>
      </c>
      <c r="V52" s="0" t="n">
        <v>81</v>
      </c>
      <c r="W52" s="0" t="n">
        <v>49</v>
      </c>
      <c r="X52" s="0" t="n">
        <v>0</v>
      </c>
      <c r="Y52" s="0" t="n">
        <v>49</v>
      </c>
      <c r="Z52" s="0" t="n">
        <v>1792</v>
      </c>
      <c r="AA52" s="0" t="n">
        <v>49</v>
      </c>
      <c r="AB52" s="0" t="n">
        <v>12</v>
      </c>
      <c r="AC52" s="0" t="n">
        <v>49</v>
      </c>
      <c r="AD52" s="0" t="n">
        <v>68</v>
      </c>
      <c r="AE52" s="0" t="n">
        <v>49</v>
      </c>
      <c r="AF52" s="0" t="n">
        <v>34</v>
      </c>
      <c r="AG52" s="0" t="n">
        <v>49</v>
      </c>
      <c r="AH52" s="0" t="n">
        <v>39</v>
      </c>
      <c r="AI52" s="0" t="n">
        <v>49</v>
      </c>
      <c r="AJ52" s="0" t="n">
        <v>79</v>
      </c>
      <c r="AK52" s="0" t="n">
        <v>49</v>
      </c>
      <c r="AL52" s="0" t="n">
        <v>6</v>
      </c>
      <c r="AM52" s="0" t="n">
        <v>49</v>
      </c>
      <c r="AN52" s="0" t="n">
        <v>0</v>
      </c>
      <c r="AO52" s="0" t="n">
        <v>49</v>
      </c>
      <c r="AP52" s="0" t="n">
        <v>51</v>
      </c>
      <c r="AQ52" s="0" t="n">
        <v>49</v>
      </c>
      <c r="AR52" s="0" t="n">
        <v>23</v>
      </c>
      <c r="AS52" s="0" t="n">
        <v>49</v>
      </c>
      <c r="AT52" s="0" t="n">
        <v>35</v>
      </c>
      <c r="AU52" s="0" t="n">
        <v>49</v>
      </c>
      <c r="AV52" s="0" t="n">
        <v>105</v>
      </c>
      <c r="AW52" s="0" t="n">
        <v>49</v>
      </c>
      <c r="AX52" s="0" t="n">
        <v>27</v>
      </c>
      <c r="AY52" s="0" t="n">
        <v>49</v>
      </c>
      <c r="AZ52" s="0" t="n">
        <v>27</v>
      </c>
      <c r="BA52" s="0" t="n">
        <v>49</v>
      </c>
      <c r="BB52" s="0" t="n">
        <v>205</v>
      </c>
      <c r="BC52" s="0" t="n">
        <v>49</v>
      </c>
      <c r="BD52" s="0" t="n">
        <v>193</v>
      </c>
      <c r="BE52" s="0" t="n">
        <v>49</v>
      </c>
      <c r="BF52" s="0" t="n">
        <v>215</v>
      </c>
      <c r="BG52" s="0" t="n">
        <v>49</v>
      </c>
      <c r="BH52" s="0" t="n">
        <v>7</v>
      </c>
      <c r="BI52" s="0" t="n">
        <v>49</v>
      </c>
      <c r="BJ52" s="0" t="n">
        <v>66</v>
      </c>
      <c r="BK52" s="0" t="n">
        <v>49</v>
      </c>
      <c r="BL52" s="0" t="n">
        <v>126</v>
      </c>
      <c r="BM52" s="0" t="n">
        <v>49</v>
      </c>
      <c r="BN52" s="0" t="n">
        <v>94</v>
      </c>
      <c r="BO52" s="0" t="n">
        <v>49</v>
      </c>
      <c r="BP52" s="0" t="n">
        <v>66</v>
      </c>
      <c r="BQ52" s="0" t="n">
        <v>49</v>
      </c>
      <c r="BR52" s="0" t="n">
        <v>25</v>
      </c>
      <c r="BS52" s="0" t="n">
        <v>49</v>
      </c>
      <c r="BT52" s="0" t="n">
        <v>128</v>
      </c>
      <c r="BU52" s="0" t="n">
        <v>49</v>
      </c>
      <c r="BV52" s="0" t="n">
        <v>45</v>
      </c>
      <c r="BW52" s="0" t="n">
        <v>49</v>
      </c>
      <c r="BX52" s="0" t="n">
        <v>246</v>
      </c>
      <c r="BY52" s="0" t="n">
        <v>49</v>
      </c>
      <c r="BZ52" s="0" t="n">
        <v>36</v>
      </c>
      <c r="CA52" s="0" t="n">
        <v>49</v>
      </c>
      <c r="CB52" s="0" t="n">
        <v>0</v>
      </c>
      <c r="CC52" s="0" t="n">
        <v>49</v>
      </c>
      <c r="CD52" s="0" t="n">
        <v>0</v>
      </c>
      <c r="CE52" s="0" t="n">
        <v>49</v>
      </c>
      <c r="CF52" s="0" t="n">
        <v>21</v>
      </c>
      <c r="CG52" s="0" t="n">
        <v>49</v>
      </c>
      <c r="CH52" s="0" t="n">
        <v>18</v>
      </c>
      <c r="CI52" s="0" t="n">
        <v>49</v>
      </c>
      <c r="CJ52" s="0" t="n">
        <v>128</v>
      </c>
      <c r="CK52" s="0" t="n">
        <v>49</v>
      </c>
      <c r="CL52" s="0" t="n">
        <v>723681</v>
      </c>
      <c r="CM52" s="0" t="n">
        <v>49</v>
      </c>
      <c r="CN52" s="0" t="n">
        <v>0</v>
      </c>
      <c r="CO52" s="0" t="n">
        <v>49</v>
      </c>
      <c r="CP52" s="0" t="n">
        <v>114</v>
      </c>
      <c r="CQ52" s="0" t="n">
        <v>49</v>
      </c>
      <c r="CR52" s="0" t="n">
        <v>387</v>
      </c>
      <c r="CS52" s="0" t="n">
        <v>49</v>
      </c>
      <c r="CT52" s="0" t="n">
        <v>36</v>
      </c>
      <c r="CU52" s="0" t="n">
        <v>49</v>
      </c>
      <c r="CV52" s="0" t="n">
        <v>39</v>
      </c>
      <c r="CW52" s="0" t="n">
        <v>49</v>
      </c>
      <c r="CX52" s="0" t="n">
        <v>273</v>
      </c>
    </row>
    <row r="53" customFormat="false" ht="12.75" hidden="false" customHeight="false" outlineLevel="0" collapsed="false">
      <c r="B53" s="0" t="n">
        <v>50</v>
      </c>
      <c r="C53" s="0" t="n">
        <v>0</v>
      </c>
      <c r="D53" s="0" t="n">
        <v>0</v>
      </c>
      <c r="E53" s="0" t="n">
        <v>50</v>
      </c>
      <c r="F53" s="0" t="n">
        <v>0</v>
      </c>
      <c r="G53" s="0" t="n">
        <v>50</v>
      </c>
      <c r="H53" s="0" t="n">
        <v>0</v>
      </c>
      <c r="I53" s="0" t="n">
        <v>50</v>
      </c>
      <c r="J53" s="0" t="n">
        <v>19</v>
      </c>
      <c r="K53" s="0" t="n">
        <v>50</v>
      </c>
      <c r="L53" s="0" t="n">
        <v>0</v>
      </c>
      <c r="M53" s="0" t="n">
        <v>50</v>
      </c>
      <c r="N53" s="0" t="n">
        <v>173</v>
      </c>
      <c r="O53" s="0" t="n">
        <v>50</v>
      </c>
      <c r="P53" s="0" t="n">
        <v>0</v>
      </c>
      <c r="Q53" s="0" t="n">
        <v>50</v>
      </c>
      <c r="R53" s="0" t="n">
        <v>16</v>
      </c>
      <c r="S53" s="0" t="n">
        <v>50</v>
      </c>
      <c r="T53" s="0" t="n">
        <v>24</v>
      </c>
      <c r="U53" s="0" t="n">
        <v>50</v>
      </c>
      <c r="V53" s="0" t="n">
        <v>14</v>
      </c>
      <c r="W53" s="0" t="n">
        <v>50</v>
      </c>
      <c r="X53" s="0" t="n">
        <v>0</v>
      </c>
      <c r="Y53" s="0" t="n">
        <v>50</v>
      </c>
      <c r="Z53" s="0" t="n">
        <v>0</v>
      </c>
      <c r="AA53" s="0" t="n">
        <v>50</v>
      </c>
      <c r="AB53" s="0" t="n">
        <v>15</v>
      </c>
      <c r="AC53" s="0" t="n">
        <v>50</v>
      </c>
      <c r="AD53" s="0" t="n">
        <v>0</v>
      </c>
      <c r="AE53" s="0" t="n">
        <v>50</v>
      </c>
      <c r="AF53" s="0" t="n">
        <v>0</v>
      </c>
      <c r="AG53" s="0" t="n">
        <v>50</v>
      </c>
      <c r="AH53" s="0" t="n">
        <v>0</v>
      </c>
      <c r="AI53" s="0" t="n">
        <v>50</v>
      </c>
      <c r="AJ53" s="0" t="n">
        <v>0</v>
      </c>
      <c r="AK53" s="0" t="n">
        <v>50</v>
      </c>
      <c r="AL53" s="0" t="n">
        <v>0</v>
      </c>
      <c r="AM53" s="0" t="n">
        <v>50</v>
      </c>
      <c r="AN53" s="0" t="n">
        <v>176</v>
      </c>
      <c r="AO53" s="0" t="n">
        <v>50</v>
      </c>
      <c r="AP53" s="0" t="n">
        <v>73</v>
      </c>
      <c r="AQ53" s="0" t="n">
        <v>50</v>
      </c>
      <c r="AR53" s="0" t="n">
        <v>1496</v>
      </c>
      <c r="AS53" s="0" t="n">
        <v>50</v>
      </c>
      <c r="AT53" s="0" t="n">
        <v>20</v>
      </c>
      <c r="AU53" s="0" t="n">
        <v>50</v>
      </c>
      <c r="AV53" s="0" t="n">
        <v>0</v>
      </c>
      <c r="AW53" s="0" t="n">
        <v>50</v>
      </c>
      <c r="AX53" s="0" t="n">
        <v>0</v>
      </c>
      <c r="AY53" s="0" t="n">
        <v>50</v>
      </c>
      <c r="AZ53" s="0" t="n">
        <v>0</v>
      </c>
      <c r="BA53" s="0" t="n">
        <v>50</v>
      </c>
      <c r="BB53" s="0" t="n">
        <v>0</v>
      </c>
      <c r="BC53" s="0" t="n">
        <v>50</v>
      </c>
      <c r="BD53" s="0" t="n">
        <v>0</v>
      </c>
      <c r="BE53" s="0" t="n">
        <v>50</v>
      </c>
      <c r="BF53" s="0" t="n">
        <v>0</v>
      </c>
      <c r="BG53" s="0" t="n">
        <v>50</v>
      </c>
      <c r="BH53" s="0" t="n">
        <v>7414</v>
      </c>
      <c r="BI53" s="0" t="n">
        <v>50</v>
      </c>
      <c r="BJ53" s="0" t="n">
        <v>116</v>
      </c>
      <c r="BK53" s="0" t="n">
        <v>50</v>
      </c>
      <c r="BL53" s="0" t="n">
        <v>0</v>
      </c>
      <c r="BM53" s="0" t="n">
        <v>50</v>
      </c>
      <c r="BN53" s="0" t="n">
        <v>3755</v>
      </c>
      <c r="BO53" s="0" t="n">
        <v>50</v>
      </c>
      <c r="BP53" s="0" t="n">
        <v>24</v>
      </c>
      <c r="BQ53" s="0" t="n">
        <v>50</v>
      </c>
      <c r="BR53" s="0" t="n">
        <v>0</v>
      </c>
      <c r="BS53" s="0" t="n">
        <v>50</v>
      </c>
      <c r="BT53" s="0" t="n">
        <v>3</v>
      </c>
      <c r="BU53" s="0" t="n">
        <v>50</v>
      </c>
      <c r="BV53" s="0" t="n">
        <v>0</v>
      </c>
      <c r="BW53" s="0" t="n">
        <v>50</v>
      </c>
      <c r="BX53" s="0" t="n">
        <v>0</v>
      </c>
      <c r="BY53" s="0" t="n">
        <v>50</v>
      </c>
      <c r="BZ53" s="0" t="n">
        <v>0</v>
      </c>
      <c r="CA53" s="0" t="n">
        <v>50</v>
      </c>
      <c r="CB53" s="0" t="n">
        <v>112</v>
      </c>
      <c r="CC53" s="0" t="n">
        <v>50</v>
      </c>
      <c r="CD53" s="0" t="n">
        <v>0</v>
      </c>
      <c r="CE53" s="0" t="n">
        <v>50</v>
      </c>
      <c r="CF53" s="0" t="n">
        <v>0</v>
      </c>
      <c r="CG53" s="0" t="n">
        <v>50</v>
      </c>
      <c r="CH53" s="0" t="n">
        <v>0</v>
      </c>
      <c r="CI53" s="0" t="n">
        <v>50</v>
      </c>
      <c r="CJ53" s="0" t="n">
        <v>0</v>
      </c>
      <c r="CK53" s="0" t="n">
        <v>50</v>
      </c>
      <c r="CL53" s="0" t="n">
        <v>0</v>
      </c>
      <c r="CM53" s="0" t="n">
        <v>50</v>
      </c>
      <c r="CN53" s="0" t="n">
        <v>259866</v>
      </c>
      <c r="CO53" s="0" t="n">
        <v>50</v>
      </c>
      <c r="CP53" s="0" t="n">
        <v>51</v>
      </c>
      <c r="CQ53" s="0" t="n">
        <v>50</v>
      </c>
      <c r="CR53" s="0" t="n">
        <v>21</v>
      </c>
      <c r="CS53" s="0" t="n">
        <v>50</v>
      </c>
      <c r="CT53" s="0" t="n">
        <v>0</v>
      </c>
      <c r="CU53" s="0" t="n">
        <v>50</v>
      </c>
      <c r="CV53" s="0" t="n">
        <v>10</v>
      </c>
      <c r="CW53" s="0" t="n">
        <v>50</v>
      </c>
      <c r="CX53" s="0" t="n">
        <v>0</v>
      </c>
    </row>
    <row r="54" customFormat="false" ht="12.75" hidden="false" customHeight="false" outlineLevel="0" collapsed="false">
      <c r="B54" s="0" t="n">
        <v>51</v>
      </c>
      <c r="C54" s="0" t="n">
        <v>581</v>
      </c>
      <c r="D54" s="0" t="n">
        <v>8</v>
      </c>
      <c r="E54" s="0" t="n">
        <v>51</v>
      </c>
      <c r="F54" s="0" t="n">
        <v>104</v>
      </c>
      <c r="G54" s="0" t="n">
        <v>51</v>
      </c>
      <c r="H54" s="0" t="n">
        <v>191</v>
      </c>
      <c r="I54" s="0" t="n">
        <v>51</v>
      </c>
      <c r="J54" s="0" t="n">
        <v>1097</v>
      </c>
      <c r="K54" s="0" t="n">
        <v>51</v>
      </c>
      <c r="L54" s="0" t="n">
        <v>297</v>
      </c>
      <c r="M54" s="0" t="n">
        <v>51</v>
      </c>
      <c r="N54" s="0" t="n">
        <v>431</v>
      </c>
      <c r="O54" s="0" t="n">
        <v>51</v>
      </c>
      <c r="P54" s="0" t="n">
        <v>29311</v>
      </c>
      <c r="Q54" s="0" t="n">
        <v>51</v>
      </c>
      <c r="R54" s="0" t="n">
        <v>357</v>
      </c>
      <c r="S54" s="0" t="n">
        <v>51</v>
      </c>
      <c r="T54" s="0" t="n">
        <v>2216</v>
      </c>
      <c r="U54" s="0" t="n">
        <v>51</v>
      </c>
      <c r="V54" s="0" t="n">
        <v>1090</v>
      </c>
      <c r="W54" s="0" t="n">
        <v>51</v>
      </c>
      <c r="X54" s="0" t="n">
        <v>42</v>
      </c>
      <c r="Y54" s="0" t="n">
        <v>51</v>
      </c>
      <c r="Z54" s="0" t="n">
        <v>0</v>
      </c>
      <c r="AA54" s="0" t="n">
        <v>51</v>
      </c>
      <c r="AB54" s="0" t="n">
        <v>471</v>
      </c>
      <c r="AC54" s="0" t="n">
        <v>51</v>
      </c>
      <c r="AD54" s="0" t="n">
        <v>420</v>
      </c>
      <c r="AE54" s="0" t="n">
        <v>51</v>
      </c>
      <c r="AF54" s="0" t="n">
        <v>37</v>
      </c>
      <c r="AG54" s="0" t="n">
        <v>51</v>
      </c>
      <c r="AH54" s="0" t="n">
        <v>172</v>
      </c>
      <c r="AI54" s="0" t="n">
        <v>51</v>
      </c>
      <c r="AJ54" s="0" t="n">
        <v>1630</v>
      </c>
      <c r="AK54" s="0" t="n">
        <v>51</v>
      </c>
      <c r="AL54" s="0" t="n">
        <v>261</v>
      </c>
      <c r="AM54" s="0" t="n">
        <v>51</v>
      </c>
      <c r="AN54" s="0" t="n">
        <v>114</v>
      </c>
      <c r="AO54" s="0" t="n">
        <v>51</v>
      </c>
      <c r="AP54" s="0" t="n">
        <v>94756</v>
      </c>
      <c r="AQ54" s="0" t="n">
        <v>51</v>
      </c>
      <c r="AR54" s="0" t="n">
        <v>601</v>
      </c>
      <c r="AS54" s="0" t="n">
        <v>51</v>
      </c>
      <c r="AT54" s="0" t="n">
        <v>411</v>
      </c>
      <c r="AU54" s="0" t="n">
        <v>51</v>
      </c>
      <c r="AV54" s="0" t="n">
        <v>170</v>
      </c>
      <c r="AW54" s="0" t="n">
        <v>51</v>
      </c>
      <c r="AX54" s="0" t="n">
        <v>147</v>
      </c>
      <c r="AY54" s="0" t="n">
        <v>51</v>
      </c>
      <c r="AZ54" s="0" t="n">
        <v>241</v>
      </c>
      <c r="BA54" s="0" t="n">
        <v>51</v>
      </c>
      <c r="BB54" s="0" t="n">
        <v>0</v>
      </c>
      <c r="BC54" s="0" t="n">
        <v>51</v>
      </c>
      <c r="BD54" s="0" t="n">
        <v>50</v>
      </c>
      <c r="BE54" s="0" t="n">
        <v>51</v>
      </c>
      <c r="BF54" s="0" t="n">
        <v>101</v>
      </c>
      <c r="BG54" s="0" t="n">
        <v>51</v>
      </c>
      <c r="BH54" s="0" t="n">
        <v>134</v>
      </c>
      <c r="BI54" s="0" t="n">
        <v>51</v>
      </c>
      <c r="BJ54" s="0" t="n">
        <v>1194</v>
      </c>
      <c r="BK54" s="0" t="n">
        <v>51</v>
      </c>
      <c r="BL54" s="0" t="n">
        <v>27</v>
      </c>
      <c r="BM54" s="0" t="n">
        <v>51</v>
      </c>
      <c r="BN54" s="0" t="n">
        <v>1635</v>
      </c>
      <c r="BO54" s="0" t="n">
        <v>51</v>
      </c>
      <c r="BP54" s="0" t="n">
        <v>21042</v>
      </c>
      <c r="BQ54" s="0" t="n">
        <v>51</v>
      </c>
      <c r="BR54" s="0" t="n">
        <v>40</v>
      </c>
      <c r="BS54" s="0" t="n">
        <v>51</v>
      </c>
      <c r="BT54" s="0" t="n">
        <v>827</v>
      </c>
      <c r="BU54" s="0" t="n">
        <v>51</v>
      </c>
      <c r="BV54" s="0" t="n">
        <v>224</v>
      </c>
      <c r="BW54" s="0" t="n">
        <v>51</v>
      </c>
      <c r="BX54" s="0" t="n">
        <v>102</v>
      </c>
      <c r="BY54" s="0" t="n">
        <v>51</v>
      </c>
      <c r="BZ54" s="0" t="n">
        <v>3512</v>
      </c>
      <c r="CA54" s="0" t="n">
        <v>51</v>
      </c>
      <c r="CB54" s="0" t="n">
        <v>181</v>
      </c>
      <c r="CC54" s="0" t="n">
        <v>51</v>
      </c>
      <c r="CD54" s="0" t="n">
        <v>0</v>
      </c>
      <c r="CE54" s="0" t="n">
        <v>51</v>
      </c>
      <c r="CF54" s="0" t="n">
        <v>1026</v>
      </c>
      <c r="CG54" s="0" t="n">
        <v>51</v>
      </c>
      <c r="CH54" s="0" t="n">
        <v>9153</v>
      </c>
      <c r="CI54" s="0" t="n">
        <v>51</v>
      </c>
      <c r="CJ54" s="0" t="n">
        <v>1167</v>
      </c>
      <c r="CK54" s="0" t="n">
        <v>51</v>
      </c>
      <c r="CL54" s="0" t="n">
        <v>74</v>
      </c>
      <c r="CM54" s="0" t="n">
        <v>51</v>
      </c>
      <c r="CN54" s="0" t="n">
        <v>0</v>
      </c>
      <c r="CO54" s="0" t="n">
        <v>51</v>
      </c>
      <c r="CP54" s="0" t="n">
        <v>2852073</v>
      </c>
      <c r="CQ54" s="0" t="n">
        <v>51</v>
      </c>
      <c r="CR54" s="0" t="n">
        <v>198</v>
      </c>
      <c r="CS54" s="0" t="n">
        <v>51</v>
      </c>
      <c r="CT54" s="0" t="n">
        <v>20925</v>
      </c>
      <c r="CU54" s="0" t="n">
        <v>51</v>
      </c>
      <c r="CV54" s="0" t="n">
        <v>232</v>
      </c>
      <c r="CW54" s="0" t="n">
        <v>51</v>
      </c>
      <c r="CX54" s="0" t="n">
        <v>0</v>
      </c>
    </row>
    <row r="55" customFormat="false" ht="12.75" hidden="false" customHeight="false" outlineLevel="0" collapsed="false">
      <c r="B55" s="0" t="n">
        <v>52</v>
      </c>
      <c r="C55" s="0" t="n">
        <v>0</v>
      </c>
      <c r="D55" s="0" t="n">
        <v>0</v>
      </c>
      <c r="E55" s="0" t="n">
        <v>52</v>
      </c>
      <c r="F55" s="0" t="n">
        <v>0</v>
      </c>
      <c r="G55" s="0" t="n">
        <v>52</v>
      </c>
      <c r="H55" s="0" t="n">
        <v>0</v>
      </c>
      <c r="I55" s="0" t="n">
        <v>52</v>
      </c>
      <c r="J55" s="0" t="n">
        <v>0</v>
      </c>
      <c r="K55" s="0" t="n">
        <v>52</v>
      </c>
      <c r="L55" s="0" t="n">
        <v>0</v>
      </c>
      <c r="M55" s="0" t="n">
        <v>52</v>
      </c>
      <c r="N55" s="0" t="n">
        <v>0</v>
      </c>
      <c r="O55" s="0" t="n">
        <v>52</v>
      </c>
      <c r="P55" s="0" t="n">
        <v>0</v>
      </c>
      <c r="Q55" s="0" t="n">
        <v>52</v>
      </c>
      <c r="R55" s="0" t="n">
        <v>0</v>
      </c>
      <c r="S55" s="0" t="n">
        <v>52</v>
      </c>
      <c r="T55" s="0" t="n">
        <v>0</v>
      </c>
      <c r="U55" s="0" t="n">
        <v>52</v>
      </c>
      <c r="V55" s="0" t="n">
        <v>0</v>
      </c>
      <c r="W55" s="0" t="n">
        <v>52</v>
      </c>
      <c r="X55" s="0" t="n">
        <v>0</v>
      </c>
      <c r="Y55" s="0" t="n">
        <v>52</v>
      </c>
      <c r="Z55" s="0" t="n">
        <v>0</v>
      </c>
      <c r="AA55" s="0" t="n">
        <v>52</v>
      </c>
      <c r="AB55" s="0" t="n">
        <v>0</v>
      </c>
      <c r="AC55" s="0" t="n">
        <v>52</v>
      </c>
      <c r="AD55" s="0" t="n">
        <v>0</v>
      </c>
      <c r="AE55" s="0" t="n">
        <v>52</v>
      </c>
      <c r="AF55" s="0" t="n">
        <v>0</v>
      </c>
      <c r="AG55" s="0" t="n">
        <v>52</v>
      </c>
      <c r="AH55" s="0" t="n">
        <v>0</v>
      </c>
      <c r="AI55" s="0" t="n">
        <v>52</v>
      </c>
      <c r="AJ55" s="0" t="n">
        <v>0</v>
      </c>
      <c r="AK55" s="0" t="n">
        <v>52</v>
      </c>
      <c r="AL55" s="0" t="n">
        <v>0</v>
      </c>
      <c r="AM55" s="0" t="n">
        <v>52</v>
      </c>
      <c r="AN55" s="0" t="n">
        <v>0</v>
      </c>
      <c r="AO55" s="0" t="n">
        <v>52</v>
      </c>
      <c r="AP55" s="0" t="n">
        <v>0</v>
      </c>
      <c r="AQ55" s="0" t="n">
        <v>52</v>
      </c>
      <c r="AR55" s="0" t="n">
        <v>0</v>
      </c>
      <c r="AS55" s="0" t="n">
        <v>52</v>
      </c>
      <c r="AT55" s="0" t="n">
        <v>0</v>
      </c>
      <c r="AU55" s="0" t="n">
        <v>52</v>
      </c>
      <c r="AV55" s="0" t="n">
        <v>0</v>
      </c>
      <c r="AW55" s="0" t="n">
        <v>52</v>
      </c>
      <c r="AX55" s="0" t="n">
        <v>0</v>
      </c>
      <c r="AY55" s="0" t="n">
        <v>52</v>
      </c>
      <c r="AZ55" s="0" t="n">
        <v>0</v>
      </c>
      <c r="BA55" s="0" t="n">
        <v>52</v>
      </c>
      <c r="BB55" s="0" t="n">
        <v>0</v>
      </c>
      <c r="BC55" s="0" t="n">
        <v>52</v>
      </c>
      <c r="BD55" s="0" t="n">
        <v>0</v>
      </c>
      <c r="BE55" s="0" t="n">
        <v>52</v>
      </c>
      <c r="BF55" s="0" t="n">
        <v>0</v>
      </c>
      <c r="BG55" s="0" t="n">
        <v>52</v>
      </c>
      <c r="BH55" s="0" t="n">
        <v>0</v>
      </c>
      <c r="BI55" s="0" t="n">
        <v>52</v>
      </c>
      <c r="BJ55" s="0" t="n">
        <v>0</v>
      </c>
      <c r="BK55" s="0" t="n">
        <v>52</v>
      </c>
      <c r="BL55" s="0" t="n">
        <v>0</v>
      </c>
      <c r="BM55" s="0" t="n">
        <v>52</v>
      </c>
      <c r="BN55" s="0" t="n">
        <v>0</v>
      </c>
      <c r="BO55" s="0" t="n">
        <v>52</v>
      </c>
      <c r="BP55" s="0" t="n">
        <v>0</v>
      </c>
      <c r="BQ55" s="0" t="n">
        <v>52</v>
      </c>
      <c r="BR55" s="0" t="n">
        <v>0</v>
      </c>
      <c r="BS55" s="0" t="n">
        <v>52</v>
      </c>
      <c r="BT55" s="0" t="n">
        <v>0</v>
      </c>
      <c r="BU55" s="0" t="n">
        <v>52</v>
      </c>
      <c r="BV55" s="0" t="n">
        <v>0</v>
      </c>
      <c r="BW55" s="0" t="n">
        <v>52</v>
      </c>
      <c r="BX55" s="0" t="n">
        <v>0</v>
      </c>
      <c r="BY55" s="0" t="n">
        <v>52</v>
      </c>
      <c r="BZ55" s="0" t="n">
        <v>0</v>
      </c>
      <c r="CA55" s="0" t="n">
        <v>52</v>
      </c>
      <c r="CB55" s="0" t="n">
        <v>0</v>
      </c>
      <c r="CC55" s="0" t="n">
        <v>52</v>
      </c>
      <c r="CD55" s="0" t="n">
        <v>0</v>
      </c>
      <c r="CE55" s="0" t="n">
        <v>52</v>
      </c>
      <c r="CF55" s="0" t="n">
        <v>0</v>
      </c>
      <c r="CG55" s="0" t="n">
        <v>52</v>
      </c>
      <c r="CH55" s="0" t="n">
        <v>0</v>
      </c>
      <c r="CI55" s="0" t="n">
        <v>52</v>
      </c>
      <c r="CJ55" s="0" t="n">
        <v>0</v>
      </c>
      <c r="CK55" s="0" t="n">
        <v>52</v>
      </c>
      <c r="CL55" s="0" t="n">
        <v>0</v>
      </c>
      <c r="CM55" s="0" t="n">
        <v>52</v>
      </c>
      <c r="CN55" s="0" t="n">
        <v>0</v>
      </c>
      <c r="CO55" s="0" t="n">
        <v>52</v>
      </c>
      <c r="CP55" s="0" t="n">
        <v>0</v>
      </c>
      <c r="CQ55" s="0" t="n">
        <v>52</v>
      </c>
      <c r="CR55" s="0" t="n">
        <v>0</v>
      </c>
      <c r="CS55" s="0" t="n">
        <v>52</v>
      </c>
      <c r="CT55" s="0" t="n">
        <v>0</v>
      </c>
      <c r="CU55" s="0" t="n">
        <v>52</v>
      </c>
      <c r="CV55" s="0" t="n">
        <v>0</v>
      </c>
      <c r="CW55" s="0" t="n">
        <v>52</v>
      </c>
      <c r="CX55" s="0" t="n">
        <v>0</v>
      </c>
    </row>
    <row r="56" customFormat="false" ht="12.75" hidden="false" customHeight="false" outlineLevel="0" collapsed="false">
      <c r="B56" s="0" t="n">
        <v>53</v>
      </c>
      <c r="C56" s="0" t="n">
        <v>81</v>
      </c>
      <c r="D56" s="0" t="n">
        <v>426</v>
      </c>
      <c r="E56" s="0" t="n">
        <v>53</v>
      </c>
      <c r="F56" s="0" t="n">
        <v>121</v>
      </c>
      <c r="G56" s="0" t="n">
        <v>53</v>
      </c>
      <c r="H56" s="0" t="n">
        <v>22</v>
      </c>
      <c r="I56" s="0" t="n">
        <v>53</v>
      </c>
      <c r="J56" s="0" t="n">
        <v>2464</v>
      </c>
      <c r="K56" s="0" t="n">
        <v>53</v>
      </c>
      <c r="L56" s="0" t="n">
        <v>342</v>
      </c>
      <c r="M56" s="0" t="n">
        <v>53</v>
      </c>
      <c r="N56" s="0" t="n">
        <v>62</v>
      </c>
      <c r="O56" s="0" t="n">
        <v>53</v>
      </c>
      <c r="P56" s="0" t="n">
        <v>190</v>
      </c>
      <c r="Q56" s="0" t="n">
        <v>53</v>
      </c>
      <c r="R56" s="0" t="n">
        <v>0</v>
      </c>
      <c r="S56" s="0" t="n">
        <v>53</v>
      </c>
      <c r="T56" s="0" t="n">
        <v>219</v>
      </c>
      <c r="U56" s="0" t="n">
        <v>53</v>
      </c>
      <c r="V56" s="0" t="n">
        <v>106</v>
      </c>
      <c r="W56" s="0" t="n">
        <v>53</v>
      </c>
      <c r="X56" s="0" t="n">
        <v>83</v>
      </c>
      <c r="Y56" s="0" t="n">
        <v>53</v>
      </c>
      <c r="Z56" s="0" t="n">
        <v>8072</v>
      </c>
      <c r="AA56" s="0" t="n">
        <v>53</v>
      </c>
      <c r="AB56" s="0" t="n">
        <v>189</v>
      </c>
      <c r="AC56" s="0" t="n">
        <v>53</v>
      </c>
      <c r="AD56" s="0" t="n">
        <v>113</v>
      </c>
      <c r="AE56" s="0" t="n">
        <v>53</v>
      </c>
      <c r="AF56" s="0" t="n">
        <v>51</v>
      </c>
      <c r="AG56" s="0" t="n">
        <v>53</v>
      </c>
      <c r="AH56" s="0" t="n">
        <v>80</v>
      </c>
      <c r="AI56" s="0" t="n">
        <v>53</v>
      </c>
      <c r="AJ56" s="0" t="n">
        <v>49</v>
      </c>
      <c r="AK56" s="0" t="n">
        <v>53</v>
      </c>
      <c r="AL56" s="0" t="n">
        <v>93</v>
      </c>
      <c r="AM56" s="0" t="n">
        <v>53</v>
      </c>
      <c r="AN56" s="0" t="n">
        <v>66</v>
      </c>
      <c r="AO56" s="0" t="n">
        <v>53</v>
      </c>
      <c r="AP56" s="0" t="n">
        <v>121</v>
      </c>
      <c r="AQ56" s="0" t="n">
        <v>53</v>
      </c>
      <c r="AR56" s="0" t="n">
        <v>69</v>
      </c>
      <c r="AS56" s="0" t="n">
        <v>53</v>
      </c>
      <c r="AT56" s="0" t="n">
        <v>161</v>
      </c>
      <c r="AU56" s="0" t="n">
        <v>53</v>
      </c>
      <c r="AV56" s="0" t="n">
        <v>162</v>
      </c>
      <c r="AW56" s="0" t="n">
        <v>53</v>
      </c>
      <c r="AX56" s="0" t="n">
        <v>33</v>
      </c>
      <c r="AY56" s="0" t="n">
        <v>53</v>
      </c>
      <c r="AZ56" s="0" t="n">
        <v>114</v>
      </c>
      <c r="BA56" s="0" t="n">
        <v>53</v>
      </c>
      <c r="BB56" s="0" t="n">
        <v>637</v>
      </c>
      <c r="BC56" s="0" t="n">
        <v>53</v>
      </c>
      <c r="BD56" s="0" t="n">
        <v>0</v>
      </c>
      <c r="BE56" s="0" t="n">
        <v>53</v>
      </c>
      <c r="BF56" s="0" t="n">
        <v>88</v>
      </c>
      <c r="BG56" s="0" t="n">
        <v>53</v>
      </c>
      <c r="BH56" s="0" t="n">
        <v>0</v>
      </c>
      <c r="BI56" s="0" t="n">
        <v>53</v>
      </c>
      <c r="BJ56" s="0" t="n">
        <v>89</v>
      </c>
      <c r="BK56" s="0" t="n">
        <v>53</v>
      </c>
      <c r="BL56" s="0" t="n">
        <v>33</v>
      </c>
      <c r="BM56" s="0" t="n">
        <v>53</v>
      </c>
      <c r="BN56" s="0" t="n">
        <v>297</v>
      </c>
      <c r="BO56" s="0" t="n">
        <v>53</v>
      </c>
      <c r="BP56" s="0" t="n">
        <v>129</v>
      </c>
      <c r="BQ56" s="0" t="n">
        <v>53</v>
      </c>
      <c r="BR56" s="0" t="n">
        <v>10</v>
      </c>
      <c r="BS56" s="0" t="n">
        <v>53</v>
      </c>
      <c r="BT56" s="0" t="n">
        <v>79</v>
      </c>
      <c r="BU56" s="0" t="n">
        <v>53</v>
      </c>
      <c r="BV56" s="0" t="n">
        <v>24</v>
      </c>
      <c r="BW56" s="0" t="n">
        <v>53</v>
      </c>
      <c r="BX56" s="0" t="n">
        <v>17846</v>
      </c>
      <c r="BY56" s="0" t="n">
        <v>53</v>
      </c>
      <c r="BZ56" s="0" t="n">
        <v>250</v>
      </c>
      <c r="CA56" s="0" t="n">
        <v>53</v>
      </c>
      <c r="CB56" s="0" t="n">
        <v>0</v>
      </c>
      <c r="CC56" s="0" t="n">
        <v>53</v>
      </c>
      <c r="CD56" s="0" t="n">
        <v>67</v>
      </c>
      <c r="CE56" s="0" t="n">
        <v>53</v>
      </c>
      <c r="CF56" s="0" t="n">
        <v>144</v>
      </c>
      <c r="CG56" s="0" t="n">
        <v>53</v>
      </c>
      <c r="CH56" s="0" t="n">
        <v>108</v>
      </c>
      <c r="CI56" s="0" t="n">
        <v>53</v>
      </c>
      <c r="CJ56" s="0" t="n">
        <v>559</v>
      </c>
      <c r="CK56" s="0" t="n">
        <v>53</v>
      </c>
      <c r="CL56" s="0" t="n">
        <v>330</v>
      </c>
      <c r="CM56" s="0" t="n">
        <v>53</v>
      </c>
      <c r="CN56" s="0" t="n">
        <v>0</v>
      </c>
      <c r="CO56" s="0" t="n">
        <v>53</v>
      </c>
      <c r="CP56" s="0" t="n">
        <v>276</v>
      </c>
      <c r="CQ56" s="0" t="n">
        <v>53</v>
      </c>
      <c r="CR56" s="0" t="n">
        <v>2227884</v>
      </c>
      <c r="CS56" s="0" t="n">
        <v>53</v>
      </c>
      <c r="CT56" s="0" t="n">
        <v>14</v>
      </c>
      <c r="CU56" s="0" t="n">
        <v>53</v>
      </c>
      <c r="CV56" s="0" t="n">
        <v>37</v>
      </c>
      <c r="CW56" s="0" t="n">
        <v>53</v>
      </c>
      <c r="CX56" s="0" t="n">
        <v>40</v>
      </c>
    </row>
    <row r="57" customFormat="false" ht="12.75" hidden="false" customHeight="false" outlineLevel="0" collapsed="false">
      <c r="B57" s="0" t="n">
        <v>54</v>
      </c>
      <c r="C57" s="0" t="n">
        <v>16</v>
      </c>
      <c r="D57" s="0" t="n">
        <v>0</v>
      </c>
      <c r="E57" s="0" t="n">
        <v>54</v>
      </c>
      <c r="F57" s="0" t="n">
        <v>8</v>
      </c>
      <c r="G57" s="0" t="n">
        <v>54</v>
      </c>
      <c r="H57" s="0" t="n">
        <v>0</v>
      </c>
      <c r="I57" s="0" t="n">
        <v>54</v>
      </c>
      <c r="J57" s="0" t="n">
        <v>84</v>
      </c>
      <c r="K57" s="0" t="n">
        <v>54</v>
      </c>
      <c r="L57" s="0" t="n">
        <v>6</v>
      </c>
      <c r="M57" s="0" t="n">
        <v>54</v>
      </c>
      <c r="N57" s="0" t="n">
        <v>25</v>
      </c>
      <c r="O57" s="0" t="n">
        <v>54</v>
      </c>
      <c r="P57" s="0" t="n">
        <v>57</v>
      </c>
      <c r="Q57" s="0" t="n">
        <v>54</v>
      </c>
      <c r="R57" s="0" t="n">
        <v>0</v>
      </c>
      <c r="S57" s="0" t="n">
        <v>54</v>
      </c>
      <c r="T57" s="0" t="n">
        <v>315</v>
      </c>
      <c r="U57" s="0" t="n">
        <v>54</v>
      </c>
      <c r="V57" s="0" t="n">
        <v>63</v>
      </c>
      <c r="W57" s="0" t="n">
        <v>54</v>
      </c>
      <c r="X57" s="0" t="n">
        <v>0</v>
      </c>
      <c r="Y57" s="0" t="n">
        <v>54</v>
      </c>
      <c r="Z57" s="0" t="n">
        <v>0</v>
      </c>
      <c r="AA57" s="0" t="n">
        <v>54</v>
      </c>
      <c r="AB57" s="0" t="n">
        <v>57</v>
      </c>
      <c r="AC57" s="0" t="n">
        <v>54</v>
      </c>
      <c r="AD57" s="0" t="n">
        <v>3</v>
      </c>
      <c r="AE57" s="0" t="n">
        <v>54</v>
      </c>
      <c r="AF57" s="0" t="n">
        <v>8</v>
      </c>
      <c r="AG57" s="0" t="n">
        <v>54</v>
      </c>
      <c r="AH57" s="0" t="n">
        <v>25</v>
      </c>
      <c r="AI57" s="0" t="n">
        <v>54</v>
      </c>
      <c r="AJ57" s="0" t="n">
        <v>4664</v>
      </c>
      <c r="AK57" s="0" t="n">
        <v>54</v>
      </c>
      <c r="AL57" s="0" t="n">
        <v>15</v>
      </c>
      <c r="AM57" s="0" t="n">
        <v>54</v>
      </c>
      <c r="AN57" s="0" t="n">
        <v>0</v>
      </c>
      <c r="AO57" s="0" t="n">
        <v>54</v>
      </c>
      <c r="AP57" s="0" t="n">
        <v>3931</v>
      </c>
      <c r="AQ57" s="0" t="n">
        <v>54</v>
      </c>
      <c r="AR57" s="0" t="n">
        <v>0</v>
      </c>
      <c r="AS57" s="0" t="n">
        <v>54</v>
      </c>
      <c r="AT57" s="0" t="n">
        <v>42</v>
      </c>
      <c r="AU57" s="0" t="n">
        <v>54</v>
      </c>
      <c r="AV57" s="0" t="n">
        <v>9</v>
      </c>
      <c r="AW57" s="0" t="n">
        <v>54</v>
      </c>
      <c r="AX57" s="0" t="n">
        <v>30</v>
      </c>
      <c r="AY57" s="0" t="n">
        <v>54</v>
      </c>
      <c r="AZ57" s="0" t="n">
        <v>0</v>
      </c>
      <c r="BA57" s="0" t="n">
        <v>54</v>
      </c>
      <c r="BB57" s="0" t="n">
        <v>0</v>
      </c>
      <c r="BC57" s="0" t="n">
        <v>54</v>
      </c>
      <c r="BD57" s="0" t="n">
        <v>0</v>
      </c>
      <c r="BE57" s="0" t="n">
        <v>54</v>
      </c>
      <c r="BF57" s="0" t="n">
        <v>0</v>
      </c>
      <c r="BG57" s="0" t="n">
        <v>54</v>
      </c>
      <c r="BH57" s="0" t="n">
        <v>27</v>
      </c>
      <c r="BI57" s="0" t="n">
        <v>54</v>
      </c>
      <c r="BJ57" s="0" t="n">
        <v>55</v>
      </c>
      <c r="BK57" s="0" t="n">
        <v>54</v>
      </c>
      <c r="BL57" s="0" t="n">
        <v>0</v>
      </c>
      <c r="BM57" s="0" t="n">
        <v>54</v>
      </c>
      <c r="BN57" s="0" t="n">
        <v>124</v>
      </c>
      <c r="BO57" s="0" t="n">
        <v>54</v>
      </c>
      <c r="BP57" s="0" t="n">
        <v>246</v>
      </c>
      <c r="BQ57" s="0" t="n">
        <v>54</v>
      </c>
      <c r="BR57" s="0" t="n">
        <v>0</v>
      </c>
      <c r="BS57" s="0" t="n">
        <v>54</v>
      </c>
      <c r="BT57" s="0" t="n">
        <v>30303</v>
      </c>
      <c r="BU57" s="0" t="n">
        <v>54</v>
      </c>
      <c r="BV57" s="0" t="n">
        <v>28</v>
      </c>
      <c r="BW57" s="0" t="n">
        <v>54</v>
      </c>
      <c r="BX57" s="0" t="n">
        <v>0</v>
      </c>
      <c r="BY57" s="0" t="n">
        <v>54</v>
      </c>
      <c r="BZ57" s="0" t="n">
        <v>7170</v>
      </c>
      <c r="CA57" s="0" t="n">
        <v>54</v>
      </c>
      <c r="CB57" s="0" t="n">
        <v>0</v>
      </c>
      <c r="CC57" s="0" t="n">
        <v>54</v>
      </c>
      <c r="CD57" s="0" t="n">
        <v>0</v>
      </c>
      <c r="CE57" s="0" t="n">
        <v>54</v>
      </c>
      <c r="CF57" s="0" t="n">
        <v>63</v>
      </c>
      <c r="CG57" s="0" t="n">
        <v>54</v>
      </c>
      <c r="CH57" s="0" t="n">
        <v>114</v>
      </c>
      <c r="CI57" s="0" t="n">
        <v>54</v>
      </c>
      <c r="CJ57" s="0" t="n">
        <v>95</v>
      </c>
      <c r="CK57" s="0" t="n">
        <v>54</v>
      </c>
      <c r="CL57" s="0" t="n">
        <v>0</v>
      </c>
      <c r="CM57" s="0" t="n">
        <v>54</v>
      </c>
      <c r="CN57" s="0" t="n">
        <v>0</v>
      </c>
      <c r="CO57" s="0" t="n">
        <v>54</v>
      </c>
      <c r="CP57" s="0" t="n">
        <v>6090</v>
      </c>
      <c r="CQ57" s="0" t="n">
        <v>54</v>
      </c>
      <c r="CR57" s="0" t="n">
        <v>0</v>
      </c>
      <c r="CS57" s="0" t="n">
        <v>54</v>
      </c>
      <c r="CT57" s="0" t="n">
        <v>589694</v>
      </c>
      <c r="CU57" s="0" t="n">
        <v>54</v>
      </c>
      <c r="CV57" s="0" t="n">
        <v>0</v>
      </c>
      <c r="CW57" s="0" t="n">
        <v>54</v>
      </c>
      <c r="CX57" s="0" t="n">
        <v>18</v>
      </c>
    </row>
    <row r="58" customFormat="false" ht="12.75" hidden="false" customHeight="false" outlineLevel="0" collapsed="false">
      <c r="B58" s="0" t="n">
        <v>55</v>
      </c>
      <c r="C58" s="0" t="n">
        <v>73</v>
      </c>
      <c r="D58" s="0" t="n">
        <v>0</v>
      </c>
      <c r="E58" s="0" t="n">
        <v>55</v>
      </c>
      <c r="F58" s="0" t="n">
        <v>137</v>
      </c>
      <c r="G58" s="0" t="n">
        <v>55</v>
      </c>
      <c r="H58" s="0" t="n">
        <v>50</v>
      </c>
      <c r="I58" s="0" t="n">
        <v>55</v>
      </c>
      <c r="J58" s="0" t="n">
        <v>139</v>
      </c>
      <c r="K58" s="0" t="n">
        <v>55</v>
      </c>
      <c r="L58" s="0" t="n">
        <v>174</v>
      </c>
      <c r="M58" s="0" t="n">
        <v>55</v>
      </c>
      <c r="N58" s="0" t="n">
        <v>59</v>
      </c>
      <c r="O58" s="0" t="n">
        <v>55</v>
      </c>
      <c r="P58" s="0" t="n">
        <v>19</v>
      </c>
      <c r="Q58" s="0" t="n">
        <v>55</v>
      </c>
      <c r="R58" s="0" t="n">
        <v>0</v>
      </c>
      <c r="S58" s="0" t="n">
        <v>55</v>
      </c>
      <c r="T58" s="0" t="n">
        <v>456</v>
      </c>
      <c r="U58" s="0" t="n">
        <v>55</v>
      </c>
      <c r="V58" s="0" t="n">
        <v>209</v>
      </c>
      <c r="W58" s="0" t="n">
        <v>55</v>
      </c>
      <c r="X58" s="0" t="n">
        <v>0</v>
      </c>
      <c r="Y58" s="0" t="n">
        <v>55</v>
      </c>
      <c r="Z58" s="0" t="n">
        <v>20</v>
      </c>
      <c r="AA58" s="0" t="n">
        <v>55</v>
      </c>
      <c r="AB58" s="0" t="n">
        <v>9378</v>
      </c>
      <c r="AC58" s="0" t="n">
        <v>55</v>
      </c>
      <c r="AD58" s="0" t="n">
        <v>210</v>
      </c>
      <c r="AE58" s="0" t="n">
        <v>55</v>
      </c>
      <c r="AF58" s="0" t="n">
        <v>1241</v>
      </c>
      <c r="AG58" s="0" t="n">
        <v>55</v>
      </c>
      <c r="AH58" s="0" t="n">
        <v>161</v>
      </c>
      <c r="AI58" s="0" t="n">
        <v>55</v>
      </c>
      <c r="AJ58" s="0" t="n">
        <v>215</v>
      </c>
      <c r="AK58" s="0" t="n">
        <v>55</v>
      </c>
      <c r="AL58" s="0" t="n">
        <v>75</v>
      </c>
      <c r="AM58" s="0" t="n">
        <v>55</v>
      </c>
      <c r="AN58" s="0" t="n">
        <v>0</v>
      </c>
      <c r="AO58" s="0" t="n">
        <v>55</v>
      </c>
      <c r="AP58" s="0" t="n">
        <v>147</v>
      </c>
      <c r="AQ58" s="0" t="n">
        <v>55</v>
      </c>
      <c r="AR58" s="0" t="n">
        <v>57</v>
      </c>
      <c r="AS58" s="0" t="n">
        <v>55</v>
      </c>
      <c r="AT58" s="0" t="n">
        <v>5155</v>
      </c>
      <c r="AU58" s="0" t="n">
        <v>55</v>
      </c>
      <c r="AV58" s="0" t="n">
        <v>10361</v>
      </c>
      <c r="AW58" s="0" t="n">
        <v>55</v>
      </c>
      <c r="AX58" s="0" t="n">
        <v>90</v>
      </c>
      <c r="AY58" s="0" t="n">
        <v>55</v>
      </c>
      <c r="AZ58" s="0" t="n">
        <v>318</v>
      </c>
      <c r="BA58" s="0" t="n">
        <v>55</v>
      </c>
      <c r="BB58" s="0" t="n">
        <v>65</v>
      </c>
      <c r="BC58" s="0" t="n">
        <v>55</v>
      </c>
      <c r="BD58" s="0" t="n">
        <v>132</v>
      </c>
      <c r="BE58" s="0" t="n">
        <v>55</v>
      </c>
      <c r="BF58" s="0" t="n">
        <v>44</v>
      </c>
      <c r="BG58" s="0" t="n">
        <v>55</v>
      </c>
      <c r="BH58" s="0" t="n">
        <v>0</v>
      </c>
      <c r="BI58" s="0" t="n">
        <v>55</v>
      </c>
      <c r="BJ58" s="0" t="n">
        <v>108</v>
      </c>
      <c r="BK58" s="0" t="n">
        <v>55</v>
      </c>
      <c r="BL58" s="0" t="n">
        <v>27</v>
      </c>
      <c r="BM58" s="0" t="n">
        <v>55</v>
      </c>
      <c r="BN58" s="0" t="n">
        <v>327</v>
      </c>
      <c r="BO58" s="0" t="n">
        <v>55</v>
      </c>
      <c r="BP58" s="0" t="n">
        <v>144</v>
      </c>
      <c r="BQ58" s="0" t="n">
        <v>55</v>
      </c>
      <c r="BR58" s="0" t="n">
        <v>100</v>
      </c>
      <c r="BS58" s="0" t="n">
        <v>55</v>
      </c>
      <c r="BT58" s="0" t="n">
        <v>528</v>
      </c>
      <c r="BU58" s="0" t="n">
        <v>55</v>
      </c>
      <c r="BV58" s="0" t="n">
        <v>95</v>
      </c>
      <c r="BW58" s="0" t="n">
        <v>55</v>
      </c>
      <c r="BX58" s="0" t="n">
        <v>176</v>
      </c>
      <c r="BY58" s="0" t="n">
        <v>55</v>
      </c>
      <c r="BZ58" s="0" t="n">
        <v>159</v>
      </c>
      <c r="CA58" s="0" t="n">
        <v>55</v>
      </c>
      <c r="CB58" s="0" t="n">
        <v>0</v>
      </c>
      <c r="CC58" s="0" t="n">
        <v>55</v>
      </c>
      <c r="CD58" s="0" t="n">
        <v>38</v>
      </c>
      <c r="CE58" s="0" t="n">
        <v>55</v>
      </c>
      <c r="CF58" s="0" t="n">
        <v>96</v>
      </c>
      <c r="CG58" s="0" t="n">
        <v>55</v>
      </c>
      <c r="CH58" s="0" t="n">
        <v>219</v>
      </c>
      <c r="CI58" s="0" t="n">
        <v>55</v>
      </c>
      <c r="CJ58" s="0" t="n">
        <v>227</v>
      </c>
      <c r="CK58" s="0" t="n">
        <v>55</v>
      </c>
      <c r="CL58" s="0" t="n">
        <v>64</v>
      </c>
      <c r="CM58" s="0" t="n">
        <v>55</v>
      </c>
      <c r="CN58" s="0" t="n">
        <v>0</v>
      </c>
      <c r="CO58" s="0" t="n">
        <v>55</v>
      </c>
      <c r="CP58" s="0" t="n">
        <v>201</v>
      </c>
      <c r="CQ58" s="0" t="n">
        <v>55</v>
      </c>
      <c r="CR58" s="0" t="n">
        <v>33</v>
      </c>
      <c r="CS58" s="0" t="n">
        <v>55</v>
      </c>
      <c r="CT58" s="0" t="n">
        <v>33</v>
      </c>
      <c r="CU58" s="0" t="n">
        <v>55</v>
      </c>
      <c r="CV58" s="0" t="n">
        <v>2271552</v>
      </c>
      <c r="CW58" s="0" t="n">
        <v>55</v>
      </c>
      <c r="CX58" s="0" t="n">
        <v>11</v>
      </c>
    </row>
    <row r="59" customFormat="false" ht="12.75" hidden="false" customHeight="false" outlineLevel="0" collapsed="false">
      <c r="B59" s="0" t="n">
        <v>56</v>
      </c>
      <c r="C59" s="0" t="n">
        <v>0</v>
      </c>
      <c r="D59" s="0" t="n">
        <v>0</v>
      </c>
      <c r="E59" s="0" t="n">
        <v>56</v>
      </c>
      <c r="F59" s="0" t="n">
        <v>181</v>
      </c>
      <c r="G59" s="0" t="n">
        <v>56</v>
      </c>
      <c r="H59" s="0" t="n">
        <v>0</v>
      </c>
      <c r="I59" s="0" t="n">
        <v>56</v>
      </c>
      <c r="J59" s="0" t="n">
        <v>112</v>
      </c>
      <c r="K59" s="0" t="n">
        <v>56</v>
      </c>
      <c r="L59" s="0" t="n">
        <v>1182</v>
      </c>
      <c r="M59" s="0" t="n">
        <v>56</v>
      </c>
      <c r="N59" s="0" t="n">
        <v>0</v>
      </c>
      <c r="O59" s="0" t="n">
        <v>56</v>
      </c>
      <c r="P59" s="0" t="n">
        <v>0</v>
      </c>
      <c r="Q59" s="0" t="n">
        <v>56</v>
      </c>
      <c r="R59" s="0" t="n">
        <v>0</v>
      </c>
      <c r="S59" s="0" t="n">
        <v>56</v>
      </c>
      <c r="T59" s="0" t="n">
        <v>0</v>
      </c>
      <c r="U59" s="0" t="n">
        <v>56</v>
      </c>
      <c r="V59" s="0" t="n">
        <v>0</v>
      </c>
      <c r="W59" s="0" t="n">
        <v>56</v>
      </c>
      <c r="X59" s="0" t="n">
        <v>0</v>
      </c>
      <c r="Y59" s="0" t="n">
        <v>56</v>
      </c>
      <c r="Z59" s="0" t="n">
        <v>1008</v>
      </c>
      <c r="AA59" s="0" t="n">
        <v>56</v>
      </c>
      <c r="AB59" s="0" t="n">
        <v>0</v>
      </c>
      <c r="AC59" s="0" t="n">
        <v>56</v>
      </c>
      <c r="AD59" s="0" t="n">
        <v>23</v>
      </c>
      <c r="AE59" s="0" t="n">
        <v>56</v>
      </c>
      <c r="AF59" s="0" t="n">
        <v>0</v>
      </c>
      <c r="AG59" s="0" t="n">
        <v>56</v>
      </c>
      <c r="AH59" s="0" t="n">
        <v>7</v>
      </c>
      <c r="AI59" s="0" t="n">
        <v>56</v>
      </c>
      <c r="AJ59" s="0" t="n">
        <v>7</v>
      </c>
      <c r="AK59" s="0" t="n">
        <v>56</v>
      </c>
      <c r="AL59" s="0" t="n">
        <v>33</v>
      </c>
      <c r="AM59" s="0" t="n">
        <v>56</v>
      </c>
      <c r="AN59" s="0" t="n">
        <v>0</v>
      </c>
      <c r="AO59" s="0" t="n">
        <v>56</v>
      </c>
      <c r="AP59" s="0" t="n">
        <v>0</v>
      </c>
      <c r="AQ59" s="0" t="n">
        <v>56</v>
      </c>
      <c r="AR59" s="0" t="n">
        <v>21</v>
      </c>
      <c r="AS59" s="0" t="n">
        <v>56</v>
      </c>
      <c r="AT59" s="0" t="n">
        <v>15</v>
      </c>
      <c r="AU59" s="0" t="n">
        <v>56</v>
      </c>
      <c r="AV59" s="0" t="n">
        <v>83</v>
      </c>
      <c r="AW59" s="0" t="n">
        <v>56</v>
      </c>
      <c r="AX59" s="0" t="n">
        <v>0</v>
      </c>
      <c r="AY59" s="0" t="n">
        <v>56</v>
      </c>
      <c r="AZ59" s="0" t="n">
        <v>31</v>
      </c>
      <c r="BA59" s="0" t="n">
        <v>56</v>
      </c>
      <c r="BB59" s="0" t="n">
        <v>474</v>
      </c>
      <c r="BC59" s="0" t="n">
        <v>56</v>
      </c>
      <c r="BD59" s="0" t="n">
        <v>517</v>
      </c>
      <c r="BE59" s="0" t="n">
        <v>56</v>
      </c>
      <c r="BF59" s="0" t="n">
        <v>68</v>
      </c>
      <c r="BG59" s="0" t="n">
        <v>56</v>
      </c>
      <c r="BH59" s="0" t="n">
        <v>0</v>
      </c>
      <c r="BI59" s="0" t="n">
        <v>56</v>
      </c>
      <c r="BJ59" s="0" t="n">
        <v>19</v>
      </c>
      <c r="BK59" s="0" t="n">
        <v>56</v>
      </c>
      <c r="BL59" s="0" t="n">
        <v>33</v>
      </c>
      <c r="BM59" s="0" t="n">
        <v>56</v>
      </c>
      <c r="BN59" s="0" t="n">
        <v>62</v>
      </c>
      <c r="BO59" s="0" t="n">
        <v>56</v>
      </c>
      <c r="BP59" s="0" t="n">
        <v>0</v>
      </c>
      <c r="BQ59" s="0" t="n">
        <v>56</v>
      </c>
      <c r="BR59" s="0" t="n">
        <v>5</v>
      </c>
      <c r="BS59" s="0" t="n">
        <v>56</v>
      </c>
      <c r="BT59" s="0" t="n">
        <v>0</v>
      </c>
      <c r="BU59" s="0" t="n">
        <v>56</v>
      </c>
      <c r="BV59" s="0" t="n">
        <v>0</v>
      </c>
      <c r="BW59" s="0" t="n">
        <v>56</v>
      </c>
      <c r="BX59" s="0" t="n">
        <v>10</v>
      </c>
      <c r="BY59" s="0" t="n">
        <v>56</v>
      </c>
      <c r="BZ59" s="0" t="n">
        <v>0</v>
      </c>
      <c r="CA59" s="0" t="n">
        <v>56</v>
      </c>
      <c r="CB59" s="0" t="n">
        <v>0</v>
      </c>
      <c r="CC59" s="0" t="n">
        <v>56</v>
      </c>
      <c r="CD59" s="0" t="n">
        <v>424</v>
      </c>
      <c r="CE59" s="0" t="n">
        <v>56</v>
      </c>
      <c r="CF59" s="0" t="n">
        <v>0</v>
      </c>
      <c r="CG59" s="0" t="n">
        <v>56</v>
      </c>
      <c r="CH59" s="0" t="n">
        <v>0</v>
      </c>
      <c r="CI59" s="0" t="n">
        <v>56</v>
      </c>
      <c r="CJ59" s="0" t="n">
        <v>226</v>
      </c>
      <c r="CK59" s="0" t="n">
        <v>56</v>
      </c>
      <c r="CL59" s="0" t="n">
        <v>764</v>
      </c>
      <c r="CM59" s="0" t="n">
        <v>56</v>
      </c>
      <c r="CN59" s="0" t="n">
        <v>0</v>
      </c>
      <c r="CO59" s="0" t="n">
        <v>56</v>
      </c>
      <c r="CP59" s="0" t="n">
        <v>0</v>
      </c>
      <c r="CQ59" s="0" t="n">
        <v>56</v>
      </c>
      <c r="CR59" s="0" t="n">
        <v>27</v>
      </c>
      <c r="CS59" s="0" t="n">
        <v>56</v>
      </c>
      <c r="CT59" s="0" t="n">
        <v>0</v>
      </c>
      <c r="CU59" s="0" t="n">
        <v>56</v>
      </c>
      <c r="CV59" s="0" t="n">
        <v>14</v>
      </c>
      <c r="CW59" s="0" t="n">
        <v>56</v>
      </c>
      <c r="CX59" s="0" t="n">
        <v>203311</v>
      </c>
    </row>
    <row r="60" customFormat="false" ht="12.75" hidden="false" customHeight="false" outlineLevel="0" collapsed="false">
      <c r="B60" s="0" t="n">
        <v>57</v>
      </c>
      <c r="C60" s="0" t="n">
        <v>0</v>
      </c>
      <c r="D60" s="0" t="n">
        <v>0</v>
      </c>
      <c r="E60" s="0" t="n">
        <v>57</v>
      </c>
      <c r="F60" s="0" t="n">
        <v>0</v>
      </c>
      <c r="G60" s="0" t="n">
        <v>57</v>
      </c>
      <c r="H60" s="0" t="n">
        <v>0</v>
      </c>
      <c r="I60" s="0" t="n">
        <v>57</v>
      </c>
      <c r="J60" s="0" t="n">
        <v>0</v>
      </c>
      <c r="K60" s="0" t="n">
        <v>57</v>
      </c>
      <c r="L60" s="0" t="n">
        <v>0</v>
      </c>
      <c r="M60" s="0" t="n">
        <v>57</v>
      </c>
      <c r="N60" s="0" t="n">
        <v>0</v>
      </c>
      <c r="O60" s="0" t="n">
        <v>57</v>
      </c>
      <c r="P60" s="0" t="n">
        <v>0</v>
      </c>
      <c r="Q60" s="0" t="n">
        <v>57</v>
      </c>
      <c r="R60" s="0" t="n">
        <v>0</v>
      </c>
      <c r="S60" s="0" t="n">
        <v>57</v>
      </c>
      <c r="T60" s="0" t="n">
        <v>0</v>
      </c>
      <c r="U60" s="0" t="n">
        <v>57</v>
      </c>
      <c r="V60" s="0" t="n">
        <v>0</v>
      </c>
      <c r="W60" s="0" t="n">
        <v>57</v>
      </c>
      <c r="X60" s="0" t="n">
        <v>0</v>
      </c>
      <c r="Y60" s="0" t="n">
        <v>57</v>
      </c>
      <c r="Z60" s="0" t="n">
        <v>0</v>
      </c>
      <c r="AA60" s="0" t="n">
        <v>57</v>
      </c>
      <c r="AB60" s="0" t="n">
        <v>0</v>
      </c>
      <c r="AC60" s="0" t="n">
        <v>57</v>
      </c>
      <c r="AD60" s="0" t="n">
        <v>0</v>
      </c>
      <c r="AE60" s="0" t="n">
        <v>57</v>
      </c>
      <c r="AF60" s="0" t="n">
        <v>0</v>
      </c>
      <c r="AG60" s="0" t="n">
        <v>57</v>
      </c>
      <c r="AH60" s="0" t="n">
        <v>0</v>
      </c>
      <c r="AI60" s="0" t="n">
        <v>57</v>
      </c>
      <c r="AJ60" s="0" t="n">
        <v>0</v>
      </c>
      <c r="AK60" s="0" t="n">
        <v>57</v>
      </c>
      <c r="AL60" s="0" t="n">
        <v>0</v>
      </c>
      <c r="AM60" s="0" t="n">
        <v>57</v>
      </c>
      <c r="AN60" s="0" t="n">
        <v>0</v>
      </c>
      <c r="AO60" s="0" t="n">
        <v>57</v>
      </c>
      <c r="AP60" s="0" t="n">
        <v>0</v>
      </c>
      <c r="AQ60" s="0" t="n">
        <v>57</v>
      </c>
      <c r="AR60" s="0" t="n">
        <v>0</v>
      </c>
      <c r="AS60" s="0" t="n">
        <v>57</v>
      </c>
      <c r="AT60" s="0" t="n">
        <v>0</v>
      </c>
      <c r="AU60" s="0" t="n">
        <v>57</v>
      </c>
      <c r="AV60" s="0" t="n">
        <v>0</v>
      </c>
      <c r="AW60" s="0" t="n">
        <v>57</v>
      </c>
      <c r="AX60" s="0" t="n">
        <v>0</v>
      </c>
      <c r="AY60" s="0" t="n">
        <v>57</v>
      </c>
      <c r="AZ60" s="0" t="n">
        <v>0</v>
      </c>
      <c r="BA60" s="0" t="n">
        <v>57</v>
      </c>
      <c r="BB60" s="0" t="n">
        <v>0</v>
      </c>
      <c r="BC60" s="0" t="n">
        <v>57</v>
      </c>
      <c r="BD60" s="0" t="n">
        <v>0</v>
      </c>
      <c r="BE60" s="0" t="n">
        <v>57</v>
      </c>
      <c r="BF60" s="0" t="n">
        <v>0</v>
      </c>
      <c r="BG60" s="0" t="n">
        <v>57</v>
      </c>
      <c r="BH60" s="0" t="n">
        <v>0</v>
      </c>
      <c r="BI60" s="0" t="n">
        <v>57</v>
      </c>
      <c r="BJ60" s="0" t="n">
        <v>0</v>
      </c>
      <c r="BK60" s="0" t="n">
        <v>57</v>
      </c>
      <c r="BL60" s="0" t="n">
        <v>0</v>
      </c>
      <c r="BM60" s="0" t="n">
        <v>57</v>
      </c>
      <c r="BN60" s="0" t="n">
        <v>0</v>
      </c>
      <c r="BO60" s="0" t="n">
        <v>57</v>
      </c>
      <c r="BP60" s="0" t="n">
        <v>0</v>
      </c>
      <c r="BQ60" s="0" t="n">
        <v>57</v>
      </c>
      <c r="BR60" s="0" t="n">
        <v>0</v>
      </c>
      <c r="BS60" s="0" t="n">
        <v>57</v>
      </c>
      <c r="BT60" s="0" t="n">
        <v>0</v>
      </c>
      <c r="BU60" s="0" t="n">
        <v>57</v>
      </c>
      <c r="BV60" s="0" t="n">
        <v>0</v>
      </c>
      <c r="BW60" s="0" t="n">
        <v>57</v>
      </c>
      <c r="BX60" s="0" t="n">
        <v>0</v>
      </c>
      <c r="BY60" s="0" t="n">
        <v>57</v>
      </c>
      <c r="BZ60" s="0" t="n">
        <v>0</v>
      </c>
      <c r="CA60" s="0" t="n">
        <v>57</v>
      </c>
      <c r="CB60" s="0" t="n">
        <v>0</v>
      </c>
      <c r="CC60" s="0" t="n">
        <v>57</v>
      </c>
      <c r="CD60" s="0" t="n">
        <v>0</v>
      </c>
      <c r="CE60" s="0" t="n">
        <v>57</v>
      </c>
      <c r="CF60" s="0" t="n">
        <v>0</v>
      </c>
      <c r="CG60" s="0" t="n">
        <v>57</v>
      </c>
      <c r="CH60" s="0" t="n">
        <v>0</v>
      </c>
      <c r="CI60" s="0" t="n">
        <v>57</v>
      </c>
      <c r="CJ60" s="0" t="n">
        <v>0</v>
      </c>
      <c r="CK60" s="0" t="n">
        <v>57</v>
      </c>
      <c r="CL60" s="0" t="n">
        <v>0</v>
      </c>
      <c r="CM60" s="0" t="n">
        <v>57</v>
      </c>
      <c r="CN60" s="0" t="n">
        <v>0</v>
      </c>
      <c r="CO60" s="0" t="n">
        <v>57</v>
      </c>
      <c r="CP60" s="0" t="n">
        <v>0</v>
      </c>
      <c r="CQ60" s="0" t="n">
        <v>57</v>
      </c>
      <c r="CR60" s="0" t="n">
        <v>0</v>
      </c>
      <c r="CS60" s="0" t="n">
        <v>57</v>
      </c>
      <c r="CT60" s="0" t="n">
        <v>0</v>
      </c>
      <c r="CU60" s="0" t="n">
        <v>57</v>
      </c>
      <c r="CV60" s="0" t="n">
        <v>0</v>
      </c>
      <c r="CW60" s="0" t="n">
        <v>57</v>
      </c>
      <c r="CX60" s="0" t="n">
        <v>0</v>
      </c>
    </row>
    <row r="61" customFormat="false" ht="12.75" hidden="false" customHeight="false" outlineLevel="0" collapsed="false">
      <c r="B61" s="0" t="n">
        <v>58</v>
      </c>
      <c r="C61" s="0" t="n">
        <v>0</v>
      </c>
      <c r="D61" s="0" t="n">
        <v>0</v>
      </c>
      <c r="E61" s="0" t="n">
        <v>58</v>
      </c>
      <c r="F61" s="0" t="n">
        <v>0</v>
      </c>
      <c r="G61" s="0" t="n">
        <v>58</v>
      </c>
      <c r="H61" s="0" t="n">
        <v>0</v>
      </c>
      <c r="I61" s="0" t="n">
        <v>58</v>
      </c>
      <c r="J61" s="0" t="n">
        <v>0</v>
      </c>
      <c r="K61" s="0" t="n">
        <v>58</v>
      </c>
      <c r="L61" s="0" t="n">
        <v>0</v>
      </c>
      <c r="M61" s="0" t="n">
        <v>58</v>
      </c>
      <c r="N61" s="0" t="n">
        <v>0</v>
      </c>
      <c r="O61" s="0" t="n">
        <v>58</v>
      </c>
      <c r="P61" s="0" t="n">
        <v>0</v>
      </c>
      <c r="Q61" s="0" t="n">
        <v>58</v>
      </c>
      <c r="R61" s="0" t="n">
        <v>0</v>
      </c>
      <c r="S61" s="0" t="n">
        <v>58</v>
      </c>
      <c r="T61" s="0" t="n">
        <v>0</v>
      </c>
      <c r="U61" s="0" t="n">
        <v>58</v>
      </c>
      <c r="V61" s="0" t="n">
        <v>0</v>
      </c>
      <c r="W61" s="0" t="n">
        <v>58</v>
      </c>
      <c r="X61" s="0" t="n">
        <v>0</v>
      </c>
      <c r="Y61" s="0" t="n">
        <v>58</v>
      </c>
      <c r="Z61" s="0" t="n">
        <v>0</v>
      </c>
      <c r="AA61" s="0" t="n">
        <v>58</v>
      </c>
      <c r="AB61" s="0" t="n">
        <v>0</v>
      </c>
      <c r="AC61" s="0" t="n">
        <v>58</v>
      </c>
      <c r="AD61" s="0" t="n">
        <v>0</v>
      </c>
      <c r="AE61" s="0" t="n">
        <v>58</v>
      </c>
      <c r="AF61" s="0" t="n">
        <v>0</v>
      </c>
      <c r="AG61" s="0" t="n">
        <v>58</v>
      </c>
      <c r="AH61" s="0" t="n">
        <v>0</v>
      </c>
      <c r="AI61" s="0" t="n">
        <v>58</v>
      </c>
      <c r="AJ61" s="0" t="n">
        <v>0</v>
      </c>
      <c r="AK61" s="0" t="n">
        <v>58</v>
      </c>
      <c r="AL61" s="0" t="n">
        <v>0</v>
      </c>
      <c r="AM61" s="0" t="n">
        <v>58</v>
      </c>
      <c r="AN61" s="0" t="n">
        <v>0</v>
      </c>
      <c r="AO61" s="0" t="n">
        <v>58</v>
      </c>
      <c r="AP61" s="0" t="n">
        <v>0</v>
      </c>
      <c r="AQ61" s="0" t="n">
        <v>58</v>
      </c>
      <c r="AR61" s="0" t="n">
        <v>0</v>
      </c>
      <c r="AS61" s="0" t="n">
        <v>58</v>
      </c>
      <c r="AT61" s="0" t="n">
        <v>0</v>
      </c>
      <c r="AU61" s="0" t="n">
        <v>58</v>
      </c>
      <c r="AV61" s="0" t="n">
        <v>0</v>
      </c>
      <c r="AW61" s="0" t="n">
        <v>58</v>
      </c>
      <c r="AX61" s="0" t="n">
        <v>0</v>
      </c>
      <c r="AY61" s="0" t="n">
        <v>58</v>
      </c>
      <c r="AZ61" s="0" t="n">
        <v>0</v>
      </c>
      <c r="BA61" s="0" t="n">
        <v>58</v>
      </c>
      <c r="BB61" s="0" t="n">
        <v>0</v>
      </c>
      <c r="BC61" s="0" t="n">
        <v>58</v>
      </c>
      <c r="BD61" s="0" t="n">
        <v>0</v>
      </c>
      <c r="BE61" s="0" t="n">
        <v>58</v>
      </c>
      <c r="BF61" s="0" t="n">
        <v>0</v>
      </c>
      <c r="BG61" s="0" t="n">
        <v>58</v>
      </c>
      <c r="BH61" s="0" t="n">
        <v>0</v>
      </c>
      <c r="BI61" s="0" t="n">
        <v>58</v>
      </c>
      <c r="BJ61" s="0" t="n">
        <v>0</v>
      </c>
      <c r="BK61" s="0" t="n">
        <v>58</v>
      </c>
      <c r="BL61" s="0" t="n">
        <v>0</v>
      </c>
      <c r="BM61" s="0" t="n">
        <v>58</v>
      </c>
      <c r="BN61" s="0" t="n">
        <v>0</v>
      </c>
      <c r="BO61" s="0" t="n">
        <v>58</v>
      </c>
      <c r="BP61" s="0" t="n">
        <v>0</v>
      </c>
      <c r="BQ61" s="0" t="n">
        <v>58</v>
      </c>
      <c r="BR61" s="0" t="n">
        <v>0</v>
      </c>
      <c r="BS61" s="0" t="n">
        <v>58</v>
      </c>
      <c r="BT61" s="0" t="n">
        <v>0</v>
      </c>
      <c r="BU61" s="0" t="n">
        <v>58</v>
      </c>
      <c r="BV61" s="0" t="n">
        <v>0</v>
      </c>
      <c r="BW61" s="0" t="n">
        <v>58</v>
      </c>
      <c r="BX61" s="0" t="n">
        <v>0</v>
      </c>
      <c r="BY61" s="0" t="n">
        <v>58</v>
      </c>
      <c r="BZ61" s="0" t="n">
        <v>0</v>
      </c>
      <c r="CA61" s="0" t="n">
        <v>58</v>
      </c>
      <c r="CB61" s="0" t="n">
        <v>0</v>
      </c>
      <c r="CC61" s="0" t="n">
        <v>58</v>
      </c>
      <c r="CD61" s="0" t="n">
        <v>0</v>
      </c>
      <c r="CE61" s="0" t="n">
        <v>58</v>
      </c>
      <c r="CF61" s="0" t="n">
        <v>0</v>
      </c>
      <c r="CG61" s="0" t="n">
        <v>58</v>
      </c>
      <c r="CH61" s="0" t="n">
        <v>0</v>
      </c>
      <c r="CI61" s="0" t="n">
        <v>58</v>
      </c>
      <c r="CJ61" s="0" t="n">
        <v>0</v>
      </c>
      <c r="CK61" s="0" t="n">
        <v>58</v>
      </c>
      <c r="CL61" s="0" t="n">
        <v>0</v>
      </c>
      <c r="CM61" s="0" t="n">
        <v>58</v>
      </c>
      <c r="CN61" s="0" t="n">
        <v>0</v>
      </c>
      <c r="CO61" s="0" t="n">
        <v>58</v>
      </c>
      <c r="CP61" s="0" t="n">
        <v>0</v>
      </c>
      <c r="CQ61" s="0" t="n">
        <v>58</v>
      </c>
      <c r="CR61" s="0" t="n">
        <v>0</v>
      </c>
      <c r="CS61" s="0" t="n">
        <v>58</v>
      </c>
      <c r="CT61" s="0" t="n">
        <v>0</v>
      </c>
      <c r="CU61" s="0" t="n">
        <v>58</v>
      </c>
      <c r="CV61" s="0" t="n">
        <v>0</v>
      </c>
      <c r="CW61" s="0" t="n">
        <v>58</v>
      </c>
      <c r="CX61" s="0" t="n">
        <v>0</v>
      </c>
    </row>
    <row r="62" customFormat="false" ht="12.75" hidden="false" customHeight="false" outlineLevel="0" collapsed="false">
      <c r="B62" s="0" t="n">
        <v>59</v>
      </c>
      <c r="C62" s="0" t="n">
        <v>0</v>
      </c>
      <c r="D62" s="0" t="n">
        <v>0</v>
      </c>
      <c r="E62" s="0" t="n">
        <v>59</v>
      </c>
      <c r="F62" s="0" t="n">
        <v>0</v>
      </c>
      <c r="G62" s="0" t="n">
        <v>59</v>
      </c>
      <c r="H62" s="0" t="n">
        <v>0</v>
      </c>
      <c r="I62" s="0" t="n">
        <v>59</v>
      </c>
      <c r="J62" s="0" t="n">
        <v>0</v>
      </c>
      <c r="K62" s="0" t="n">
        <v>59</v>
      </c>
      <c r="L62" s="0" t="n">
        <v>0</v>
      </c>
      <c r="M62" s="0" t="n">
        <v>59</v>
      </c>
      <c r="N62" s="0" t="n">
        <v>0</v>
      </c>
      <c r="O62" s="0" t="n">
        <v>59</v>
      </c>
      <c r="P62" s="0" t="n">
        <v>0</v>
      </c>
      <c r="Q62" s="0" t="n">
        <v>59</v>
      </c>
      <c r="R62" s="0" t="n">
        <v>0</v>
      </c>
      <c r="S62" s="0" t="n">
        <v>59</v>
      </c>
      <c r="T62" s="0" t="n">
        <v>0</v>
      </c>
      <c r="U62" s="0" t="n">
        <v>59</v>
      </c>
      <c r="V62" s="0" t="n">
        <v>0</v>
      </c>
      <c r="W62" s="0" t="n">
        <v>59</v>
      </c>
      <c r="X62" s="0" t="n">
        <v>0</v>
      </c>
      <c r="Y62" s="0" t="n">
        <v>59</v>
      </c>
      <c r="Z62" s="0" t="n">
        <v>0</v>
      </c>
      <c r="AA62" s="0" t="n">
        <v>59</v>
      </c>
      <c r="AB62" s="0" t="n">
        <v>0</v>
      </c>
      <c r="AC62" s="0" t="n">
        <v>59</v>
      </c>
      <c r="AD62" s="0" t="n">
        <v>0</v>
      </c>
      <c r="AE62" s="0" t="n">
        <v>59</v>
      </c>
      <c r="AF62" s="0" t="n">
        <v>0</v>
      </c>
      <c r="AG62" s="0" t="n">
        <v>59</v>
      </c>
      <c r="AH62" s="0" t="n">
        <v>0</v>
      </c>
      <c r="AI62" s="0" t="n">
        <v>59</v>
      </c>
      <c r="AJ62" s="0" t="n">
        <v>0</v>
      </c>
      <c r="AK62" s="0" t="n">
        <v>59</v>
      </c>
      <c r="AL62" s="0" t="n">
        <v>0</v>
      </c>
      <c r="AM62" s="0" t="n">
        <v>59</v>
      </c>
      <c r="AN62" s="0" t="n">
        <v>0</v>
      </c>
      <c r="AO62" s="0" t="n">
        <v>59</v>
      </c>
      <c r="AP62" s="0" t="n">
        <v>0</v>
      </c>
      <c r="AQ62" s="0" t="n">
        <v>59</v>
      </c>
      <c r="AR62" s="0" t="n">
        <v>0</v>
      </c>
      <c r="AS62" s="0" t="n">
        <v>59</v>
      </c>
      <c r="AT62" s="0" t="n">
        <v>0</v>
      </c>
      <c r="AU62" s="0" t="n">
        <v>59</v>
      </c>
      <c r="AV62" s="0" t="n">
        <v>0</v>
      </c>
      <c r="AW62" s="0" t="n">
        <v>59</v>
      </c>
      <c r="AX62" s="0" t="n">
        <v>0</v>
      </c>
      <c r="AY62" s="0" t="n">
        <v>59</v>
      </c>
      <c r="AZ62" s="0" t="n">
        <v>0</v>
      </c>
      <c r="BA62" s="0" t="n">
        <v>59</v>
      </c>
      <c r="BB62" s="0" t="n">
        <v>0</v>
      </c>
      <c r="BC62" s="0" t="n">
        <v>59</v>
      </c>
      <c r="BD62" s="0" t="n">
        <v>0</v>
      </c>
      <c r="BE62" s="0" t="n">
        <v>59</v>
      </c>
      <c r="BF62" s="0" t="n">
        <v>0</v>
      </c>
      <c r="BG62" s="0" t="n">
        <v>59</v>
      </c>
      <c r="BH62" s="0" t="n">
        <v>0</v>
      </c>
      <c r="BI62" s="0" t="n">
        <v>59</v>
      </c>
      <c r="BJ62" s="0" t="n">
        <v>0</v>
      </c>
      <c r="BK62" s="0" t="n">
        <v>59</v>
      </c>
      <c r="BL62" s="0" t="n">
        <v>0</v>
      </c>
      <c r="BM62" s="0" t="n">
        <v>59</v>
      </c>
      <c r="BN62" s="0" t="n">
        <v>0</v>
      </c>
      <c r="BO62" s="0" t="n">
        <v>59</v>
      </c>
      <c r="BP62" s="0" t="n">
        <v>0</v>
      </c>
      <c r="BQ62" s="0" t="n">
        <v>59</v>
      </c>
      <c r="BR62" s="0" t="n">
        <v>0</v>
      </c>
      <c r="BS62" s="0" t="n">
        <v>59</v>
      </c>
      <c r="BT62" s="0" t="n">
        <v>0</v>
      </c>
      <c r="BU62" s="0" t="n">
        <v>59</v>
      </c>
      <c r="BV62" s="0" t="n">
        <v>0</v>
      </c>
      <c r="BW62" s="0" t="n">
        <v>59</v>
      </c>
      <c r="BX62" s="0" t="n">
        <v>0</v>
      </c>
      <c r="BY62" s="0" t="n">
        <v>59</v>
      </c>
      <c r="BZ62" s="0" t="n">
        <v>0</v>
      </c>
      <c r="CA62" s="0" t="n">
        <v>59</v>
      </c>
      <c r="CB62" s="0" t="n">
        <v>0</v>
      </c>
      <c r="CC62" s="0" t="n">
        <v>59</v>
      </c>
      <c r="CD62" s="0" t="n">
        <v>0</v>
      </c>
      <c r="CE62" s="0" t="n">
        <v>59</v>
      </c>
      <c r="CF62" s="0" t="n">
        <v>0</v>
      </c>
      <c r="CG62" s="0" t="n">
        <v>59</v>
      </c>
      <c r="CH62" s="0" t="n">
        <v>0</v>
      </c>
      <c r="CI62" s="0" t="n">
        <v>59</v>
      </c>
      <c r="CJ62" s="0" t="n">
        <v>0</v>
      </c>
      <c r="CK62" s="0" t="n">
        <v>59</v>
      </c>
      <c r="CL62" s="0" t="n">
        <v>0</v>
      </c>
      <c r="CM62" s="0" t="n">
        <v>59</v>
      </c>
      <c r="CN62" s="0" t="n">
        <v>0</v>
      </c>
      <c r="CO62" s="0" t="n">
        <v>59</v>
      </c>
      <c r="CP62" s="0" t="n">
        <v>0</v>
      </c>
      <c r="CQ62" s="0" t="n">
        <v>59</v>
      </c>
      <c r="CR62" s="0" t="n">
        <v>0</v>
      </c>
      <c r="CS62" s="0" t="n">
        <v>59</v>
      </c>
      <c r="CT62" s="0" t="n">
        <v>0</v>
      </c>
      <c r="CU62" s="0" t="n">
        <v>59</v>
      </c>
      <c r="CV62" s="0" t="n">
        <v>0</v>
      </c>
      <c r="CW62" s="0" t="n">
        <v>59</v>
      </c>
      <c r="CX62" s="0" t="n">
        <v>0</v>
      </c>
    </row>
    <row r="63" customFormat="false" ht="12.75" hidden="false" customHeight="false" outlineLevel="0" collapsed="false">
      <c r="B63" s="0" t="n">
        <v>60</v>
      </c>
      <c r="C63" s="0" t="n">
        <v>0</v>
      </c>
      <c r="D63" s="0" t="n">
        <v>0</v>
      </c>
      <c r="E63" s="0" t="n">
        <v>60</v>
      </c>
      <c r="F63" s="0" t="n">
        <v>0</v>
      </c>
      <c r="G63" s="0" t="n">
        <v>60</v>
      </c>
      <c r="H63" s="0" t="n">
        <v>0</v>
      </c>
      <c r="I63" s="0" t="n">
        <v>60</v>
      </c>
      <c r="J63" s="0" t="n">
        <v>0</v>
      </c>
      <c r="K63" s="0" t="n">
        <v>60</v>
      </c>
      <c r="L63" s="0" t="n">
        <v>0</v>
      </c>
      <c r="M63" s="0" t="n">
        <v>60</v>
      </c>
      <c r="N63" s="0" t="n">
        <v>0</v>
      </c>
      <c r="O63" s="0" t="n">
        <v>60</v>
      </c>
      <c r="P63" s="0" t="n">
        <v>0</v>
      </c>
      <c r="Q63" s="0" t="n">
        <v>60</v>
      </c>
      <c r="R63" s="0" t="n">
        <v>0</v>
      </c>
      <c r="S63" s="0" t="n">
        <v>60</v>
      </c>
      <c r="T63" s="0" t="n">
        <v>0</v>
      </c>
      <c r="U63" s="0" t="n">
        <v>60</v>
      </c>
      <c r="V63" s="0" t="n">
        <v>0</v>
      </c>
      <c r="W63" s="0" t="n">
        <v>60</v>
      </c>
      <c r="X63" s="0" t="n">
        <v>0</v>
      </c>
      <c r="Y63" s="0" t="n">
        <v>60</v>
      </c>
      <c r="Z63" s="0" t="n">
        <v>0</v>
      </c>
      <c r="AA63" s="0" t="n">
        <v>60</v>
      </c>
      <c r="AB63" s="0" t="n">
        <v>0</v>
      </c>
      <c r="AC63" s="0" t="n">
        <v>60</v>
      </c>
      <c r="AD63" s="0" t="n">
        <v>0</v>
      </c>
      <c r="AE63" s="0" t="n">
        <v>60</v>
      </c>
      <c r="AF63" s="0" t="n">
        <v>0</v>
      </c>
      <c r="AG63" s="0" t="n">
        <v>60</v>
      </c>
      <c r="AH63" s="0" t="n">
        <v>0</v>
      </c>
      <c r="AI63" s="0" t="n">
        <v>60</v>
      </c>
      <c r="AJ63" s="0" t="n">
        <v>0</v>
      </c>
      <c r="AK63" s="0" t="n">
        <v>60</v>
      </c>
      <c r="AL63" s="0" t="n">
        <v>0</v>
      </c>
      <c r="AM63" s="0" t="n">
        <v>60</v>
      </c>
      <c r="AN63" s="0" t="n">
        <v>0</v>
      </c>
      <c r="AO63" s="0" t="n">
        <v>60</v>
      </c>
      <c r="AP63" s="0" t="n">
        <v>0</v>
      </c>
      <c r="AQ63" s="0" t="n">
        <v>60</v>
      </c>
      <c r="AR63" s="0" t="n">
        <v>0</v>
      </c>
      <c r="AS63" s="0" t="n">
        <v>60</v>
      </c>
      <c r="AT63" s="0" t="n">
        <v>0</v>
      </c>
      <c r="AU63" s="0" t="n">
        <v>60</v>
      </c>
      <c r="AV63" s="0" t="n">
        <v>0</v>
      </c>
      <c r="AW63" s="0" t="n">
        <v>60</v>
      </c>
      <c r="AX63" s="0" t="n">
        <v>0</v>
      </c>
      <c r="AY63" s="0" t="n">
        <v>60</v>
      </c>
      <c r="AZ63" s="0" t="n">
        <v>0</v>
      </c>
      <c r="BA63" s="0" t="n">
        <v>60</v>
      </c>
      <c r="BB63" s="0" t="n">
        <v>0</v>
      </c>
      <c r="BC63" s="0" t="n">
        <v>60</v>
      </c>
      <c r="BD63" s="0" t="n">
        <v>0</v>
      </c>
      <c r="BE63" s="0" t="n">
        <v>60</v>
      </c>
      <c r="BF63" s="0" t="n">
        <v>0</v>
      </c>
      <c r="BG63" s="0" t="n">
        <v>60</v>
      </c>
      <c r="BH63" s="0" t="n">
        <v>0</v>
      </c>
      <c r="BI63" s="0" t="n">
        <v>60</v>
      </c>
      <c r="BJ63" s="0" t="n">
        <v>0</v>
      </c>
      <c r="BK63" s="0" t="n">
        <v>60</v>
      </c>
      <c r="BL63" s="0" t="n">
        <v>0</v>
      </c>
      <c r="BM63" s="0" t="n">
        <v>60</v>
      </c>
      <c r="BN63" s="0" t="n">
        <v>0</v>
      </c>
      <c r="BO63" s="0" t="n">
        <v>60</v>
      </c>
      <c r="BP63" s="0" t="n">
        <v>0</v>
      </c>
      <c r="BQ63" s="0" t="n">
        <v>60</v>
      </c>
      <c r="BR63" s="0" t="n">
        <v>0</v>
      </c>
      <c r="BS63" s="0" t="n">
        <v>60</v>
      </c>
      <c r="BT63" s="0" t="n">
        <v>0</v>
      </c>
      <c r="BU63" s="0" t="n">
        <v>60</v>
      </c>
      <c r="BV63" s="0" t="n">
        <v>0</v>
      </c>
      <c r="BW63" s="0" t="n">
        <v>60</v>
      </c>
      <c r="BX63" s="0" t="n">
        <v>0</v>
      </c>
      <c r="BY63" s="0" t="n">
        <v>60</v>
      </c>
      <c r="BZ63" s="0" t="n">
        <v>0</v>
      </c>
      <c r="CA63" s="0" t="n">
        <v>60</v>
      </c>
      <c r="CB63" s="0" t="n">
        <v>0</v>
      </c>
      <c r="CC63" s="0" t="n">
        <v>60</v>
      </c>
      <c r="CD63" s="0" t="n">
        <v>0</v>
      </c>
      <c r="CE63" s="0" t="n">
        <v>60</v>
      </c>
      <c r="CF63" s="0" t="n">
        <v>0</v>
      </c>
      <c r="CG63" s="0" t="n">
        <v>60</v>
      </c>
      <c r="CH63" s="0" t="n">
        <v>0</v>
      </c>
      <c r="CI63" s="0" t="n">
        <v>60</v>
      </c>
      <c r="CJ63" s="0" t="n">
        <v>0</v>
      </c>
      <c r="CK63" s="0" t="n">
        <v>60</v>
      </c>
      <c r="CL63" s="0" t="n">
        <v>0</v>
      </c>
      <c r="CM63" s="0" t="n">
        <v>60</v>
      </c>
      <c r="CN63" s="0" t="n">
        <v>0</v>
      </c>
      <c r="CO63" s="0" t="n">
        <v>60</v>
      </c>
      <c r="CP63" s="0" t="n">
        <v>0</v>
      </c>
      <c r="CQ63" s="0" t="n">
        <v>60</v>
      </c>
      <c r="CR63" s="0" t="n">
        <v>0</v>
      </c>
      <c r="CS63" s="0" t="n">
        <v>60</v>
      </c>
      <c r="CT63" s="0" t="n">
        <v>0</v>
      </c>
      <c r="CU63" s="0" t="n">
        <v>60</v>
      </c>
      <c r="CV63" s="0" t="n">
        <v>0</v>
      </c>
      <c r="CW63" s="0" t="n">
        <v>60</v>
      </c>
      <c r="CX63" s="0" t="n">
        <v>0</v>
      </c>
    </row>
    <row r="64" customFormat="false" ht="12.75" hidden="false" customHeight="false" outlineLevel="0" collapsed="false">
      <c r="B64" s="0" t="n">
        <v>61</v>
      </c>
      <c r="C64" s="0" t="n">
        <v>0</v>
      </c>
      <c r="D64" s="0" t="n">
        <v>0</v>
      </c>
      <c r="E64" s="0" t="n">
        <v>61</v>
      </c>
      <c r="F64" s="0" t="n">
        <v>0</v>
      </c>
      <c r="G64" s="0" t="n">
        <v>61</v>
      </c>
      <c r="H64" s="0" t="n">
        <v>0</v>
      </c>
      <c r="I64" s="0" t="n">
        <v>61</v>
      </c>
      <c r="J64" s="0" t="n">
        <v>0</v>
      </c>
      <c r="K64" s="0" t="n">
        <v>61</v>
      </c>
      <c r="L64" s="0" t="n">
        <v>0</v>
      </c>
      <c r="M64" s="0" t="n">
        <v>61</v>
      </c>
      <c r="N64" s="0" t="n">
        <v>0</v>
      </c>
      <c r="O64" s="0" t="n">
        <v>61</v>
      </c>
      <c r="P64" s="0" t="n">
        <v>0</v>
      </c>
      <c r="Q64" s="0" t="n">
        <v>61</v>
      </c>
      <c r="R64" s="0" t="n">
        <v>0</v>
      </c>
      <c r="S64" s="0" t="n">
        <v>61</v>
      </c>
      <c r="T64" s="0" t="n">
        <v>0</v>
      </c>
      <c r="U64" s="0" t="n">
        <v>61</v>
      </c>
      <c r="V64" s="0" t="n">
        <v>0</v>
      </c>
      <c r="W64" s="0" t="n">
        <v>61</v>
      </c>
      <c r="X64" s="0" t="n">
        <v>0</v>
      </c>
      <c r="Y64" s="0" t="n">
        <v>61</v>
      </c>
      <c r="Z64" s="0" t="n">
        <v>0</v>
      </c>
      <c r="AA64" s="0" t="n">
        <v>61</v>
      </c>
      <c r="AB64" s="0" t="n">
        <v>0</v>
      </c>
      <c r="AC64" s="0" t="n">
        <v>61</v>
      </c>
      <c r="AD64" s="0" t="n">
        <v>0</v>
      </c>
      <c r="AE64" s="0" t="n">
        <v>61</v>
      </c>
      <c r="AF64" s="0" t="n">
        <v>0</v>
      </c>
      <c r="AG64" s="0" t="n">
        <v>61</v>
      </c>
      <c r="AH64" s="0" t="n">
        <v>0</v>
      </c>
      <c r="AI64" s="0" t="n">
        <v>61</v>
      </c>
      <c r="AJ64" s="0" t="n">
        <v>0</v>
      </c>
      <c r="AK64" s="0" t="n">
        <v>61</v>
      </c>
      <c r="AL64" s="0" t="n">
        <v>0</v>
      </c>
      <c r="AM64" s="0" t="n">
        <v>61</v>
      </c>
      <c r="AN64" s="0" t="n">
        <v>0</v>
      </c>
      <c r="AO64" s="0" t="n">
        <v>61</v>
      </c>
      <c r="AP64" s="0" t="n">
        <v>0</v>
      </c>
      <c r="AQ64" s="0" t="n">
        <v>61</v>
      </c>
      <c r="AR64" s="0" t="n">
        <v>0</v>
      </c>
      <c r="AS64" s="0" t="n">
        <v>61</v>
      </c>
      <c r="AT64" s="0" t="n">
        <v>0</v>
      </c>
      <c r="AU64" s="0" t="n">
        <v>61</v>
      </c>
      <c r="AV64" s="0" t="n">
        <v>0</v>
      </c>
      <c r="AW64" s="0" t="n">
        <v>61</v>
      </c>
      <c r="AX64" s="0" t="n">
        <v>0</v>
      </c>
      <c r="AY64" s="0" t="n">
        <v>61</v>
      </c>
      <c r="AZ64" s="0" t="n">
        <v>0</v>
      </c>
      <c r="BA64" s="0" t="n">
        <v>61</v>
      </c>
      <c r="BB64" s="0" t="n">
        <v>0</v>
      </c>
      <c r="BC64" s="0" t="n">
        <v>61</v>
      </c>
      <c r="BD64" s="0" t="n">
        <v>0</v>
      </c>
      <c r="BE64" s="0" t="n">
        <v>61</v>
      </c>
      <c r="BF64" s="0" t="n">
        <v>0</v>
      </c>
      <c r="BG64" s="0" t="n">
        <v>61</v>
      </c>
      <c r="BH64" s="0" t="n">
        <v>0</v>
      </c>
      <c r="BI64" s="0" t="n">
        <v>61</v>
      </c>
      <c r="BJ64" s="0" t="n">
        <v>0</v>
      </c>
      <c r="BK64" s="0" t="n">
        <v>61</v>
      </c>
      <c r="BL64" s="0" t="n">
        <v>0</v>
      </c>
      <c r="BM64" s="0" t="n">
        <v>61</v>
      </c>
      <c r="BN64" s="0" t="n">
        <v>0</v>
      </c>
      <c r="BO64" s="0" t="n">
        <v>61</v>
      </c>
      <c r="BP64" s="0" t="n">
        <v>0</v>
      </c>
      <c r="BQ64" s="0" t="n">
        <v>61</v>
      </c>
      <c r="BR64" s="0" t="n">
        <v>0</v>
      </c>
      <c r="BS64" s="0" t="n">
        <v>61</v>
      </c>
      <c r="BT64" s="0" t="n">
        <v>0</v>
      </c>
      <c r="BU64" s="0" t="n">
        <v>61</v>
      </c>
      <c r="BV64" s="0" t="n">
        <v>0</v>
      </c>
      <c r="BW64" s="0" t="n">
        <v>61</v>
      </c>
      <c r="BX64" s="0" t="n">
        <v>0</v>
      </c>
      <c r="BY64" s="0" t="n">
        <v>61</v>
      </c>
      <c r="BZ64" s="0" t="n">
        <v>0</v>
      </c>
      <c r="CA64" s="0" t="n">
        <v>61</v>
      </c>
      <c r="CB64" s="0" t="n">
        <v>0</v>
      </c>
      <c r="CC64" s="0" t="n">
        <v>61</v>
      </c>
      <c r="CD64" s="0" t="n">
        <v>0</v>
      </c>
      <c r="CE64" s="0" t="n">
        <v>61</v>
      </c>
      <c r="CF64" s="0" t="n">
        <v>0</v>
      </c>
      <c r="CG64" s="0" t="n">
        <v>61</v>
      </c>
      <c r="CH64" s="0" t="n">
        <v>0</v>
      </c>
      <c r="CI64" s="0" t="n">
        <v>61</v>
      </c>
      <c r="CJ64" s="0" t="n">
        <v>0</v>
      </c>
      <c r="CK64" s="0" t="n">
        <v>61</v>
      </c>
      <c r="CL64" s="0" t="n">
        <v>0</v>
      </c>
      <c r="CM64" s="0" t="n">
        <v>61</v>
      </c>
      <c r="CN64" s="0" t="n">
        <v>0</v>
      </c>
      <c r="CO64" s="0" t="n">
        <v>61</v>
      </c>
      <c r="CP64" s="0" t="n">
        <v>0</v>
      </c>
      <c r="CQ64" s="0" t="n">
        <v>61</v>
      </c>
      <c r="CR64" s="0" t="n">
        <v>0</v>
      </c>
      <c r="CS64" s="0" t="n">
        <v>61</v>
      </c>
      <c r="CT64" s="0" t="n">
        <v>0</v>
      </c>
      <c r="CU64" s="0" t="n">
        <v>61</v>
      </c>
      <c r="CV64" s="0" t="n">
        <v>0</v>
      </c>
      <c r="CW64" s="0" t="n">
        <v>61</v>
      </c>
      <c r="CX64" s="0" t="n">
        <v>0</v>
      </c>
    </row>
    <row r="65" customFormat="false" ht="12.75" hidden="false" customHeight="false" outlineLevel="0" collapsed="false">
      <c r="B65" s="0" t="n">
        <v>62</v>
      </c>
      <c r="C65" s="0" t="n">
        <v>0</v>
      </c>
      <c r="D65" s="0" t="n">
        <v>0</v>
      </c>
      <c r="E65" s="0" t="n">
        <v>62</v>
      </c>
      <c r="F65" s="0" t="n">
        <v>0</v>
      </c>
      <c r="G65" s="0" t="n">
        <v>62</v>
      </c>
      <c r="H65" s="0" t="n">
        <v>0</v>
      </c>
      <c r="I65" s="0" t="n">
        <v>62</v>
      </c>
      <c r="J65" s="0" t="n">
        <v>0</v>
      </c>
      <c r="K65" s="0" t="n">
        <v>62</v>
      </c>
      <c r="L65" s="0" t="n">
        <v>0</v>
      </c>
      <c r="M65" s="0" t="n">
        <v>62</v>
      </c>
      <c r="N65" s="0" t="n">
        <v>0</v>
      </c>
      <c r="O65" s="0" t="n">
        <v>62</v>
      </c>
      <c r="P65" s="0" t="n">
        <v>0</v>
      </c>
      <c r="Q65" s="0" t="n">
        <v>62</v>
      </c>
      <c r="R65" s="0" t="n">
        <v>0</v>
      </c>
      <c r="S65" s="0" t="n">
        <v>62</v>
      </c>
      <c r="T65" s="0" t="n">
        <v>0</v>
      </c>
      <c r="U65" s="0" t="n">
        <v>62</v>
      </c>
      <c r="V65" s="0" t="n">
        <v>0</v>
      </c>
      <c r="W65" s="0" t="n">
        <v>62</v>
      </c>
      <c r="X65" s="0" t="n">
        <v>0</v>
      </c>
      <c r="Y65" s="0" t="n">
        <v>62</v>
      </c>
      <c r="Z65" s="0" t="n">
        <v>0</v>
      </c>
      <c r="AA65" s="0" t="n">
        <v>62</v>
      </c>
      <c r="AB65" s="0" t="n">
        <v>0</v>
      </c>
      <c r="AC65" s="0" t="n">
        <v>62</v>
      </c>
      <c r="AD65" s="0" t="n">
        <v>0</v>
      </c>
      <c r="AE65" s="0" t="n">
        <v>62</v>
      </c>
      <c r="AF65" s="0" t="n">
        <v>0</v>
      </c>
      <c r="AG65" s="0" t="n">
        <v>62</v>
      </c>
      <c r="AH65" s="0" t="n">
        <v>0</v>
      </c>
      <c r="AI65" s="0" t="n">
        <v>62</v>
      </c>
      <c r="AJ65" s="0" t="n">
        <v>0</v>
      </c>
      <c r="AK65" s="0" t="n">
        <v>62</v>
      </c>
      <c r="AL65" s="0" t="n">
        <v>0</v>
      </c>
      <c r="AM65" s="0" t="n">
        <v>62</v>
      </c>
      <c r="AN65" s="0" t="n">
        <v>0</v>
      </c>
      <c r="AO65" s="0" t="n">
        <v>62</v>
      </c>
      <c r="AP65" s="0" t="n">
        <v>0</v>
      </c>
      <c r="AQ65" s="0" t="n">
        <v>62</v>
      </c>
      <c r="AR65" s="0" t="n">
        <v>0</v>
      </c>
      <c r="AS65" s="0" t="n">
        <v>62</v>
      </c>
      <c r="AT65" s="0" t="n">
        <v>0</v>
      </c>
      <c r="AU65" s="0" t="n">
        <v>62</v>
      </c>
      <c r="AV65" s="0" t="n">
        <v>0</v>
      </c>
      <c r="AW65" s="0" t="n">
        <v>62</v>
      </c>
      <c r="AX65" s="0" t="n">
        <v>0</v>
      </c>
      <c r="AY65" s="0" t="n">
        <v>62</v>
      </c>
      <c r="AZ65" s="0" t="n">
        <v>0</v>
      </c>
      <c r="BA65" s="0" t="n">
        <v>62</v>
      </c>
      <c r="BB65" s="0" t="n">
        <v>0</v>
      </c>
      <c r="BC65" s="0" t="n">
        <v>62</v>
      </c>
      <c r="BD65" s="0" t="n">
        <v>0</v>
      </c>
      <c r="BE65" s="0" t="n">
        <v>62</v>
      </c>
      <c r="BF65" s="0" t="n">
        <v>0</v>
      </c>
      <c r="BG65" s="0" t="n">
        <v>62</v>
      </c>
      <c r="BH65" s="0" t="n">
        <v>0</v>
      </c>
      <c r="BI65" s="0" t="n">
        <v>62</v>
      </c>
      <c r="BJ65" s="0" t="n">
        <v>0</v>
      </c>
      <c r="BK65" s="0" t="n">
        <v>62</v>
      </c>
      <c r="BL65" s="0" t="n">
        <v>0</v>
      </c>
      <c r="BM65" s="0" t="n">
        <v>62</v>
      </c>
      <c r="BN65" s="0" t="n">
        <v>0</v>
      </c>
      <c r="BO65" s="0" t="n">
        <v>62</v>
      </c>
      <c r="BP65" s="0" t="n">
        <v>0</v>
      </c>
      <c r="BQ65" s="0" t="n">
        <v>62</v>
      </c>
      <c r="BR65" s="0" t="n">
        <v>0</v>
      </c>
      <c r="BS65" s="0" t="n">
        <v>62</v>
      </c>
      <c r="BT65" s="0" t="n">
        <v>0</v>
      </c>
      <c r="BU65" s="0" t="n">
        <v>62</v>
      </c>
      <c r="BV65" s="0" t="n">
        <v>0</v>
      </c>
      <c r="BW65" s="0" t="n">
        <v>62</v>
      </c>
      <c r="BX65" s="0" t="n">
        <v>0</v>
      </c>
      <c r="BY65" s="0" t="n">
        <v>62</v>
      </c>
      <c r="BZ65" s="0" t="n">
        <v>0</v>
      </c>
      <c r="CA65" s="0" t="n">
        <v>62</v>
      </c>
      <c r="CB65" s="0" t="n">
        <v>0</v>
      </c>
      <c r="CC65" s="0" t="n">
        <v>62</v>
      </c>
      <c r="CD65" s="0" t="n">
        <v>0</v>
      </c>
      <c r="CE65" s="0" t="n">
        <v>62</v>
      </c>
      <c r="CF65" s="0" t="n">
        <v>0</v>
      </c>
      <c r="CG65" s="0" t="n">
        <v>62</v>
      </c>
      <c r="CH65" s="0" t="n">
        <v>0</v>
      </c>
      <c r="CI65" s="0" t="n">
        <v>62</v>
      </c>
      <c r="CJ65" s="0" t="n">
        <v>0</v>
      </c>
      <c r="CK65" s="0" t="n">
        <v>62</v>
      </c>
      <c r="CL65" s="0" t="n">
        <v>0</v>
      </c>
      <c r="CM65" s="0" t="n">
        <v>62</v>
      </c>
      <c r="CN65" s="0" t="n">
        <v>0</v>
      </c>
      <c r="CO65" s="0" t="n">
        <v>62</v>
      </c>
      <c r="CP65" s="0" t="n">
        <v>0</v>
      </c>
      <c r="CQ65" s="0" t="n">
        <v>62</v>
      </c>
      <c r="CR65" s="0" t="n">
        <v>0</v>
      </c>
      <c r="CS65" s="0" t="n">
        <v>62</v>
      </c>
      <c r="CT65" s="0" t="n">
        <v>0</v>
      </c>
      <c r="CU65" s="0" t="n">
        <v>62</v>
      </c>
      <c r="CV65" s="0" t="n">
        <v>0</v>
      </c>
      <c r="CW65" s="0" t="n">
        <v>62</v>
      </c>
      <c r="CX65" s="0" t="n">
        <v>0</v>
      </c>
    </row>
    <row r="66" customFormat="false" ht="12.75" hidden="false" customHeight="false" outlineLevel="0" collapsed="false">
      <c r="B66" s="0" t="n">
        <v>63</v>
      </c>
      <c r="C66" s="0" t="n">
        <v>0</v>
      </c>
      <c r="D66" s="0" t="n">
        <v>0</v>
      </c>
      <c r="E66" s="0" t="n">
        <v>63</v>
      </c>
      <c r="F66" s="0" t="n">
        <v>0</v>
      </c>
      <c r="G66" s="0" t="n">
        <v>63</v>
      </c>
      <c r="H66" s="0" t="n">
        <v>0</v>
      </c>
      <c r="I66" s="0" t="n">
        <v>63</v>
      </c>
      <c r="J66" s="0" t="n">
        <v>0</v>
      </c>
      <c r="K66" s="0" t="n">
        <v>63</v>
      </c>
      <c r="L66" s="0" t="n">
        <v>0</v>
      </c>
      <c r="M66" s="0" t="n">
        <v>63</v>
      </c>
      <c r="N66" s="0" t="n">
        <v>0</v>
      </c>
      <c r="O66" s="0" t="n">
        <v>63</v>
      </c>
      <c r="P66" s="0" t="n">
        <v>0</v>
      </c>
      <c r="Q66" s="0" t="n">
        <v>63</v>
      </c>
      <c r="R66" s="0" t="n">
        <v>0</v>
      </c>
      <c r="S66" s="0" t="n">
        <v>63</v>
      </c>
      <c r="T66" s="0" t="n">
        <v>0</v>
      </c>
      <c r="U66" s="0" t="n">
        <v>63</v>
      </c>
      <c r="V66" s="0" t="n">
        <v>0</v>
      </c>
      <c r="W66" s="0" t="n">
        <v>63</v>
      </c>
      <c r="X66" s="0" t="n">
        <v>0</v>
      </c>
      <c r="Y66" s="0" t="n">
        <v>63</v>
      </c>
      <c r="Z66" s="0" t="n">
        <v>0</v>
      </c>
      <c r="AA66" s="0" t="n">
        <v>63</v>
      </c>
      <c r="AB66" s="0" t="n">
        <v>0</v>
      </c>
      <c r="AC66" s="0" t="n">
        <v>63</v>
      </c>
      <c r="AD66" s="0" t="n">
        <v>0</v>
      </c>
      <c r="AE66" s="0" t="n">
        <v>63</v>
      </c>
      <c r="AF66" s="0" t="n">
        <v>0</v>
      </c>
      <c r="AG66" s="0" t="n">
        <v>63</v>
      </c>
      <c r="AH66" s="0" t="n">
        <v>0</v>
      </c>
      <c r="AI66" s="0" t="n">
        <v>63</v>
      </c>
      <c r="AJ66" s="0" t="n">
        <v>0</v>
      </c>
      <c r="AK66" s="0" t="n">
        <v>63</v>
      </c>
      <c r="AL66" s="0" t="n">
        <v>0</v>
      </c>
      <c r="AM66" s="0" t="n">
        <v>63</v>
      </c>
      <c r="AN66" s="0" t="n">
        <v>0</v>
      </c>
      <c r="AO66" s="0" t="n">
        <v>63</v>
      </c>
      <c r="AP66" s="0" t="n">
        <v>0</v>
      </c>
      <c r="AQ66" s="0" t="n">
        <v>63</v>
      </c>
      <c r="AR66" s="0" t="n">
        <v>0</v>
      </c>
      <c r="AS66" s="0" t="n">
        <v>63</v>
      </c>
      <c r="AT66" s="0" t="n">
        <v>0</v>
      </c>
      <c r="AU66" s="0" t="n">
        <v>63</v>
      </c>
      <c r="AV66" s="0" t="n">
        <v>0</v>
      </c>
      <c r="AW66" s="0" t="n">
        <v>63</v>
      </c>
      <c r="AX66" s="0" t="n">
        <v>0</v>
      </c>
      <c r="AY66" s="0" t="n">
        <v>63</v>
      </c>
      <c r="AZ66" s="0" t="n">
        <v>0</v>
      </c>
      <c r="BA66" s="0" t="n">
        <v>63</v>
      </c>
      <c r="BB66" s="0" t="n">
        <v>0</v>
      </c>
      <c r="BC66" s="0" t="n">
        <v>63</v>
      </c>
      <c r="BD66" s="0" t="n">
        <v>0</v>
      </c>
      <c r="BE66" s="0" t="n">
        <v>63</v>
      </c>
      <c r="BF66" s="0" t="n">
        <v>0</v>
      </c>
      <c r="BG66" s="0" t="n">
        <v>63</v>
      </c>
      <c r="BH66" s="0" t="n">
        <v>0</v>
      </c>
      <c r="BI66" s="0" t="n">
        <v>63</v>
      </c>
      <c r="BJ66" s="0" t="n">
        <v>0</v>
      </c>
      <c r="BK66" s="0" t="n">
        <v>63</v>
      </c>
      <c r="BL66" s="0" t="n">
        <v>0</v>
      </c>
      <c r="BM66" s="0" t="n">
        <v>63</v>
      </c>
      <c r="BN66" s="0" t="n">
        <v>0</v>
      </c>
      <c r="BO66" s="0" t="n">
        <v>63</v>
      </c>
      <c r="BP66" s="0" t="n">
        <v>0</v>
      </c>
      <c r="BQ66" s="0" t="n">
        <v>63</v>
      </c>
      <c r="BR66" s="0" t="n">
        <v>0</v>
      </c>
      <c r="BS66" s="0" t="n">
        <v>63</v>
      </c>
      <c r="BT66" s="0" t="n">
        <v>0</v>
      </c>
      <c r="BU66" s="0" t="n">
        <v>63</v>
      </c>
      <c r="BV66" s="0" t="n">
        <v>0</v>
      </c>
      <c r="BW66" s="0" t="n">
        <v>63</v>
      </c>
      <c r="BX66" s="0" t="n">
        <v>0</v>
      </c>
      <c r="BY66" s="0" t="n">
        <v>63</v>
      </c>
      <c r="BZ66" s="0" t="n">
        <v>0</v>
      </c>
      <c r="CA66" s="0" t="n">
        <v>63</v>
      </c>
      <c r="CB66" s="0" t="n">
        <v>0</v>
      </c>
      <c r="CC66" s="0" t="n">
        <v>63</v>
      </c>
      <c r="CD66" s="0" t="n">
        <v>0</v>
      </c>
      <c r="CE66" s="0" t="n">
        <v>63</v>
      </c>
      <c r="CF66" s="0" t="n">
        <v>0</v>
      </c>
      <c r="CG66" s="0" t="n">
        <v>63</v>
      </c>
      <c r="CH66" s="0" t="n">
        <v>0</v>
      </c>
      <c r="CI66" s="0" t="n">
        <v>63</v>
      </c>
      <c r="CJ66" s="0" t="n">
        <v>0</v>
      </c>
      <c r="CK66" s="0" t="n">
        <v>63</v>
      </c>
      <c r="CL66" s="0" t="n">
        <v>0</v>
      </c>
      <c r="CM66" s="0" t="n">
        <v>63</v>
      </c>
      <c r="CN66" s="0" t="n">
        <v>0</v>
      </c>
      <c r="CO66" s="0" t="n">
        <v>63</v>
      </c>
      <c r="CP66" s="0" t="n">
        <v>0</v>
      </c>
      <c r="CQ66" s="0" t="n">
        <v>63</v>
      </c>
      <c r="CR66" s="0" t="n">
        <v>0</v>
      </c>
      <c r="CS66" s="0" t="n">
        <v>63</v>
      </c>
      <c r="CT66" s="0" t="n">
        <v>0</v>
      </c>
      <c r="CU66" s="0" t="n">
        <v>63</v>
      </c>
      <c r="CV66" s="0" t="n">
        <v>0</v>
      </c>
      <c r="CW66" s="0" t="n">
        <v>63</v>
      </c>
      <c r="CX66" s="0" t="n">
        <v>0</v>
      </c>
    </row>
    <row r="67" customFormat="false" ht="12.75" hidden="false" customHeight="false" outlineLevel="0" collapsed="false">
      <c r="B67" s="0" t="n">
        <v>64</v>
      </c>
      <c r="C67" s="0" t="n">
        <v>0</v>
      </c>
      <c r="D67" s="0" t="n">
        <v>0</v>
      </c>
      <c r="E67" s="0" t="n">
        <v>64</v>
      </c>
      <c r="F67" s="0" t="n">
        <v>0</v>
      </c>
      <c r="G67" s="0" t="n">
        <v>64</v>
      </c>
      <c r="H67" s="0" t="n">
        <v>0</v>
      </c>
      <c r="I67" s="0" t="n">
        <v>64</v>
      </c>
      <c r="J67" s="0" t="n">
        <v>0</v>
      </c>
      <c r="K67" s="0" t="n">
        <v>64</v>
      </c>
      <c r="L67" s="0" t="n">
        <v>0</v>
      </c>
      <c r="M67" s="0" t="n">
        <v>64</v>
      </c>
      <c r="N67" s="0" t="n">
        <v>0</v>
      </c>
      <c r="O67" s="0" t="n">
        <v>64</v>
      </c>
      <c r="P67" s="0" t="n">
        <v>0</v>
      </c>
      <c r="Q67" s="0" t="n">
        <v>64</v>
      </c>
      <c r="R67" s="0" t="n">
        <v>0</v>
      </c>
      <c r="S67" s="0" t="n">
        <v>64</v>
      </c>
      <c r="T67" s="0" t="n">
        <v>0</v>
      </c>
      <c r="U67" s="0" t="n">
        <v>64</v>
      </c>
      <c r="V67" s="0" t="n">
        <v>0</v>
      </c>
      <c r="W67" s="0" t="n">
        <v>64</v>
      </c>
      <c r="X67" s="0" t="n">
        <v>0</v>
      </c>
      <c r="Y67" s="0" t="n">
        <v>64</v>
      </c>
      <c r="Z67" s="0" t="n">
        <v>0</v>
      </c>
      <c r="AA67" s="0" t="n">
        <v>64</v>
      </c>
      <c r="AB67" s="0" t="n">
        <v>0</v>
      </c>
      <c r="AC67" s="0" t="n">
        <v>64</v>
      </c>
      <c r="AD67" s="0" t="n">
        <v>0</v>
      </c>
      <c r="AE67" s="0" t="n">
        <v>64</v>
      </c>
      <c r="AF67" s="0" t="n">
        <v>0</v>
      </c>
      <c r="AG67" s="0" t="n">
        <v>64</v>
      </c>
      <c r="AH67" s="0" t="n">
        <v>0</v>
      </c>
      <c r="AI67" s="0" t="n">
        <v>64</v>
      </c>
      <c r="AJ67" s="0" t="n">
        <v>0</v>
      </c>
      <c r="AK67" s="0" t="n">
        <v>64</v>
      </c>
      <c r="AL67" s="0" t="n">
        <v>0</v>
      </c>
      <c r="AM67" s="0" t="n">
        <v>64</v>
      </c>
      <c r="AN67" s="0" t="n">
        <v>0</v>
      </c>
      <c r="AO67" s="0" t="n">
        <v>64</v>
      </c>
      <c r="AP67" s="0" t="n">
        <v>0</v>
      </c>
      <c r="AQ67" s="0" t="n">
        <v>64</v>
      </c>
      <c r="AR67" s="0" t="n">
        <v>0</v>
      </c>
      <c r="AS67" s="0" t="n">
        <v>64</v>
      </c>
      <c r="AT67" s="0" t="n">
        <v>0</v>
      </c>
      <c r="AU67" s="0" t="n">
        <v>64</v>
      </c>
      <c r="AV67" s="0" t="n">
        <v>0</v>
      </c>
      <c r="AW67" s="0" t="n">
        <v>64</v>
      </c>
      <c r="AX67" s="0" t="n">
        <v>0</v>
      </c>
      <c r="AY67" s="0" t="n">
        <v>64</v>
      </c>
      <c r="AZ67" s="0" t="n">
        <v>0</v>
      </c>
      <c r="BA67" s="0" t="n">
        <v>64</v>
      </c>
      <c r="BB67" s="0" t="n">
        <v>0</v>
      </c>
      <c r="BC67" s="0" t="n">
        <v>64</v>
      </c>
      <c r="BD67" s="0" t="n">
        <v>0</v>
      </c>
      <c r="BE67" s="0" t="n">
        <v>64</v>
      </c>
      <c r="BF67" s="0" t="n">
        <v>0</v>
      </c>
      <c r="BG67" s="0" t="n">
        <v>64</v>
      </c>
      <c r="BH67" s="0" t="n">
        <v>0</v>
      </c>
      <c r="BI67" s="0" t="n">
        <v>64</v>
      </c>
      <c r="BJ67" s="0" t="n">
        <v>0</v>
      </c>
      <c r="BK67" s="0" t="n">
        <v>64</v>
      </c>
      <c r="BL67" s="0" t="n">
        <v>0</v>
      </c>
      <c r="BM67" s="0" t="n">
        <v>64</v>
      </c>
      <c r="BN67" s="0" t="n">
        <v>0</v>
      </c>
      <c r="BO67" s="0" t="n">
        <v>64</v>
      </c>
      <c r="BP67" s="0" t="n">
        <v>0</v>
      </c>
      <c r="BQ67" s="0" t="n">
        <v>64</v>
      </c>
      <c r="BR67" s="0" t="n">
        <v>0</v>
      </c>
      <c r="BS67" s="0" t="n">
        <v>64</v>
      </c>
      <c r="BT67" s="0" t="n">
        <v>0</v>
      </c>
      <c r="BU67" s="0" t="n">
        <v>64</v>
      </c>
      <c r="BV67" s="0" t="n">
        <v>0</v>
      </c>
      <c r="BW67" s="0" t="n">
        <v>64</v>
      </c>
      <c r="BX67" s="0" t="n">
        <v>0</v>
      </c>
      <c r="BY67" s="0" t="n">
        <v>64</v>
      </c>
      <c r="BZ67" s="0" t="n">
        <v>0</v>
      </c>
      <c r="CA67" s="0" t="n">
        <v>64</v>
      </c>
      <c r="CB67" s="0" t="n">
        <v>0</v>
      </c>
      <c r="CC67" s="0" t="n">
        <v>64</v>
      </c>
      <c r="CD67" s="0" t="n">
        <v>0</v>
      </c>
      <c r="CE67" s="0" t="n">
        <v>64</v>
      </c>
      <c r="CF67" s="0" t="n">
        <v>0</v>
      </c>
      <c r="CG67" s="0" t="n">
        <v>64</v>
      </c>
      <c r="CH67" s="0" t="n">
        <v>0</v>
      </c>
      <c r="CI67" s="0" t="n">
        <v>64</v>
      </c>
      <c r="CJ67" s="0" t="n">
        <v>0</v>
      </c>
      <c r="CK67" s="0" t="n">
        <v>64</v>
      </c>
      <c r="CL67" s="0" t="n">
        <v>0</v>
      </c>
      <c r="CM67" s="0" t="n">
        <v>64</v>
      </c>
      <c r="CN67" s="0" t="n">
        <v>0</v>
      </c>
      <c r="CO67" s="0" t="n">
        <v>64</v>
      </c>
      <c r="CP67" s="0" t="n">
        <v>0</v>
      </c>
      <c r="CQ67" s="0" t="n">
        <v>64</v>
      </c>
      <c r="CR67" s="0" t="n">
        <v>0</v>
      </c>
      <c r="CS67" s="0" t="n">
        <v>64</v>
      </c>
      <c r="CT67" s="0" t="n">
        <v>0</v>
      </c>
      <c r="CU67" s="0" t="n">
        <v>64</v>
      </c>
      <c r="CV67" s="0" t="n">
        <v>0</v>
      </c>
      <c r="CW67" s="0" t="n">
        <v>64</v>
      </c>
      <c r="CX67" s="0" t="n">
        <v>0</v>
      </c>
    </row>
    <row r="68" customFormat="false" ht="12.75" hidden="false" customHeight="false" outlineLevel="0" collapsed="false">
      <c r="B68" s="0" t="n">
        <v>65</v>
      </c>
      <c r="C68" s="0" t="n">
        <v>0</v>
      </c>
      <c r="D68" s="0" t="n">
        <v>0</v>
      </c>
      <c r="E68" s="0" t="n">
        <v>65</v>
      </c>
      <c r="F68" s="0" t="n">
        <v>0</v>
      </c>
      <c r="G68" s="0" t="n">
        <v>65</v>
      </c>
      <c r="H68" s="0" t="n">
        <v>0</v>
      </c>
      <c r="I68" s="0" t="n">
        <v>65</v>
      </c>
      <c r="J68" s="0" t="n">
        <v>0</v>
      </c>
      <c r="K68" s="0" t="n">
        <v>65</v>
      </c>
      <c r="L68" s="0" t="n">
        <v>0</v>
      </c>
      <c r="M68" s="0" t="n">
        <v>65</v>
      </c>
      <c r="N68" s="0" t="n">
        <v>0</v>
      </c>
      <c r="O68" s="0" t="n">
        <v>65</v>
      </c>
      <c r="P68" s="0" t="n">
        <v>0</v>
      </c>
      <c r="Q68" s="0" t="n">
        <v>65</v>
      </c>
      <c r="R68" s="0" t="n">
        <v>0</v>
      </c>
      <c r="S68" s="0" t="n">
        <v>65</v>
      </c>
      <c r="T68" s="0" t="n">
        <v>0</v>
      </c>
      <c r="U68" s="0" t="n">
        <v>65</v>
      </c>
      <c r="V68" s="0" t="n">
        <v>0</v>
      </c>
      <c r="W68" s="0" t="n">
        <v>65</v>
      </c>
      <c r="X68" s="0" t="n">
        <v>0</v>
      </c>
      <c r="Y68" s="0" t="n">
        <v>65</v>
      </c>
      <c r="Z68" s="0" t="n">
        <v>0</v>
      </c>
      <c r="AA68" s="0" t="n">
        <v>65</v>
      </c>
      <c r="AB68" s="0" t="n">
        <v>0</v>
      </c>
      <c r="AC68" s="0" t="n">
        <v>65</v>
      </c>
      <c r="AD68" s="0" t="n">
        <v>0</v>
      </c>
      <c r="AE68" s="0" t="n">
        <v>65</v>
      </c>
      <c r="AF68" s="0" t="n">
        <v>0</v>
      </c>
      <c r="AG68" s="0" t="n">
        <v>65</v>
      </c>
      <c r="AH68" s="0" t="n">
        <v>0</v>
      </c>
      <c r="AI68" s="0" t="n">
        <v>65</v>
      </c>
      <c r="AJ68" s="0" t="n">
        <v>0</v>
      </c>
      <c r="AK68" s="0" t="n">
        <v>65</v>
      </c>
      <c r="AL68" s="0" t="n">
        <v>0</v>
      </c>
      <c r="AM68" s="0" t="n">
        <v>65</v>
      </c>
      <c r="AN68" s="0" t="n">
        <v>0</v>
      </c>
      <c r="AO68" s="0" t="n">
        <v>65</v>
      </c>
      <c r="AP68" s="0" t="n">
        <v>0</v>
      </c>
      <c r="AQ68" s="0" t="n">
        <v>65</v>
      </c>
      <c r="AR68" s="0" t="n">
        <v>0</v>
      </c>
      <c r="AS68" s="0" t="n">
        <v>65</v>
      </c>
      <c r="AT68" s="0" t="n">
        <v>0</v>
      </c>
      <c r="AU68" s="0" t="n">
        <v>65</v>
      </c>
      <c r="AV68" s="0" t="n">
        <v>0</v>
      </c>
      <c r="AW68" s="0" t="n">
        <v>65</v>
      </c>
      <c r="AX68" s="0" t="n">
        <v>0</v>
      </c>
      <c r="AY68" s="0" t="n">
        <v>65</v>
      </c>
      <c r="AZ68" s="0" t="n">
        <v>0</v>
      </c>
      <c r="BA68" s="0" t="n">
        <v>65</v>
      </c>
      <c r="BB68" s="0" t="n">
        <v>0</v>
      </c>
      <c r="BC68" s="0" t="n">
        <v>65</v>
      </c>
      <c r="BD68" s="0" t="n">
        <v>0</v>
      </c>
      <c r="BE68" s="0" t="n">
        <v>65</v>
      </c>
      <c r="BF68" s="0" t="n">
        <v>0</v>
      </c>
      <c r="BG68" s="0" t="n">
        <v>65</v>
      </c>
      <c r="BH68" s="0" t="n">
        <v>0</v>
      </c>
      <c r="BI68" s="0" t="n">
        <v>65</v>
      </c>
      <c r="BJ68" s="0" t="n">
        <v>0</v>
      </c>
      <c r="BK68" s="0" t="n">
        <v>65</v>
      </c>
      <c r="BL68" s="0" t="n">
        <v>0</v>
      </c>
      <c r="BM68" s="0" t="n">
        <v>65</v>
      </c>
      <c r="BN68" s="0" t="n">
        <v>0</v>
      </c>
      <c r="BO68" s="0" t="n">
        <v>65</v>
      </c>
      <c r="BP68" s="0" t="n">
        <v>0</v>
      </c>
      <c r="BQ68" s="0" t="n">
        <v>65</v>
      </c>
      <c r="BR68" s="0" t="n">
        <v>0</v>
      </c>
      <c r="BS68" s="0" t="n">
        <v>65</v>
      </c>
      <c r="BT68" s="0" t="n">
        <v>0</v>
      </c>
      <c r="BU68" s="0" t="n">
        <v>65</v>
      </c>
      <c r="BV68" s="0" t="n">
        <v>0</v>
      </c>
      <c r="BW68" s="0" t="n">
        <v>65</v>
      </c>
      <c r="BX68" s="0" t="n">
        <v>0</v>
      </c>
      <c r="BY68" s="0" t="n">
        <v>65</v>
      </c>
      <c r="BZ68" s="0" t="n">
        <v>0</v>
      </c>
      <c r="CA68" s="0" t="n">
        <v>65</v>
      </c>
      <c r="CB68" s="0" t="n">
        <v>0</v>
      </c>
      <c r="CC68" s="0" t="n">
        <v>65</v>
      </c>
      <c r="CD68" s="0" t="n">
        <v>0</v>
      </c>
      <c r="CE68" s="0" t="n">
        <v>65</v>
      </c>
      <c r="CF68" s="0" t="n">
        <v>0</v>
      </c>
      <c r="CG68" s="0" t="n">
        <v>65</v>
      </c>
      <c r="CH68" s="0" t="n">
        <v>0</v>
      </c>
      <c r="CI68" s="0" t="n">
        <v>65</v>
      </c>
      <c r="CJ68" s="0" t="n">
        <v>0</v>
      </c>
      <c r="CK68" s="0" t="n">
        <v>65</v>
      </c>
      <c r="CL68" s="0" t="n">
        <v>0</v>
      </c>
      <c r="CM68" s="0" t="n">
        <v>65</v>
      </c>
      <c r="CN68" s="0" t="n">
        <v>0</v>
      </c>
      <c r="CO68" s="0" t="n">
        <v>65</v>
      </c>
      <c r="CP68" s="0" t="n">
        <v>0</v>
      </c>
      <c r="CQ68" s="0" t="n">
        <v>65</v>
      </c>
      <c r="CR68" s="0" t="n">
        <v>0</v>
      </c>
      <c r="CS68" s="0" t="n">
        <v>65</v>
      </c>
      <c r="CT68" s="0" t="n">
        <v>0</v>
      </c>
      <c r="CU68" s="0" t="n">
        <v>65</v>
      </c>
      <c r="CV68" s="0" t="n">
        <v>0</v>
      </c>
      <c r="CW68" s="0" t="n">
        <v>65</v>
      </c>
      <c r="CX68" s="0" t="n">
        <v>0</v>
      </c>
    </row>
    <row r="69" customFormat="false" ht="12.75" hidden="false" customHeight="false" outlineLevel="0" collapsed="false">
      <c r="B69" s="0" t="n">
        <v>66</v>
      </c>
      <c r="C69" s="0" t="n">
        <v>0</v>
      </c>
      <c r="D69" s="0" t="n">
        <v>0</v>
      </c>
      <c r="E69" s="0" t="n">
        <v>66</v>
      </c>
      <c r="F69" s="0" t="n">
        <v>0</v>
      </c>
      <c r="G69" s="0" t="n">
        <v>66</v>
      </c>
      <c r="H69" s="0" t="n">
        <v>0</v>
      </c>
      <c r="I69" s="0" t="n">
        <v>66</v>
      </c>
      <c r="J69" s="0" t="n">
        <v>0</v>
      </c>
      <c r="K69" s="0" t="n">
        <v>66</v>
      </c>
      <c r="L69" s="0" t="n">
        <v>0</v>
      </c>
      <c r="M69" s="0" t="n">
        <v>66</v>
      </c>
      <c r="N69" s="0" t="n">
        <v>0</v>
      </c>
      <c r="O69" s="0" t="n">
        <v>66</v>
      </c>
      <c r="P69" s="0" t="n">
        <v>0</v>
      </c>
      <c r="Q69" s="0" t="n">
        <v>66</v>
      </c>
      <c r="R69" s="0" t="n">
        <v>0</v>
      </c>
      <c r="S69" s="0" t="n">
        <v>66</v>
      </c>
      <c r="T69" s="0" t="n">
        <v>0</v>
      </c>
      <c r="U69" s="0" t="n">
        <v>66</v>
      </c>
      <c r="V69" s="0" t="n">
        <v>0</v>
      </c>
      <c r="W69" s="0" t="n">
        <v>66</v>
      </c>
      <c r="X69" s="0" t="n">
        <v>0</v>
      </c>
      <c r="Y69" s="0" t="n">
        <v>66</v>
      </c>
      <c r="Z69" s="0" t="n">
        <v>0</v>
      </c>
      <c r="AA69" s="0" t="n">
        <v>66</v>
      </c>
      <c r="AB69" s="0" t="n">
        <v>0</v>
      </c>
      <c r="AC69" s="0" t="n">
        <v>66</v>
      </c>
      <c r="AD69" s="0" t="n">
        <v>0</v>
      </c>
      <c r="AE69" s="0" t="n">
        <v>66</v>
      </c>
      <c r="AF69" s="0" t="n">
        <v>0</v>
      </c>
      <c r="AG69" s="0" t="n">
        <v>66</v>
      </c>
      <c r="AH69" s="0" t="n">
        <v>0</v>
      </c>
      <c r="AI69" s="0" t="n">
        <v>66</v>
      </c>
      <c r="AJ69" s="0" t="n">
        <v>0</v>
      </c>
      <c r="AK69" s="0" t="n">
        <v>66</v>
      </c>
      <c r="AL69" s="0" t="n">
        <v>0</v>
      </c>
      <c r="AM69" s="0" t="n">
        <v>66</v>
      </c>
      <c r="AN69" s="0" t="n">
        <v>0</v>
      </c>
      <c r="AO69" s="0" t="n">
        <v>66</v>
      </c>
      <c r="AP69" s="0" t="n">
        <v>0</v>
      </c>
      <c r="AQ69" s="0" t="n">
        <v>66</v>
      </c>
      <c r="AR69" s="0" t="n">
        <v>0</v>
      </c>
      <c r="AS69" s="0" t="n">
        <v>66</v>
      </c>
      <c r="AT69" s="0" t="n">
        <v>0</v>
      </c>
      <c r="AU69" s="0" t="n">
        <v>66</v>
      </c>
      <c r="AV69" s="0" t="n">
        <v>0</v>
      </c>
      <c r="AW69" s="0" t="n">
        <v>66</v>
      </c>
      <c r="AX69" s="0" t="n">
        <v>0</v>
      </c>
      <c r="AY69" s="0" t="n">
        <v>66</v>
      </c>
      <c r="AZ69" s="0" t="n">
        <v>0</v>
      </c>
      <c r="BA69" s="0" t="n">
        <v>66</v>
      </c>
      <c r="BB69" s="0" t="n">
        <v>0</v>
      </c>
      <c r="BC69" s="0" t="n">
        <v>66</v>
      </c>
      <c r="BD69" s="0" t="n">
        <v>0</v>
      </c>
      <c r="BE69" s="0" t="n">
        <v>66</v>
      </c>
      <c r="BF69" s="0" t="n">
        <v>0</v>
      </c>
      <c r="BG69" s="0" t="n">
        <v>66</v>
      </c>
      <c r="BH69" s="0" t="n">
        <v>0</v>
      </c>
      <c r="BI69" s="0" t="n">
        <v>66</v>
      </c>
      <c r="BJ69" s="0" t="n">
        <v>0</v>
      </c>
      <c r="BK69" s="0" t="n">
        <v>66</v>
      </c>
      <c r="BL69" s="0" t="n">
        <v>0</v>
      </c>
      <c r="BM69" s="0" t="n">
        <v>66</v>
      </c>
      <c r="BN69" s="0" t="n">
        <v>0</v>
      </c>
      <c r="BO69" s="0" t="n">
        <v>66</v>
      </c>
      <c r="BP69" s="0" t="n">
        <v>0</v>
      </c>
      <c r="BQ69" s="0" t="n">
        <v>66</v>
      </c>
      <c r="BR69" s="0" t="n">
        <v>0</v>
      </c>
      <c r="BS69" s="0" t="n">
        <v>66</v>
      </c>
      <c r="BT69" s="0" t="n">
        <v>0</v>
      </c>
      <c r="BU69" s="0" t="n">
        <v>66</v>
      </c>
      <c r="BV69" s="0" t="n">
        <v>0</v>
      </c>
      <c r="BW69" s="0" t="n">
        <v>66</v>
      </c>
      <c r="BX69" s="0" t="n">
        <v>0</v>
      </c>
      <c r="BY69" s="0" t="n">
        <v>66</v>
      </c>
      <c r="BZ69" s="0" t="n">
        <v>0</v>
      </c>
      <c r="CA69" s="0" t="n">
        <v>66</v>
      </c>
      <c r="CB69" s="0" t="n">
        <v>0</v>
      </c>
      <c r="CC69" s="0" t="n">
        <v>66</v>
      </c>
      <c r="CD69" s="0" t="n">
        <v>0</v>
      </c>
      <c r="CE69" s="0" t="n">
        <v>66</v>
      </c>
      <c r="CF69" s="0" t="n">
        <v>0</v>
      </c>
      <c r="CG69" s="0" t="n">
        <v>66</v>
      </c>
      <c r="CH69" s="0" t="n">
        <v>0</v>
      </c>
      <c r="CI69" s="0" t="n">
        <v>66</v>
      </c>
      <c r="CJ69" s="0" t="n">
        <v>0</v>
      </c>
      <c r="CK69" s="0" t="n">
        <v>66</v>
      </c>
      <c r="CL69" s="0" t="n">
        <v>0</v>
      </c>
      <c r="CM69" s="0" t="n">
        <v>66</v>
      </c>
      <c r="CN69" s="0" t="n">
        <v>0</v>
      </c>
      <c r="CO69" s="0" t="n">
        <v>66</v>
      </c>
      <c r="CP69" s="0" t="n">
        <v>0</v>
      </c>
      <c r="CQ69" s="0" t="n">
        <v>66</v>
      </c>
      <c r="CR69" s="0" t="n">
        <v>0</v>
      </c>
      <c r="CS69" s="0" t="n">
        <v>66</v>
      </c>
      <c r="CT69" s="0" t="n">
        <v>0</v>
      </c>
      <c r="CU69" s="0" t="n">
        <v>66</v>
      </c>
      <c r="CV69" s="0" t="n">
        <v>0</v>
      </c>
      <c r="CW69" s="0" t="n">
        <v>66</v>
      </c>
      <c r="CX69" s="0" t="n">
        <v>0</v>
      </c>
    </row>
    <row r="70" customFormat="false" ht="12.75" hidden="false" customHeight="false" outlineLevel="0" collapsed="false">
      <c r="B70" s="0" t="n">
        <v>67</v>
      </c>
      <c r="C70" s="0" t="n">
        <v>0</v>
      </c>
      <c r="D70" s="0" t="n">
        <v>0</v>
      </c>
      <c r="E70" s="0" t="n">
        <v>67</v>
      </c>
      <c r="F70" s="0" t="n">
        <v>0</v>
      </c>
      <c r="G70" s="0" t="n">
        <v>67</v>
      </c>
      <c r="H70" s="0" t="n">
        <v>0</v>
      </c>
      <c r="I70" s="0" t="n">
        <v>67</v>
      </c>
      <c r="J70" s="0" t="n">
        <v>0</v>
      </c>
      <c r="K70" s="0" t="n">
        <v>67</v>
      </c>
      <c r="L70" s="0" t="n">
        <v>0</v>
      </c>
      <c r="M70" s="0" t="n">
        <v>67</v>
      </c>
      <c r="N70" s="0" t="n">
        <v>0</v>
      </c>
      <c r="O70" s="0" t="n">
        <v>67</v>
      </c>
      <c r="P70" s="0" t="n">
        <v>0</v>
      </c>
      <c r="Q70" s="0" t="n">
        <v>67</v>
      </c>
      <c r="R70" s="0" t="n">
        <v>0</v>
      </c>
      <c r="S70" s="0" t="n">
        <v>67</v>
      </c>
      <c r="T70" s="0" t="n">
        <v>0</v>
      </c>
      <c r="U70" s="0" t="n">
        <v>67</v>
      </c>
      <c r="V70" s="0" t="n">
        <v>0</v>
      </c>
      <c r="W70" s="0" t="n">
        <v>67</v>
      </c>
      <c r="X70" s="0" t="n">
        <v>0</v>
      </c>
      <c r="Y70" s="0" t="n">
        <v>67</v>
      </c>
      <c r="Z70" s="0" t="n">
        <v>0</v>
      </c>
      <c r="AA70" s="0" t="n">
        <v>67</v>
      </c>
      <c r="AB70" s="0" t="n">
        <v>0</v>
      </c>
      <c r="AC70" s="0" t="n">
        <v>67</v>
      </c>
      <c r="AD70" s="0" t="n">
        <v>0</v>
      </c>
      <c r="AE70" s="0" t="n">
        <v>67</v>
      </c>
      <c r="AF70" s="0" t="n">
        <v>0</v>
      </c>
      <c r="AG70" s="0" t="n">
        <v>67</v>
      </c>
      <c r="AH70" s="0" t="n">
        <v>0</v>
      </c>
      <c r="AI70" s="0" t="n">
        <v>67</v>
      </c>
      <c r="AJ70" s="0" t="n">
        <v>0</v>
      </c>
      <c r="AK70" s="0" t="n">
        <v>67</v>
      </c>
      <c r="AL70" s="0" t="n">
        <v>0</v>
      </c>
      <c r="AM70" s="0" t="n">
        <v>67</v>
      </c>
      <c r="AN70" s="0" t="n">
        <v>0</v>
      </c>
      <c r="AO70" s="0" t="n">
        <v>67</v>
      </c>
      <c r="AP70" s="0" t="n">
        <v>0</v>
      </c>
      <c r="AQ70" s="0" t="n">
        <v>67</v>
      </c>
      <c r="AR70" s="0" t="n">
        <v>0</v>
      </c>
      <c r="AS70" s="0" t="n">
        <v>67</v>
      </c>
      <c r="AT70" s="0" t="n">
        <v>0</v>
      </c>
      <c r="AU70" s="0" t="n">
        <v>67</v>
      </c>
      <c r="AV70" s="0" t="n">
        <v>0</v>
      </c>
      <c r="AW70" s="0" t="n">
        <v>67</v>
      </c>
      <c r="AX70" s="0" t="n">
        <v>0</v>
      </c>
      <c r="AY70" s="0" t="n">
        <v>67</v>
      </c>
      <c r="AZ70" s="0" t="n">
        <v>0</v>
      </c>
      <c r="BA70" s="0" t="n">
        <v>67</v>
      </c>
      <c r="BB70" s="0" t="n">
        <v>0</v>
      </c>
      <c r="BC70" s="0" t="n">
        <v>67</v>
      </c>
      <c r="BD70" s="0" t="n">
        <v>0</v>
      </c>
      <c r="BE70" s="0" t="n">
        <v>67</v>
      </c>
      <c r="BF70" s="0" t="n">
        <v>0</v>
      </c>
      <c r="BG70" s="0" t="n">
        <v>67</v>
      </c>
      <c r="BH70" s="0" t="n">
        <v>0</v>
      </c>
      <c r="BI70" s="0" t="n">
        <v>67</v>
      </c>
      <c r="BJ70" s="0" t="n">
        <v>0</v>
      </c>
      <c r="BK70" s="0" t="n">
        <v>67</v>
      </c>
      <c r="BL70" s="0" t="n">
        <v>0</v>
      </c>
      <c r="BM70" s="0" t="n">
        <v>67</v>
      </c>
      <c r="BN70" s="0" t="n">
        <v>0</v>
      </c>
      <c r="BO70" s="0" t="n">
        <v>67</v>
      </c>
      <c r="BP70" s="0" t="n">
        <v>0</v>
      </c>
      <c r="BQ70" s="0" t="n">
        <v>67</v>
      </c>
      <c r="BR70" s="0" t="n">
        <v>0</v>
      </c>
      <c r="BS70" s="0" t="n">
        <v>67</v>
      </c>
      <c r="BT70" s="0" t="n">
        <v>0</v>
      </c>
      <c r="BU70" s="0" t="n">
        <v>67</v>
      </c>
      <c r="BV70" s="0" t="n">
        <v>0</v>
      </c>
      <c r="BW70" s="0" t="n">
        <v>67</v>
      </c>
      <c r="BX70" s="0" t="n">
        <v>0</v>
      </c>
      <c r="BY70" s="0" t="n">
        <v>67</v>
      </c>
      <c r="BZ70" s="0" t="n">
        <v>0</v>
      </c>
      <c r="CA70" s="0" t="n">
        <v>67</v>
      </c>
      <c r="CB70" s="0" t="n">
        <v>0</v>
      </c>
      <c r="CC70" s="0" t="n">
        <v>67</v>
      </c>
      <c r="CD70" s="0" t="n">
        <v>0</v>
      </c>
      <c r="CE70" s="0" t="n">
        <v>67</v>
      </c>
      <c r="CF70" s="0" t="n">
        <v>0</v>
      </c>
      <c r="CG70" s="0" t="n">
        <v>67</v>
      </c>
      <c r="CH70" s="0" t="n">
        <v>0</v>
      </c>
      <c r="CI70" s="0" t="n">
        <v>67</v>
      </c>
      <c r="CJ70" s="0" t="n">
        <v>0</v>
      </c>
      <c r="CK70" s="0" t="n">
        <v>67</v>
      </c>
      <c r="CL70" s="0" t="n">
        <v>0</v>
      </c>
      <c r="CM70" s="0" t="n">
        <v>67</v>
      </c>
      <c r="CN70" s="0" t="n">
        <v>0</v>
      </c>
      <c r="CO70" s="0" t="n">
        <v>67</v>
      </c>
      <c r="CP70" s="0" t="n">
        <v>0</v>
      </c>
      <c r="CQ70" s="0" t="n">
        <v>67</v>
      </c>
      <c r="CR70" s="0" t="n">
        <v>0</v>
      </c>
      <c r="CS70" s="0" t="n">
        <v>67</v>
      </c>
      <c r="CT70" s="0" t="n">
        <v>0</v>
      </c>
      <c r="CU70" s="0" t="n">
        <v>67</v>
      </c>
      <c r="CV70" s="0" t="n">
        <v>0</v>
      </c>
      <c r="CW70" s="0" t="n">
        <v>67</v>
      </c>
      <c r="CX70" s="0" t="n">
        <v>0</v>
      </c>
    </row>
    <row r="71" customFormat="false" ht="12.75" hidden="false" customHeight="false" outlineLevel="0" collapsed="false">
      <c r="B71" s="0" t="n">
        <v>68</v>
      </c>
      <c r="C71" s="0" t="n">
        <v>0</v>
      </c>
      <c r="D71" s="0" t="n">
        <v>0</v>
      </c>
      <c r="E71" s="0" t="n">
        <v>68</v>
      </c>
      <c r="F71" s="0" t="n">
        <v>0</v>
      </c>
      <c r="G71" s="0" t="n">
        <v>68</v>
      </c>
      <c r="H71" s="0" t="n">
        <v>0</v>
      </c>
      <c r="I71" s="0" t="n">
        <v>68</v>
      </c>
      <c r="J71" s="0" t="n">
        <v>0</v>
      </c>
      <c r="K71" s="0" t="n">
        <v>68</v>
      </c>
      <c r="L71" s="0" t="n">
        <v>0</v>
      </c>
      <c r="M71" s="0" t="n">
        <v>68</v>
      </c>
      <c r="N71" s="0" t="n">
        <v>0</v>
      </c>
      <c r="O71" s="0" t="n">
        <v>68</v>
      </c>
      <c r="P71" s="0" t="n">
        <v>0</v>
      </c>
      <c r="Q71" s="0" t="n">
        <v>68</v>
      </c>
      <c r="R71" s="0" t="n">
        <v>0</v>
      </c>
      <c r="S71" s="0" t="n">
        <v>68</v>
      </c>
      <c r="T71" s="0" t="n">
        <v>0</v>
      </c>
      <c r="U71" s="0" t="n">
        <v>68</v>
      </c>
      <c r="V71" s="0" t="n">
        <v>0</v>
      </c>
      <c r="W71" s="0" t="n">
        <v>68</v>
      </c>
      <c r="X71" s="0" t="n">
        <v>0</v>
      </c>
      <c r="Y71" s="0" t="n">
        <v>68</v>
      </c>
      <c r="Z71" s="0" t="n">
        <v>0</v>
      </c>
      <c r="AA71" s="0" t="n">
        <v>68</v>
      </c>
      <c r="AB71" s="0" t="n">
        <v>0</v>
      </c>
      <c r="AC71" s="0" t="n">
        <v>68</v>
      </c>
      <c r="AD71" s="0" t="n">
        <v>0</v>
      </c>
      <c r="AE71" s="0" t="n">
        <v>68</v>
      </c>
      <c r="AF71" s="0" t="n">
        <v>0</v>
      </c>
      <c r="AG71" s="0" t="n">
        <v>68</v>
      </c>
      <c r="AH71" s="0" t="n">
        <v>0</v>
      </c>
      <c r="AI71" s="0" t="n">
        <v>68</v>
      </c>
      <c r="AJ71" s="0" t="n">
        <v>0</v>
      </c>
      <c r="AK71" s="0" t="n">
        <v>68</v>
      </c>
      <c r="AL71" s="0" t="n">
        <v>0</v>
      </c>
      <c r="AM71" s="0" t="n">
        <v>68</v>
      </c>
      <c r="AN71" s="0" t="n">
        <v>0</v>
      </c>
      <c r="AO71" s="0" t="n">
        <v>68</v>
      </c>
      <c r="AP71" s="0" t="n">
        <v>0</v>
      </c>
      <c r="AQ71" s="0" t="n">
        <v>68</v>
      </c>
      <c r="AR71" s="0" t="n">
        <v>0</v>
      </c>
      <c r="AS71" s="0" t="n">
        <v>68</v>
      </c>
      <c r="AT71" s="0" t="n">
        <v>0</v>
      </c>
      <c r="AU71" s="0" t="n">
        <v>68</v>
      </c>
      <c r="AV71" s="0" t="n">
        <v>0</v>
      </c>
      <c r="AW71" s="0" t="n">
        <v>68</v>
      </c>
      <c r="AX71" s="0" t="n">
        <v>0</v>
      </c>
      <c r="AY71" s="0" t="n">
        <v>68</v>
      </c>
      <c r="AZ71" s="0" t="n">
        <v>0</v>
      </c>
      <c r="BA71" s="0" t="n">
        <v>68</v>
      </c>
      <c r="BB71" s="0" t="n">
        <v>0</v>
      </c>
      <c r="BC71" s="0" t="n">
        <v>68</v>
      </c>
      <c r="BD71" s="0" t="n">
        <v>0</v>
      </c>
      <c r="BE71" s="0" t="n">
        <v>68</v>
      </c>
      <c r="BF71" s="0" t="n">
        <v>0</v>
      </c>
      <c r="BG71" s="0" t="n">
        <v>68</v>
      </c>
      <c r="BH71" s="0" t="n">
        <v>0</v>
      </c>
      <c r="BI71" s="0" t="n">
        <v>68</v>
      </c>
      <c r="BJ71" s="0" t="n">
        <v>0</v>
      </c>
      <c r="BK71" s="0" t="n">
        <v>68</v>
      </c>
      <c r="BL71" s="0" t="n">
        <v>0</v>
      </c>
      <c r="BM71" s="0" t="n">
        <v>68</v>
      </c>
      <c r="BN71" s="0" t="n">
        <v>0</v>
      </c>
      <c r="BO71" s="0" t="n">
        <v>68</v>
      </c>
      <c r="BP71" s="0" t="n">
        <v>0</v>
      </c>
      <c r="BQ71" s="0" t="n">
        <v>68</v>
      </c>
      <c r="BR71" s="0" t="n">
        <v>0</v>
      </c>
      <c r="BS71" s="0" t="n">
        <v>68</v>
      </c>
      <c r="BT71" s="0" t="n">
        <v>0</v>
      </c>
      <c r="BU71" s="0" t="n">
        <v>68</v>
      </c>
      <c r="BV71" s="0" t="n">
        <v>0</v>
      </c>
      <c r="BW71" s="0" t="n">
        <v>68</v>
      </c>
      <c r="BX71" s="0" t="n">
        <v>0</v>
      </c>
      <c r="BY71" s="0" t="n">
        <v>68</v>
      </c>
      <c r="BZ71" s="0" t="n">
        <v>0</v>
      </c>
      <c r="CA71" s="0" t="n">
        <v>68</v>
      </c>
      <c r="CB71" s="0" t="n">
        <v>0</v>
      </c>
      <c r="CC71" s="0" t="n">
        <v>68</v>
      </c>
      <c r="CD71" s="0" t="n">
        <v>0</v>
      </c>
      <c r="CE71" s="0" t="n">
        <v>68</v>
      </c>
      <c r="CF71" s="0" t="n">
        <v>0</v>
      </c>
      <c r="CG71" s="0" t="n">
        <v>68</v>
      </c>
      <c r="CH71" s="0" t="n">
        <v>0</v>
      </c>
      <c r="CI71" s="0" t="n">
        <v>68</v>
      </c>
      <c r="CJ71" s="0" t="n">
        <v>0</v>
      </c>
      <c r="CK71" s="0" t="n">
        <v>68</v>
      </c>
      <c r="CL71" s="0" t="n">
        <v>0</v>
      </c>
      <c r="CM71" s="0" t="n">
        <v>68</v>
      </c>
      <c r="CN71" s="0" t="n">
        <v>0</v>
      </c>
      <c r="CO71" s="0" t="n">
        <v>68</v>
      </c>
      <c r="CP71" s="0" t="n">
        <v>0</v>
      </c>
      <c r="CQ71" s="0" t="n">
        <v>68</v>
      </c>
      <c r="CR71" s="0" t="n">
        <v>0</v>
      </c>
      <c r="CS71" s="0" t="n">
        <v>68</v>
      </c>
      <c r="CT71" s="0" t="n">
        <v>0</v>
      </c>
      <c r="CU71" s="0" t="n">
        <v>68</v>
      </c>
      <c r="CV71" s="0" t="n">
        <v>0</v>
      </c>
      <c r="CW71" s="0" t="n">
        <v>68</v>
      </c>
      <c r="CX71" s="0" t="n">
        <v>0</v>
      </c>
    </row>
    <row r="72" customFormat="false" ht="12.75" hidden="false" customHeight="false" outlineLevel="0" collapsed="false">
      <c r="B72" s="0" t="n">
        <v>69</v>
      </c>
      <c r="C72" s="0" t="n">
        <v>0</v>
      </c>
      <c r="D72" s="0" t="n">
        <v>0</v>
      </c>
      <c r="E72" s="0" t="n">
        <v>69</v>
      </c>
      <c r="F72" s="0" t="n">
        <v>0</v>
      </c>
      <c r="G72" s="0" t="n">
        <v>69</v>
      </c>
      <c r="H72" s="0" t="n">
        <v>0</v>
      </c>
      <c r="I72" s="0" t="n">
        <v>69</v>
      </c>
      <c r="J72" s="0" t="n">
        <v>0</v>
      </c>
      <c r="K72" s="0" t="n">
        <v>69</v>
      </c>
      <c r="L72" s="0" t="n">
        <v>0</v>
      </c>
      <c r="M72" s="0" t="n">
        <v>69</v>
      </c>
      <c r="N72" s="0" t="n">
        <v>0</v>
      </c>
      <c r="O72" s="0" t="n">
        <v>69</v>
      </c>
      <c r="P72" s="0" t="n">
        <v>0</v>
      </c>
      <c r="Q72" s="0" t="n">
        <v>69</v>
      </c>
      <c r="R72" s="0" t="n">
        <v>0</v>
      </c>
      <c r="S72" s="0" t="n">
        <v>69</v>
      </c>
      <c r="T72" s="0" t="n">
        <v>0</v>
      </c>
      <c r="U72" s="0" t="n">
        <v>69</v>
      </c>
      <c r="V72" s="0" t="n">
        <v>0</v>
      </c>
      <c r="W72" s="0" t="n">
        <v>69</v>
      </c>
      <c r="X72" s="0" t="n">
        <v>0</v>
      </c>
      <c r="Y72" s="0" t="n">
        <v>69</v>
      </c>
      <c r="Z72" s="0" t="n">
        <v>0</v>
      </c>
      <c r="AA72" s="0" t="n">
        <v>69</v>
      </c>
      <c r="AB72" s="0" t="n">
        <v>0</v>
      </c>
      <c r="AC72" s="0" t="n">
        <v>69</v>
      </c>
      <c r="AD72" s="0" t="n">
        <v>0</v>
      </c>
      <c r="AE72" s="0" t="n">
        <v>69</v>
      </c>
      <c r="AF72" s="0" t="n">
        <v>0</v>
      </c>
      <c r="AG72" s="0" t="n">
        <v>69</v>
      </c>
      <c r="AH72" s="0" t="n">
        <v>0</v>
      </c>
      <c r="AI72" s="0" t="n">
        <v>69</v>
      </c>
      <c r="AJ72" s="0" t="n">
        <v>0</v>
      </c>
      <c r="AK72" s="0" t="n">
        <v>69</v>
      </c>
      <c r="AL72" s="0" t="n">
        <v>0</v>
      </c>
      <c r="AM72" s="0" t="n">
        <v>69</v>
      </c>
      <c r="AN72" s="0" t="n">
        <v>0</v>
      </c>
      <c r="AO72" s="0" t="n">
        <v>69</v>
      </c>
      <c r="AP72" s="0" t="n">
        <v>0</v>
      </c>
      <c r="AQ72" s="0" t="n">
        <v>69</v>
      </c>
      <c r="AR72" s="0" t="n">
        <v>0</v>
      </c>
      <c r="AS72" s="0" t="n">
        <v>69</v>
      </c>
      <c r="AT72" s="0" t="n">
        <v>0</v>
      </c>
      <c r="AU72" s="0" t="n">
        <v>69</v>
      </c>
      <c r="AV72" s="0" t="n">
        <v>0</v>
      </c>
      <c r="AW72" s="0" t="n">
        <v>69</v>
      </c>
      <c r="AX72" s="0" t="n">
        <v>0</v>
      </c>
      <c r="AY72" s="0" t="n">
        <v>69</v>
      </c>
      <c r="AZ72" s="0" t="n">
        <v>0</v>
      </c>
      <c r="BA72" s="0" t="n">
        <v>69</v>
      </c>
      <c r="BB72" s="0" t="n">
        <v>0</v>
      </c>
      <c r="BC72" s="0" t="n">
        <v>69</v>
      </c>
      <c r="BD72" s="0" t="n">
        <v>0</v>
      </c>
      <c r="BE72" s="0" t="n">
        <v>69</v>
      </c>
      <c r="BF72" s="0" t="n">
        <v>0</v>
      </c>
      <c r="BG72" s="0" t="n">
        <v>69</v>
      </c>
      <c r="BH72" s="0" t="n">
        <v>0</v>
      </c>
      <c r="BI72" s="0" t="n">
        <v>69</v>
      </c>
      <c r="BJ72" s="0" t="n">
        <v>0</v>
      </c>
      <c r="BK72" s="0" t="n">
        <v>69</v>
      </c>
      <c r="BL72" s="0" t="n">
        <v>0</v>
      </c>
      <c r="BM72" s="0" t="n">
        <v>69</v>
      </c>
      <c r="BN72" s="0" t="n">
        <v>0</v>
      </c>
      <c r="BO72" s="0" t="n">
        <v>69</v>
      </c>
      <c r="BP72" s="0" t="n">
        <v>0</v>
      </c>
      <c r="BQ72" s="0" t="n">
        <v>69</v>
      </c>
      <c r="BR72" s="0" t="n">
        <v>0</v>
      </c>
      <c r="BS72" s="0" t="n">
        <v>69</v>
      </c>
      <c r="BT72" s="0" t="n">
        <v>0</v>
      </c>
      <c r="BU72" s="0" t="n">
        <v>69</v>
      </c>
      <c r="BV72" s="0" t="n">
        <v>0</v>
      </c>
      <c r="BW72" s="0" t="n">
        <v>69</v>
      </c>
      <c r="BX72" s="0" t="n">
        <v>0</v>
      </c>
      <c r="BY72" s="0" t="n">
        <v>69</v>
      </c>
      <c r="BZ72" s="0" t="n">
        <v>0</v>
      </c>
      <c r="CA72" s="0" t="n">
        <v>69</v>
      </c>
      <c r="CB72" s="0" t="n">
        <v>0</v>
      </c>
      <c r="CC72" s="0" t="n">
        <v>69</v>
      </c>
      <c r="CD72" s="0" t="n">
        <v>0</v>
      </c>
      <c r="CE72" s="0" t="n">
        <v>69</v>
      </c>
      <c r="CF72" s="0" t="n">
        <v>0</v>
      </c>
      <c r="CG72" s="0" t="n">
        <v>69</v>
      </c>
      <c r="CH72" s="0" t="n">
        <v>0</v>
      </c>
      <c r="CI72" s="0" t="n">
        <v>69</v>
      </c>
      <c r="CJ72" s="0" t="n">
        <v>0</v>
      </c>
      <c r="CK72" s="0" t="n">
        <v>69</v>
      </c>
      <c r="CL72" s="0" t="n">
        <v>0</v>
      </c>
      <c r="CM72" s="0" t="n">
        <v>69</v>
      </c>
      <c r="CN72" s="0" t="n">
        <v>0</v>
      </c>
      <c r="CO72" s="0" t="n">
        <v>69</v>
      </c>
      <c r="CP72" s="0" t="n">
        <v>0</v>
      </c>
      <c r="CQ72" s="0" t="n">
        <v>69</v>
      </c>
      <c r="CR72" s="0" t="n">
        <v>0</v>
      </c>
      <c r="CS72" s="0" t="n">
        <v>69</v>
      </c>
      <c r="CT72" s="0" t="n">
        <v>0</v>
      </c>
      <c r="CU72" s="0" t="n">
        <v>69</v>
      </c>
      <c r="CV72" s="0" t="n">
        <v>0</v>
      </c>
      <c r="CW72" s="0" t="n">
        <v>69</v>
      </c>
      <c r="CX72" s="0" t="n">
        <v>0</v>
      </c>
    </row>
    <row r="73" customFormat="false" ht="12.75" hidden="false" customHeight="false" outlineLevel="0" collapsed="false">
      <c r="B73" s="0" t="n">
        <v>70</v>
      </c>
      <c r="C73" s="0" t="n">
        <v>0</v>
      </c>
      <c r="D73" s="0" t="n">
        <v>0</v>
      </c>
      <c r="E73" s="0" t="n">
        <v>70</v>
      </c>
      <c r="F73" s="0" t="n">
        <v>0</v>
      </c>
      <c r="G73" s="0" t="n">
        <v>70</v>
      </c>
      <c r="H73" s="0" t="n">
        <v>0</v>
      </c>
      <c r="I73" s="0" t="n">
        <v>70</v>
      </c>
      <c r="J73" s="0" t="n">
        <v>0</v>
      </c>
      <c r="K73" s="0" t="n">
        <v>70</v>
      </c>
      <c r="L73" s="0" t="n">
        <v>0</v>
      </c>
      <c r="M73" s="0" t="n">
        <v>70</v>
      </c>
      <c r="N73" s="0" t="n">
        <v>0</v>
      </c>
      <c r="O73" s="0" t="n">
        <v>70</v>
      </c>
      <c r="P73" s="0" t="n">
        <v>0</v>
      </c>
      <c r="Q73" s="0" t="n">
        <v>70</v>
      </c>
      <c r="R73" s="0" t="n">
        <v>0</v>
      </c>
      <c r="S73" s="0" t="n">
        <v>70</v>
      </c>
      <c r="T73" s="0" t="n">
        <v>0</v>
      </c>
      <c r="U73" s="0" t="n">
        <v>70</v>
      </c>
      <c r="V73" s="0" t="n">
        <v>0</v>
      </c>
      <c r="W73" s="0" t="n">
        <v>70</v>
      </c>
      <c r="X73" s="0" t="n">
        <v>0</v>
      </c>
      <c r="Y73" s="0" t="n">
        <v>70</v>
      </c>
      <c r="Z73" s="0" t="n">
        <v>0</v>
      </c>
      <c r="AA73" s="0" t="n">
        <v>70</v>
      </c>
      <c r="AB73" s="0" t="n">
        <v>0</v>
      </c>
      <c r="AC73" s="0" t="n">
        <v>70</v>
      </c>
      <c r="AD73" s="0" t="n">
        <v>0</v>
      </c>
      <c r="AE73" s="0" t="n">
        <v>70</v>
      </c>
      <c r="AF73" s="0" t="n">
        <v>0</v>
      </c>
      <c r="AG73" s="0" t="n">
        <v>70</v>
      </c>
      <c r="AH73" s="0" t="n">
        <v>0</v>
      </c>
      <c r="AI73" s="0" t="n">
        <v>70</v>
      </c>
      <c r="AJ73" s="0" t="n">
        <v>0</v>
      </c>
      <c r="AK73" s="0" t="n">
        <v>70</v>
      </c>
      <c r="AL73" s="0" t="n">
        <v>0</v>
      </c>
      <c r="AM73" s="0" t="n">
        <v>70</v>
      </c>
      <c r="AN73" s="0" t="n">
        <v>0</v>
      </c>
      <c r="AO73" s="0" t="n">
        <v>70</v>
      </c>
      <c r="AP73" s="0" t="n">
        <v>0</v>
      </c>
      <c r="AQ73" s="0" t="n">
        <v>70</v>
      </c>
      <c r="AR73" s="0" t="n">
        <v>0</v>
      </c>
      <c r="AS73" s="0" t="n">
        <v>70</v>
      </c>
      <c r="AT73" s="0" t="n">
        <v>0</v>
      </c>
      <c r="AU73" s="0" t="n">
        <v>70</v>
      </c>
      <c r="AV73" s="0" t="n">
        <v>0</v>
      </c>
      <c r="AW73" s="0" t="n">
        <v>70</v>
      </c>
      <c r="AX73" s="0" t="n">
        <v>0</v>
      </c>
      <c r="AY73" s="0" t="n">
        <v>70</v>
      </c>
      <c r="AZ73" s="0" t="n">
        <v>0</v>
      </c>
      <c r="BA73" s="0" t="n">
        <v>70</v>
      </c>
      <c r="BB73" s="0" t="n">
        <v>0</v>
      </c>
      <c r="BC73" s="0" t="n">
        <v>70</v>
      </c>
      <c r="BD73" s="0" t="n">
        <v>0</v>
      </c>
      <c r="BE73" s="0" t="n">
        <v>70</v>
      </c>
      <c r="BF73" s="0" t="n">
        <v>0</v>
      </c>
      <c r="BG73" s="0" t="n">
        <v>70</v>
      </c>
      <c r="BH73" s="0" t="n">
        <v>0</v>
      </c>
      <c r="BI73" s="0" t="n">
        <v>70</v>
      </c>
      <c r="BJ73" s="0" t="n">
        <v>0</v>
      </c>
      <c r="BK73" s="0" t="n">
        <v>70</v>
      </c>
      <c r="BL73" s="0" t="n">
        <v>0</v>
      </c>
      <c r="BM73" s="0" t="n">
        <v>70</v>
      </c>
      <c r="BN73" s="0" t="n">
        <v>0</v>
      </c>
      <c r="BO73" s="0" t="n">
        <v>70</v>
      </c>
      <c r="BP73" s="0" t="n">
        <v>0</v>
      </c>
      <c r="BQ73" s="0" t="n">
        <v>70</v>
      </c>
      <c r="BR73" s="0" t="n">
        <v>0</v>
      </c>
      <c r="BS73" s="0" t="n">
        <v>70</v>
      </c>
      <c r="BT73" s="0" t="n">
        <v>0</v>
      </c>
      <c r="BU73" s="0" t="n">
        <v>70</v>
      </c>
      <c r="BV73" s="0" t="n">
        <v>0</v>
      </c>
      <c r="BW73" s="0" t="n">
        <v>70</v>
      </c>
      <c r="BX73" s="0" t="n">
        <v>0</v>
      </c>
      <c r="BY73" s="0" t="n">
        <v>70</v>
      </c>
      <c r="BZ73" s="0" t="n">
        <v>0</v>
      </c>
      <c r="CA73" s="0" t="n">
        <v>70</v>
      </c>
      <c r="CB73" s="0" t="n">
        <v>0</v>
      </c>
      <c r="CC73" s="0" t="n">
        <v>70</v>
      </c>
      <c r="CD73" s="0" t="n">
        <v>0</v>
      </c>
      <c r="CE73" s="0" t="n">
        <v>70</v>
      </c>
      <c r="CF73" s="0" t="n">
        <v>0</v>
      </c>
      <c r="CG73" s="0" t="n">
        <v>70</v>
      </c>
      <c r="CH73" s="0" t="n">
        <v>0</v>
      </c>
      <c r="CI73" s="0" t="n">
        <v>70</v>
      </c>
      <c r="CJ73" s="0" t="n">
        <v>0</v>
      </c>
      <c r="CK73" s="0" t="n">
        <v>70</v>
      </c>
      <c r="CL73" s="0" t="n">
        <v>0</v>
      </c>
      <c r="CM73" s="0" t="n">
        <v>70</v>
      </c>
      <c r="CN73" s="0" t="n">
        <v>0</v>
      </c>
      <c r="CO73" s="0" t="n">
        <v>70</v>
      </c>
      <c r="CP73" s="0" t="n">
        <v>0</v>
      </c>
      <c r="CQ73" s="0" t="n">
        <v>70</v>
      </c>
      <c r="CR73" s="0" t="n">
        <v>0</v>
      </c>
      <c r="CS73" s="0" t="n">
        <v>70</v>
      </c>
      <c r="CT73" s="0" t="n">
        <v>0</v>
      </c>
      <c r="CU73" s="0" t="n">
        <v>70</v>
      </c>
      <c r="CV73" s="0" t="n">
        <v>0</v>
      </c>
      <c r="CW73" s="0" t="n">
        <v>70</v>
      </c>
      <c r="CX73" s="0" t="n">
        <v>0</v>
      </c>
    </row>
    <row r="74" customFormat="false" ht="12.75" hidden="false" customHeight="false" outlineLevel="0" collapsed="false">
      <c r="B74" s="0" t="n">
        <v>71</v>
      </c>
      <c r="C74" s="0" t="n">
        <v>0</v>
      </c>
      <c r="D74" s="0" t="n">
        <v>0</v>
      </c>
      <c r="E74" s="0" t="n">
        <v>71</v>
      </c>
      <c r="F74" s="0" t="n">
        <v>0</v>
      </c>
      <c r="G74" s="0" t="n">
        <v>71</v>
      </c>
      <c r="H74" s="0" t="n">
        <v>0</v>
      </c>
      <c r="I74" s="0" t="n">
        <v>71</v>
      </c>
      <c r="J74" s="0" t="n">
        <v>0</v>
      </c>
      <c r="K74" s="0" t="n">
        <v>71</v>
      </c>
      <c r="L74" s="0" t="n">
        <v>0</v>
      </c>
      <c r="M74" s="0" t="n">
        <v>71</v>
      </c>
      <c r="N74" s="0" t="n">
        <v>0</v>
      </c>
      <c r="O74" s="0" t="n">
        <v>71</v>
      </c>
      <c r="P74" s="0" t="n">
        <v>0</v>
      </c>
      <c r="Q74" s="0" t="n">
        <v>71</v>
      </c>
      <c r="R74" s="0" t="n">
        <v>0</v>
      </c>
      <c r="S74" s="0" t="n">
        <v>71</v>
      </c>
      <c r="T74" s="0" t="n">
        <v>0</v>
      </c>
      <c r="U74" s="0" t="n">
        <v>71</v>
      </c>
      <c r="V74" s="0" t="n">
        <v>0</v>
      </c>
      <c r="W74" s="0" t="n">
        <v>71</v>
      </c>
      <c r="X74" s="0" t="n">
        <v>0</v>
      </c>
      <c r="Y74" s="0" t="n">
        <v>71</v>
      </c>
      <c r="Z74" s="0" t="n">
        <v>0</v>
      </c>
      <c r="AA74" s="0" t="n">
        <v>71</v>
      </c>
      <c r="AB74" s="0" t="n">
        <v>0</v>
      </c>
      <c r="AC74" s="0" t="n">
        <v>71</v>
      </c>
      <c r="AD74" s="0" t="n">
        <v>0</v>
      </c>
      <c r="AE74" s="0" t="n">
        <v>71</v>
      </c>
      <c r="AF74" s="0" t="n">
        <v>0</v>
      </c>
      <c r="AG74" s="0" t="n">
        <v>71</v>
      </c>
      <c r="AH74" s="0" t="n">
        <v>0</v>
      </c>
      <c r="AI74" s="0" t="n">
        <v>71</v>
      </c>
      <c r="AJ74" s="0" t="n">
        <v>0</v>
      </c>
      <c r="AK74" s="0" t="n">
        <v>71</v>
      </c>
      <c r="AL74" s="0" t="n">
        <v>0</v>
      </c>
      <c r="AM74" s="0" t="n">
        <v>71</v>
      </c>
      <c r="AN74" s="0" t="n">
        <v>0</v>
      </c>
      <c r="AO74" s="0" t="n">
        <v>71</v>
      </c>
      <c r="AP74" s="0" t="n">
        <v>0</v>
      </c>
      <c r="AQ74" s="0" t="n">
        <v>71</v>
      </c>
      <c r="AR74" s="0" t="n">
        <v>0</v>
      </c>
      <c r="AS74" s="0" t="n">
        <v>71</v>
      </c>
      <c r="AT74" s="0" t="n">
        <v>0</v>
      </c>
      <c r="AU74" s="0" t="n">
        <v>71</v>
      </c>
      <c r="AV74" s="0" t="n">
        <v>0</v>
      </c>
      <c r="AW74" s="0" t="n">
        <v>71</v>
      </c>
      <c r="AX74" s="0" t="n">
        <v>0</v>
      </c>
      <c r="AY74" s="0" t="n">
        <v>71</v>
      </c>
      <c r="AZ74" s="0" t="n">
        <v>0</v>
      </c>
      <c r="BA74" s="0" t="n">
        <v>71</v>
      </c>
      <c r="BB74" s="0" t="n">
        <v>0</v>
      </c>
      <c r="BC74" s="0" t="n">
        <v>71</v>
      </c>
      <c r="BD74" s="0" t="n">
        <v>0</v>
      </c>
      <c r="BE74" s="0" t="n">
        <v>71</v>
      </c>
      <c r="BF74" s="0" t="n">
        <v>0</v>
      </c>
      <c r="BG74" s="0" t="n">
        <v>71</v>
      </c>
      <c r="BH74" s="0" t="n">
        <v>0</v>
      </c>
      <c r="BI74" s="0" t="n">
        <v>71</v>
      </c>
      <c r="BJ74" s="0" t="n">
        <v>0</v>
      </c>
      <c r="BK74" s="0" t="n">
        <v>71</v>
      </c>
      <c r="BL74" s="0" t="n">
        <v>0</v>
      </c>
      <c r="BM74" s="0" t="n">
        <v>71</v>
      </c>
      <c r="BN74" s="0" t="n">
        <v>0</v>
      </c>
      <c r="BO74" s="0" t="n">
        <v>71</v>
      </c>
      <c r="BP74" s="0" t="n">
        <v>0</v>
      </c>
      <c r="BQ74" s="0" t="n">
        <v>71</v>
      </c>
      <c r="BR74" s="0" t="n">
        <v>0</v>
      </c>
      <c r="BS74" s="0" t="n">
        <v>71</v>
      </c>
      <c r="BT74" s="0" t="n">
        <v>0</v>
      </c>
      <c r="BU74" s="0" t="n">
        <v>71</v>
      </c>
      <c r="BV74" s="0" t="n">
        <v>0</v>
      </c>
      <c r="BW74" s="0" t="n">
        <v>71</v>
      </c>
      <c r="BX74" s="0" t="n">
        <v>0</v>
      </c>
      <c r="BY74" s="0" t="n">
        <v>71</v>
      </c>
      <c r="BZ74" s="0" t="n">
        <v>0</v>
      </c>
      <c r="CA74" s="0" t="n">
        <v>71</v>
      </c>
      <c r="CB74" s="0" t="n">
        <v>0</v>
      </c>
      <c r="CC74" s="0" t="n">
        <v>71</v>
      </c>
      <c r="CD74" s="0" t="n">
        <v>0</v>
      </c>
      <c r="CE74" s="0" t="n">
        <v>71</v>
      </c>
      <c r="CF74" s="0" t="n">
        <v>0</v>
      </c>
      <c r="CG74" s="0" t="n">
        <v>71</v>
      </c>
      <c r="CH74" s="0" t="n">
        <v>0</v>
      </c>
      <c r="CI74" s="0" t="n">
        <v>71</v>
      </c>
      <c r="CJ74" s="0" t="n">
        <v>0</v>
      </c>
      <c r="CK74" s="0" t="n">
        <v>71</v>
      </c>
      <c r="CL74" s="0" t="n">
        <v>0</v>
      </c>
      <c r="CM74" s="0" t="n">
        <v>71</v>
      </c>
      <c r="CN74" s="0" t="n">
        <v>0</v>
      </c>
      <c r="CO74" s="0" t="n">
        <v>71</v>
      </c>
      <c r="CP74" s="0" t="n">
        <v>0</v>
      </c>
      <c r="CQ74" s="0" t="n">
        <v>71</v>
      </c>
      <c r="CR74" s="0" t="n">
        <v>0</v>
      </c>
      <c r="CS74" s="0" t="n">
        <v>71</v>
      </c>
      <c r="CT74" s="0" t="n">
        <v>0</v>
      </c>
      <c r="CU74" s="0" t="n">
        <v>71</v>
      </c>
      <c r="CV74" s="0" t="n">
        <v>0</v>
      </c>
      <c r="CW74" s="0" t="n">
        <v>71</v>
      </c>
      <c r="CX74" s="0" t="n">
        <v>0</v>
      </c>
    </row>
    <row r="75" customFormat="false" ht="12.75" hidden="false" customHeight="false" outlineLevel="0" collapsed="false">
      <c r="B75" s="0" t="n">
        <v>72</v>
      </c>
      <c r="C75" s="0" t="n">
        <v>0</v>
      </c>
      <c r="D75" s="0" t="n">
        <v>0</v>
      </c>
      <c r="E75" s="0" t="n">
        <v>72</v>
      </c>
      <c r="F75" s="0" t="n">
        <v>0</v>
      </c>
      <c r="G75" s="0" t="n">
        <v>72</v>
      </c>
      <c r="H75" s="0" t="n">
        <v>0</v>
      </c>
      <c r="I75" s="0" t="n">
        <v>72</v>
      </c>
      <c r="J75" s="0" t="n">
        <v>0</v>
      </c>
      <c r="K75" s="0" t="n">
        <v>72</v>
      </c>
      <c r="L75" s="0" t="n">
        <v>0</v>
      </c>
      <c r="M75" s="0" t="n">
        <v>72</v>
      </c>
      <c r="N75" s="0" t="n">
        <v>0</v>
      </c>
      <c r="O75" s="0" t="n">
        <v>72</v>
      </c>
      <c r="P75" s="0" t="n">
        <v>0</v>
      </c>
      <c r="Q75" s="0" t="n">
        <v>72</v>
      </c>
      <c r="R75" s="0" t="n">
        <v>0</v>
      </c>
      <c r="S75" s="0" t="n">
        <v>72</v>
      </c>
      <c r="T75" s="0" t="n">
        <v>0</v>
      </c>
      <c r="U75" s="0" t="n">
        <v>72</v>
      </c>
      <c r="V75" s="0" t="n">
        <v>0</v>
      </c>
      <c r="W75" s="0" t="n">
        <v>72</v>
      </c>
      <c r="X75" s="0" t="n">
        <v>0</v>
      </c>
      <c r="Y75" s="0" t="n">
        <v>72</v>
      </c>
      <c r="Z75" s="0" t="n">
        <v>0</v>
      </c>
      <c r="AA75" s="0" t="n">
        <v>72</v>
      </c>
      <c r="AB75" s="0" t="n">
        <v>0</v>
      </c>
      <c r="AC75" s="0" t="n">
        <v>72</v>
      </c>
      <c r="AD75" s="0" t="n">
        <v>0</v>
      </c>
      <c r="AE75" s="0" t="n">
        <v>72</v>
      </c>
      <c r="AF75" s="0" t="n">
        <v>0</v>
      </c>
      <c r="AG75" s="0" t="n">
        <v>72</v>
      </c>
      <c r="AH75" s="0" t="n">
        <v>0</v>
      </c>
      <c r="AI75" s="0" t="n">
        <v>72</v>
      </c>
      <c r="AJ75" s="0" t="n">
        <v>0</v>
      </c>
      <c r="AK75" s="0" t="n">
        <v>72</v>
      </c>
      <c r="AL75" s="0" t="n">
        <v>0</v>
      </c>
      <c r="AM75" s="0" t="n">
        <v>72</v>
      </c>
      <c r="AN75" s="0" t="n">
        <v>0</v>
      </c>
      <c r="AO75" s="0" t="n">
        <v>72</v>
      </c>
      <c r="AP75" s="0" t="n">
        <v>0</v>
      </c>
      <c r="AQ75" s="0" t="n">
        <v>72</v>
      </c>
      <c r="AR75" s="0" t="n">
        <v>0</v>
      </c>
      <c r="AS75" s="0" t="n">
        <v>72</v>
      </c>
      <c r="AT75" s="0" t="n">
        <v>0</v>
      </c>
      <c r="AU75" s="0" t="n">
        <v>72</v>
      </c>
      <c r="AV75" s="0" t="n">
        <v>0</v>
      </c>
      <c r="AW75" s="0" t="n">
        <v>72</v>
      </c>
      <c r="AX75" s="0" t="n">
        <v>0</v>
      </c>
      <c r="AY75" s="0" t="n">
        <v>72</v>
      </c>
      <c r="AZ75" s="0" t="n">
        <v>0</v>
      </c>
      <c r="BA75" s="0" t="n">
        <v>72</v>
      </c>
      <c r="BB75" s="0" t="n">
        <v>0</v>
      </c>
      <c r="BC75" s="0" t="n">
        <v>72</v>
      </c>
      <c r="BD75" s="0" t="n">
        <v>0</v>
      </c>
      <c r="BE75" s="0" t="n">
        <v>72</v>
      </c>
      <c r="BF75" s="0" t="n">
        <v>0</v>
      </c>
      <c r="BG75" s="0" t="n">
        <v>72</v>
      </c>
      <c r="BH75" s="0" t="n">
        <v>0</v>
      </c>
      <c r="BI75" s="0" t="n">
        <v>72</v>
      </c>
      <c r="BJ75" s="0" t="n">
        <v>0</v>
      </c>
      <c r="BK75" s="0" t="n">
        <v>72</v>
      </c>
      <c r="BL75" s="0" t="n">
        <v>0</v>
      </c>
      <c r="BM75" s="0" t="n">
        <v>72</v>
      </c>
      <c r="BN75" s="0" t="n">
        <v>0</v>
      </c>
      <c r="BO75" s="0" t="n">
        <v>72</v>
      </c>
      <c r="BP75" s="0" t="n">
        <v>0</v>
      </c>
      <c r="BQ75" s="0" t="n">
        <v>72</v>
      </c>
      <c r="BR75" s="0" t="n">
        <v>0</v>
      </c>
      <c r="BS75" s="0" t="n">
        <v>72</v>
      </c>
      <c r="BT75" s="0" t="n">
        <v>0</v>
      </c>
      <c r="BU75" s="0" t="n">
        <v>72</v>
      </c>
      <c r="BV75" s="0" t="n">
        <v>0</v>
      </c>
      <c r="BW75" s="0" t="n">
        <v>72</v>
      </c>
      <c r="BX75" s="0" t="n">
        <v>0</v>
      </c>
      <c r="BY75" s="0" t="n">
        <v>72</v>
      </c>
      <c r="BZ75" s="0" t="n">
        <v>0</v>
      </c>
      <c r="CA75" s="0" t="n">
        <v>72</v>
      </c>
      <c r="CB75" s="0" t="n">
        <v>0</v>
      </c>
      <c r="CC75" s="0" t="n">
        <v>72</v>
      </c>
      <c r="CD75" s="0" t="n">
        <v>0</v>
      </c>
      <c r="CE75" s="0" t="n">
        <v>72</v>
      </c>
      <c r="CF75" s="0" t="n">
        <v>0</v>
      </c>
      <c r="CG75" s="0" t="n">
        <v>72</v>
      </c>
      <c r="CH75" s="0" t="n">
        <v>0</v>
      </c>
      <c r="CI75" s="0" t="n">
        <v>72</v>
      </c>
      <c r="CJ75" s="0" t="n">
        <v>0</v>
      </c>
      <c r="CK75" s="0" t="n">
        <v>72</v>
      </c>
      <c r="CL75" s="0" t="n">
        <v>0</v>
      </c>
      <c r="CM75" s="0" t="n">
        <v>72</v>
      </c>
      <c r="CN75" s="0" t="n">
        <v>0</v>
      </c>
      <c r="CO75" s="0" t="n">
        <v>72</v>
      </c>
      <c r="CP75" s="0" t="n">
        <v>0</v>
      </c>
      <c r="CQ75" s="0" t="n">
        <v>72</v>
      </c>
      <c r="CR75" s="0" t="n">
        <v>0</v>
      </c>
      <c r="CS75" s="0" t="n">
        <v>72</v>
      </c>
      <c r="CT75" s="0" t="n">
        <v>0</v>
      </c>
      <c r="CU75" s="0" t="n">
        <v>72</v>
      </c>
      <c r="CV75" s="0" t="n">
        <v>0</v>
      </c>
      <c r="CW75" s="0" t="n">
        <v>72</v>
      </c>
      <c r="CX75" s="0" t="n">
        <v>0</v>
      </c>
    </row>
    <row r="76" customFormat="false" ht="12.75" hidden="false" customHeight="false" outlineLevel="0" collapsed="false">
      <c r="B76" s="0" t="n">
        <v>73</v>
      </c>
      <c r="C76" s="0" t="n">
        <v>0</v>
      </c>
      <c r="D76" s="0" t="n">
        <v>0</v>
      </c>
      <c r="E76" s="0" t="n">
        <v>73</v>
      </c>
      <c r="F76" s="0" t="n">
        <v>0</v>
      </c>
      <c r="G76" s="0" t="n">
        <v>73</v>
      </c>
      <c r="H76" s="0" t="n">
        <v>0</v>
      </c>
      <c r="I76" s="0" t="n">
        <v>73</v>
      </c>
      <c r="J76" s="0" t="n">
        <v>0</v>
      </c>
      <c r="K76" s="0" t="n">
        <v>73</v>
      </c>
      <c r="L76" s="0" t="n">
        <v>0</v>
      </c>
      <c r="M76" s="0" t="n">
        <v>73</v>
      </c>
      <c r="N76" s="0" t="n">
        <v>0</v>
      </c>
      <c r="O76" s="0" t="n">
        <v>73</v>
      </c>
      <c r="P76" s="0" t="n">
        <v>0</v>
      </c>
      <c r="Q76" s="0" t="n">
        <v>73</v>
      </c>
      <c r="R76" s="0" t="n">
        <v>0</v>
      </c>
      <c r="S76" s="0" t="n">
        <v>73</v>
      </c>
      <c r="T76" s="0" t="n">
        <v>0</v>
      </c>
      <c r="U76" s="0" t="n">
        <v>73</v>
      </c>
      <c r="V76" s="0" t="n">
        <v>0</v>
      </c>
      <c r="W76" s="0" t="n">
        <v>73</v>
      </c>
      <c r="X76" s="0" t="n">
        <v>0</v>
      </c>
      <c r="Y76" s="0" t="n">
        <v>73</v>
      </c>
      <c r="Z76" s="0" t="n">
        <v>0</v>
      </c>
      <c r="AA76" s="0" t="n">
        <v>73</v>
      </c>
      <c r="AB76" s="0" t="n">
        <v>0</v>
      </c>
      <c r="AC76" s="0" t="n">
        <v>73</v>
      </c>
      <c r="AD76" s="0" t="n">
        <v>0</v>
      </c>
      <c r="AE76" s="0" t="n">
        <v>73</v>
      </c>
      <c r="AF76" s="0" t="n">
        <v>0</v>
      </c>
      <c r="AG76" s="0" t="n">
        <v>73</v>
      </c>
      <c r="AH76" s="0" t="n">
        <v>0</v>
      </c>
      <c r="AI76" s="0" t="n">
        <v>73</v>
      </c>
      <c r="AJ76" s="0" t="n">
        <v>0</v>
      </c>
      <c r="AK76" s="0" t="n">
        <v>73</v>
      </c>
      <c r="AL76" s="0" t="n">
        <v>0</v>
      </c>
      <c r="AM76" s="0" t="n">
        <v>73</v>
      </c>
      <c r="AN76" s="0" t="n">
        <v>0</v>
      </c>
      <c r="AO76" s="0" t="n">
        <v>73</v>
      </c>
      <c r="AP76" s="0" t="n">
        <v>0</v>
      </c>
      <c r="AQ76" s="0" t="n">
        <v>73</v>
      </c>
      <c r="AR76" s="0" t="n">
        <v>0</v>
      </c>
      <c r="AS76" s="0" t="n">
        <v>73</v>
      </c>
      <c r="AT76" s="0" t="n">
        <v>0</v>
      </c>
      <c r="AU76" s="0" t="n">
        <v>73</v>
      </c>
      <c r="AV76" s="0" t="n">
        <v>0</v>
      </c>
      <c r="AW76" s="0" t="n">
        <v>73</v>
      </c>
      <c r="AX76" s="0" t="n">
        <v>0</v>
      </c>
      <c r="AY76" s="0" t="n">
        <v>73</v>
      </c>
      <c r="AZ76" s="0" t="n">
        <v>0</v>
      </c>
      <c r="BA76" s="0" t="n">
        <v>73</v>
      </c>
      <c r="BB76" s="0" t="n">
        <v>0</v>
      </c>
      <c r="BC76" s="0" t="n">
        <v>73</v>
      </c>
      <c r="BD76" s="0" t="n">
        <v>0</v>
      </c>
      <c r="BE76" s="0" t="n">
        <v>73</v>
      </c>
      <c r="BF76" s="0" t="n">
        <v>0</v>
      </c>
      <c r="BG76" s="0" t="n">
        <v>73</v>
      </c>
      <c r="BH76" s="0" t="n">
        <v>0</v>
      </c>
      <c r="BI76" s="0" t="n">
        <v>73</v>
      </c>
      <c r="BJ76" s="0" t="n">
        <v>0</v>
      </c>
      <c r="BK76" s="0" t="n">
        <v>73</v>
      </c>
      <c r="BL76" s="0" t="n">
        <v>0</v>
      </c>
      <c r="BM76" s="0" t="n">
        <v>73</v>
      </c>
      <c r="BN76" s="0" t="n">
        <v>0</v>
      </c>
      <c r="BO76" s="0" t="n">
        <v>73</v>
      </c>
      <c r="BP76" s="0" t="n">
        <v>0</v>
      </c>
      <c r="BQ76" s="0" t="n">
        <v>73</v>
      </c>
      <c r="BR76" s="0" t="n">
        <v>0</v>
      </c>
      <c r="BS76" s="0" t="n">
        <v>73</v>
      </c>
      <c r="BT76" s="0" t="n">
        <v>0</v>
      </c>
      <c r="BU76" s="0" t="n">
        <v>73</v>
      </c>
      <c r="BV76" s="0" t="n">
        <v>0</v>
      </c>
      <c r="BW76" s="0" t="n">
        <v>73</v>
      </c>
      <c r="BX76" s="0" t="n">
        <v>0</v>
      </c>
      <c r="BY76" s="0" t="n">
        <v>73</v>
      </c>
      <c r="BZ76" s="0" t="n">
        <v>0</v>
      </c>
      <c r="CA76" s="0" t="n">
        <v>73</v>
      </c>
      <c r="CB76" s="0" t="n">
        <v>0</v>
      </c>
      <c r="CC76" s="0" t="n">
        <v>73</v>
      </c>
      <c r="CD76" s="0" t="n">
        <v>0</v>
      </c>
      <c r="CE76" s="0" t="n">
        <v>73</v>
      </c>
      <c r="CF76" s="0" t="n">
        <v>0</v>
      </c>
      <c r="CG76" s="0" t="n">
        <v>73</v>
      </c>
      <c r="CH76" s="0" t="n">
        <v>0</v>
      </c>
      <c r="CI76" s="0" t="n">
        <v>73</v>
      </c>
      <c r="CJ76" s="0" t="n">
        <v>0</v>
      </c>
      <c r="CK76" s="0" t="n">
        <v>73</v>
      </c>
      <c r="CL76" s="0" t="n">
        <v>0</v>
      </c>
      <c r="CM76" s="0" t="n">
        <v>73</v>
      </c>
      <c r="CN76" s="0" t="n">
        <v>0</v>
      </c>
      <c r="CO76" s="0" t="n">
        <v>73</v>
      </c>
      <c r="CP76" s="0" t="n">
        <v>0</v>
      </c>
      <c r="CQ76" s="0" t="n">
        <v>73</v>
      </c>
      <c r="CR76" s="0" t="n">
        <v>0</v>
      </c>
      <c r="CS76" s="0" t="n">
        <v>73</v>
      </c>
      <c r="CT76" s="0" t="n">
        <v>0</v>
      </c>
      <c r="CU76" s="0" t="n">
        <v>73</v>
      </c>
      <c r="CV76" s="0" t="n">
        <v>0</v>
      </c>
      <c r="CW76" s="0" t="n">
        <v>73</v>
      </c>
      <c r="CX76" s="0" t="n">
        <v>0</v>
      </c>
    </row>
    <row r="77" customFormat="false" ht="12.75" hidden="false" customHeight="false" outlineLevel="0" collapsed="false">
      <c r="B77" s="0" t="n">
        <v>74</v>
      </c>
      <c r="C77" s="0" t="n">
        <v>0</v>
      </c>
      <c r="D77" s="0" t="n">
        <v>0</v>
      </c>
      <c r="E77" s="0" t="n">
        <v>74</v>
      </c>
      <c r="F77" s="0" t="n">
        <v>0</v>
      </c>
      <c r="G77" s="0" t="n">
        <v>74</v>
      </c>
      <c r="H77" s="0" t="n">
        <v>0</v>
      </c>
      <c r="I77" s="0" t="n">
        <v>74</v>
      </c>
      <c r="J77" s="0" t="n">
        <v>0</v>
      </c>
      <c r="K77" s="0" t="n">
        <v>74</v>
      </c>
      <c r="L77" s="0" t="n">
        <v>0</v>
      </c>
      <c r="M77" s="0" t="n">
        <v>74</v>
      </c>
      <c r="N77" s="0" t="n">
        <v>0</v>
      </c>
      <c r="O77" s="0" t="n">
        <v>74</v>
      </c>
      <c r="P77" s="0" t="n">
        <v>0</v>
      </c>
      <c r="Q77" s="0" t="n">
        <v>74</v>
      </c>
      <c r="R77" s="0" t="n">
        <v>0</v>
      </c>
      <c r="S77" s="0" t="n">
        <v>74</v>
      </c>
      <c r="T77" s="0" t="n">
        <v>0</v>
      </c>
      <c r="U77" s="0" t="n">
        <v>74</v>
      </c>
      <c r="V77" s="0" t="n">
        <v>0</v>
      </c>
      <c r="W77" s="0" t="n">
        <v>74</v>
      </c>
      <c r="X77" s="0" t="n">
        <v>0</v>
      </c>
      <c r="Y77" s="0" t="n">
        <v>74</v>
      </c>
      <c r="Z77" s="0" t="n">
        <v>0</v>
      </c>
      <c r="AA77" s="0" t="n">
        <v>74</v>
      </c>
      <c r="AB77" s="0" t="n">
        <v>0</v>
      </c>
      <c r="AC77" s="0" t="n">
        <v>74</v>
      </c>
      <c r="AD77" s="0" t="n">
        <v>0</v>
      </c>
      <c r="AE77" s="0" t="n">
        <v>74</v>
      </c>
      <c r="AF77" s="0" t="n">
        <v>0</v>
      </c>
      <c r="AG77" s="0" t="n">
        <v>74</v>
      </c>
      <c r="AH77" s="0" t="n">
        <v>0</v>
      </c>
      <c r="AI77" s="0" t="n">
        <v>74</v>
      </c>
      <c r="AJ77" s="0" t="n">
        <v>0</v>
      </c>
      <c r="AK77" s="0" t="n">
        <v>74</v>
      </c>
      <c r="AL77" s="0" t="n">
        <v>0</v>
      </c>
      <c r="AM77" s="0" t="n">
        <v>74</v>
      </c>
      <c r="AN77" s="0" t="n">
        <v>0</v>
      </c>
      <c r="AO77" s="0" t="n">
        <v>74</v>
      </c>
      <c r="AP77" s="0" t="n">
        <v>0</v>
      </c>
      <c r="AQ77" s="0" t="n">
        <v>74</v>
      </c>
      <c r="AR77" s="0" t="n">
        <v>0</v>
      </c>
      <c r="AS77" s="0" t="n">
        <v>74</v>
      </c>
      <c r="AT77" s="0" t="n">
        <v>0</v>
      </c>
      <c r="AU77" s="0" t="n">
        <v>74</v>
      </c>
      <c r="AV77" s="0" t="n">
        <v>0</v>
      </c>
      <c r="AW77" s="0" t="n">
        <v>74</v>
      </c>
      <c r="AX77" s="0" t="n">
        <v>0</v>
      </c>
      <c r="AY77" s="0" t="n">
        <v>74</v>
      </c>
      <c r="AZ77" s="0" t="n">
        <v>0</v>
      </c>
      <c r="BA77" s="0" t="n">
        <v>74</v>
      </c>
      <c r="BB77" s="0" t="n">
        <v>0</v>
      </c>
      <c r="BC77" s="0" t="n">
        <v>74</v>
      </c>
      <c r="BD77" s="0" t="n">
        <v>0</v>
      </c>
      <c r="BE77" s="0" t="n">
        <v>74</v>
      </c>
      <c r="BF77" s="0" t="n">
        <v>0</v>
      </c>
      <c r="BG77" s="0" t="n">
        <v>74</v>
      </c>
      <c r="BH77" s="0" t="n">
        <v>0</v>
      </c>
      <c r="BI77" s="0" t="n">
        <v>74</v>
      </c>
      <c r="BJ77" s="0" t="n">
        <v>0</v>
      </c>
      <c r="BK77" s="0" t="n">
        <v>74</v>
      </c>
      <c r="BL77" s="0" t="n">
        <v>0</v>
      </c>
      <c r="BM77" s="0" t="n">
        <v>74</v>
      </c>
      <c r="BN77" s="0" t="n">
        <v>0</v>
      </c>
      <c r="BO77" s="0" t="n">
        <v>74</v>
      </c>
      <c r="BP77" s="0" t="n">
        <v>0</v>
      </c>
      <c r="BQ77" s="0" t="n">
        <v>74</v>
      </c>
      <c r="BR77" s="0" t="n">
        <v>0</v>
      </c>
      <c r="BS77" s="0" t="n">
        <v>74</v>
      </c>
      <c r="BT77" s="0" t="n">
        <v>0</v>
      </c>
      <c r="BU77" s="0" t="n">
        <v>74</v>
      </c>
      <c r="BV77" s="0" t="n">
        <v>0</v>
      </c>
      <c r="BW77" s="0" t="n">
        <v>74</v>
      </c>
      <c r="BX77" s="0" t="n">
        <v>0</v>
      </c>
      <c r="BY77" s="0" t="n">
        <v>74</v>
      </c>
      <c r="BZ77" s="0" t="n">
        <v>0</v>
      </c>
      <c r="CA77" s="0" t="n">
        <v>74</v>
      </c>
      <c r="CB77" s="0" t="n">
        <v>0</v>
      </c>
      <c r="CC77" s="0" t="n">
        <v>74</v>
      </c>
      <c r="CD77" s="0" t="n">
        <v>0</v>
      </c>
      <c r="CE77" s="0" t="n">
        <v>74</v>
      </c>
      <c r="CF77" s="0" t="n">
        <v>0</v>
      </c>
      <c r="CG77" s="0" t="n">
        <v>74</v>
      </c>
      <c r="CH77" s="0" t="n">
        <v>0</v>
      </c>
      <c r="CI77" s="0" t="n">
        <v>74</v>
      </c>
      <c r="CJ77" s="0" t="n">
        <v>0</v>
      </c>
      <c r="CK77" s="0" t="n">
        <v>74</v>
      </c>
      <c r="CL77" s="0" t="n">
        <v>0</v>
      </c>
      <c r="CM77" s="0" t="n">
        <v>74</v>
      </c>
      <c r="CN77" s="0" t="n">
        <v>0</v>
      </c>
      <c r="CO77" s="0" t="n">
        <v>74</v>
      </c>
      <c r="CP77" s="0" t="n">
        <v>0</v>
      </c>
      <c r="CQ77" s="0" t="n">
        <v>74</v>
      </c>
      <c r="CR77" s="0" t="n">
        <v>0</v>
      </c>
      <c r="CS77" s="0" t="n">
        <v>74</v>
      </c>
      <c r="CT77" s="0" t="n">
        <v>0</v>
      </c>
      <c r="CU77" s="0" t="n">
        <v>74</v>
      </c>
      <c r="CV77" s="0" t="n">
        <v>0</v>
      </c>
      <c r="CW77" s="0" t="n">
        <v>74</v>
      </c>
      <c r="CX77" s="0" t="n">
        <v>0</v>
      </c>
    </row>
    <row r="78" customFormat="false" ht="12.75" hidden="false" customHeight="false" outlineLevel="0" collapsed="false">
      <c r="B78" s="0" t="n">
        <v>75</v>
      </c>
      <c r="C78" s="0" t="n">
        <v>0</v>
      </c>
      <c r="D78" s="0" t="n">
        <v>0</v>
      </c>
      <c r="E78" s="0" t="n">
        <v>75</v>
      </c>
      <c r="F78" s="0" t="n">
        <v>0</v>
      </c>
      <c r="G78" s="0" t="n">
        <v>75</v>
      </c>
      <c r="H78" s="0" t="n">
        <v>0</v>
      </c>
      <c r="I78" s="0" t="n">
        <v>75</v>
      </c>
      <c r="J78" s="0" t="n">
        <v>0</v>
      </c>
      <c r="K78" s="0" t="n">
        <v>75</v>
      </c>
      <c r="L78" s="0" t="n">
        <v>0</v>
      </c>
      <c r="M78" s="0" t="n">
        <v>75</v>
      </c>
      <c r="N78" s="0" t="n">
        <v>0</v>
      </c>
      <c r="O78" s="0" t="n">
        <v>75</v>
      </c>
      <c r="P78" s="0" t="n">
        <v>0</v>
      </c>
      <c r="Q78" s="0" t="n">
        <v>75</v>
      </c>
      <c r="R78" s="0" t="n">
        <v>0</v>
      </c>
      <c r="S78" s="0" t="n">
        <v>75</v>
      </c>
      <c r="T78" s="0" t="n">
        <v>0</v>
      </c>
      <c r="U78" s="0" t="n">
        <v>75</v>
      </c>
      <c r="V78" s="0" t="n">
        <v>0</v>
      </c>
      <c r="W78" s="0" t="n">
        <v>75</v>
      </c>
      <c r="X78" s="0" t="n">
        <v>0</v>
      </c>
      <c r="Y78" s="0" t="n">
        <v>75</v>
      </c>
      <c r="Z78" s="0" t="n">
        <v>0</v>
      </c>
      <c r="AA78" s="0" t="n">
        <v>75</v>
      </c>
      <c r="AB78" s="0" t="n">
        <v>0</v>
      </c>
      <c r="AC78" s="0" t="n">
        <v>75</v>
      </c>
      <c r="AD78" s="0" t="n">
        <v>0</v>
      </c>
      <c r="AE78" s="0" t="n">
        <v>75</v>
      </c>
      <c r="AF78" s="0" t="n">
        <v>0</v>
      </c>
      <c r="AG78" s="0" t="n">
        <v>75</v>
      </c>
      <c r="AH78" s="0" t="n">
        <v>0</v>
      </c>
      <c r="AI78" s="0" t="n">
        <v>75</v>
      </c>
      <c r="AJ78" s="0" t="n">
        <v>0</v>
      </c>
      <c r="AK78" s="0" t="n">
        <v>75</v>
      </c>
      <c r="AL78" s="0" t="n">
        <v>0</v>
      </c>
      <c r="AM78" s="0" t="n">
        <v>75</v>
      </c>
      <c r="AN78" s="0" t="n">
        <v>0</v>
      </c>
      <c r="AO78" s="0" t="n">
        <v>75</v>
      </c>
      <c r="AP78" s="0" t="n">
        <v>0</v>
      </c>
      <c r="AQ78" s="0" t="n">
        <v>75</v>
      </c>
      <c r="AR78" s="0" t="n">
        <v>0</v>
      </c>
      <c r="AS78" s="0" t="n">
        <v>75</v>
      </c>
      <c r="AT78" s="0" t="n">
        <v>0</v>
      </c>
      <c r="AU78" s="0" t="n">
        <v>75</v>
      </c>
      <c r="AV78" s="0" t="n">
        <v>0</v>
      </c>
      <c r="AW78" s="0" t="n">
        <v>75</v>
      </c>
      <c r="AX78" s="0" t="n">
        <v>0</v>
      </c>
      <c r="AY78" s="0" t="n">
        <v>75</v>
      </c>
      <c r="AZ78" s="0" t="n">
        <v>0</v>
      </c>
      <c r="BA78" s="0" t="n">
        <v>75</v>
      </c>
      <c r="BB78" s="0" t="n">
        <v>0</v>
      </c>
      <c r="BC78" s="0" t="n">
        <v>75</v>
      </c>
      <c r="BD78" s="0" t="n">
        <v>0</v>
      </c>
      <c r="BE78" s="0" t="n">
        <v>75</v>
      </c>
      <c r="BF78" s="0" t="n">
        <v>0</v>
      </c>
      <c r="BG78" s="0" t="n">
        <v>75</v>
      </c>
      <c r="BH78" s="0" t="n">
        <v>0</v>
      </c>
      <c r="BI78" s="0" t="n">
        <v>75</v>
      </c>
      <c r="BJ78" s="0" t="n">
        <v>0</v>
      </c>
      <c r="BK78" s="0" t="n">
        <v>75</v>
      </c>
      <c r="BL78" s="0" t="n">
        <v>0</v>
      </c>
      <c r="BM78" s="0" t="n">
        <v>75</v>
      </c>
      <c r="BN78" s="0" t="n">
        <v>0</v>
      </c>
      <c r="BO78" s="0" t="n">
        <v>75</v>
      </c>
      <c r="BP78" s="0" t="n">
        <v>0</v>
      </c>
      <c r="BQ78" s="0" t="n">
        <v>75</v>
      </c>
      <c r="BR78" s="0" t="n">
        <v>0</v>
      </c>
      <c r="BS78" s="0" t="n">
        <v>75</v>
      </c>
      <c r="BT78" s="0" t="n">
        <v>0</v>
      </c>
      <c r="BU78" s="0" t="n">
        <v>75</v>
      </c>
      <c r="BV78" s="0" t="n">
        <v>0</v>
      </c>
      <c r="BW78" s="0" t="n">
        <v>75</v>
      </c>
      <c r="BX78" s="0" t="n">
        <v>0</v>
      </c>
      <c r="BY78" s="0" t="n">
        <v>75</v>
      </c>
      <c r="BZ78" s="0" t="n">
        <v>0</v>
      </c>
      <c r="CA78" s="0" t="n">
        <v>75</v>
      </c>
      <c r="CB78" s="0" t="n">
        <v>0</v>
      </c>
      <c r="CC78" s="0" t="n">
        <v>75</v>
      </c>
      <c r="CD78" s="0" t="n">
        <v>0</v>
      </c>
      <c r="CE78" s="0" t="n">
        <v>75</v>
      </c>
      <c r="CF78" s="0" t="n">
        <v>0</v>
      </c>
      <c r="CG78" s="0" t="n">
        <v>75</v>
      </c>
      <c r="CH78" s="0" t="n">
        <v>0</v>
      </c>
      <c r="CI78" s="0" t="n">
        <v>75</v>
      </c>
      <c r="CJ78" s="0" t="n">
        <v>0</v>
      </c>
      <c r="CK78" s="0" t="n">
        <v>75</v>
      </c>
      <c r="CL78" s="0" t="n">
        <v>0</v>
      </c>
      <c r="CM78" s="0" t="n">
        <v>75</v>
      </c>
      <c r="CN78" s="0" t="n">
        <v>0</v>
      </c>
      <c r="CO78" s="0" t="n">
        <v>75</v>
      </c>
      <c r="CP78" s="0" t="n">
        <v>0</v>
      </c>
      <c r="CQ78" s="0" t="n">
        <v>75</v>
      </c>
      <c r="CR78" s="0" t="n">
        <v>0</v>
      </c>
      <c r="CS78" s="0" t="n">
        <v>75</v>
      </c>
      <c r="CT78" s="0" t="n">
        <v>0</v>
      </c>
      <c r="CU78" s="0" t="n">
        <v>75</v>
      </c>
      <c r="CV78" s="0" t="n">
        <v>0</v>
      </c>
      <c r="CW78" s="0" t="n">
        <v>75</v>
      </c>
      <c r="CX78" s="0" t="n">
        <v>0</v>
      </c>
    </row>
    <row r="79" customFormat="false" ht="12.75" hidden="false" customHeight="false" outlineLevel="0" collapsed="false">
      <c r="B79" s="0" t="n">
        <v>76</v>
      </c>
      <c r="C79" s="0" t="n">
        <v>0</v>
      </c>
      <c r="D79" s="0" t="n">
        <v>0</v>
      </c>
      <c r="E79" s="0" t="n">
        <v>76</v>
      </c>
      <c r="F79" s="0" t="n">
        <v>0</v>
      </c>
      <c r="G79" s="0" t="n">
        <v>76</v>
      </c>
      <c r="H79" s="0" t="n">
        <v>0</v>
      </c>
      <c r="I79" s="0" t="n">
        <v>76</v>
      </c>
      <c r="J79" s="0" t="n">
        <v>0</v>
      </c>
      <c r="K79" s="0" t="n">
        <v>76</v>
      </c>
      <c r="L79" s="0" t="n">
        <v>0</v>
      </c>
      <c r="M79" s="0" t="n">
        <v>76</v>
      </c>
      <c r="N79" s="0" t="n">
        <v>0</v>
      </c>
      <c r="O79" s="0" t="n">
        <v>76</v>
      </c>
      <c r="P79" s="0" t="n">
        <v>0</v>
      </c>
      <c r="Q79" s="0" t="n">
        <v>76</v>
      </c>
      <c r="R79" s="0" t="n">
        <v>0</v>
      </c>
      <c r="S79" s="0" t="n">
        <v>76</v>
      </c>
      <c r="T79" s="0" t="n">
        <v>0</v>
      </c>
      <c r="U79" s="0" t="n">
        <v>76</v>
      </c>
      <c r="V79" s="0" t="n">
        <v>0</v>
      </c>
      <c r="W79" s="0" t="n">
        <v>76</v>
      </c>
      <c r="X79" s="0" t="n">
        <v>0</v>
      </c>
      <c r="Y79" s="0" t="n">
        <v>76</v>
      </c>
      <c r="Z79" s="0" t="n">
        <v>0</v>
      </c>
      <c r="AA79" s="0" t="n">
        <v>76</v>
      </c>
      <c r="AB79" s="0" t="n">
        <v>0</v>
      </c>
      <c r="AC79" s="0" t="n">
        <v>76</v>
      </c>
      <c r="AD79" s="0" t="n">
        <v>0</v>
      </c>
      <c r="AE79" s="0" t="n">
        <v>76</v>
      </c>
      <c r="AF79" s="0" t="n">
        <v>0</v>
      </c>
      <c r="AG79" s="0" t="n">
        <v>76</v>
      </c>
      <c r="AH79" s="0" t="n">
        <v>0</v>
      </c>
      <c r="AI79" s="0" t="n">
        <v>76</v>
      </c>
      <c r="AJ79" s="0" t="n">
        <v>0</v>
      </c>
      <c r="AK79" s="0" t="n">
        <v>76</v>
      </c>
      <c r="AL79" s="0" t="n">
        <v>0</v>
      </c>
      <c r="AM79" s="0" t="n">
        <v>76</v>
      </c>
      <c r="AN79" s="0" t="n">
        <v>0</v>
      </c>
      <c r="AO79" s="0" t="n">
        <v>76</v>
      </c>
      <c r="AP79" s="0" t="n">
        <v>0</v>
      </c>
      <c r="AQ79" s="0" t="n">
        <v>76</v>
      </c>
      <c r="AR79" s="0" t="n">
        <v>0</v>
      </c>
      <c r="AS79" s="0" t="n">
        <v>76</v>
      </c>
      <c r="AT79" s="0" t="n">
        <v>0</v>
      </c>
      <c r="AU79" s="0" t="n">
        <v>76</v>
      </c>
      <c r="AV79" s="0" t="n">
        <v>0</v>
      </c>
      <c r="AW79" s="0" t="n">
        <v>76</v>
      </c>
      <c r="AX79" s="0" t="n">
        <v>0</v>
      </c>
      <c r="AY79" s="0" t="n">
        <v>76</v>
      </c>
      <c r="AZ79" s="0" t="n">
        <v>0</v>
      </c>
      <c r="BA79" s="0" t="n">
        <v>76</v>
      </c>
      <c r="BB79" s="0" t="n">
        <v>0</v>
      </c>
      <c r="BC79" s="0" t="n">
        <v>76</v>
      </c>
      <c r="BD79" s="0" t="n">
        <v>0</v>
      </c>
      <c r="BE79" s="0" t="n">
        <v>76</v>
      </c>
      <c r="BF79" s="0" t="n">
        <v>0</v>
      </c>
      <c r="BG79" s="0" t="n">
        <v>76</v>
      </c>
      <c r="BH79" s="0" t="n">
        <v>0</v>
      </c>
      <c r="BI79" s="0" t="n">
        <v>76</v>
      </c>
      <c r="BJ79" s="0" t="n">
        <v>0</v>
      </c>
      <c r="BK79" s="0" t="n">
        <v>76</v>
      </c>
      <c r="BL79" s="0" t="n">
        <v>0</v>
      </c>
      <c r="BM79" s="0" t="n">
        <v>76</v>
      </c>
      <c r="BN79" s="0" t="n">
        <v>0</v>
      </c>
      <c r="BO79" s="0" t="n">
        <v>76</v>
      </c>
      <c r="BP79" s="0" t="n">
        <v>0</v>
      </c>
      <c r="BQ79" s="0" t="n">
        <v>76</v>
      </c>
      <c r="BR79" s="0" t="n">
        <v>0</v>
      </c>
      <c r="BS79" s="0" t="n">
        <v>76</v>
      </c>
      <c r="BT79" s="0" t="n">
        <v>0</v>
      </c>
      <c r="BU79" s="0" t="n">
        <v>76</v>
      </c>
      <c r="BV79" s="0" t="n">
        <v>0</v>
      </c>
      <c r="BW79" s="0" t="n">
        <v>76</v>
      </c>
      <c r="BX79" s="0" t="n">
        <v>0</v>
      </c>
      <c r="BY79" s="0" t="n">
        <v>76</v>
      </c>
      <c r="BZ79" s="0" t="n">
        <v>0</v>
      </c>
      <c r="CA79" s="0" t="n">
        <v>76</v>
      </c>
      <c r="CB79" s="0" t="n">
        <v>0</v>
      </c>
      <c r="CC79" s="0" t="n">
        <v>76</v>
      </c>
      <c r="CD79" s="0" t="n">
        <v>0</v>
      </c>
      <c r="CE79" s="0" t="n">
        <v>76</v>
      </c>
      <c r="CF79" s="0" t="n">
        <v>0</v>
      </c>
      <c r="CG79" s="0" t="n">
        <v>76</v>
      </c>
      <c r="CH79" s="0" t="n">
        <v>0</v>
      </c>
      <c r="CI79" s="0" t="n">
        <v>76</v>
      </c>
      <c r="CJ79" s="0" t="n">
        <v>0</v>
      </c>
      <c r="CK79" s="0" t="n">
        <v>76</v>
      </c>
      <c r="CL79" s="0" t="n">
        <v>0</v>
      </c>
      <c r="CM79" s="0" t="n">
        <v>76</v>
      </c>
      <c r="CN79" s="0" t="n">
        <v>0</v>
      </c>
      <c r="CO79" s="0" t="n">
        <v>76</v>
      </c>
      <c r="CP79" s="0" t="n">
        <v>0</v>
      </c>
      <c r="CQ79" s="0" t="n">
        <v>76</v>
      </c>
      <c r="CR79" s="0" t="n">
        <v>0</v>
      </c>
      <c r="CS79" s="0" t="n">
        <v>76</v>
      </c>
      <c r="CT79" s="0" t="n">
        <v>0</v>
      </c>
      <c r="CU79" s="0" t="n">
        <v>76</v>
      </c>
      <c r="CV79" s="0" t="n">
        <v>0</v>
      </c>
      <c r="CW79" s="0" t="n">
        <v>76</v>
      </c>
      <c r="CX79" s="0" t="n">
        <v>0</v>
      </c>
    </row>
    <row r="80" customFormat="false" ht="12.75" hidden="false" customHeight="false" outlineLevel="0" collapsed="false">
      <c r="B80" s="0" t="n">
        <v>77</v>
      </c>
      <c r="C80" s="0" t="n">
        <v>0</v>
      </c>
      <c r="D80" s="0" t="n">
        <v>0</v>
      </c>
      <c r="E80" s="0" t="n">
        <v>77</v>
      </c>
      <c r="F80" s="0" t="n">
        <v>0</v>
      </c>
      <c r="G80" s="0" t="n">
        <v>77</v>
      </c>
      <c r="H80" s="0" t="n">
        <v>0</v>
      </c>
      <c r="I80" s="0" t="n">
        <v>77</v>
      </c>
      <c r="J80" s="0" t="n">
        <v>0</v>
      </c>
      <c r="K80" s="0" t="n">
        <v>77</v>
      </c>
      <c r="L80" s="0" t="n">
        <v>0</v>
      </c>
      <c r="M80" s="0" t="n">
        <v>77</v>
      </c>
      <c r="N80" s="0" t="n">
        <v>0</v>
      </c>
      <c r="O80" s="0" t="n">
        <v>77</v>
      </c>
      <c r="P80" s="0" t="n">
        <v>0</v>
      </c>
      <c r="Q80" s="0" t="n">
        <v>77</v>
      </c>
      <c r="R80" s="0" t="n">
        <v>0</v>
      </c>
      <c r="S80" s="0" t="n">
        <v>77</v>
      </c>
      <c r="T80" s="0" t="n">
        <v>0</v>
      </c>
      <c r="U80" s="0" t="n">
        <v>77</v>
      </c>
      <c r="V80" s="0" t="n">
        <v>0</v>
      </c>
      <c r="W80" s="0" t="n">
        <v>77</v>
      </c>
      <c r="X80" s="0" t="n">
        <v>0</v>
      </c>
      <c r="Y80" s="0" t="n">
        <v>77</v>
      </c>
      <c r="Z80" s="0" t="n">
        <v>0</v>
      </c>
      <c r="AA80" s="0" t="n">
        <v>77</v>
      </c>
      <c r="AB80" s="0" t="n">
        <v>0</v>
      </c>
      <c r="AC80" s="0" t="n">
        <v>77</v>
      </c>
      <c r="AD80" s="0" t="n">
        <v>0</v>
      </c>
      <c r="AE80" s="0" t="n">
        <v>77</v>
      </c>
      <c r="AF80" s="0" t="n">
        <v>0</v>
      </c>
      <c r="AG80" s="0" t="n">
        <v>77</v>
      </c>
      <c r="AH80" s="0" t="n">
        <v>0</v>
      </c>
      <c r="AI80" s="0" t="n">
        <v>77</v>
      </c>
      <c r="AJ80" s="0" t="n">
        <v>0</v>
      </c>
      <c r="AK80" s="0" t="n">
        <v>77</v>
      </c>
      <c r="AL80" s="0" t="n">
        <v>0</v>
      </c>
      <c r="AM80" s="0" t="n">
        <v>77</v>
      </c>
      <c r="AN80" s="0" t="n">
        <v>0</v>
      </c>
      <c r="AO80" s="0" t="n">
        <v>77</v>
      </c>
      <c r="AP80" s="0" t="n">
        <v>0</v>
      </c>
      <c r="AQ80" s="0" t="n">
        <v>77</v>
      </c>
      <c r="AR80" s="0" t="n">
        <v>0</v>
      </c>
      <c r="AS80" s="0" t="n">
        <v>77</v>
      </c>
      <c r="AT80" s="0" t="n">
        <v>0</v>
      </c>
      <c r="AU80" s="0" t="n">
        <v>77</v>
      </c>
      <c r="AV80" s="0" t="n">
        <v>0</v>
      </c>
      <c r="AW80" s="0" t="n">
        <v>77</v>
      </c>
      <c r="AX80" s="0" t="n">
        <v>0</v>
      </c>
      <c r="AY80" s="0" t="n">
        <v>77</v>
      </c>
      <c r="AZ80" s="0" t="n">
        <v>0</v>
      </c>
      <c r="BA80" s="0" t="n">
        <v>77</v>
      </c>
      <c r="BB80" s="0" t="n">
        <v>0</v>
      </c>
      <c r="BC80" s="0" t="n">
        <v>77</v>
      </c>
      <c r="BD80" s="0" t="n">
        <v>0</v>
      </c>
      <c r="BE80" s="0" t="n">
        <v>77</v>
      </c>
      <c r="BF80" s="0" t="n">
        <v>0</v>
      </c>
      <c r="BG80" s="0" t="n">
        <v>77</v>
      </c>
      <c r="BH80" s="0" t="n">
        <v>0</v>
      </c>
      <c r="BI80" s="0" t="n">
        <v>77</v>
      </c>
      <c r="BJ80" s="0" t="n">
        <v>0</v>
      </c>
      <c r="BK80" s="0" t="n">
        <v>77</v>
      </c>
      <c r="BL80" s="0" t="n">
        <v>0</v>
      </c>
      <c r="BM80" s="0" t="n">
        <v>77</v>
      </c>
      <c r="BN80" s="0" t="n">
        <v>0</v>
      </c>
      <c r="BO80" s="0" t="n">
        <v>77</v>
      </c>
      <c r="BP80" s="0" t="n">
        <v>0</v>
      </c>
      <c r="BQ80" s="0" t="n">
        <v>77</v>
      </c>
      <c r="BR80" s="0" t="n">
        <v>0</v>
      </c>
      <c r="BS80" s="0" t="n">
        <v>77</v>
      </c>
      <c r="BT80" s="0" t="n">
        <v>0</v>
      </c>
      <c r="BU80" s="0" t="n">
        <v>77</v>
      </c>
      <c r="BV80" s="0" t="n">
        <v>0</v>
      </c>
      <c r="BW80" s="0" t="n">
        <v>77</v>
      </c>
      <c r="BX80" s="0" t="n">
        <v>0</v>
      </c>
      <c r="BY80" s="0" t="n">
        <v>77</v>
      </c>
      <c r="BZ80" s="0" t="n">
        <v>0</v>
      </c>
      <c r="CA80" s="0" t="n">
        <v>77</v>
      </c>
      <c r="CB80" s="0" t="n">
        <v>0</v>
      </c>
      <c r="CC80" s="0" t="n">
        <v>77</v>
      </c>
      <c r="CD80" s="0" t="n">
        <v>0</v>
      </c>
      <c r="CE80" s="0" t="n">
        <v>77</v>
      </c>
      <c r="CF80" s="0" t="n">
        <v>0</v>
      </c>
      <c r="CG80" s="0" t="n">
        <v>77</v>
      </c>
      <c r="CH80" s="0" t="n">
        <v>0</v>
      </c>
      <c r="CI80" s="0" t="n">
        <v>77</v>
      </c>
      <c r="CJ80" s="0" t="n">
        <v>0</v>
      </c>
      <c r="CK80" s="0" t="n">
        <v>77</v>
      </c>
      <c r="CL80" s="0" t="n">
        <v>0</v>
      </c>
      <c r="CM80" s="0" t="n">
        <v>77</v>
      </c>
      <c r="CN80" s="0" t="n">
        <v>0</v>
      </c>
      <c r="CO80" s="0" t="n">
        <v>77</v>
      </c>
      <c r="CP80" s="0" t="n">
        <v>0</v>
      </c>
      <c r="CQ80" s="0" t="n">
        <v>77</v>
      </c>
      <c r="CR80" s="0" t="n">
        <v>0</v>
      </c>
      <c r="CS80" s="0" t="n">
        <v>77</v>
      </c>
      <c r="CT80" s="0" t="n">
        <v>0</v>
      </c>
      <c r="CU80" s="0" t="n">
        <v>77</v>
      </c>
      <c r="CV80" s="0" t="n">
        <v>0</v>
      </c>
      <c r="CW80" s="0" t="n">
        <v>77</v>
      </c>
      <c r="CX80" s="0" t="n">
        <v>0</v>
      </c>
    </row>
    <row r="81" customFormat="false" ht="12.75" hidden="false" customHeight="false" outlineLevel="0" collapsed="false">
      <c r="B81" s="0" t="n">
        <v>78</v>
      </c>
      <c r="C81" s="0" t="n">
        <v>0</v>
      </c>
      <c r="D81" s="0" t="n">
        <v>0</v>
      </c>
      <c r="E81" s="0" t="n">
        <v>78</v>
      </c>
      <c r="F81" s="0" t="n">
        <v>0</v>
      </c>
      <c r="G81" s="0" t="n">
        <v>78</v>
      </c>
      <c r="H81" s="0" t="n">
        <v>0</v>
      </c>
      <c r="I81" s="0" t="n">
        <v>78</v>
      </c>
      <c r="J81" s="0" t="n">
        <v>0</v>
      </c>
      <c r="K81" s="0" t="n">
        <v>78</v>
      </c>
      <c r="L81" s="0" t="n">
        <v>0</v>
      </c>
      <c r="M81" s="0" t="n">
        <v>78</v>
      </c>
      <c r="N81" s="0" t="n">
        <v>0</v>
      </c>
      <c r="O81" s="0" t="n">
        <v>78</v>
      </c>
      <c r="P81" s="0" t="n">
        <v>0</v>
      </c>
      <c r="Q81" s="0" t="n">
        <v>78</v>
      </c>
      <c r="R81" s="0" t="n">
        <v>0</v>
      </c>
      <c r="S81" s="0" t="n">
        <v>78</v>
      </c>
      <c r="T81" s="0" t="n">
        <v>0</v>
      </c>
      <c r="U81" s="0" t="n">
        <v>78</v>
      </c>
      <c r="V81" s="0" t="n">
        <v>0</v>
      </c>
      <c r="W81" s="0" t="n">
        <v>78</v>
      </c>
      <c r="X81" s="0" t="n">
        <v>0</v>
      </c>
      <c r="Y81" s="0" t="n">
        <v>78</v>
      </c>
      <c r="Z81" s="0" t="n">
        <v>0</v>
      </c>
      <c r="AA81" s="0" t="n">
        <v>78</v>
      </c>
      <c r="AB81" s="0" t="n">
        <v>0</v>
      </c>
      <c r="AC81" s="0" t="n">
        <v>78</v>
      </c>
      <c r="AD81" s="0" t="n">
        <v>0</v>
      </c>
      <c r="AE81" s="0" t="n">
        <v>78</v>
      </c>
      <c r="AF81" s="0" t="n">
        <v>0</v>
      </c>
      <c r="AG81" s="0" t="n">
        <v>78</v>
      </c>
      <c r="AH81" s="0" t="n">
        <v>0</v>
      </c>
      <c r="AI81" s="0" t="n">
        <v>78</v>
      </c>
      <c r="AJ81" s="0" t="n">
        <v>0</v>
      </c>
      <c r="AK81" s="0" t="n">
        <v>78</v>
      </c>
      <c r="AL81" s="0" t="n">
        <v>0</v>
      </c>
      <c r="AM81" s="0" t="n">
        <v>78</v>
      </c>
      <c r="AN81" s="0" t="n">
        <v>0</v>
      </c>
      <c r="AO81" s="0" t="n">
        <v>78</v>
      </c>
      <c r="AP81" s="0" t="n">
        <v>0</v>
      </c>
      <c r="AQ81" s="0" t="n">
        <v>78</v>
      </c>
      <c r="AR81" s="0" t="n">
        <v>0</v>
      </c>
      <c r="AS81" s="0" t="n">
        <v>78</v>
      </c>
      <c r="AT81" s="0" t="n">
        <v>0</v>
      </c>
      <c r="AU81" s="0" t="n">
        <v>78</v>
      </c>
      <c r="AV81" s="0" t="n">
        <v>0</v>
      </c>
      <c r="AW81" s="0" t="n">
        <v>78</v>
      </c>
      <c r="AX81" s="0" t="n">
        <v>0</v>
      </c>
      <c r="AY81" s="0" t="n">
        <v>78</v>
      </c>
      <c r="AZ81" s="0" t="n">
        <v>0</v>
      </c>
      <c r="BA81" s="0" t="n">
        <v>78</v>
      </c>
      <c r="BB81" s="0" t="n">
        <v>0</v>
      </c>
      <c r="BC81" s="0" t="n">
        <v>78</v>
      </c>
      <c r="BD81" s="0" t="n">
        <v>0</v>
      </c>
      <c r="BE81" s="0" t="n">
        <v>78</v>
      </c>
      <c r="BF81" s="0" t="n">
        <v>0</v>
      </c>
      <c r="BG81" s="0" t="n">
        <v>78</v>
      </c>
      <c r="BH81" s="0" t="n">
        <v>0</v>
      </c>
      <c r="BI81" s="0" t="n">
        <v>78</v>
      </c>
      <c r="BJ81" s="0" t="n">
        <v>0</v>
      </c>
      <c r="BK81" s="0" t="n">
        <v>78</v>
      </c>
      <c r="BL81" s="0" t="n">
        <v>0</v>
      </c>
      <c r="BM81" s="0" t="n">
        <v>78</v>
      </c>
      <c r="BN81" s="0" t="n">
        <v>0</v>
      </c>
      <c r="BO81" s="0" t="n">
        <v>78</v>
      </c>
      <c r="BP81" s="0" t="n">
        <v>0</v>
      </c>
      <c r="BQ81" s="0" t="n">
        <v>78</v>
      </c>
      <c r="BR81" s="0" t="n">
        <v>0</v>
      </c>
      <c r="BS81" s="0" t="n">
        <v>78</v>
      </c>
      <c r="BT81" s="0" t="n">
        <v>0</v>
      </c>
      <c r="BU81" s="0" t="n">
        <v>78</v>
      </c>
      <c r="BV81" s="0" t="n">
        <v>0</v>
      </c>
      <c r="BW81" s="0" t="n">
        <v>78</v>
      </c>
      <c r="BX81" s="0" t="n">
        <v>0</v>
      </c>
      <c r="BY81" s="0" t="n">
        <v>78</v>
      </c>
      <c r="BZ81" s="0" t="n">
        <v>0</v>
      </c>
      <c r="CA81" s="0" t="n">
        <v>78</v>
      </c>
      <c r="CB81" s="0" t="n">
        <v>0</v>
      </c>
      <c r="CC81" s="0" t="n">
        <v>78</v>
      </c>
      <c r="CD81" s="0" t="n">
        <v>0</v>
      </c>
      <c r="CE81" s="0" t="n">
        <v>78</v>
      </c>
      <c r="CF81" s="0" t="n">
        <v>0</v>
      </c>
      <c r="CG81" s="0" t="n">
        <v>78</v>
      </c>
      <c r="CH81" s="0" t="n">
        <v>0</v>
      </c>
      <c r="CI81" s="0" t="n">
        <v>78</v>
      </c>
      <c r="CJ81" s="0" t="n">
        <v>0</v>
      </c>
      <c r="CK81" s="0" t="n">
        <v>78</v>
      </c>
      <c r="CL81" s="0" t="n">
        <v>0</v>
      </c>
      <c r="CM81" s="0" t="n">
        <v>78</v>
      </c>
      <c r="CN81" s="0" t="n">
        <v>0</v>
      </c>
      <c r="CO81" s="0" t="n">
        <v>78</v>
      </c>
      <c r="CP81" s="0" t="n">
        <v>0</v>
      </c>
      <c r="CQ81" s="0" t="n">
        <v>78</v>
      </c>
      <c r="CR81" s="0" t="n">
        <v>0</v>
      </c>
      <c r="CS81" s="0" t="n">
        <v>78</v>
      </c>
      <c r="CT81" s="0" t="n">
        <v>0</v>
      </c>
      <c r="CU81" s="0" t="n">
        <v>78</v>
      </c>
      <c r="CV81" s="0" t="n">
        <v>0</v>
      </c>
      <c r="CW81" s="0" t="n">
        <v>78</v>
      </c>
      <c r="CX81" s="0" t="n">
        <v>0</v>
      </c>
    </row>
    <row r="82" customFormat="false" ht="12.75" hidden="false" customHeight="false" outlineLevel="0" collapsed="false">
      <c r="B82" s="0" t="n">
        <v>79</v>
      </c>
      <c r="C82" s="0" t="n">
        <v>0</v>
      </c>
      <c r="D82" s="0" t="n">
        <v>0</v>
      </c>
      <c r="E82" s="0" t="n">
        <v>79</v>
      </c>
      <c r="F82" s="0" t="n">
        <v>0</v>
      </c>
      <c r="G82" s="0" t="n">
        <v>79</v>
      </c>
      <c r="H82" s="0" t="n">
        <v>0</v>
      </c>
      <c r="I82" s="0" t="n">
        <v>79</v>
      </c>
      <c r="J82" s="0" t="n">
        <v>0</v>
      </c>
      <c r="K82" s="0" t="n">
        <v>79</v>
      </c>
      <c r="L82" s="0" t="n">
        <v>0</v>
      </c>
      <c r="M82" s="0" t="n">
        <v>79</v>
      </c>
      <c r="N82" s="0" t="n">
        <v>0</v>
      </c>
      <c r="O82" s="0" t="n">
        <v>79</v>
      </c>
      <c r="P82" s="0" t="n">
        <v>0</v>
      </c>
      <c r="Q82" s="0" t="n">
        <v>79</v>
      </c>
      <c r="R82" s="0" t="n">
        <v>0</v>
      </c>
      <c r="S82" s="0" t="n">
        <v>79</v>
      </c>
      <c r="T82" s="0" t="n">
        <v>0</v>
      </c>
      <c r="U82" s="0" t="n">
        <v>79</v>
      </c>
      <c r="V82" s="0" t="n">
        <v>0</v>
      </c>
      <c r="W82" s="0" t="n">
        <v>79</v>
      </c>
      <c r="X82" s="0" t="n">
        <v>0</v>
      </c>
      <c r="Y82" s="0" t="n">
        <v>79</v>
      </c>
      <c r="Z82" s="0" t="n">
        <v>0</v>
      </c>
      <c r="AA82" s="0" t="n">
        <v>79</v>
      </c>
      <c r="AB82" s="0" t="n">
        <v>0</v>
      </c>
      <c r="AC82" s="0" t="n">
        <v>79</v>
      </c>
      <c r="AD82" s="0" t="n">
        <v>0</v>
      </c>
      <c r="AE82" s="0" t="n">
        <v>79</v>
      </c>
      <c r="AF82" s="0" t="n">
        <v>0</v>
      </c>
      <c r="AG82" s="0" t="n">
        <v>79</v>
      </c>
      <c r="AH82" s="0" t="n">
        <v>0</v>
      </c>
      <c r="AI82" s="0" t="n">
        <v>79</v>
      </c>
      <c r="AJ82" s="0" t="n">
        <v>0</v>
      </c>
      <c r="AK82" s="0" t="n">
        <v>79</v>
      </c>
      <c r="AL82" s="0" t="n">
        <v>0</v>
      </c>
      <c r="AM82" s="0" t="n">
        <v>79</v>
      </c>
      <c r="AN82" s="0" t="n">
        <v>0</v>
      </c>
      <c r="AO82" s="0" t="n">
        <v>79</v>
      </c>
      <c r="AP82" s="0" t="n">
        <v>0</v>
      </c>
      <c r="AQ82" s="0" t="n">
        <v>79</v>
      </c>
      <c r="AR82" s="0" t="n">
        <v>0</v>
      </c>
      <c r="AS82" s="0" t="n">
        <v>79</v>
      </c>
      <c r="AT82" s="0" t="n">
        <v>0</v>
      </c>
      <c r="AU82" s="0" t="n">
        <v>79</v>
      </c>
      <c r="AV82" s="0" t="n">
        <v>0</v>
      </c>
      <c r="AW82" s="0" t="n">
        <v>79</v>
      </c>
      <c r="AX82" s="0" t="n">
        <v>0</v>
      </c>
      <c r="AY82" s="0" t="n">
        <v>79</v>
      </c>
      <c r="AZ82" s="0" t="n">
        <v>0</v>
      </c>
      <c r="BA82" s="0" t="n">
        <v>79</v>
      </c>
      <c r="BB82" s="0" t="n">
        <v>0</v>
      </c>
      <c r="BC82" s="0" t="n">
        <v>79</v>
      </c>
      <c r="BD82" s="0" t="n">
        <v>0</v>
      </c>
      <c r="BE82" s="0" t="n">
        <v>79</v>
      </c>
      <c r="BF82" s="0" t="n">
        <v>0</v>
      </c>
      <c r="BG82" s="0" t="n">
        <v>79</v>
      </c>
      <c r="BH82" s="0" t="n">
        <v>0</v>
      </c>
      <c r="BI82" s="0" t="n">
        <v>79</v>
      </c>
      <c r="BJ82" s="0" t="n">
        <v>0</v>
      </c>
      <c r="BK82" s="0" t="n">
        <v>79</v>
      </c>
      <c r="BL82" s="0" t="n">
        <v>0</v>
      </c>
      <c r="BM82" s="0" t="n">
        <v>79</v>
      </c>
      <c r="BN82" s="0" t="n">
        <v>0</v>
      </c>
      <c r="BO82" s="0" t="n">
        <v>79</v>
      </c>
      <c r="BP82" s="0" t="n">
        <v>0</v>
      </c>
      <c r="BQ82" s="0" t="n">
        <v>79</v>
      </c>
      <c r="BR82" s="0" t="n">
        <v>0</v>
      </c>
      <c r="BS82" s="0" t="n">
        <v>79</v>
      </c>
      <c r="BT82" s="0" t="n">
        <v>0</v>
      </c>
      <c r="BU82" s="0" t="n">
        <v>79</v>
      </c>
      <c r="BV82" s="0" t="n">
        <v>0</v>
      </c>
      <c r="BW82" s="0" t="n">
        <v>79</v>
      </c>
      <c r="BX82" s="0" t="n">
        <v>0</v>
      </c>
      <c r="BY82" s="0" t="n">
        <v>79</v>
      </c>
      <c r="BZ82" s="0" t="n">
        <v>0</v>
      </c>
      <c r="CA82" s="0" t="n">
        <v>79</v>
      </c>
      <c r="CB82" s="0" t="n">
        <v>0</v>
      </c>
      <c r="CC82" s="0" t="n">
        <v>79</v>
      </c>
      <c r="CD82" s="0" t="n">
        <v>0</v>
      </c>
      <c r="CE82" s="0" t="n">
        <v>79</v>
      </c>
      <c r="CF82" s="0" t="n">
        <v>0</v>
      </c>
      <c r="CG82" s="0" t="n">
        <v>79</v>
      </c>
      <c r="CH82" s="0" t="n">
        <v>0</v>
      </c>
      <c r="CI82" s="0" t="n">
        <v>79</v>
      </c>
      <c r="CJ82" s="0" t="n">
        <v>0</v>
      </c>
      <c r="CK82" s="0" t="n">
        <v>79</v>
      </c>
      <c r="CL82" s="0" t="n">
        <v>0</v>
      </c>
      <c r="CM82" s="0" t="n">
        <v>79</v>
      </c>
      <c r="CN82" s="0" t="n">
        <v>0</v>
      </c>
      <c r="CO82" s="0" t="n">
        <v>79</v>
      </c>
      <c r="CP82" s="0" t="n">
        <v>0</v>
      </c>
      <c r="CQ82" s="0" t="n">
        <v>79</v>
      </c>
      <c r="CR82" s="0" t="n">
        <v>0</v>
      </c>
      <c r="CS82" s="0" t="n">
        <v>79</v>
      </c>
      <c r="CT82" s="0" t="n">
        <v>0</v>
      </c>
      <c r="CU82" s="0" t="n">
        <v>79</v>
      </c>
      <c r="CV82" s="0" t="n">
        <v>0</v>
      </c>
      <c r="CW82" s="0" t="n">
        <v>79</v>
      </c>
      <c r="CX82" s="0" t="n">
        <v>0</v>
      </c>
    </row>
    <row r="83" customFormat="false" ht="12.75" hidden="false" customHeight="false" outlineLevel="0" collapsed="false">
      <c r="B83" s="0" t="n">
        <v>80</v>
      </c>
      <c r="C83" s="0" t="n">
        <v>0</v>
      </c>
      <c r="D83" s="0" t="n">
        <v>0</v>
      </c>
      <c r="E83" s="0" t="n">
        <v>80</v>
      </c>
      <c r="F83" s="0" t="n">
        <v>0</v>
      </c>
      <c r="G83" s="0" t="n">
        <v>80</v>
      </c>
      <c r="H83" s="0" t="n">
        <v>0</v>
      </c>
      <c r="I83" s="0" t="n">
        <v>80</v>
      </c>
      <c r="J83" s="0" t="n">
        <v>0</v>
      </c>
      <c r="K83" s="0" t="n">
        <v>80</v>
      </c>
      <c r="L83" s="0" t="n">
        <v>0</v>
      </c>
      <c r="M83" s="0" t="n">
        <v>80</v>
      </c>
      <c r="N83" s="0" t="n">
        <v>0</v>
      </c>
      <c r="O83" s="0" t="n">
        <v>80</v>
      </c>
      <c r="P83" s="0" t="n">
        <v>0</v>
      </c>
      <c r="Q83" s="0" t="n">
        <v>80</v>
      </c>
      <c r="R83" s="0" t="n">
        <v>0</v>
      </c>
      <c r="S83" s="0" t="n">
        <v>80</v>
      </c>
      <c r="T83" s="0" t="n">
        <v>0</v>
      </c>
      <c r="U83" s="0" t="n">
        <v>80</v>
      </c>
      <c r="V83" s="0" t="n">
        <v>0</v>
      </c>
      <c r="W83" s="0" t="n">
        <v>80</v>
      </c>
      <c r="X83" s="0" t="n">
        <v>0</v>
      </c>
      <c r="Y83" s="0" t="n">
        <v>80</v>
      </c>
      <c r="Z83" s="0" t="n">
        <v>0</v>
      </c>
      <c r="AA83" s="0" t="n">
        <v>80</v>
      </c>
      <c r="AB83" s="0" t="n">
        <v>0</v>
      </c>
      <c r="AC83" s="0" t="n">
        <v>80</v>
      </c>
      <c r="AD83" s="0" t="n">
        <v>0</v>
      </c>
      <c r="AE83" s="0" t="n">
        <v>80</v>
      </c>
      <c r="AF83" s="0" t="n">
        <v>0</v>
      </c>
      <c r="AG83" s="0" t="n">
        <v>80</v>
      </c>
      <c r="AH83" s="0" t="n">
        <v>0</v>
      </c>
      <c r="AI83" s="0" t="n">
        <v>80</v>
      </c>
      <c r="AJ83" s="0" t="n">
        <v>0</v>
      </c>
      <c r="AK83" s="0" t="n">
        <v>80</v>
      </c>
      <c r="AL83" s="0" t="n">
        <v>0</v>
      </c>
      <c r="AM83" s="0" t="n">
        <v>80</v>
      </c>
      <c r="AN83" s="0" t="n">
        <v>0</v>
      </c>
      <c r="AO83" s="0" t="n">
        <v>80</v>
      </c>
      <c r="AP83" s="0" t="n">
        <v>0</v>
      </c>
      <c r="AQ83" s="0" t="n">
        <v>80</v>
      </c>
      <c r="AR83" s="0" t="n">
        <v>0</v>
      </c>
      <c r="AS83" s="0" t="n">
        <v>80</v>
      </c>
      <c r="AT83" s="0" t="n">
        <v>0</v>
      </c>
      <c r="AU83" s="0" t="n">
        <v>80</v>
      </c>
      <c r="AV83" s="0" t="n">
        <v>0</v>
      </c>
      <c r="AW83" s="0" t="n">
        <v>80</v>
      </c>
      <c r="AX83" s="0" t="n">
        <v>0</v>
      </c>
      <c r="AY83" s="0" t="n">
        <v>80</v>
      </c>
      <c r="AZ83" s="0" t="n">
        <v>0</v>
      </c>
      <c r="BA83" s="0" t="n">
        <v>80</v>
      </c>
      <c r="BB83" s="0" t="n">
        <v>0</v>
      </c>
      <c r="BC83" s="0" t="n">
        <v>80</v>
      </c>
      <c r="BD83" s="0" t="n">
        <v>0</v>
      </c>
      <c r="BE83" s="0" t="n">
        <v>80</v>
      </c>
      <c r="BF83" s="0" t="n">
        <v>0</v>
      </c>
      <c r="BG83" s="0" t="n">
        <v>80</v>
      </c>
      <c r="BH83" s="0" t="n">
        <v>0</v>
      </c>
      <c r="BI83" s="0" t="n">
        <v>80</v>
      </c>
      <c r="BJ83" s="0" t="n">
        <v>0</v>
      </c>
      <c r="BK83" s="0" t="n">
        <v>80</v>
      </c>
      <c r="BL83" s="0" t="n">
        <v>0</v>
      </c>
      <c r="BM83" s="0" t="n">
        <v>80</v>
      </c>
      <c r="BN83" s="0" t="n">
        <v>0</v>
      </c>
      <c r="BO83" s="0" t="n">
        <v>80</v>
      </c>
      <c r="BP83" s="0" t="n">
        <v>0</v>
      </c>
      <c r="BQ83" s="0" t="n">
        <v>80</v>
      </c>
      <c r="BR83" s="0" t="n">
        <v>0</v>
      </c>
      <c r="BS83" s="0" t="n">
        <v>80</v>
      </c>
      <c r="BT83" s="0" t="n">
        <v>0</v>
      </c>
      <c r="BU83" s="0" t="n">
        <v>80</v>
      </c>
      <c r="BV83" s="0" t="n">
        <v>0</v>
      </c>
      <c r="BW83" s="0" t="n">
        <v>80</v>
      </c>
      <c r="BX83" s="0" t="n">
        <v>0</v>
      </c>
      <c r="BY83" s="0" t="n">
        <v>80</v>
      </c>
      <c r="BZ83" s="0" t="n">
        <v>0</v>
      </c>
      <c r="CA83" s="0" t="n">
        <v>80</v>
      </c>
      <c r="CB83" s="0" t="n">
        <v>0</v>
      </c>
      <c r="CC83" s="0" t="n">
        <v>80</v>
      </c>
      <c r="CD83" s="0" t="n">
        <v>0</v>
      </c>
      <c r="CE83" s="0" t="n">
        <v>80</v>
      </c>
      <c r="CF83" s="0" t="n">
        <v>0</v>
      </c>
      <c r="CG83" s="0" t="n">
        <v>80</v>
      </c>
      <c r="CH83" s="0" t="n">
        <v>0</v>
      </c>
      <c r="CI83" s="0" t="n">
        <v>80</v>
      </c>
      <c r="CJ83" s="0" t="n">
        <v>0</v>
      </c>
      <c r="CK83" s="0" t="n">
        <v>80</v>
      </c>
      <c r="CL83" s="0" t="n">
        <v>0</v>
      </c>
      <c r="CM83" s="0" t="n">
        <v>80</v>
      </c>
      <c r="CN83" s="0" t="n">
        <v>0</v>
      </c>
      <c r="CO83" s="0" t="n">
        <v>80</v>
      </c>
      <c r="CP83" s="0" t="n">
        <v>0</v>
      </c>
      <c r="CQ83" s="0" t="n">
        <v>80</v>
      </c>
      <c r="CR83" s="0" t="n">
        <v>0</v>
      </c>
      <c r="CS83" s="0" t="n">
        <v>80</v>
      </c>
      <c r="CT83" s="0" t="n">
        <v>0</v>
      </c>
      <c r="CU83" s="0" t="n">
        <v>80</v>
      </c>
      <c r="CV83" s="0" t="n">
        <v>0</v>
      </c>
      <c r="CW83" s="0" t="n">
        <v>80</v>
      </c>
      <c r="CX83" s="0" t="n">
        <v>0</v>
      </c>
    </row>
    <row r="84" customFormat="false" ht="12.75" hidden="false" customHeight="false" outlineLevel="0" collapsed="false">
      <c r="B84" s="0" t="n">
        <v>81</v>
      </c>
      <c r="C84" s="0" t="n">
        <v>0</v>
      </c>
      <c r="D84" s="0" t="n">
        <v>0</v>
      </c>
      <c r="E84" s="0" t="n">
        <v>81</v>
      </c>
      <c r="F84" s="0" t="n">
        <v>0</v>
      </c>
      <c r="G84" s="0" t="n">
        <v>81</v>
      </c>
      <c r="H84" s="0" t="n">
        <v>0</v>
      </c>
      <c r="I84" s="0" t="n">
        <v>81</v>
      </c>
      <c r="J84" s="0" t="n">
        <v>0</v>
      </c>
      <c r="K84" s="0" t="n">
        <v>81</v>
      </c>
      <c r="L84" s="0" t="n">
        <v>0</v>
      </c>
      <c r="M84" s="0" t="n">
        <v>81</v>
      </c>
      <c r="N84" s="0" t="n">
        <v>0</v>
      </c>
      <c r="O84" s="0" t="n">
        <v>81</v>
      </c>
      <c r="P84" s="0" t="n">
        <v>0</v>
      </c>
      <c r="Q84" s="0" t="n">
        <v>81</v>
      </c>
      <c r="R84" s="0" t="n">
        <v>0</v>
      </c>
      <c r="S84" s="0" t="n">
        <v>81</v>
      </c>
      <c r="T84" s="0" t="n">
        <v>0</v>
      </c>
      <c r="U84" s="0" t="n">
        <v>81</v>
      </c>
      <c r="V84" s="0" t="n">
        <v>0</v>
      </c>
      <c r="W84" s="0" t="n">
        <v>81</v>
      </c>
      <c r="X84" s="0" t="n">
        <v>0</v>
      </c>
      <c r="Y84" s="0" t="n">
        <v>81</v>
      </c>
      <c r="Z84" s="0" t="n">
        <v>0</v>
      </c>
      <c r="AA84" s="0" t="n">
        <v>81</v>
      </c>
      <c r="AB84" s="0" t="n">
        <v>0</v>
      </c>
      <c r="AC84" s="0" t="n">
        <v>81</v>
      </c>
      <c r="AD84" s="0" t="n">
        <v>0</v>
      </c>
      <c r="AE84" s="0" t="n">
        <v>81</v>
      </c>
      <c r="AF84" s="0" t="n">
        <v>0</v>
      </c>
      <c r="AG84" s="0" t="n">
        <v>81</v>
      </c>
      <c r="AH84" s="0" t="n">
        <v>0</v>
      </c>
      <c r="AI84" s="0" t="n">
        <v>81</v>
      </c>
      <c r="AJ84" s="0" t="n">
        <v>0</v>
      </c>
      <c r="AK84" s="0" t="n">
        <v>81</v>
      </c>
      <c r="AL84" s="0" t="n">
        <v>0</v>
      </c>
      <c r="AM84" s="0" t="n">
        <v>81</v>
      </c>
      <c r="AN84" s="0" t="n">
        <v>0</v>
      </c>
      <c r="AO84" s="0" t="n">
        <v>81</v>
      </c>
      <c r="AP84" s="0" t="n">
        <v>0</v>
      </c>
      <c r="AQ84" s="0" t="n">
        <v>81</v>
      </c>
      <c r="AR84" s="0" t="n">
        <v>0</v>
      </c>
      <c r="AS84" s="0" t="n">
        <v>81</v>
      </c>
      <c r="AT84" s="0" t="n">
        <v>0</v>
      </c>
      <c r="AU84" s="0" t="n">
        <v>81</v>
      </c>
      <c r="AV84" s="0" t="n">
        <v>0</v>
      </c>
      <c r="AW84" s="0" t="n">
        <v>81</v>
      </c>
      <c r="AX84" s="0" t="n">
        <v>0</v>
      </c>
      <c r="AY84" s="0" t="n">
        <v>81</v>
      </c>
      <c r="AZ84" s="0" t="n">
        <v>0</v>
      </c>
      <c r="BA84" s="0" t="n">
        <v>81</v>
      </c>
      <c r="BB84" s="0" t="n">
        <v>0</v>
      </c>
      <c r="BC84" s="0" t="n">
        <v>81</v>
      </c>
      <c r="BD84" s="0" t="n">
        <v>0</v>
      </c>
      <c r="BE84" s="0" t="n">
        <v>81</v>
      </c>
      <c r="BF84" s="0" t="n">
        <v>0</v>
      </c>
      <c r="BG84" s="0" t="n">
        <v>81</v>
      </c>
      <c r="BH84" s="0" t="n">
        <v>0</v>
      </c>
      <c r="BI84" s="0" t="n">
        <v>81</v>
      </c>
      <c r="BJ84" s="0" t="n">
        <v>0</v>
      </c>
      <c r="BK84" s="0" t="n">
        <v>81</v>
      </c>
      <c r="BL84" s="0" t="n">
        <v>0</v>
      </c>
      <c r="BM84" s="0" t="n">
        <v>81</v>
      </c>
      <c r="BN84" s="0" t="n">
        <v>0</v>
      </c>
      <c r="BO84" s="0" t="n">
        <v>81</v>
      </c>
      <c r="BP84" s="0" t="n">
        <v>0</v>
      </c>
      <c r="BQ84" s="0" t="n">
        <v>81</v>
      </c>
      <c r="BR84" s="0" t="n">
        <v>0</v>
      </c>
      <c r="BS84" s="0" t="n">
        <v>81</v>
      </c>
      <c r="BT84" s="0" t="n">
        <v>0</v>
      </c>
      <c r="BU84" s="0" t="n">
        <v>81</v>
      </c>
      <c r="BV84" s="0" t="n">
        <v>0</v>
      </c>
      <c r="BW84" s="0" t="n">
        <v>81</v>
      </c>
      <c r="BX84" s="0" t="n">
        <v>0</v>
      </c>
      <c r="BY84" s="0" t="n">
        <v>81</v>
      </c>
      <c r="BZ84" s="0" t="n">
        <v>0</v>
      </c>
      <c r="CA84" s="0" t="n">
        <v>81</v>
      </c>
      <c r="CB84" s="0" t="n">
        <v>0</v>
      </c>
      <c r="CC84" s="0" t="n">
        <v>81</v>
      </c>
      <c r="CD84" s="0" t="n">
        <v>0</v>
      </c>
      <c r="CE84" s="0" t="n">
        <v>81</v>
      </c>
      <c r="CF84" s="0" t="n">
        <v>0</v>
      </c>
      <c r="CG84" s="0" t="n">
        <v>81</v>
      </c>
      <c r="CH84" s="0" t="n">
        <v>0</v>
      </c>
      <c r="CI84" s="0" t="n">
        <v>81</v>
      </c>
      <c r="CJ84" s="0" t="n">
        <v>0</v>
      </c>
      <c r="CK84" s="0" t="n">
        <v>81</v>
      </c>
      <c r="CL84" s="0" t="n">
        <v>0</v>
      </c>
      <c r="CM84" s="0" t="n">
        <v>81</v>
      </c>
      <c r="CN84" s="0" t="n">
        <v>0</v>
      </c>
      <c r="CO84" s="0" t="n">
        <v>81</v>
      </c>
      <c r="CP84" s="0" t="n">
        <v>0</v>
      </c>
      <c r="CQ84" s="0" t="n">
        <v>81</v>
      </c>
      <c r="CR84" s="0" t="n">
        <v>0</v>
      </c>
      <c r="CS84" s="0" t="n">
        <v>81</v>
      </c>
      <c r="CT84" s="0" t="n">
        <v>0</v>
      </c>
      <c r="CU84" s="0" t="n">
        <v>81</v>
      </c>
      <c r="CV84" s="0" t="n">
        <v>0</v>
      </c>
      <c r="CW84" s="0" t="n">
        <v>81</v>
      </c>
      <c r="CX84" s="0" t="n">
        <v>0</v>
      </c>
    </row>
    <row r="85" customFormat="false" ht="12.75" hidden="false" customHeight="false" outlineLevel="0" collapsed="false">
      <c r="B85" s="0" t="n">
        <v>82</v>
      </c>
      <c r="C85" s="0" t="n">
        <v>0</v>
      </c>
      <c r="D85" s="0" t="n">
        <v>0</v>
      </c>
      <c r="E85" s="0" t="n">
        <v>82</v>
      </c>
      <c r="F85" s="0" t="n">
        <v>0</v>
      </c>
      <c r="G85" s="0" t="n">
        <v>82</v>
      </c>
      <c r="H85" s="0" t="n">
        <v>0</v>
      </c>
      <c r="I85" s="0" t="n">
        <v>82</v>
      </c>
      <c r="J85" s="0" t="n">
        <v>0</v>
      </c>
      <c r="K85" s="0" t="n">
        <v>82</v>
      </c>
      <c r="L85" s="0" t="n">
        <v>0</v>
      </c>
      <c r="M85" s="0" t="n">
        <v>82</v>
      </c>
      <c r="N85" s="0" t="n">
        <v>0</v>
      </c>
      <c r="O85" s="0" t="n">
        <v>82</v>
      </c>
      <c r="P85" s="0" t="n">
        <v>0</v>
      </c>
      <c r="Q85" s="0" t="n">
        <v>82</v>
      </c>
      <c r="R85" s="0" t="n">
        <v>0</v>
      </c>
      <c r="S85" s="0" t="n">
        <v>82</v>
      </c>
      <c r="T85" s="0" t="n">
        <v>0</v>
      </c>
      <c r="U85" s="0" t="n">
        <v>82</v>
      </c>
      <c r="V85" s="0" t="n">
        <v>0</v>
      </c>
      <c r="W85" s="0" t="n">
        <v>82</v>
      </c>
      <c r="X85" s="0" t="n">
        <v>0</v>
      </c>
      <c r="Y85" s="0" t="n">
        <v>82</v>
      </c>
      <c r="Z85" s="0" t="n">
        <v>0</v>
      </c>
      <c r="AA85" s="0" t="n">
        <v>82</v>
      </c>
      <c r="AB85" s="0" t="n">
        <v>0</v>
      </c>
      <c r="AC85" s="0" t="n">
        <v>82</v>
      </c>
      <c r="AD85" s="0" t="n">
        <v>0</v>
      </c>
      <c r="AE85" s="0" t="n">
        <v>82</v>
      </c>
      <c r="AF85" s="0" t="n">
        <v>0</v>
      </c>
      <c r="AG85" s="0" t="n">
        <v>82</v>
      </c>
      <c r="AH85" s="0" t="n">
        <v>0</v>
      </c>
      <c r="AI85" s="0" t="n">
        <v>82</v>
      </c>
      <c r="AJ85" s="0" t="n">
        <v>0</v>
      </c>
      <c r="AK85" s="0" t="n">
        <v>82</v>
      </c>
      <c r="AL85" s="0" t="n">
        <v>0</v>
      </c>
      <c r="AM85" s="0" t="n">
        <v>82</v>
      </c>
      <c r="AN85" s="0" t="n">
        <v>0</v>
      </c>
      <c r="AO85" s="0" t="n">
        <v>82</v>
      </c>
      <c r="AP85" s="0" t="n">
        <v>0</v>
      </c>
      <c r="AQ85" s="0" t="n">
        <v>82</v>
      </c>
      <c r="AR85" s="0" t="n">
        <v>0</v>
      </c>
      <c r="AS85" s="0" t="n">
        <v>82</v>
      </c>
      <c r="AT85" s="0" t="n">
        <v>0</v>
      </c>
      <c r="AU85" s="0" t="n">
        <v>82</v>
      </c>
      <c r="AV85" s="0" t="n">
        <v>0</v>
      </c>
      <c r="AW85" s="0" t="n">
        <v>82</v>
      </c>
      <c r="AX85" s="0" t="n">
        <v>0</v>
      </c>
      <c r="AY85" s="0" t="n">
        <v>82</v>
      </c>
      <c r="AZ85" s="0" t="n">
        <v>0</v>
      </c>
      <c r="BA85" s="0" t="n">
        <v>82</v>
      </c>
      <c r="BB85" s="0" t="n">
        <v>0</v>
      </c>
      <c r="BC85" s="0" t="n">
        <v>82</v>
      </c>
      <c r="BD85" s="0" t="n">
        <v>0</v>
      </c>
      <c r="BE85" s="0" t="n">
        <v>82</v>
      </c>
      <c r="BF85" s="0" t="n">
        <v>0</v>
      </c>
      <c r="BG85" s="0" t="n">
        <v>82</v>
      </c>
      <c r="BH85" s="0" t="n">
        <v>0</v>
      </c>
      <c r="BI85" s="0" t="n">
        <v>82</v>
      </c>
      <c r="BJ85" s="0" t="n">
        <v>0</v>
      </c>
      <c r="BK85" s="0" t="n">
        <v>82</v>
      </c>
      <c r="BL85" s="0" t="n">
        <v>0</v>
      </c>
      <c r="BM85" s="0" t="n">
        <v>82</v>
      </c>
      <c r="BN85" s="0" t="n">
        <v>0</v>
      </c>
      <c r="BO85" s="0" t="n">
        <v>82</v>
      </c>
      <c r="BP85" s="0" t="n">
        <v>0</v>
      </c>
      <c r="BQ85" s="0" t="n">
        <v>82</v>
      </c>
      <c r="BR85" s="0" t="n">
        <v>0</v>
      </c>
      <c r="BS85" s="0" t="n">
        <v>82</v>
      </c>
      <c r="BT85" s="0" t="n">
        <v>0</v>
      </c>
      <c r="BU85" s="0" t="n">
        <v>82</v>
      </c>
      <c r="BV85" s="0" t="n">
        <v>0</v>
      </c>
      <c r="BW85" s="0" t="n">
        <v>82</v>
      </c>
      <c r="BX85" s="0" t="n">
        <v>0</v>
      </c>
      <c r="BY85" s="0" t="n">
        <v>82</v>
      </c>
      <c r="BZ85" s="0" t="n">
        <v>0</v>
      </c>
      <c r="CA85" s="0" t="n">
        <v>82</v>
      </c>
      <c r="CB85" s="0" t="n">
        <v>0</v>
      </c>
      <c r="CC85" s="0" t="n">
        <v>82</v>
      </c>
      <c r="CD85" s="0" t="n">
        <v>0</v>
      </c>
      <c r="CE85" s="0" t="n">
        <v>82</v>
      </c>
      <c r="CF85" s="0" t="n">
        <v>0</v>
      </c>
      <c r="CG85" s="0" t="n">
        <v>82</v>
      </c>
      <c r="CH85" s="0" t="n">
        <v>0</v>
      </c>
      <c r="CI85" s="0" t="n">
        <v>82</v>
      </c>
      <c r="CJ85" s="0" t="n">
        <v>0</v>
      </c>
      <c r="CK85" s="0" t="n">
        <v>82</v>
      </c>
      <c r="CL85" s="0" t="n">
        <v>0</v>
      </c>
      <c r="CM85" s="0" t="n">
        <v>82</v>
      </c>
      <c r="CN85" s="0" t="n">
        <v>0</v>
      </c>
      <c r="CO85" s="0" t="n">
        <v>82</v>
      </c>
      <c r="CP85" s="0" t="n">
        <v>0</v>
      </c>
      <c r="CQ85" s="0" t="n">
        <v>82</v>
      </c>
      <c r="CR85" s="0" t="n">
        <v>0</v>
      </c>
      <c r="CS85" s="0" t="n">
        <v>82</v>
      </c>
      <c r="CT85" s="0" t="n">
        <v>0</v>
      </c>
      <c r="CU85" s="0" t="n">
        <v>82</v>
      </c>
      <c r="CV85" s="0" t="n">
        <v>0</v>
      </c>
      <c r="CW85" s="0" t="n">
        <v>82</v>
      </c>
      <c r="CX85" s="0" t="n">
        <v>0</v>
      </c>
    </row>
    <row r="86" customFormat="false" ht="12.75" hidden="false" customHeight="false" outlineLevel="0" collapsed="false">
      <c r="B86" s="0" t="n">
        <v>83</v>
      </c>
      <c r="C86" s="0" t="n">
        <v>0</v>
      </c>
      <c r="D86" s="0" t="n">
        <v>0</v>
      </c>
      <c r="E86" s="0" t="n">
        <v>83</v>
      </c>
      <c r="F86" s="0" t="n">
        <v>0</v>
      </c>
      <c r="G86" s="0" t="n">
        <v>83</v>
      </c>
      <c r="H86" s="0" t="n">
        <v>0</v>
      </c>
      <c r="I86" s="0" t="n">
        <v>83</v>
      </c>
      <c r="J86" s="0" t="n">
        <v>0</v>
      </c>
      <c r="K86" s="0" t="n">
        <v>83</v>
      </c>
      <c r="L86" s="0" t="n">
        <v>0</v>
      </c>
      <c r="M86" s="0" t="n">
        <v>83</v>
      </c>
      <c r="N86" s="0" t="n">
        <v>0</v>
      </c>
      <c r="O86" s="0" t="n">
        <v>83</v>
      </c>
      <c r="P86" s="0" t="n">
        <v>0</v>
      </c>
      <c r="Q86" s="0" t="n">
        <v>83</v>
      </c>
      <c r="R86" s="0" t="n">
        <v>0</v>
      </c>
      <c r="S86" s="0" t="n">
        <v>83</v>
      </c>
      <c r="T86" s="0" t="n">
        <v>0</v>
      </c>
      <c r="U86" s="0" t="n">
        <v>83</v>
      </c>
      <c r="V86" s="0" t="n">
        <v>0</v>
      </c>
      <c r="W86" s="0" t="n">
        <v>83</v>
      </c>
      <c r="X86" s="0" t="n">
        <v>0</v>
      </c>
      <c r="Y86" s="0" t="n">
        <v>83</v>
      </c>
      <c r="Z86" s="0" t="n">
        <v>0</v>
      </c>
      <c r="AA86" s="0" t="n">
        <v>83</v>
      </c>
      <c r="AB86" s="0" t="n">
        <v>0</v>
      </c>
      <c r="AC86" s="0" t="n">
        <v>83</v>
      </c>
      <c r="AD86" s="0" t="n">
        <v>0</v>
      </c>
      <c r="AE86" s="0" t="n">
        <v>83</v>
      </c>
      <c r="AF86" s="0" t="n">
        <v>0</v>
      </c>
      <c r="AG86" s="0" t="n">
        <v>83</v>
      </c>
      <c r="AH86" s="0" t="n">
        <v>0</v>
      </c>
      <c r="AI86" s="0" t="n">
        <v>83</v>
      </c>
      <c r="AJ86" s="0" t="n">
        <v>0</v>
      </c>
      <c r="AK86" s="0" t="n">
        <v>83</v>
      </c>
      <c r="AL86" s="0" t="n">
        <v>0</v>
      </c>
      <c r="AM86" s="0" t="n">
        <v>83</v>
      </c>
      <c r="AN86" s="0" t="n">
        <v>0</v>
      </c>
      <c r="AO86" s="0" t="n">
        <v>83</v>
      </c>
      <c r="AP86" s="0" t="n">
        <v>0</v>
      </c>
      <c r="AQ86" s="0" t="n">
        <v>83</v>
      </c>
      <c r="AR86" s="0" t="n">
        <v>0</v>
      </c>
      <c r="AS86" s="0" t="n">
        <v>83</v>
      </c>
      <c r="AT86" s="0" t="n">
        <v>0</v>
      </c>
      <c r="AU86" s="0" t="n">
        <v>83</v>
      </c>
      <c r="AV86" s="0" t="n">
        <v>0</v>
      </c>
      <c r="AW86" s="0" t="n">
        <v>83</v>
      </c>
      <c r="AX86" s="0" t="n">
        <v>0</v>
      </c>
      <c r="AY86" s="0" t="n">
        <v>83</v>
      </c>
      <c r="AZ86" s="0" t="n">
        <v>0</v>
      </c>
      <c r="BA86" s="0" t="n">
        <v>83</v>
      </c>
      <c r="BB86" s="0" t="n">
        <v>0</v>
      </c>
      <c r="BC86" s="0" t="n">
        <v>83</v>
      </c>
      <c r="BD86" s="0" t="n">
        <v>0</v>
      </c>
      <c r="BE86" s="0" t="n">
        <v>83</v>
      </c>
      <c r="BF86" s="0" t="n">
        <v>0</v>
      </c>
      <c r="BG86" s="0" t="n">
        <v>83</v>
      </c>
      <c r="BH86" s="0" t="n">
        <v>0</v>
      </c>
      <c r="BI86" s="0" t="n">
        <v>83</v>
      </c>
      <c r="BJ86" s="0" t="n">
        <v>0</v>
      </c>
      <c r="BK86" s="0" t="n">
        <v>83</v>
      </c>
      <c r="BL86" s="0" t="n">
        <v>0</v>
      </c>
      <c r="BM86" s="0" t="n">
        <v>83</v>
      </c>
      <c r="BN86" s="0" t="n">
        <v>0</v>
      </c>
      <c r="BO86" s="0" t="n">
        <v>83</v>
      </c>
      <c r="BP86" s="0" t="n">
        <v>0</v>
      </c>
      <c r="BQ86" s="0" t="n">
        <v>83</v>
      </c>
      <c r="BR86" s="0" t="n">
        <v>0</v>
      </c>
      <c r="BS86" s="0" t="n">
        <v>83</v>
      </c>
      <c r="BT86" s="0" t="n">
        <v>0</v>
      </c>
      <c r="BU86" s="0" t="n">
        <v>83</v>
      </c>
      <c r="BV86" s="0" t="n">
        <v>0</v>
      </c>
      <c r="BW86" s="0" t="n">
        <v>83</v>
      </c>
      <c r="BX86" s="0" t="n">
        <v>0</v>
      </c>
      <c r="BY86" s="0" t="n">
        <v>83</v>
      </c>
      <c r="BZ86" s="0" t="n">
        <v>0</v>
      </c>
      <c r="CA86" s="0" t="n">
        <v>83</v>
      </c>
      <c r="CB86" s="0" t="n">
        <v>0</v>
      </c>
      <c r="CC86" s="0" t="n">
        <v>83</v>
      </c>
      <c r="CD86" s="0" t="n">
        <v>0</v>
      </c>
      <c r="CE86" s="0" t="n">
        <v>83</v>
      </c>
      <c r="CF86" s="0" t="n">
        <v>0</v>
      </c>
      <c r="CG86" s="0" t="n">
        <v>83</v>
      </c>
      <c r="CH86" s="0" t="n">
        <v>0</v>
      </c>
      <c r="CI86" s="0" t="n">
        <v>83</v>
      </c>
      <c r="CJ86" s="0" t="n">
        <v>0</v>
      </c>
      <c r="CK86" s="0" t="n">
        <v>83</v>
      </c>
      <c r="CL86" s="0" t="n">
        <v>0</v>
      </c>
      <c r="CM86" s="0" t="n">
        <v>83</v>
      </c>
      <c r="CN86" s="0" t="n">
        <v>0</v>
      </c>
      <c r="CO86" s="0" t="n">
        <v>83</v>
      </c>
      <c r="CP86" s="0" t="n">
        <v>0</v>
      </c>
      <c r="CQ86" s="0" t="n">
        <v>83</v>
      </c>
      <c r="CR86" s="0" t="n">
        <v>0</v>
      </c>
      <c r="CS86" s="0" t="n">
        <v>83</v>
      </c>
      <c r="CT86" s="0" t="n">
        <v>0</v>
      </c>
      <c r="CU86" s="0" t="n">
        <v>83</v>
      </c>
      <c r="CV86" s="0" t="n">
        <v>0</v>
      </c>
      <c r="CW86" s="0" t="n">
        <v>83</v>
      </c>
      <c r="CX86" s="0" t="n">
        <v>0</v>
      </c>
    </row>
    <row r="87" customFormat="false" ht="12.75" hidden="false" customHeight="false" outlineLevel="0" collapsed="false">
      <c r="B87" s="0" t="n">
        <v>84</v>
      </c>
      <c r="C87" s="0" t="n">
        <v>0</v>
      </c>
      <c r="D87" s="0" t="n">
        <v>0</v>
      </c>
      <c r="E87" s="0" t="n">
        <v>84</v>
      </c>
      <c r="F87" s="0" t="n">
        <v>0</v>
      </c>
      <c r="G87" s="0" t="n">
        <v>84</v>
      </c>
      <c r="H87" s="0" t="n">
        <v>0</v>
      </c>
      <c r="I87" s="0" t="n">
        <v>84</v>
      </c>
      <c r="J87" s="0" t="n">
        <v>0</v>
      </c>
      <c r="K87" s="0" t="n">
        <v>84</v>
      </c>
      <c r="L87" s="0" t="n">
        <v>0</v>
      </c>
      <c r="M87" s="0" t="n">
        <v>84</v>
      </c>
      <c r="N87" s="0" t="n">
        <v>0</v>
      </c>
      <c r="O87" s="0" t="n">
        <v>84</v>
      </c>
      <c r="P87" s="0" t="n">
        <v>0</v>
      </c>
      <c r="Q87" s="0" t="n">
        <v>84</v>
      </c>
      <c r="R87" s="0" t="n">
        <v>0</v>
      </c>
      <c r="S87" s="0" t="n">
        <v>84</v>
      </c>
      <c r="T87" s="0" t="n">
        <v>0</v>
      </c>
      <c r="U87" s="0" t="n">
        <v>84</v>
      </c>
      <c r="V87" s="0" t="n">
        <v>0</v>
      </c>
      <c r="W87" s="0" t="n">
        <v>84</v>
      </c>
      <c r="X87" s="0" t="n">
        <v>0</v>
      </c>
      <c r="Y87" s="0" t="n">
        <v>84</v>
      </c>
      <c r="Z87" s="0" t="n">
        <v>0</v>
      </c>
      <c r="AA87" s="0" t="n">
        <v>84</v>
      </c>
      <c r="AB87" s="0" t="n">
        <v>0</v>
      </c>
      <c r="AC87" s="0" t="n">
        <v>84</v>
      </c>
      <c r="AD87" s="0" t="n">
        <v>0</v>
      </c>
      <c r="AE87" s="0" t="n">
        <v>84</v>
      </c>
      <c r="AF87" s="0" t="n">
        <v>0</v>
      </c>
      <c r="AG87" s="0" t="n">
        <v>84</v>
      </c>
      <c r="AH87" s="0" t="n">
        <v>0</v>
      </c>
      <c r="AI87" s="0" t="n">
        <v>84</v>
      </c>
      <c r="AJ87" s="0" t="n">
        <v>0</v>
      </c>
      <c r="AK87" s="0" t="n">
        <v>84</v>
      </c>
      <c r="AL87" s="0" t="n">
        <v>0</v>
      </c>
      <c r="AM87" s="0" t="n">
        <v>84</v>
      </c>
      <c r="AN87" s="0" t="n">
        <v>0</v>
      </c>
      <c r="AO87" s="0" t="n">
        <v>84</v>
      </c>
      <c r="AP87" s="0" t="n">
        <v>0</v>
      </c>
      <c r="AQ87" s="0" t="n">
        <v>84</v>
      </c>
      <c r="AR87" s="0" t="n">
        <v>0</v>
      </c>
      <c r="AS87" s="0" t="n">
        <v>84</v>
      </c>
      <c r="AT87" s="0" t="n">
        <v>0</v>
      </c>
      <c r="AU87" s="0" t="n">
        <v>84</v>
      </c>
      <c r="AV87" s="0" t="n">
        <v>0</v>
      </c>
      <c r="AW87" s="0" t="n">
        <v>84</v>
      </c>
      <c r="AX87" s="0" t="n">
        <v>0</v>
      </c>
      <c r="AY87" s="0" t="n">
        <v>84</v>
      </c>
      <c r="AZ87" s="0" t="n">
        <v>0</v>
      </c>
      <c r="BA87" s="0" t="n">
        <v>84</v>
      </c>
      <c r="BB87" s="0" t="n">
        <v>0</v>
      </c>
      <c r="BC87" s="0" t="n">
        <v>84</v>
      </c>
      <c r="BD87" s="0" t="n">
        <v>0</v>
      </c>
      <c r="BE87" s="0" t="n">
        <v>84</v>
      </c>
      <c r="BF87" s="0" t="n">
        <v>0</v>
      </c>
      <c r="BG87" s="0" t="n">
        <v>84</v>
      </c>
      <c r="BH87" s="0" t="n">
        <v>0</v>
      </c>
      <c r="BI87" s="0" t="n">
        <v>84</v>
      </c>
      <c r="BJ87" s="0" t="n">
        <v>0</v>
      </c>
      <c r="BK87" s="0" t="n">
        <v>84</v>
      </c>
      <c r="BL87" s="0" t="n">
        <v>0</v>
      </c>
      <c r="BM87" s="0" t="n">
        <v>84</v>
      </c>
      <c r="BN87" s="0" t="n">
        <v>0</v>
      </c>
      <c r="BO87" s="0" t="n">
        <v>84</v>
      </c>
      <c r="BP87" s="0" t="n">
        <v>0</v>
      </c>
      <c r="BQ87" s="0" t="n">
        <v>84</v>
      </c>
      <c r="BR87" s="0" t="n">
        <v>0</v>
      </c>
      <c r="BS87" s="0" t="n">
        <v>84</v>
      </c>
      <c r="BT87" s="0" t="n">
        <v>0</v>
      </c>
      <c r="BU87" s="0" t="n">
        <v>84</v>
      </c>
      <c r="BV87" s="0" t="n">
        <v>0</v>
      </c>
      <c r="BW87" s="0" t="n">
        <v>84</v>
      </c>
      <c r="BX87" s="0" t="n">
        <v>0</v>
      </c>
      <c r="BY87" s="0" t="n">
        <v>84</v>
      </c>
      <c r="BZ87" s="0" t="n">
        <v>0</v>
      </c>
      <c r="CA87" s="0" t="n">
        <v>84</v>
      </c>
      <c r="CB87" s="0" t="n">
        <v>0</v>
      </c>
      <c r="CC87" s="0" t="n">
        <v>84</v>
      </c>
      <c r="CD87" s="0" t="n">
        <v>0</v>
      </c>
      <c r="CE87" s="0" t="n">
        <v>84</v>
      </c>
      <c r="CF87" s="0" t="n">
        <v>0</v>
      </c>
      <c r="CG87" s="0" t="n">
        <v>84</v>
      </c>
      <c r="CH87" s="0" t="n">
        <v>0</v>
      </c>
      <c r="CI87" s="0" t="n">
        <v>84</v>
      </c>
      <c r="CJ87" s="0" t="n">
        <v>0</v>
      </c>
      <c r="CK87" s="0" t="n">
        <v>84</v>
      </c>
      <c r="CL87" s="0" t="n">
        <v>0</v>
      </c>
      <c r="CM87" s="0" t="n">
        <v>84</v>
      </c>
      <c r="CN87" s="0" t="n">
        <v>0</v>
      </c>
      <c r="CO87" s="0" t="n">
        <v>84</v>
      </c>
      <c r="CP87" s="0" t="n">
        <v>0</v>
      </c>
      <c r="CQ87" s="0" t="n">
        <v>84</v>
      </c>
      <c r="CR87" s="0" t="n">
        <v>0</v>
      </c>
      <c r="CS87" s="0" t="n">
        <v>84</v>
      </c>
      <c r="CT87" s="0" t="n">
        <v>0</v>
      </c>
      <c r="CU87" s="0" t="n">
        <v>84</v>
      </c>
      <c r="CV87" s="0" t="n">
        <v>0</v>
      </c>
      <c r="CW87" s="0" t="n">
        <v>84</v>
      </c>
      <c r="CX87" s="0" t="n">
        <v>0</v>
      </c>
    </row>
    <row r="88" customFormat="false" ht="12.75" hidden="false" customHeight="false" outlineLevel="0" collapsed="false">
      <c r="B88" s="0" t="n">
        <v>85</v>
      </c>
      <c r="C88" s="0" t="n">
        <v>0</v>
      </c>
      <c r="D88" s="0" t="n">
        <v>0</v>
      </c>
      <c r="E88" s="0" t="n">
        <v>85</v>
      </c>
      <c r="F88" s="0" t="n">
        <v>0</v>
      </c>
      <c r="G88" s="0" t="n">
        <v>85</v>
      </c>
      <c r="H88" s="0" t="n">
        <v>0</v>
      </c>
      <c r="I88" s="0" t="n">
        <v>85</v>
      </c>
      <c r="J88" s="0" t="n">
        <v>0</v>
      </c>
      <c r="K88" s="0" t="n">
        <v>85</v>
      </c>
      <c r="L88" s="0" t="n">
        <v>0</v>
      </c>
      <c r="M88" s="0" t="n">
        <v>85</v>
      </c>
      <c r="N88" s="0" t="n">
        <v>0</v>
      </c>
      <c r="O88" s="0" t="n">
        <v>85</v>
      </c>
      <c r="P88" s="0" t="n">
        <v>0</v>
      </c>
      <c r="Q88" s="0" t="n">
        <v>85</v>
      </c>
      <c r="R88" s="0" t="n">
        <v>0</v>
      </c>
      <c r="S88" s="0" t="n">
        <v>85</v>
      </c>
      <c r="T88" s="0" t="n">
        <v>0</v>
      </c>
      <c r="U88" s="0" t="n">
        <v>85</v>
      </c>
      <c r="V88" s="0" t="n">
        <v>0</v>
      </c>
      <c r="W88" s="0" t="n">
        <v>85</v>
      </c>
      <c r="X88" s="0" t="n">
        <v>0</v>
      </c>
      <c r="Y88" s="0" t="n">
        <v>85</v>
      </c>
      <c r="Z88" s="0" t="n">
        <v>0</v>
      </c>
      <c r="AA88" s="0" t="n">
        <v>85</v>
      </c>
      <c r="AB88" s="0" t="n">
        <v>0</v>
      </c>
      <c r="AC88" s="0" t="n">
        <v>85</v>
      </c>
      <c r="AD88" s="0" t="n">
        <v>0</v>
      </c>
      <c r="AE88" s="0" t="n">
        <v>85</v>
      </c>
      <c r="AF88" s="0" t="n">
        <v>0</v>
      </c>
      <c r="AG88" s="0" t="n">
        <v>85</v>
      </c>
      <c r="AH88" s="0" t="n">
        <v>0</v>
      </c>
      <c r="AI88" s="0" t="n">
        <v>85</v>
      </c>
      <c r="AJ88" s="0" t="n">
        <v>0</v>
      </c>
      <c r="AK88" s="0" t="n">
        <v>85</v>
      </c>
      <c r="AL88" s="0" t="n">
        <v>0</v>
      </c>
      <c r="AM88" s="0" t="n">
        <v>85</v>
      </c>
      <c r="AN88" s="0" t="n">
        <v>0</v>
      </c>
      <c r="AO88" s="0" t="n">
        <v>85</v>
      </c>
      <c r="AP88" s="0" t="n">
        <v>0</v>
      </c>
      <c r="AQ88" s="0" t="n">
        <v>85</v>
      </c>
      <c r="AR88" s="0" t="n">
        <v>0</v>
      </c>
      <c r="AS88" s="0" t="n">
        <v>85</v>
      </c>
      <c r="AT88" s="0" t="n">
        <v>0</v>
      </c>
      <c r="AU88" s="0" t="n">
        <v>85</v>
      </c>
      <c r="AV88" s="0" t="n">
        <v>0</v>
      </c>
      <c r="AW88" s="0" t="n">
        <v>85</v>
      </c>
      <c r="AX88" s="0" t="n">
        <v>0</v>
      </c>
      <c r="AY88" s="0" t="n">
        <v>85</v>
      </c>
      <c r="AZ88" s="0" t="n">
        <v>0</v>
      </c>
      <c r="BA88" s="0" t="n">
        <v>85</v>
      </c>
      <c r="BB88" s="0" t="n">
        <v>0</v>
      </c>
      <c r="BC88" s="0" t="n">
        <v>85</v>
      </c>
      <c r="BD88" s="0" t="n">
        <v>0</v>
      </c>
      <c r="BE88" s="0" t="n">
        <v>85</v>
      </c>
      <c r="BF88" s="0" t="n">
        <v>0</v>
      </c>
      <c r="BG88" s="0" t="n">
        <v>85</v>
      </c>
      <c r="BH88" s="0" t="n">
        <v>0</v>
      </c>
      <c r="BI88" s="0" t="n">
        <v>85</v>
      </c>
      <c r="BJ88" s="0" t="n">
        <v>0</v>
      </c>
      <c r="BK88" s="0" t="n">
        <v>85</v>
      </c>
      <c r="BL88" s="0" t="n">
        <v>0</v>
      </c>
      <c r="BM88" s="0" t="n">
        <v>85</v>
      </c>
      <c r="BN88" s="0" t="n">
        <v>0</v>
      </c>
      <c r="BO88" s="0" t="n">
        <v>85</v>
      </c>
      <c r="BP88" s="0" t="n">
        <v>0</v>
      </c>
      <c r="BQ88" s="0" t="n">
        <v>85</v>
      </c>
      <c r="BR88" s="0" t="n">
        <v>0</v>
      </c>
      <c r="BS88" s="0" t="n">
        <v>85</v>
      </c>
      <c r="BT88" s="0" t="n">
        <v>0</v>
      </c>
      <c r="BU88" s="0" t="n">
        <v>85</v>
      </c>
      <c r="BV88" s="0" t="n">
        <v>0</v>
      </c>
      <c r="BW88" s="0" t="n">
        <v>85</v>
      </c>
      <c r="BX88" s="0" t="n">
        <v>0</v>
      </c>
      <c r="BY88" s="0" t="n">
        <v>85</v>
      </c>
      <c r="BZ88" s="0" t="n">
        <v>0</v>
      </c>
      <c r="CA88" s="0" t="n">
        <v>85</v>
      </c>
      <c r="CB88" s="0" t="n">
        <v>0</v>
      </c>
      <c r="CC88" s="0" t="n">
        <v>85</v>
      </c>
      <c r="CD88" s="0" t="n">
        <v>0</v>
      </c>
      <c r="CE88" s="0" t="n">
        <v>85</v>
      </c>
      <c r="CF88" s="0" t="n">
        <v>0</v>
      </c>
      <c r="CG88" s="0" t="n">
        <v>85</v>
      </c>
      <c r="CH88" s="0" t="n">
        <v>0</v>
      </c>
      <c r="CI88" s="0" t="n">
        <v>85</v>
      </c>
      <c r="CJ88" s="0" t="n">
        <v>0</v>
      </c>
      <c r="CK88" s="0" t="n">
        <v>85</v>
      </c>
      <c r="CL88" s="0" t="n">
        <v>0</v>
      </c>
      <c r="CM88" s="0" t="n">
        <v>85</v>
      </c>
      <c r="CN88" s="0" t="n">
        <v>0</v>
      </c>
      <c r="CO88" s="0" t="n">
        <v>85</v>
      </c>
      <c r="CP88" s="0" t="n">
        <v>0</v>
      </c>
      <c r="CQ88" s="0" t="n">
        <v>85</v>
      </c>
      <c r="CR88" s="0" t="n">
        <v>0</v>
      </c>
      <c r="CS88" s="0" t="n">
        <v>85</v>
      </c>
      <c r="CT88" s="0" t="n">
        <v>0</v>
      </c>
      <c r="CU88" s="0" t="n">
        <v>85</v>
      </c>
      <c r="CV88" s="0" t="n">
        <v>0</v>
      </c>
      <c r="CW88" s="0" t="n">
        <v>85</v>
      </c>
      <c r="CX88" s="0" t="n">
        <v>0</v>
      </c>
    </row>
    <row r="89" customFormat="false" ht="12.75" hidden="false" customHeight="false" outlineLevel="0" collapsed="false">
      <c r="B89" s="0" t="n">
        <v>86</v>
      </c>
      <c r="C89" s="0" t="n">
        <v>0</v>
      </c>
      <c r="D89" s="0" t="n">
        <v>0</v>
      </c>
      <c r="E89" s="0" t="n">
        <v>86</v>
      </c>
      <c r="F89" s="0" t="n">
        <v>0</v>
      </c>
      <c r="G89" s="0" t="n">
        <v>86</v>
      </c>
      <c r="H89" s="0" t="n">
        <v>0</v>
      </c>
      <c r="I89" s="0" t="n">
        <v>86</v>
      </c>
      <c r="J89" s="0" t="n">
        <v>0</v>
      </c>
      <c r="K89" s="0" t="n">
        <v>86</v>
      </c>
      <c r="L89" s="0" t="n">
        <v>0</v>
      </c>
      <c r="M89" s="0" t="n">
        <v>86</v>
      </c>
      <c r="N89" s="0" t="n">
        <v>0</v>
      </c>
      <c r="O89" s="0" t="n">
        <v>86</v>
      </c>
      <c r="P89" s="0" t="n">
        <v>0</v>
      </c>
      <c r="Q89" s="0" t="n">
        <v>86</v>
      </c>
      <c r="R89" s="0" t="n">
        <v>0</v>
      </c>
      <c r="S89" s="0" t="n">
        <v>86</v>
      </c>
      <c r="T89" s="0" t="n">
        <v>0</v>
      </c>
      <c r="U89" s="0" t="n">
        <v>86</v>
      </c>
      <c r="V89" s="0" t="n">
        <v>0</v>
      </c>
      <c r="W89" s="0" t="n">
        <v>86</v>
      </c>
      <c r="X89" s="0" t="n">
        <v>0</v>
      </c>
      <c r="Y89" s="0" t="n">
        <v>86</v>
      </c>
      <c r="Z89" s="0" t="n">
        <v>0</v>
      </c>
      <c r="AA89" s="0" t="n">
        <v>86</v>
      </c>
      <c r="AB89" s="0" t="n">
        <v>0</v>
      </c>
      <c r="AC89" s="0" t="n">
        <v>86</v>
      </c>
      <c r="AD89" s="0" t="n">
        <v>0</v>
      </c>
      <c r="AE89" s="0" t="n">
        <v>86</v>
      </c>
      <c r="AF89" s="0" t="n">
        <v>0</v>
      </c>
      <c r="AG89" s="0" t="n">
        <v>86</v>
      </c>
      <c r="AH89" s="0" t="n">
        <v>0</v>
      </c>
      <c r="AI89" s="0" t="n">
        <v>86</v>
      </c>
      <c r="AJ89" s="0" t="n">
        <v>0</v>
      </c>
      <c r="AK89" s="0" t="n">
        <v>86</v>
      </c>
      <c r="AL89" s="0" t="n">
        <v>0</v>
      </c>
      <c r="AM89" s="0" t="n">
        <v>86</v>
      </c>
      <c r="AN89" s="0" t="n">
        <v>0</v>
      </c>
      <c r="AO89" s="0" t="n">
        <v>86</v>
      </c>
      <c r="AP89" s="0" t="n">
        <v>0</v>
      </c>
      <c r="AQ89" s="0" t="n">
        <v>86</v>
      </c>
      <c r="AR89" s="0" t="n">
        <v>0</v>
      </c>
      <c r="AS89" s="0" t="n">
        <v>86</v>
      </c>
      <c r="AT89" s="0" t="n">
        <v>0</v>
      </c>
      <c r="AU89" s="0" t="n">
        <v>86</v>
      </c>
      <c r="AV89" s="0" t="n">
        <v>0</v>
      </c>
      <c r="AW89" s="0" t="n">
        <v>86</v>
      </c>
      <c r="AX89" s="0" t="n">
        <v>0</v>
      </c>
      <c r="AY89" s="0" t="n">
        <v>86</v>
      </c>
      <c r="AZ89" s="0" t="n">
        <v>0</v>
      </c>
      <c r="BA89" s="0" t="n">
        <v>86</v>
      </c>
      <c r="BB89" s="0" t="n">
        <v>0</v>
      </c>
      <c r="BC89" s="0" t="n">
        <v>86</v>
      </c>
      <c r="BD89" s="0" t="n">
        <v>0</v>
      </c>
      <c r="BE89" s="0" t="n">
        <v>86</v>
      </c>
      <c r="BF89" s="0" t="n">
        <v>0</v>
      </c>
      <c r="BG89" s="0" t="n">
        <v>86</v>
      </c>
      <c r="BH89" s="0" t="n">
        <v>0</v>
      </c>
      <c r="BI89" s="0" t="n">
        <v>86</v>
      </c>
      <c r="BJ89" s="0" t="n">
        <v>0</v>
      </c>
      <c r="BK89" s="0" t="n">
        <v>86</v>
      </c>
      <c r="BL89" s="0" t="n">
        <v>0</v>
      </c>
      <c r="BM89" s="0" t="n">
        <v>86</v>
      </c>
      <c r="BN89" s="0" t="n">
        <v>0</v>
      </c>
      <c r="BO89" s="0" t="n">
        <v>86</v>
      </c>
      <c r="BP89" s="0" t="n">
        <v>0</v>
      </c>
      <c r="BQ89" s="0" t="n">
        <v>86</v>
      </c>
      <c r="BR89" s="0" t="n">
        <v>0</v>
      </c>
      <c r="BS89" s="0" t="n">
        <v>86</v>
      </c>
      <c r="BT89" s="0" t="n">
        <v>0</v>
      </c>
      <c r="BU89" s="0" t="n">
        <v>86</v>
      </c>
      <c r="BV89" s="0" t="n">
        <v>0</v>
      </c>
      <c r="BW89" s="0" t="n">
        <v>86</v>
      </c>
      <c r="BX89" s="0" t="n">
        <v>0</v>
      </c>
      <c r="BY89" s="0" t="n">
        <v>86</v>
      </c>
      <c r="BZ89" s="0" t="n">
        <v>0</v>
      </c>
      <c r="CA89" s="0" t="n">
        <v>86</v>
      </c>
      <c r="CB89" s="0" t="n">
        <v>0</v>
      </c>
      <c r="CC89" s="0" t="n">
        <v>86</v>
      </c>
      <c r="CD89" s="0" t="n">
        <v>0</v>
      </c>
      <c r="CE89" s="0" t="n">
        <v>86</v>
      </c>
      <c r="CF89" s="0" t="n">
        <v>0</v>
      </c>
      <c r="CG89" s="0" t="n">
        <v>86</v>
      </c>
      <c r="CH89" s="0" t="n">
        <v>0</v>
      </c>
      <c r="CI89" s="0" t="n">
        <v>86</v>
      </c>
      <c r="CJ89" s="0" t="n">
        <v>0</v>
      </c>
      <c r="CK89" s="0" t="n">
        <v>86</v>
      </c>
      <c r="CL89" s="0" t="n">
        <v>0</v>
      </c>
      <c r="CM89" s="0" t="n">
        <v>86</v>
      </c>
      <c r="CN89" s="0" t="n">
        <v>0</v>
      </c>
      <c r="CO89" s="0" t="n">
        <v>86</v>
      </c>
      <c r="CP89" s="0" t="n">
        <v>0</v>
      </c>
      <c r="CQ89" s="0" t="n">
        <v>86</v>
      </c>
      <c r="CR89" s="0" t="n">
        <v>0</v>
      </c>
      <c r="CS89" s="0" t="n">
        <v>86</v>
      </c>
      <c r="CT89" s="0" t="n">
        <v>0</v>
      </c>
      <c r="CU89" s="0" t="n">
        <v>86</v>
      </c>
      <c r="CV89" s="0" t="n">
        <v>0</v>
      </c>
      <c r="CW89" s="0" t="n">
        <v>86</v>
      </c>
      <c r="CX89" s="0" t="n">
        <v>0</v>
      </c>
    </row>
    <row r="90" customFormat="false" ht="12.75" hidden="false" customHeight="false" outlineLevel="0" collapsed="false">
      <c r="B90" s="0" t="n">
        <v>87</v>
      </c>
      <c r="C90" s="0" t="n">
        <v>0</v>
      </c>
      <c r="D90" s="0" t="n">
        <v>0</v>
      </c>
      <c r="E90" s="0" t="n">
        <v>87</v>
      </c>
      <c r="F90" s="0" t="n">
        <v>0</v>
      </c>
      <c r="G90" s="0" t="n">
        <v>87</v>
      </c>
      <c r="H90" s="0" t="n">
        <v>0</v>
      </c>
      <c r="I90" s="0" t="n">
        <v>87</v>
      </c>
      <c r="J90" s="0" t="n">
        <v>0</v>
      </c>
      <c r="K90" s="0" t="n">
        <v>87</v>
      </c>
      <c r="L90" s="0" t="n">
        <v>0</v>
      </c>
      <c r="M90" s="0" t="n">
        <v>87</v>
      </c>
      <c r="N90" s="0" t="n">
        <v>0</v>
      </c>
      <c r="O90" s="0" t="n">
        <v>87</v>
      </c>
      <c r="P90" s="0" t="n">
        <v>0</v>
      </c>
      <c r="Q90" s="0" t="n">
        <v>87</v>
      </c>
      <c r="R90" s="0" t="n">
        <v>0</v>
      </c>
      <c r="S90" s="0" t="n">
        <v>87</v>
      </c>
      <c r="T90" s="0" t="n">
        <v>0</v>
      </c>
      <c r="U90" s="0" t="n">
        <v>87</v>
      </c>
      <c r="V90" s="0" t="n">
        <v>0</v>
      </c>
      <c r="W90" s="0" t="n">
        <v>87</v>
      </c>
      <c r="X90" s="0" t="n">
        <v>0</v>
      </c>
      <c r="Y90" s="0" t="n">
        <v>87</v>
      </c>
      <c r="Z90" s="0" t="n">
        <v>0</v>
      </c>
      <c r="AA90" s="0" t="n">
        <v>87</v>
      </c>
      <c r="AB90" s="0" t="n">
        <v>0</v>
      </c>
      <c r="AC90" s="0" t="n">
        <v>87</v>
      </c>
      <c r="AD90" s="0" t="n">
        <v>0</v>
      </c>
      <c r="AE90" s="0" t="n">
        <v>87</v>
      </c>
      <c r="AF90" s="0" t="n">
        <v>0</v>
      </c>
      <c r="AG90" s="0" t="n">
        <v>87</v>
      </c>
      <c r="AH90" s="0" t="n">
        <v>0</v>
      </c>
      <c r="AI90" s="0" t="n">
        <v>87</v>
      </c>
      <c r="AJ90" s="0" t="n">
        <v>0</v>
      </c>
      <c r="AK90" s="0" t="n">
        <v>87</v>
      </c>
      <c r="AL90" s="0" t="n">
        <v>0</v>
      </c>
      <c r="AM90" s="0" t="n">
        <v>87</v>
      </c>
      <c r="AN90" s="0" t="n">
        <v>0</v>
      </c>
      <c r="AO90" s="0" t="n">
        <v>87</v>
      </c>
      <c r="AP90" s="0" t="n">
        <v>0</v>
      </c>
      <c r="AQ90" s="0" t="n">
        <v>87</v>
      </c>
      <c r="AR90" s="0" t="n">
        <v>0</v>
      </c>
      <c r="AS90" s="0" t="n">
        <v>87</v>
      </c>
      <c r="AT90" s="0" t="n">
        <v>0</v>
      </c>
      <c r="AU90" s="0" t="n">
        <v>87</v>
      </c>
      <c r="AV90" s="0" t="n">
        <v>0</v>
      </c>
      <c r="AW90" s="0" t="n">
        <v>87</v>
      </c>
      <c r="AX90" s="0" t="n">
        <v>0</v>
      </c>
      <c r="AY90" s="0" t="n">
        <v>87</v>
      </c>
      <c r="AZ90" s="0" t="n">
        <v>0</v>
      </c>
      <c r="BA90" s="0" t="n">
        <v>87</v>
      </c>
      <c r="BB90" s="0" t="n">
        <v>0</v>
      </c>
      <c r="BC90" s="0" t="n">
        <v>87</v>
      </c>
      <c r="BD90" s="0" t="n">
        <v>0</v>
      </c>
      <c r="BE90" s="0" t="n">
        <v>87</v>
      </c>
      <c r="BF90" s="0" t="n">
        <v>0</v>
      </c>
      <c r="BG90" s="0" t="n">
        <v>87</v>
      </c>
      <c r="BH90" s="0" t="n">
        <v>0</v>
      </c>
      <c r="BI90" s="0" t="n">
        <v>87</v>
      </c>
      <c r="BJ90" s="0" t="n">
        <v>0</v>
      </c>
      <c r="BK90" s="0" t="n">
        <v>87</v>
      </c>
      <c r="BL90" s="0" t="n">
        <v>0</v>
      </c>
      <c r="BM90" s="0" t="n">
        <v>87</v>
      </c>
      <c r="BN90" s="0" t="n">
        <v>0</v>
      </c>
      <c r="BO90" s="0" t="n">
        <v>87</v>
      </c>
      <c r="BP90" s="0" t="n">
        <v>0</v>
      </c>
      <c r="BQ90" s="0" t="n">
        <v>87</v>
      </c>
      <c r="BR90" s="0" t="n">
        <v>0</v>
      </c>
      <c r="BS90" s="0" t="n">
        <v>87</v>
      </c>
      <c r="BT90" s="0" t="n">
        <v>0</v>
      </c>
      <c r="BU90" s="0" t="n">
        <v>87</v>
      </c>
      <c r="BV90" s="0" t="n">
        <v>0</v>
      </c>
      <c r="BW90" s="0" t="n">
        <v>87</v>
      </c>
      <c r="BX90" s="0" t="n">
        <v>0</v>
      </c>
      <c r="BY90" s="0" t="n">
        <v>87</v>
      </c>
      <c r="BZ90" s="0" t="n">
        <v>0</v>
      </c>
      <c r="CA90" s="0" t="n">
        <v>87</v>
      </c>
      <c r="CB90" s="0" t="n">
        <v>0</v>
      </c>
      <c r="CC90" s="0" t="n">
        <v>87</v>
      </c>
      <c r="CD90" s="0" t="n">
        <v>0</v>
      </c>
      <c r="CE90" s="0" t="n">
        <v>87</v>
      </c>
      <c r="CF90" s="0" t="n">
        <v>0</v>
      </c>
      <c r="CG90" s="0" t="n">
        <v>87</v>
      </c>
      <c r="CH90" s="0" t="n">
        <v>0</v>
      </c>
      <c r="CI90" s="0" t="n">
        <v>87</v>
      </c>
      <c r="CJ90" s="0" t="n">
        <v>0</v>
      </c>
      <c r="CK90" s="0" t="n">
        <v>87</v>
      </c>
      <c r="CL90" s="0" t="n">
        <v>0</v>
      </c>
      <c r="CM90" s="0" t="n">
        <v>87</v>
      </c>
      <c r="CN90" s="0" t="n">
        <v>0</v>
      </c>
      <c r="CO90" s="0" t="n">
        <v>87</v>
      </c>
      <c r="CP90" s="0" t="n">
        <v>0</v>
      </c>
      <c r="CQ90" s="0" t="n">
        <v>87</v>
      </c>
      <c r="CR90" s="0" t="n">
        <v>0</v>
      </c>
      <c r="CS90" s="0" t="n">
        <v>87</v>
      </c>
      <c r="CT90" s="0" t="n">
        <v>0</v>
      </c>
      <c r="CU90" s="0" t="n">
        <v>87</v>
      </c>
      <c r="CV90" s="0" t="n">
        <v>0</v>
      </c>
      <c r="CW90" s="0" t="n">
        <v>87</v>
      </c>
      <c r="CX90" s="0" t="n">
        <v>0</v>
      </c>
    </row>
    <row r="91" customFormat="false" ht="12.75" hidden="false" customHeight="false" outlineLevel="0" collapsed="false">
      <c r="B91" s="0" t="n">
        <v>88</v>
      </c>
      <c r="C91" s="0" t="n">
        <v>0</v>
      </c>
      <c r="D91" s="0" t="n">
        <v>0</v>
      </c>
      <c r="E91" s="0" t="n">
        <v>88</v>
      </c>
      <c r="F91" s="0" t="n">
        <v>0</v>
      </c>
      <c r="G91" s="0" t="n">
        <v>88</v>
      </c>
      <c r="H91" s="0" t="n">
        <v>0</v>
      </c>
      <c r="I91" s="0" t="n">
        <v>88</v>
      </c>
      <c r="J91" s="0" t="n">
        <v>0</v>
      </c>
      <c r="K91" s="0" t="n">
        <v>88</v>
      </c>
      <c r="L91" s="0" t="n">
        <v>0</v>
      </c>
      <c r="M91" s="0" t="n">
        <v>88</v>
      </c>
      <c r="N91" s="0" t="n">
        <v>0</v>
      </c>
      <c r="O91" s="0" t="n">
        <v>88</v>
      </c>
      <c r="P91" s="0" t="n">
        <v>0</v>
      </c>
      <c r="Q91" s="0" t="n">
        <v>88</v>
      </c>
      <c r="R91" s="0" t="n">
        <v>0</v>
      </c>
      <c r="S91" s="0" t="n">
        <v>88</v>
      </c>
      <c r="T91" s="0" t="n">
        <v>0</v>
      </c>
      <c r="U91" s="0" t="n">
        <v>88</v>
      </c>
      <c r="V91" s="0" t="n">
        <v>0</v>
      </c>
      <c r="W91" s="0" t="n">
        <v>88</v>
      </c>
      <c r="X91" s="0" t="n">
        <v>0</v>
      </c>
      <c r="Y91" s="0" t="n">
        <v>88</v>
      </c>
      <c r="Z91" s="0" t="n">
        <v>0</v>
      </c>
      <c r="AA91" s="0" t="n">
        <v>88</v>
      </c>
      <c r="AB91" s="0" t="n">
        <v>0</v>
      </c>
      <c r="AC91" s="0" t="n">
        <v>88</v>
      </c>
      <c r="AD91" s="0" t="n">
        <v>0</v>
      </c>
      <c r="AE91" s="0" t="n">
        <v>88</v>
      </c>
      <c r="AF91" s="0" t="n">
        <v>0</v>
      </c>
      <c r="AG91" s="0" t="n">
        <v>88</v>
      </c>
      <c r="AH91" s="0" t="n">
        <v>0</v>
      </c>
      <c r="AI91" s="0" t="n">
        <v>88</v>
      </c>
      <c r="AJ91" s="0" t="n">
        <v>0</v>
      </c>
      <c r="AK91" s="0" t="n">
        <v>88</v>
      </c>
      <c r="AL91" s="0" t="n">
        <v>0</v>
      </c>
      <c r="AM91" s="0" t="n">
        <v>88</v>
      </c>
      <c r="AN91" s="0" t="n">
        <v>0</v>
      </c>
      <c r="AO91" s="0" t="n">
        <v>88</v>
      </c>
      <c r="AP91" s="0" t="n">
        <v>0</v>
      </c>
      <c r="AQ91" s="0" t="n">
        <v>88</v>
      </c>
      <c r="AR91" s="0" t="n">
        <v>0</v>
      </c>
      <c r="AS91" s="0" t="n">
        <v>88</v>
      </c>
      <c r="AT91" s="0" t="n">
        <v>0</v>
      </c>
      <c r="AU91" s="0" t="n">
        <v>88</v>
      </c>
      <c r="AV91" s="0" t="n">
        <v>0</v>
      </c>
      <c r="AW91" s="0" t="n">
        <v>88</v>
      </c>
      <c r="AX91" s="0" t="n">
        <v>0</v>
      </c>
      <c r="AY91" s="0" t="n">
        <v>88</v>
      </c>
      <c r="AZ91" s="0" t="n">
        <v>0</v>
      </c>
      <c r="BA91" s="0" t="n">
        <v>88</v>
      </c>
      <c r="BB91" s="0" t="n">
        <v>0</v>
      </c>
      <c r="BC91" s="0" t="n">
        <v>88</v>
      </c>
      <c r="BD91" s="0" t="n">
        <v>0</v>
      </c>
      <c r="BE91" s="0" t="n">
        <v>88</v>
      </c>
      <c r="BF91" s="0" t="n">
        <v>0</v>
      </c>
      <c r="BG91" s="0" t="n">
        <v>88</v>
      </c>
      <c r="BH91" s="0" t="n">
        <v>0</v>
      </c>
      <c r="BI91" s="0" t="n">
        <v>88</v>
      </c>
      <c r="BJ91" s="0" t="n">
        <v>0</v>
      </c>
      <c r="BK91" s="0" t="n">
        <v>88</v>
      </c>
      <c r="BL91" s="0" t="n">
        <v>0</v>
      </c>
      <c r="BM91" s="0" t="n">
        <v>88</v>
      </c>
      <c r="BN91" s="0" t="n">
        <v>0</v>
      </c>
      <c r="BO91" s="0" t="n">
        <v>88</v>
      </c>
      <c r="BP91" s="0" t="n">
        <v>0</v>
      </c>
      <c r="BQ91" s="0" t="n">
        <v>88</v>
      </c>
      <c r="BR91" s="0" t="n">
        <v>0</v>
      </c>
      <c r="BS91" s="0" t="n">
        <v>88</v>
      </c>
      <c r="BT91" s="0" t="n">
        <v>0</v>
      </c>
      <c r="BU91" s="0" t="n">
        <v>88</v>
      </c>
      <c r="BV91" s="0" t="n">
        <v>0</v>
      </c>
      <c r="BW91" s="0" t="n">
        <v>88</v>
      </c>
      <c r="BX91" s="0" t="n">
        <v>0</v>
      </c>
      <c r="BY91" s="0" t="n">
        <v>88</v>
      </c>
      <c r="BZ91" s="0" t="n">
        <v>0</v>
      </c>
      <c r="CA91" s="0" t="n">
        <v>88</v>
      </c>
      <c r="CB91" s="0" t="n">
        <v>0</v>
      </c>
      <c r="CC91" s="0" t="n">
        <v>88</v>
      </c>
      <c r="CD91" s="0" t="n">
        <v>0</v>
      </c>
      <c r="CE91" s="0" t="n">
        <v>88</v>
      </c>
      <c r="CF91" s="0" t="n">
        <v>0</v>
      </c>
      <c r="CG91" s="0" t="n">
        <v>88</v>
      </c>
      <c r="CH91" s="0" t="n">
        <v>0</v>
      </c>
      <c r="CI91" s="0" t="n">
        <v>88</v>
      </c>
      <c r="CJ91" s="0" t="n">
        <v>0</v>
      </c>
      <c r="CK91" s="0" t="n">
        <v>88</v>
      </c>
      <c r="CL91" s="0" t="n">
        <v>0</v>
      </c>
      <c r="CM91" s="0" t="n">
        <v>88</v>
      </c>
      <c r="CN91" s="0" t="n">
        <v>0</v>
      </c>
      <c r="CO91" s="0" t="n">
        <v>88</v>
      </c>
      <c r="CP91" s="0" t="n">
        <v>0</v>
      </c>
      <c r="CQ91" s="0" t="n">
        <v>88</v>
      </c>
      <c r="CR91" s="0" t="n">
        <v>0</v>
      </c>
      <c r="CS91" s="0" t="n">
        <v>88</v>
      </c>
      <c r="CT91" s="0" t="n">
        <v>0</v>
      </c>
      <c r="CU91" s="0" t="n">
        <v>88</v>
      </c>
      <c r="CV91" s="0" t="n">
        <v>0</v>
      </c>
      <c r="CW91" s="0" t="n">
        <v>88</v>
      </c>
      <c r="CX91" s="0" t="n">
        <v>0</v>
      </c>
    </row>
    <row r="92" customFormat="false" ht="12.75" hidden="false" customHeight="false" outlineLevel="0" collapsed="false">
      <c r="B92" s="0" t="n">
        <v>89</v>
      </c>
      <c r="C92" s="0" t="n">
        <v>0</v>
      </c>
      <c r="D92" s="0" t="n">
        <v>0</v>
      </c>
      <c r="E92" s="0" t="n">
        <v>89</v>
      </c>
      <c r="F92" s="0" t="n">
        <v>0</v>
      </c>
      <c r="G92" s="0" t="n">
        <v>89</v>
      </c>
      <c r="H92" s="0" t="n">
        <v>0</v>
      </c>
      <c r="I92" s="0" t="n">
        <v>89</v>
      </c>
      <c r="J92" s="0" t="n">
        <v>0</v>
      </c>
      <c r="K92" s="0" t="n">
        <v>89</v>
      </c>
      <c r="L92" s="0" t="n">
        <v>0</v>
      </c>
      <c r="M92" s="0" t="n">
        <v>89</v>
      </c>
      <c r="N92" s="0" t="n">
        <v>0</v>
      </c>
      <c r="O92" s="0" t="n">
        <v>89</v>
      </c>
      <c r="P92" s="0" t="n">
        <v>0</v>
      </c>
      <c r="Q92" s="0" t="n">
        <v>89</v>
      </c>
      <c r="R92" s="0" t="n">
        <v>0</v>
      </c>
      <c r="S92" s="0" t="n">
        <v>89</v>
      </c>
      <c r="T92" s="0" t="n">
        <v>0</v>
      </c>
      <c r="U92" s="0" t="n">
        <v>89</v>
      </c>
      <c r="V92" s="0" t="n">
        <v>0</v>
      </c>
      <c r="W92" s="0" t="n">
        <v>89</v>
      </c>
      <c r="X92" s="0" t="n">
        <v>0</v>
      </c>
      <c r="Y92" s="0" t="n">
        <v>89</v>
      </c>
      <c r="Z92" s="0" t="n">
        <v>0</v>
      </c>
      <c r="AA92" s="0" t="n">
        <v>89</v>
      </c>
      <c r="AB92" s="0" t="n">
        <v>0</v>
      </c>
      <c r="AC92" s="0" t="n">
        <v>89</v>
      </c>
      <c r="AD92" s="0" t="n">
        <v>0</v>
      </c>
      <c r="AE92" s="0" t="n">
        <v>89</v>
      </c>
      <c r="AF92" s="0" t="n">
        <v>0</v>
      </c>
      <c r="AG92" s="0" t="n">
        <v>89</v>
      </c>
      <c r="AH92" s="0" t="n">
        <v>0</v>
      </c>
      <c r="AI92" s="0" t="n">
        <v>89</v>
      </c>
      <c r="AJ92" s="0" t="n">
        <v>0</v>
      </c>
      <c r="AK92" s="0" t="n">
        <v>89</v>
      </c>
      <c r="AL92" s="0" t="n">
        <v>0</v>
      </c>
      <c r="AM92" s="0" t="n">
        <v>89</v>
      </c>
      <c r="AN92" s="0" t="n">
        <v>0</v>
      </c>
      <c r="AO92" s="0" t="n">
        <v>89</v>
      </c>
      <c r="AP92" s="0" t="n">
        <v>0</v>
      </c>
      <c r="AQ92" s="0" t="n">
        <v>89</v>
      </c>
      <c r="AR92" s="0" t="n">
        <v>0</v>
      </c>
      <c r="AS92" s="0" t="n">
        <v>89</v>
      </c>
      <c r="AT92" s="0" t="n">
        <v>0</v>
      </c>
      <c r="AU92" s="0" t="n">
        <v>89</v>
      </c>
      <c r="AV92" s="0" t="n">
        <v>0</v>
      </c>
      <c r="AW92" s="0" t="n">
        <v>89</v>
      </c>
      <c r="AX92" s="0" t="n">
        <v>0</v>
      </c>
      <c r="AY92" s="0" t="n">
        <v>89</v>
      </c>
      <c r="AZ92" s="0" t="n">
        <v>0</v>
      </c>
      <c r="BA92" s="0" t="n">
        <v>89</v>
      </c>
      <c r="BB92" s="0" t="n">
        <v>0</v>
      </c>
      <c r="BC92" s="0" t="n">
        <v>89</v>
      </c>
      <c r="BD92" s="0" t="n">
        <v>0</v>
      </c>
      <c r="BE92" s="0" t="n">
        <v>89</v>
      </c>
      <c r="BF92" s="0" t="n">
        <v>0</v>
      </c>
      <c r="BG92" s="0" t="n">
        <v>89</v>
      </c>
      <c r="BH92" s="0" t="n">
        <v>0</v>
      </c>
      <c r="BI92" s="0" t="n">
        <v>89</v>
      </c>
      <c r="BJ92" s="0" t="n">
        <v>0</v>
      </c>
      <c r="BK92" s="0" t="n">
        <v>89</v>
      </c>
      <c r="BL92" s="0" t="n">
        <v>0</v>
      </c>
      <c r="BM92" s="0" t="n">
        <v>89</v>
      </c>
      <c r="BN92" s="0" t="n">
        <v>0</v>
      </c>
      <c r="BO92" s="0" t="n">
        <v>89</v>
      </c>
      <c r="BP92" s="0" t="n">
        <v>0</v>
      </c>
      <c r="BQ92" s="0" t="n">
        <v>89</v>
      </c>
      <c r="BR92" s="0" t="n">
        <v>0</v>
      </c>
      <c r="BS92" s="0" t="n">
        <v>89</v>
      </c>
      <c r="BT92" s="0" t="n">
        <v>0</v>
      </c>
      <c r="BU92" s="0" t="n">
        <v>89</v>
      </c>
      <c r="BV92" s="0" t="n">
        <v>0</v>
      </c>
      <c r="BW92" s="0" t="n">
        <v>89</v>
      </c>
      <c r="BX92" s="0" t="n">
        <v>0</v>
      </c>
      <c r="BY92" s="0" t="n">
        <v>89</v>
      </c>
      <c r="BZ92" s="0" t="n">
        <v>0</v>
      </c>
      <c r="CA92" s="0" t="n">
        <v>89</v>
      </c>
      <c r="CB92" s="0" t="n">
        <v>0</v>
      </c>
      <c r="CC92" s="0" t="n">
        <v>89</v>
      </c>
      <c r="CD92" s="0" t="n">
        <v>0</v>
      </c>
      <c r="CE92" s="0" t="n">
        <v>89</v>
      </c>
      <c r="CF92" s="0" t="n">
        <v>0</v>
      </c>
      <c r="CG92" s="0" t="n">
        <v>89</v>
      </c>
      <c r="CH92" s="0" t="n">
        <v>0</v>
      </c>
      <c r="CI92" s="0" t="n">
        <v>89</v>
      </c>
      <c r="CJ92" s="0" t="n">
        <v>0</v>
      </c>
      <c r="CK92" s="0" t="n">
        <v>89</v>
      </c>
      <c r="CL92" s="0" t="n">
        <v>0</v>
      </c>
      <c r="CM92" s="0" t="n">
        <v>89</v>
      </c>
      <c r="CN92" s="0" t="n">
        <v>0</v>
      </c>
      <c r="CO92" s="0" t="n">
        <v>89</v>
      </c>
      <c r="CP92" s="0" t="n">
        <v>0</v>
      </c>
      <c r="CQ92" s="0" t="n">
        <v>89</v>
      </c>
      <c r="CR92" s="0" t="n">
        <v>0</v>
      </c>
      <c r="CS92" s="0" t="n">
        <v>89</v>
      </c>
      <c r="CT92" s="0" t="n">
        <v>0</v>
      </c>
      <c r="CU92" s="0" t="n">
        <v>89</v>
      </c>
      <c r="CV92" s="0" t="n">
        <v>0</v>
      </c>
      <c r="CW92" s="0" t="n">
        <v>89</v>
      </c>
      <c r="CX92" s="0" t="n">
        <v>0</v>
      </c>
    </row>
    <row r="93" customFormat="false" ht="12.75" hidden="false" customHeight="false" outlineLevel="0" collapsed="false">
      <c r="B93" s="0" t="n">
        <v>90</v>
      </c>
      <c r="C93" s="0" t="n">
        <v>0</v>
      </c>
      <c r="D93" s="0" t="n">
        <v>0</v>
      </c>
      <c r="E93" s="0" t="n">
        <v>90</v>
      </c>
      <c r="F93" s="0" t="n">
        <v>0</v>
      </c>
      <c r="G93" s="0" t="n">
        <v>90</v>
      </c>
      <c r="H93" s="0" t="n">
        <v>0</v>
      </c>
      <c r="I93" s="0" t="n">
        <v>90</v>
      </c>
      <c r="J93" s="0" t="n">
        <v>0</v>
      </c>
      <c r="K93" s="0" t="n">
        <v>90</v>
      </c>
      <c r="L93" s="0" t="n">
        <v>0</v>
      </c>
      <c r="M93" s="0" t="n">
        <v>90</v>
      </c>
      <c r="N93" s="0" t="n">
        <v>0</v>
      </c>
      <c r="O93" s="0" t="n">
        <v>90</v>
      </c>
      <c r="P93" s="0" t="n">
        <v>0</v>
      </c>
      <c r="Q93" s="0" t="n">
        <v>90</v>
      </c>
      <c r="R93" s="0" t="n">
        <v>0</v>
      </c>
      <c r="S93" s="0" t="n">
        <v>90</v>
      </c>
      <c r="T93" s="0" t="n">
        <v>0</v>
      </c>
      <c r="U93" s="0" t="n">
        <v>90</v>
      </c>
      <c r="V93" s="0" t="n">
        <v>0</v>
      </c>
      <c r="W93" s="0" t="n">
        <v>90</v>
      </c>
      <c r="X93" s="0" t="n">
        <v>0</v>
      </c>
      <c r="Y93" s="0" t="n">
        <v>90</v>
      </c>
      <c r="Z93" s="0" t="n">
        <v>0</v>
      </c>
      <c r="AA93" s="0" t="n">
        <v>90</v>
      </c>
      <c r="AB93" s="0" t="n">
        <v>0</v>
      </c>
      <c r="AC93" s="0" t="n">
        <v>90</v>
      </c>
      <c r="AD93" s="0" t="n">
        <v>0</v>
      </c>
      <c r="AE93" s="0" t="n">
        <v>90</v>
      </c>
      <c r="AF93" s="0" t="n">
        <v>0</v>
      </c>
      <c r="AG93" s="0" t="n">
        <v>90</v>
      </c>
      <c r="AH93" s="0" t="n">
        <v>0</v>
      </c>
      <c r="AI93" s="0" t="n">
        <v>90</v>
      </c>
      <c r="AJ93" s="0" t="n">
        <v>0</v>
      </c>
      <c r="AK93" s="0" t="n">
        <v>90</v>
      </c>
      <c r="AL93" s="0" t="n">
        <v>0</v>
      </c>
      <c r="AM93" s="0" t="n">
        <v>90</v>
      </c>
      <c r="AN93" s="0" t="n">
        <v>0</v>
      </c>
      <c r="AO93" s="0" t="n">
        <v>90</v>
      </c>
      <c r="AP93" s="0" t="n">
        <v>0</v>
      </c>
      <c r="AQ93" s="0" t="n">
        <v>90</v>
      </c>
      <c r="AR93" s="0" t="n">
        <v>0</v>
      </c>
      <c r="AS93" s="0" t="n">
        <v>90</v>
      </c>
      <c r="AT93" s="0" t="n">
        <v>0</v>
      </c>
      <c r="AU93" s="0" t="n">
        <v>90</v>
      </c>
      <c r="AV93" s="0" t="n">
        <v>0</v>
      </c>
      <c r="AW93" s="0" t="n">
        <v>90</v>
      </c>
      <c r="AX93" s="0" t="n">
        <v>0</v>
      </c>
      <c r="AY93" s="0" t="n">
        <v>90</v>
      </c>
      <c r="AZ93" s="0" t="n">
        <v>0</v>
      </c>
      <c r="BA93" s="0" t="n">
        <v>90</v>
      </c>
      <c r="BB93" s="0" t="n">
        <v>0</v>
      </c>
      <c r="BC93" s="0" t="n">
        <v>90</v>
      </c>
      <c r="BD93" s="0" t="n">
        <v>0</v>
      </c>
      <c r="BE93" s="0" t="n">
        <v>90</v>
      </c>
      <c r="BF93" s="0" t="n">
        <v>0</v>
      </c>
      <c r="BG93" s="0" t="n">
        <v>90</v>
      </c>
      <c r="BH93" s="0" t="n">
        <v>0</v>
      </c>
      <c r="BI93" s="0" t="n">
        <v>90</v>
      </c>
      <c r="BJ93" s="0" t="n">
        <v>0</v>
      </c>
      <c r="BK93" s="0" t="n">
        <v>90</v>
      </c>
      <c r="BL93" s="0" t="n">
        <v>0</v>
      </c>
      <c r="BM93" s="0" t="n">
        <v>90</v>
      </c>
      <c r="BN93" s="0" t="n">
        <v>0</v>
      </c>
      <c r="BO93" s="0" t="n">
        <v>90</v>
      </c>
      <c r="BP93" s="0" t="n">
        <v>0</v>
      </c>
      <c r="BQ93" s="0" t="n">
        <v>90</v>
      </c>
      <c r="BR93" s="0" t="n">
        <v>0</v>
      </c>
      <c r="BS93" s="0" t="n">
        <v>90</v>
      </c>
      <c r="BT93" s="0" t="n">
        <v>0</v>
      </c>
      <c r="BU93" s="0" t="n">
        <v>90</v>
      </c>
      <c r="BV93" s="0" t="n">
        <v>0</v>
      </c>
      <c r="BW93" s="0" t="n">
        <v>90</v>
      </c>
      <c r="BX93" s="0" t="n">
        <v>0</v>
      </c>
      <c r="BY93" s="0" t="n">
        <v>90</v>
      </c>
      <c r="BZ93" s="0" t="n">
        <v>0</v>
      </c>
      <c r="CA93" s="0" t="n">
        <v>90</v>
      </c>
      <c r="CB93" s="0" t="n">
        <v>0</v>
      </c>
      <c r="CC93" s="0" t="n">
        <v>90</v>
      </c>
      <c r="CD93" s="0" t="n">
        <v>0</v>
      </c>
      <c r="CE93" s="0" t="n">
        <v>90</v>
      </c>
      <c r="CF93" s="0" t="n">
        <v>0</v>
      </c>
      <c r="CG93" s="0" t="n">
        <v>90</v>
      </c>
      <c r="CH93" s="0" t="n">
        <v>0</v>
      </c>
      <c r="CI93" s="0" t="n">
        <v>90</v>
      </c>
      <c r="CJ93" s="0" t="n">
        <v>0</v>
      </c>
      <c r="CK93" s="0" t="n">
        <v>90</v>
      </c>
      <c r="CL93" s="0" t="n">
        <v>0</v>
      </c>
      <c r="CM93" s="0" t="n">
        <v>90</v>
      </c>
      <c r="CN93" s="0" t="n">
        <v>0</v>
      </c>
      <c r="CO93" s="0" t="n">
        <v>90</v>
      </c>
      <c r="CP93" s="0" t="n">
        <v>0</v>
      </c>
      <c r="CQ93" s="0" t="n">
        <v>90</v>
      </c>
      <c r="CR93" s="0" t="n">
        <v>0</v>
      </c>
      <c r="CS93" s="0" t="n">
        <v>90</v>
      </c>
      <c r="CT93" s="0" t="n">
        <v>0</v>
      </c>
      <c r="CU93" s="0" t="n">
        <v>90</v>
      </c>
      <c r="CV93" s="0" t="n">
        <v>0</v>
      </c>
      <c r="CW93" s="0" t="n">
        <v>90</v>
      </c>
      <c r="CX93" s="0" t="n">
        <v>0</v>
      </c>
    </row>
    <row r="94" customFormat="false" ht="12.75" hidden="false" customHeight="false" outlineLevel="0" collapsed="false">
      <c r="B94" s="0" t="n">
        <v>91</v>
      </c>
      <c r="C94" s="0" t="n">
        <v>0</v>
      </c>
      <c r="D94" s="0" t="n">
        <v>0</v>
      </c>
      <c r="E94" s="0" t="n">
        <v>91</v>
      </c>
      <c r="F94" s="0" t="n">
        <v>0</v>
      </c>
      <c r="G94" s="0" t="n">
        <v>91</v>
      </c>
      <c r="H94" s="0" t="n">
        <v>0</v>
      </c>
      <c r="I94" s="0" t="n">
        <v>91</v>
      </c>
      <c r="J94" s="0" t="n">
        <v>0</v>
      </c>
      <c r="K94" s="0" t="n">
        <v>91</v>
      </c>
      <c r="L94" s="0" t="n">
        <v>0</v>
      </c>
      <c r="M94" s="0" t="n">
        <v>91</v>
      </c>
      <c r="N94" s="0" t="n">
        <v>0</v>
      </c>
      <c r="O94" s="0" t="n">
        <v>91</v>
      </c>
      <c r="P94" s="0" t="n">
        <v>0</v>
      </c>
      <c r="Q94" s="0" t="n">
        <v>91</v>
      </c>
      <c r="R94" s="0" t="n">
        <v>0</v>
      </c>
      <c r="S94" s="0" t="n">
        <v>91</v>
      </c>
      <c r="T94" s="0" t="n">
        <v>0</v>
      </c>
      <c r="U94" s="0" t="n">
        <v>91</v>
      </c>
      <c r="V94" s="0" t="n">
        <v>0</v>
      </c>
      <c r="W94" s="0" t="n">
        <v>91</v>
      </c>
      <c r="X94" s="0" t="n">
        <v>0</v>
      </c>
      <c r="Y94" s="0" t="n">
        <v>91</v>
      </c>
      <c r="Z94" s="0" t="n">
        <v>0</v>
      </c>
      <c r="AA94" s="0" t="n">
        <v>91</v>
      </c>
      <c r="AB94" s="0" t="n">
        <v>0</v>
      </c>
      <c r="AC94" s="0" t="n">
        <v>91</v>
      </c>
      <c r="AD94" s="0" t="n">
        <v>0</v>
      </c>
      <c r="AE94" s="0" t="n">
        <v>91</v>
      </c>
      <c r="AF94" s="0" t="n">
        <v>0</v>
      </c>
      <c r="AG94" s="0" t="n">
        <v>91</v>
      </c>
      <c r="AH94" s="0" t="n">
        <v>0</v>
      </c>
      <c r="AI94" s="0" t="n">
        <v>91</v>
      </c>
      <c r="AJ94" s="0" t="n">
        <v>0</v>
      </c>
      <c r="AK94" s="0" t="n">
        <v>91</v>
      </c>
      <c r="AL94" s="0" t="n">
        <v>0</v>
      </c>
      <c r="AM94" s="0" t="n">
        <v>91</v>
      </c>
      <c r="AN94" s="0" t="n">
        <v>0</v>
      </c>
      <c r="AO94" s="0" t="n">
        <v>91</v>
      </c>
      <c r="AP94" s="0" t="n">
        <v>0</v>
      </c>
      <c r="AQ94" s="0" t="n">
        <v>91</v>
      </c>
      <c r="AR94" s="0" t="n">
        <v>0</v>
      </c>
      <c r="AS94" s="0" t="n">
        <v>91</v>
      </c>
      <c r="AT94" s="0" t="n">
        <v>0</v>
      </c>
      <c r="AU94" s="0" t="n">
        <v>91</v>
      </c>
      <c r="AV94" s="0" t="n">
        <v>0</v>
      </c>
      <c r="AW94" s="0" t="n">
        <v>91</v>
      </c>
      <c r="AX94" s="0" t="n">
        <v>0</v>
      </c>
      <c r="AY94" s="0" t="n">
        <v>91</v>
      </c>
      <c r="AZ94" s="0" t="n">
        <v>0</v>
      </c>
      <c r="BA94" s="0" t="n">
        <v>91</v>
      </c>
      <c r="BB94" s="0" t="n">
        <v>0</v>
      </c>
      <c r="BC94" s="0" t="n">
        <v>91</v>
      </c>
      <c r="BD94" s="0" t="n">
        <v>0</v>
      </c>
      <c r="BE94" s="0" t="n">
        <v>91</v>
      </c>
      <c r="BF94" s="0" t="n">
        <v>0</v>
      </c>
      <c r="BG94" s="0" t="n">
        <v>91</v>
      </c>
      <c r="BH94" s="0" t="n">
        <v>0</v>
      </c>
      <c r="BI94" s="0" t="n">
        <v>91</v>
      </c>
      <c r="BJ94" s="0" t="n">
        <v>0</v>
      </c>
      <c r="BK94" s="0" t="n">
        <v>91</v>
      </c>
      <c r="BL94" s="0" t="n">
        <v>0</v>
      </c>
      <c r="BM94" s="0" t="n">
        <v>91</v>
      </c>
      <c r="BN94" s="0" t="n">
        <v>0</v>
      </c>
      <c r="BO94" s="0" t="n">
        <v>91</v>
      </c>
      <c r="BP94" s="0" t="n">
        <v>0</v>
      </c>
      <c r="BQ94" s="0" t="n">
        <v>91</v>
      </c>
      <c r="BR94" s="0" t="n">
        <v>0</v>
      </c>
      <c r="BS94" s="0" t="n">
        <v>91</v>
      </c>
      <c r="BT94" s="0" t="n">
        <v>0</v>
      </c>
      <c r="BU94" s="0" t="n">
        <v>91</v>
      </c>
      <c r="BV94" s="0" t="n">
        <v>0</v>
      </c>
      <c r="BW94" s="0" t="n">
        <v>91</v>
      </c>
      <c r="BX94" s="0" t="n">
        <v>0</v>
      </c>
      <c r="BY94" s="0" t="n">
        <v>91</v>
      </c>
      <c r="BZ94" s="0" t="n">
        <v>0</v>
      </c>
      <c r="CA94" s="0" t="n">
        <v>91</v>
      </c>
      <c r="CB94" s="0" t="n">
        <v>0</v>
      </c>
      <c r="CC94" s="0" t="n">
        <v>91</v>
      </c>
      <c r="CD94" s="0" t="n">
        <v>0</v>
      </c>
      <c r="CE94" s="0" t="n">
        <v>91</v>
      </c>
      <c r="CF94" s="0" t="n">
        <v>0</v>
      </c>
      <c r="CG94" s="0" t="n">
        <v>91</v>
      </c>
      <c r="CH94" s="0" t="n">
        <v>0</v>
      </c>
      <c r="CI94" s="0" t="n">
        <v>91</v>
      </c>
      <c r="CJ94" s="0" t="n">
        <v>0</v>
      </c>
      <c r="CK94" s="0" t="n">
        <v>91</v>
      </c>
      <c r="CL94" s="0" t="n">
        <v>0</v>
      </c>
      <c r="CM94" s="0" t="n">
        <v>91</v>
      </c>
      <c r="CN94" s="0" t="n">
        <v>0</v>
      </c>
      <c r="CO94" s="0" t="n">
        <v>91</v>
      </c>
      <c r="CP94" s="0" t="n">
        <v>0</v>
      </c>
      <c r="CQ94" s="0" t="n">
        <v>91</v>
      </c>
      <c r="CR94" s="0" t="n">
        <v>0</v>
      </c>
      <c r="CS94" s="0" t="n">
        <v>91</v>
      </c>
      <c r="CT94" s="0" t="n">
        <v>0</v>
      </c>
      <c r="CU94" s="0" t="n">
        <v>91</v>
      </c>
      <c r="CV94" s="0" t="n">
        <v>0</v>
      </c>
      <c r="CW94" s="0" t="n">
        <v>91</v>
      </c>
      <c r="CX94" s="0" t="n">
        <v>0</v>
      </c>
    </row>
    <row r="95" customFormat="false" ht="12.75" hidden="false" customHeight="false" outlineLevel="0" collapsed="false">
      <c r="B95" s="0" t="n">
        <v>92</v>
      </c>
      <c r="C95" s="0" t="n">
        <v>0</v>
      </c>
      <c r="D95" s="0" t="n">
        <v>0</v>
      </c>
      <c r="E95" s="0" t="n">
        <v>92</v>
      </c>
      <c r="F95" s="0" t="n">
        <v>0</v>
      </c>
      <c r="G95" s="0" t="n">
        <v>92</v>
      </c>
      <c r="H95" s="0" t="n">
        <v>0</v>
      </c>
      <c r="I95" s="0" t="n">
        <v>92</v>
      </c>
      <c r="J95" s="0" t="n">
        <v>0</v>
      </c>
      <c r="K95" s="0" t="n">
        <v>92</v>
      </c>
      <c r="L95" s="0" t="n">
        <v>0</v>
      </c>
      <c r="M95" s="0" t="n">
        <v>92</v>
      </c>
      <c r="N95" s="0" t="n">
        <v>0</v>
      </c>
      <c r="O95" s="0" t="n">
        <v>92</v>
      </c>
      <c r="P95" s="0" t="n">
        <v>0</v>
      </c>
      <c r="Q95" s="0" t="n">
        <v>92</v>
      </c>
      <c r="R95" s="0" t="n">
        <v>0</v>
      </c>
      <c r="S95" s="0" t="n">
        <v>92</v>
      </c>
      <c r="T95" s="0" t="n">
        <v>0</v>
      </c>
      <c r="U95" s="0" t="n">
        <v>92</v>
      </c>
      <c r="V95" s="0" t="n">
        <v>0</v>
      </c>
      <c r="W95" s="0" t="n">
        <v>92</v>
      </c>
      <c r="X95" s="0" t="n">
        <v>0</v>
      </c>
      <c r="Y95" s="0" t="n">
        <v>92</v>
      </c>
      <c r="Z95" s="0" t="n">
        <v>0</v>
      </c>
      <c r="AA95" s="0" t="n">
        <v>92</v>
      </c>
      <c r="AB95" s="0" t="n">
        <v>0</v>
      </c>
      <c r="AC95" s="0" t="n">
        <v>92</v>
      </c>
      <c r="AD95" s="0" t="n">
        <v>0</v>
      </c>
      <c r="AE95" s="0" t="n">
        <v>92</v>
      </c>
      <c r="AF95" s="0" t="n">
        <v>0</v>
      </c>
      <c r="AG95" s="0" t="n">
        <v>92</v>
      </c>
      <c r="AH95" s="0" t="n">
        <v>0</v>
      </c>
      <c r="AI95" s="0" t="n">
        <v>92</v>
      </c>
      <c r="AJ95" s="0" t="n">
        <v>0</v>
      </c>
      <c r="AK95" s="0" t="n">
        <v>92</v>
      </c>
      <c r="AL95" s="0" t="n">
        <v>0</v>
      </c>
      <c r="AM95" s="0" t="n">
        <v>92</v>
      </c>
      <c r="AN95" s="0" t="n">
        <v>0</v>
      </c>
      <c r="AO95" s="0" t="n">
        <v>92</v>
      </c>
      <c r="AP95" s="0" t="n">
        <v>0</v>
      </c>
      <c r="AQ95" s="0" t="n">
        <v>92</v>
      </c>
      <c r="AR95" s="0" t="n">
        <v>0</v>
      </c>
      <c r="AS95" s="0" t="n">
        <v>92</v>
      </c>
      <c r="AT95" s="0" t="n">
        <v>0</v>
      </c>
      <c r="AU95" s="0" t="n">
        <v>92</v>
      </c>
      <c r="AV95" s="0" t="n">
        <v>0</v>
      </c>
      <c r="AW95" s="0" t="n">
        <v>92</v>
      </c>
      <c r="AX95" s="0" t="n">
        <v>0</v>
      </c>
      <c r="AY95" s="0" t="n">
        <v>92</v>
      </c>
      <c r="AZ95" s="0" t="n">
        <v>0</v>
      </c>
      <c r="BA95" s="0" t="n">
        <v>92</v>
      </c>
      <c r="BB95" s="0" t="n">
        <v>0</v>
      </c>
      <c r="BC95" s="0" t="n">
        <v>92</v>
      </c>
      <c r="BD95" s="0" t="n">
        <v>0</v>
      </c>
      <c r="BE95" s="0" t="n">
        <v>92</v>
      </c>
      <c r="BF95" s="0" t="n">
        <v>0</v>
      </c>
      <c r="BG95" s="0" t="n">
        <v>92</v>
      </c>
      <c r="BH95" s="0" t="n">
        <v>0</v>
      </c>
      <c r="BI95" s="0" t="n">
        <v>92</v>
      </c>
      <c r="BJ95" s="0" t="n">
        <v>0</v>
      </c>
      <c r="BK95" s="0" t="n">
        <v>92</v>
      </c>
      <c r="BL95" s="0" t="n">
        <v>0</v>
      </c>
      <c r="BM95" s="0" t="n">
        <v>92</v>
      </c>
      <c r="BN95" s="0" t="n">
        <v>0</v>
      </c>
      <c r="BO95" s="0" t="n">
        <v>92</v>
      </c>
      <c r="BP95" s="0" t="n">
        <v>0</v>
      </c>
      <c r="BQ95" s="0" t="n">
        <v>92</v>
      </c>
      <c r="BR95" s="0" t="n">
        <v>0</v>
      </c>
      <c r="BS95" s="0" t="n">
        <v>92</v>
      </c>
      <c r="BT95" s="0" t="n">
        <v>0</v>
      </c>
      <c r="BU95" s="0" t="n">
        <v>92</v>
      </c>
      <c r="BV95" s="0" t="n">
        <v>0</v>
      </c>
      <c r="BW95" s="0" t="n">
        <v>92</v>
      </c>
      <c r="BX95" s="0" t="n">
        <v>0</v>
      </c>
      <c r="BY95" s="0" t="n">
        <v>92</v>
      </c>
      <c r="BZ95" s="0" t="n">
        <v>0</v>
      </c>
      <c r="CA95" s="0" t="n">
        <v>92</v>
      </c>
      <c r="CB95" s="0" t="n">
        <v>0</v>
      </c>
      <c r="CC95" s="0" t="n">
        <v>92</v>
      </c>
      <c r="CD95" s="0" t="n">
        <v>0</v>
      </c>
      <c r="CE95" s="0" t="n">
        <v>92</v>
      </c>
      <c r="CF95" s="0" t="n">
        <v>0</v>
      </c>
      <c r="CG95" s="0" t="n">
        <v>92</v>
      </c>
      <c r="CH95" s="0" t="n">
        <v>0</v>
      </c>
      <c r="CI95" s="0" t="n">
        <v>92</v>
      </c>
      <c r="CJ95" s="0" t="n">
        <v>0</v>
      </c>
      <c r="CK95" s="0" t="n">
        <v>92</v>
      </c>
      <c r="CL95" s="0" t="n">
        <v>0</v>
      </c>
      <c r="CM95" s="0" t="n">
        <v>92</v>
      </c>
      <c r="CN95" s="0" t="n">
        <v>0</v>
      </c>
      <c r="CO95" s="0" t="n">
        <v>92</v>
      </c>
      <c r="CP95" s="0" t="n">
        <v>0</v>
      </c>
      <c r="CQ95" s="0" t="n">
        <v>92</v>
      </c>
      <c r="CR95" s="0" t="n">
        <v>0</v>
      </c>
      <c r="CS95" s="0" t="n">
        <v>92</v>
      </c>
      <c r="CT95" s="0" t="n">
        <v>0</v>
      </c>
      <c r="CU95" s="0" t="n">
        <v>92</v>
      </c>
      <c r="CV95" s="0" t="n">
        <v>0</v>
      </c>
      <c r="CW95" s="0" t="n">
        <v>92</v>
      </c>
      <c r="CX95" s="0" t="n">
        <v>0</v>
      </c>
    </row>
    <row r="96" customFormat="false" ht="12.75" hidden="false" customHeight="false" outlineLevel="0" collapsed="false">
      <c r="B96" s="0" t="n">
        <v>93</v>
      </c>
      <c r="C96" s="0" t="n">
        <v>0</v>
      </c>
      <c r="D96" s="0" t="n">
        <v>0</v>
      </c>
      <c r="E96" s="0" t="n">
        <v>93</v>
      </c>
      <c r="F96" s="0" t="n">
        <v>0</v>
      </c>
      <c r="G96" s="0" t="n">
        <v>93</v>
      </c>
      <c r="H96" s="0" t="n">
        <v>0</v>
      </c>
      <c r="I96" s="0" t="n">
        <v>93</v>
      </c>
      <c r="J96" s="0" t="n">
        <v>0</v>
      </c>
      <c r="K96" s="0" t="n">
        <v>93</v>
      </c>
      <c r="L96" s="0" t="n">
        <v>0</v>
      </c>
      <c r="M96" s="0" t="n">
        <v>93</v>
      </c>
      <c r="N96" s="0" t="n">
        <v>0</v>
      </c>
      <c r="O96" s="0" t="n">
        <v>93</v>
      </c>
      <c r="P96" s="0" t="n">
        <v>0</v>
      </c>
      <c r="Q96" s="0" t="n">
        <v>93</v>
      </c>
      <c r="R96" s="0" t="n">
        <v>0</v>
      </c>
      <c r="S96" s="0" t="n">
        <v>93</v>
      </c>
      <c r="T96" s="0" t="n">
        <v>0</v>
      </c>
      <c r="U96" s="0" t="n">
        <v>93</v>
      </c>
      <c r="V96" s="0" t="n">
        <v>0</v>
      </c>
      <c r="W96" s="0" t="n">
        <v>93</v>
      </c>
      <c r="X96" s="0" t="n">
        <v>0</v>
      </c>
      <c r="Y96" s="0" t="n">
        <v>93</v>
      </c>
      <c r="Z96" s="0" t="n">
        <v>0</v>
      </c>
      <c r="AA96" s="0" t="n">
        <v>93</v>
      </c>
      <c r="AB96" s="0" t="n">
        <v>0</v>
      </c>
      <c r="AC96" s="0" t="n">
        <v>93</v>
      </c>
      <c r="AD96" s="0" t="n">
        <v>0</v>
      </c>
      <c r="AE96" s="0" t="n">
        <v>93</v>
      </c>
      <c r="AF96" s="0" t="n">
        <v>0</v>
      </c>
      <c r="AG96" s="0" t="n">
        <v>93</v>
      </c>
      <c r="AH96" s="0" t="n">
        <v>0</v>
      </c>
      <c r="AI96" s="0" t="n">
        <v>93</v>
      </c>
      <c r="AJ96" s="0" t="n">
        <v>0</v>
      </c>
      <c r="AK96" s="0" t="n">
        <v>93</v>
      </c>
      <c r="AL96" s="0" t="n">
        <v>0</v>
      </c>
      <c r="AM96" s="0" t="n">
        <v>93</v>
      </c>
      <c r="AN96" s="0" t="n">
        <v>0</v>
      </c>
      <c r="AO96" s="0" t="n">
        <v>93</v>
      </c>
      <c r="AP96" s="0" t="n">
        <v>0</v>
      </c>
      <c r="AQ96" s="0" t="n">
        <v>93</v>
      </c>
      <c r="AR96" s="0" t="n">
        <v>0</v>
      </c>
      <c r="AS96" s="0" t="n">
        <v>93</v>
      </c>
      <c r="AT96" s="0" t="n">
        <v>0</v>
      </c>
      <c r="AU96" s="0" t="n">
        <v>93</v>
      </c>
      <c r="AV96" s="0" t="n">
        <v>0</v>
      </c>
      <c r="AW96" s="0" t="n">
        <v>93</v>
      </c>
      <c r="AX96" s="0" t="n">
        <v>0</v>
      </c>
      <c r="AY96" s="0" t="n">
        <v>93</v>
      </c>
      <c r="AZ96" s="0" t="n">
        <v>0</v>
      </c>
      <c r="BA96" s="0" t="n">
        <v>93</v>
      </c>
      <c r="BB96" s="0" t="n">
        <v>0</v>
      </c>
      <c r="BC96" s="0" t="n">
        <v>93</v>
      </c>
      <c r="BD96" s="0" t="n">
        <v>0</v>
      </c>
      <c r="BE96" s="0" t="n">
        <v>93</v>
      </c>
      <c r="BF96" s="0" t="n">
        <v>0</v>
      </c>
      <c r="BG96" s="0" t="n">
        <v>93</v>
      </c>
      <c r="BH96" s="0" t="n">
        <v>0</v>
      </c>
      <c r="BI96" s="0" t="n">
        <v>93</v>
      </c>
      <c r="BJ96" s="0" t="n">
        <v>0</v>
      </c>
      <c r="BK96" s="0" t="n">
        <v>93</v>
      </c>
      <c r="BL96" s="0" t="n">
        <v>0</v>
      </c>
      <c r="BM96" s="0" t="n">
        <v>93</v>
      </c>
      <c r="BN96" s="0" t="n">
        <v>0</v>
      </c>
      <c r="BO96" s="0" t="n">
        <v>93</v>
      </c>
      <c r="BP96" s="0" t="n">
        <v>0</v>
      </c>
      <c r="BQ96" s="0" t="n">
        <v>93</v>
      </c>
      <c r="BR96" s="0" t="n">
        <v>0</v>
      </c>
      <c r="BS96" s="0" t="n">
        <v>93</v>
      </c>
      <c r="BT96" s="0" t="n">
        <v>0</v>
      </c>
      <c r="BU96" s="0" t="n">
        <v>93</v>
      </c>
      <c r="BV96" s="0" t="n">
        <v>0</v>
      </c>
      <c r="BW96" s="0" t="n">
        <v>93</v>
      </c>
      <c r="BX96" s="0" t="n">
        <v>0</v>
      </c>
      <c r="BY96" s="0" t="n">
        <v>93</v>
      </c>
      <c r="BZ96" s="0" t="n">
        <v>0</v>
      </c>
      <c r="CA96" s="0" t="n">
        <v>93</v>
      </c>
      <c r="CB96" s="0" t="n">
        <v>0</v>
      </c>
      <c r="CC96" s="0" t="n">
        <v>93</v>
      </c>
      <c r="CD96" s="0" t="n">
        <v>0</v>
      </c>
      <c r="CE96" s="0" t="n">
        <v>93</v>
      </c>
      <c r="CF96" s="0" t="n">
        <v>0</v>
      </c>
      <c r="CG96" s="0" t="n">
        <v>93</v>
      </c>
      <c r="CH96" s="0" t="n">
        <v>0</v>
      </c>
      <c r="CI96" s="0" t="n">
        <v>93</v>
      </c>
      <c r="CJ96" s="0" t="n">
        <v>0</v>
      </c>
      <c r="CK96" s="0" t="n">
        <v>93</v>
      </c>
      <c r="CL96" s="0" t="n">
        <v>0</v>
      </c>
      <c r="CM96" s="0" t="n">
        <v>93</v>
      </c>
      <c r="CN96" s="0" t="n">
        <v>0</v>
      </c>
      <c r="CO96" s="0" t="n">
        <v>93</v>
      </c>
      <c r="CP96" s="0" t="n">
        <v>0</v>
      </c>
      <c r="CQ96" s="0" t="n">
        <v>93</v>
      </c>
      <c r="CR96" s="0" t="n">
        <v>0</v>
      </c>
      <c r="CS96" s="0" t="n">
        <v>93</v>
      </c>
      <c r="CT96" s="0" t="n">
        <v>0</v>
      </c>
      <c r="CU96" s="0" t="n">
        <v>93</v>
      </c>
      <c r="CV96" s="0" t="n">
        <v>0</v>
      </c>
      <c r="CW96" s="0" t="n">
        <v>93</v>
      </c>
      <c r="CX96" s="0" t="n">
        <v>0</v>
      </c>
    </row>
    <row r="97" customFormat="false" ht="12.75" hidden="false" customHeight="false" outlineLevel="0" collapsed="false">
      <c r="B97" s="0" t="n">
        <v>94</v>
      </c>
      <c r="C97" s="0" t="n">
        <v>0</v>
      </c>
      <c r="D97" s="0" t="n">
        <v>0</v>
      </c>
      <c r="E97" s="0" t="n">
        <v>94</v>
      </c>
      <c r="F97" s="0" t="n">
        <v>0</v>
      </c>
      <c r="G97" s="0" t="n">
        <v>94</v>
      </c>
      <c r="H97" s="0" t="n">
        <v>0</v>
      </c>
      <c r="I97" s="0" t="n">
        <v>94</v>
      </c>
      <c r="J97" s="0" t="n">
        <v>0</v>
      </c>
      <c r="K97" s="0" t="n">
        <v>94</v>
      </c>
      <c r="L97" s="0" t="n">
        <v>0</v>
      </c>
      <c r="M97" s="0" t="n">
        <v>94</v>
      </c>
      <c r="N97" s="0" t="n">
        <v>0</v>
      </c>
      <c r="O97" s="0" t="n">
        <v>94</v>
      </c>
      <c r="P97" s="0" t="n">
        <v>0</v>
      </c>
      <c r="Q97" s="0" t="n">
        <v>94</v>
      </c>
      <c r="R97" s="0" t="n">
        <v>0</v>
      </c>
      <c r="S97" s="0" t="n">
        <v>94</v>
      </c>
      <c r="T97" s="0" t="n">
        <v>0</v>
      </c>
      <c r="U97" s="0" t="n">
        <v>94</v>
      </c>
      <c r="V97" s="0" t="n">
        <v>0</v>
      </c>
      <c r="W97" s="0" t="n">
        <v>94</v>
      </c>
      <c r="X97" s="0" t="n">
        <v>0</v>
      </c>
      <c r="Y97" s="0" t="n">
        <v>94</v>
      </c>
      <c r="Z97" s="0" t="n">
        <v>0</v>
      </c>
      <c r="AA97" s="0" t="n">
        <v>94</v>
      </c>
      <c r="AB97" s="0" t="n">
        <v>0</v>
      </c>
      <c r="AC97" s="0" t="n">
        <v>94</v>
      </c>
      <c r="AD97" s="0" t="n">
        <v>0</v>
      </c>
      <c r="AE97" s="0" t="n">
        <v>94</v>
      </c>
      <c r="AF97" s="0" t="n">
        <v>0</v>
      </c>
      <c r="AG97" s="0" t="n">
        <v>94</v>
      </c>
      <c r="AH97" s="0" t="n">
        <v>0</v>
      </c>
      <c r="AI97" s="0" t="n">
        <v>94</v>
      </c>
      <c r="AJ97" s="0" t="n">
        <v>0</v>
      </c>
      <c r="AK97" s="0" t="n">
        <v>94</v>
      </c>
      <c r="AL97" s="0" t="n">
        <v>0</v>
      </c>
      <c r="AM97" s="0" t="n">
        <v>94</v>
      </c>
      <c r="AN97" s="0" t="n">
        <v>0</v>
      </c>
      <c r="AO97" s="0" t="n">
        <v>94</v>
      </c>
      <c r="AP97" s="0" t="n">
        <v>0</v>
      </c>
      <c r="AQ97" s="0" t="n">
        <v>94</v>
      </c>
      <c r="AR97" s="0" t="n">
        <v>0</v>
      </c>
      <c r="AS97" s="0" t="n">
        <v>94</v>
      </c>
      <c r="AT97" s="0" t="n">
        <v>0</v>
      </c>
      <c r="AU97" s="0" t="n">
        <v>94</v>
      </c>
      <c r="AV97" s="0" t="n">
        <v>0</v>
      </c>
      <c r="AW97" s="0" t="n">
        <v>94</v>
      </c>
      <c r="AX97" s="0" t="n">
        <v>0</v>
      </c>
      <c r="AY97" s="0" t="n">
        <v>94</v>
      </c>
      <c r="AZ97" s="0" t="n">
        <v>0</v>
      </c>
      <c r="BA97" s="0" t="n">
        <v>94</v>
      </c>
      <c r="BB97" s="0" t="n">
        <v>0</v>
      </c>
      <c r="BC97" s="0" t="n">
        <v>94</v>
      </c>
      <c r="BD97" s="0" t="n">
        <v>0</v>
      </c>
      <c r="BE97" s="0" t="n">
        <v>94</v>
      </c>
      <c r="BF97" s="0" t="n">
        <v>0</v>
      </c>
      <c r="BG97" s="0" t="n">
        <v>94</v>
      </c>
      <c r="BH97" s="0" t="n">
        <v>0</v>
      </c>
      <c r="BI97" s="0" t="n">
        <v>94</v>
      </c>
      <c r="BJ97" s="0" t="n">
        <v>0</v>
      </c>
      <c r="BK97" s="0" t="n">
        <v>94</v>
      </c>
      <c r="BL97" s="0" t="n">
        <v>0</v>
      </c>
      <c r="BM97" s="0" t="n">
        <v>94</v>
      </c>
      <c r="BN97" s="0" t="n">
        <v>0</v>
      </c>
      <c r="BO97" s="0" t="n">
        <v>94</v>
      </c>
      <c r="BP97" s="0" t="n">
        <v>0</v>
      </c>
      <c r="BQ97" s="0" t="n">
        <v>94</v>
      </c>
      <c r="BR97" s="0" t="n">
        <v>0</v>
      </c>
      <c r="BS97" s="0" t="n">
        <v>94</v>
      </c>
      <c r="BT97" s="0" t="n">
        <v>0</v>
      </c>
      <c r="BU97" s="0" t="n">
        <v>94</v>
      </c>
      <c r="BV97" s="0" t="n">
        <v>0</v>
      </c>
      <c r="BW97" s="0" t="n">
        <v>94</v>
      </c>
      <c r="BX97" s="0" t="n">
        <v>0</v>
      </c>
      <c r="BY97" s="0" t="n">
        <v>94</v>
      </c>
      <c r="BZ97" s="0" t="n">
        <v>0</v>
      </c>
      <c r="CA97" s="0" t="n">
        <v>94</v>
      </c>
      <c r="CB97" s="0" t="n">
        <v>0</v>
      </c>
      <c r="CC97" s="0" t="n">
        <v>94</v>
      </c>
      <c r="CD97" s="0" t="n">
        <v>0</v>
      </c>
      <c r="CE97" s="0" t="n">
        <v>94</v>
      </c>
      <c r="CF97" s="0" t="n">
        <v>0</v>
      </c>
      <c r="CG97" s="0" t="n">
        <v>94</v>
      </c>
      <c r="CH97" s="0" t="n">
        <v>0</v>
      </c>
      <c r="CI97" s="0" t="n">
        <v>94</v>
      </c>
      <c r="CJ97" s="0" t="n">
        <v>0</v>
      </c>
      <c r="CK97" s="0" t="n">
        <v>94</v>
      </c>
      <c r="CL97" s="0" t="n">
        <v>0</v>
      </c>
      <c r="CM97" s="0" t="n">
        <v>94</v>
      </c>
      <c r="CN97" s="0" t="n">
        <v>0</v>
      </c>
      <c r="CO97" s="0" t="n">
        <v>94</v>
      </c>
      <c r="CP97" s="0" t="n">
        <v>0</v>
      </c>
      <c r="CQ97" s="0" t="n">
        <v>94</v>
      </c>
      <c r="CR97" s="0" t="n">
        <v>0</v>
      </c>
      <c r="CS97" s="0" t="n">
        <v>94</v>
      </c>
      <c r="CT97" s="0" t="n">
        <v>0</v>
      </c>
      <c r="CU97" s="0" t="n">
        <v>94</v>
      </c>
      <c r="CV97" s="0" t="n">
        <v>0</v>
      </c>
      <c r="CW97" s="0" t="n">
        <v>94</v>
      </c>
      <c r="CX97" s="0" t="n">
        <v>0</v>
      </c>
    </row>
    <row r="98" customFormat="false" ht="12.75" hidden="false" customHeight="false" outlineLevel="0" collapsed="false">
      <c r="B98" s="0" t="n">
        <v>95</v>
      </c>
      <c r="C98" s="0" t="n">
        <v>0</v>
      </c>
      <c r="D98" s="0" t="n">
        <v>0</v>
      </c>
      <c r="E98" s="0" t="n">
        <v>95</v>
      </c>
      <c r="F98" s="0" t="n">
        <v>0</v>
      </c>
      <c r="G98" s="0" t="n">
        <v>95</v>
      </c>
      <c r="H98" s="0" t="n">
        <v>0</v>
      </c>
      <c r="I98" s="0" t="n">
        <v>95</v>
      </c>
      <c r="J98" s="0" t="n">
        <v>0</v>
      </c>
      <c r="K98" s="0" t="n">
        <v>95</v>
      </c>
      <c r="L98" s="0" t="n">
        <v>0</v>
      </c>
      <c r="M98" s="0" t="n">
        <v>95</v>
      </c>
      <c r="N98" s="0" t="n">
        <v>0</v>
      </c>
      <c r="O98" s="0" t="n">
        <v>95</v>
      </c>
      <c r="P98" s="0" t="n">
        <v>0</v>
      </c>
      <c r="Q98" s="0" t="n">
        <v>95</v>
      </c>
      <c r="R98" s="0" t="n">
        <v>0</v>
      </c>
      <c r="S98" s="0" t="n">
        <v>95</v>
      </c>
      <c r="T98" s="0" t="n">
        <v>0</v>
      </c>
      <c r="U98" s="0" t="n">
        <v>95</v>
      </c>
      <c r="V98" s="0" t="n">
        <v>0</v>
      </c>
      <c r="W98" s="0" t="n">
        <v>95</v>
      </c>
      <c r="X98" s="0" t="n">
        <v>0</v>
      </c>
      <c r="Y98" s="0" t="n">
        <v>95</v>
      </c>
      <c r="Z98" s="0" t="n">
        <v>0</v>
      </c>
      <c r="AA98" s="0" t="n">
        <v>95</v>
      </c>
      <c r="AB98" s="0" t="n">
        <v>0</v>
      </c>
      <c r="AC98" s="0" t="n">
        <v>95</v>
      </c>
      <c r="AD98" s="0" t="n">
        <v>0</v>
      </c>
      <c r="AE98" s="0" t="n">
        <v>95</v>
      </c>
      <c r="AF98" s="0" t="n">
        <v>0</v>
      </c>
      <c r="AG98" s="0" t="n">
        <v>95</v>
      </c>
      <c r="AH98" s="0" t="n">
        <v>0</v>
      </c>
      <c r="AI98" s="0" t="n">
        <v>95</v>
      </c>
      <c r="AJ98" s="0" t="n">
        <v>0</v>
      </c>
      <c r="AK98" s="0" t="n">
        <v>95</v>
      </c>
      <c r="AL98" s="0" t="n">
        <v>0</v>
      </c>
      <c r="AM98" s="0" t="n">
        <v>95</v>
      </c>
      <c r="AN98" s="0" t="n">
        <v>0</v>
      </c>
      <c r="AO98" s="0" t="n">
        <v>95</v>
      </c>
      <c r="AP98" s="0" t="n">
        <v>0</v>
      </c>
      <c r="AQ98" s="0" t="n">
        <v>95</v>
      </c>
      <c r="AR98" s="0" t="n">
        <v>0</v>
      </c>
      <c r="AS98" s="0" t="n">
        <v>95</v>
      </c>
      <c r="AT98" s="0" t="n">
        <v>0</v>
      </c>
      <c r="AU98" s="0" t="n">
        <v>95</v>
      </c>
      <c r="AV98" s="0" t="n">
        <v>0</v>
      </c>
      <c r="AW98" s="0" t="n">
        <v>95</v>
      </c>
      <c r="AX98" s="0" t="n">
        <v>0</v>
      </c>
      <c r="AY98" s="0" t="n">
        <v>95</v>
      </c>
      <c r="AZ98" s="0" t="n">
        <v>0</v>
      </c>
      <c r="BA98" s="0" t="n">
        <v>95</v>
      </c>
      <c r="BB98" s="0" t="n">
        <v>0</v>
      </c>
      <c r="BC98" s="0" t="n">
        <v>95</v>
      </c>
      <c r="BD98" s="0" t="n">
        <v>0</v>
      </c>
      <c r="BE98" s="0" t="n">
        <v>95</v>
      </c>
      <c r="BF98" s="0" t="n">
        <v>0</v>
      </c>
      <c r="BG98" s="0" t="n">
        <v>95</v>
      </c>
      <c r="BH98" s="0" t="n">
        <v>0</v>
      </c>
      <c r="BI98" s="0" t="n">
        <v>95</v>
      </c>
      <c r="BJ98" s="0" t="n">
        <v>0</v>
      </c>
      <c r="BK98" s="0" t="n">
        <v>95</v>
      </c>
      <c r="BL98" s="0" t="n">
        <v>0</v>
      </c>
      <c r="BM98" s="0" t="n">
        <v>95</v>
      </c>
      <c r="BN98" s="0" t="n">
        <v>0</v>
      </c>
      <c r="BO98" s="0" t="n">
        <v>95</v>
      </c>
      <c r="BP98" s="0" t="n">
        <v>0</v>
      </c>
      <c r="BQ98" s="0" t="n">
        <v>95</v>
      </c>
      <c r="BR98" s="0" t="n">
        <v>0</v>
      </c>
      <c r="BS98" s="0" t="n">
        <v>95</v>
      </c>
      <c r="BT98" s="0" t="n">
        <v>0</v>
      </c>
      <c r="BU98" s="0" t="n">
        <v>95</v>
      </c>
      <c r="BV98" s="0" t="n">
        <v>0</v>
      </c>
      <c r="BW98" s="0" t="n">
        <v>95</v>
      </c>
      <c r="BX98" s="0" t="n">
        <v>0</v>
      </c>
      <c r="BY98" s="0" t="n">
        <v>95</v>
      </c>
      <c r="BZ98" s="0" t="n">
        <v>0</v>
      </c>
      <c r="CA98" s="0" t="n">
        <v>95</v>
      </c>
      <c r="CB98" s="0" t="n">
        <v>0</v>
      </c>
      <c r="CC98" s="0" t="n">
        <v>95</v>
      </c>
      <c r="CD98" s="0" t="n">
        <v>0</v>
      </c>
      <c r="CE98" s="0" t="n">
        <v>95</v>
      </c>
      <c r="CF98" s="0" t="n">
        <v>0</v>
      </c>
      <c r="CG98" s="0" t="n">
        <v>95</v>
      </c>
      <c r="CH98" s="0" t="n">
        <v>0</v>
      </c>
      <c r="CI98" s="0" t="n">
        <v>95</v>
      </c>
      <c r="CJ98" s="0" t="n">
        <v>0</v>
      </c>
      <c r="CK98" s="0" t="n">
        <v>95</v>
      </c>
      <c r="CL98" s="0" t="n">
        <v>0</v>
      </c>
      <c r="CM98" s="0" t="n">
        <v>95</v>
      </c>
      <c r="CN98" s="0" t="n">
        <v>0</v>
      </c>
      <c r="CO98" s="0" t="n">
        <v>95</v>
      </c>
      <c r="CP98" s="0" t="n">
        <v>0</v>
      </c>
      <c r="CQ98" s="0" t="n">
        <v>95</v>
      </c>
      <c r="CR98" s="0" t="n">
        <v>0</v>
      </c>
      <c r="CS98" s="0" t="n">
        <v>95</v>
      </c>
      <c r="CT98" s="0" t="n">
        <v>0</v>
      </c>
      <c r="CU98" s="0" t="n">
        <v>95</v>
      </c>
      <c r="CV98" s="0" t="n">
        <v>0</v>
      </c>
      <c r="CW98" s="0" t="n">
        <v>95</v>
      </c>
      <c r="CX98" s="0" t="n">
        <v>0</v>
      </c>
    </row>
    <row r="99" customFormat="false" ht="12.75" hidden="false" customHeight="false" outlineLevel="0" collapsed="false">
      <c r="B99" s="0" t="n">
        <v>96</v>
      </c>
      <c r="C99" s="0" t="n">
        <v>0</v>
      </c>
      <c r="D99" s="0" t="n">
        <v>0</v>
      </c>
      <c r="E99" s="0" t="n">
        <v>96</v>
      </c>
      <c r="F99" s="0" t="n">
        <v>0</v>
      </c>
      <c r="G99" s="0" t="n">
        <v>96</v>
      </c>
      <c r="H99" s="0" t="n">
        <v>0</v>
      </c>
      <c r="I99" s="0" t="n">
        <v>96</v>
      </c>
      <c r="J99" s="0" t="n">
        <v>0</v>
      </c>
      <c r="K99" s="0" t="n">
        <v>96</v>
      </c>
      <c r="L99" s="0" t="n">
        <v>0</v>
      </c>
      <c r="M99" s="0" t="n">
        <v>96</v>
      </c>
      <c r="N99" s="0" t="n">
        <v>0</v>
      </c>
      <c r="O99" s="0" t="n">
        <v>96</v>
      </c>
      <c r="P99" s="0" t="n">
        <v>0</v>
      </c>
      <c r="Q99" s="0" t="n">
        <v>96</v>
      </c>
      <c r="R99" s="0" t="n">
        <v>0</v>
      </c>
      <c r="S99" s="0" t="n">
        <v>96</v>
      </c>
      <c r="T99" s="0" t="n">
        <v>0</v>
      </c>
      <c r="U99" s="0" t="n">
        <v>96</v>
      </c>
      <c r="V99" s="0" t="n">
        <v>0</v>
      </c>
      <c r="W99" s="0" t="n">
        <v>96</v>
      </c>
      <c r="X99" s="0" t="n">
        <v>0</v>
      </c>
      <c r="Y99" s="0" t="n">
        <v>96</v>
      </c>
      <c r="Z99" s="0" t="n">
        <v>0</v>
      </c>
      <c r="AA99" s="0" t="n">
        <v>96</v>
      </c>
      <c r="AB99" s="0" t="n">
        <v>0</v>
      </c>
      <c r="AC99" s="0" t="n">
        <v>96</v>
      </c>
      <c r="AD99" s="0" t="n">
        <v>0</v>
      </c>
      <c r="AE99" s="0" t="n">
        <v>96</v>
      </c>
      <c r="AF99" s="0" t="n">
        <v>0</v>
      </c>
      <c r="AG99" s="0" t="n">
        <v>96</v>
      </c>
      <c r="AH99" s="0" t="n">
        <v>0</v>
      </c>
      <c r="AI99" s="0" t="n">
        <v>96</v>
      </c>
      <c r="AJ99" s="0" t="n">
        <v>0</v>
      </c>
      <c r="AK99" s="0" t="n">
        <v>96</v>
      </c>
      <c r="AL99" s="0" t="n">
        <v>0</v>
      </c>
      <c r="AM99" s="0" t="n">
        <v>96</v>
      </c>
      <c r="AN99" s="0" t="n">
        <v>0</v>
      </c>
      <c r="AO99" s="0" t="n">
        <v>96</v>
      </c>
      <c r="AP99" s="0" t="n">
        <v>0</v>
      </c>
      <c r="AQ99" s="0" t="n">
        <v>96</v>
      </c>
      <c r="AR99" s="0" t="n">
        <v>0</v>
      </c>
      <c r="AS99" s="0" t="n">
        <v>96</v>
      </c>
      <c r="AT99" s="0" t="n">
        <v>0</v>
      </c>
      <c r="AU99" s="0" t="n">
        <v>96</v>
      </c>
      <c r="AV99" s="0" t="n">
        <v>0</v>
      </c>
      <c r="AW99" s="0" t="n">
        <v>96</v>
      </c>
      <c r="AX99" s="0" t="n">
        <v>0</v>
      </c>
      <c r="AY99" s="0" t="n">
        <v>96</v>
      </c>
      <c r="AZ99" s="0" t="n">
        <v>0</v>
      </c>
      <c r="BA99" s="0" t="n">
        <v>96</v>
      </c>
      <c r="BB99" s="0" t="n">
        <v>0</v>
      </c>
      <c r="BC99" s="0" t="n">
        <v>96</v>
      </c>
      <c r="BD99" s="0" t="n">
        <v>0</v>
      </c>
      <c r="BE99" s="0" t="n">
        <v>96</v>
      </c>
      <c r="BF99" s="0" t="n">
        <v>0</v>
      </c>
      <c r="BG99" s="0" t="n">
        <v>96</v>
      </c>
      <c r="BH99" s="0" t="n">
        <v>0</v>
      </c>
      <c r="BI99" s="0" t="n">
        <v>96</v>
      </c>
      <c r="BJ99" s="0" t="n">
        <v>0</v>
      </c>
      <c r="BK99" s="0" t="n">
        <v>96</v>
      </c>
      <c r="BL99" s="0" t="n">
        <v>0</v>
      </c>
      <c r="BM99" s="0" t="n">
        <v>96</v>
      </c>
      <c r="BN99" s="0" t="n">
        <v>0</v>
      </c>
      <c r="BO99" s="0" t="n">
        <v>96</v>
      </c>
      <c r="BP99" s="0" t="n">
        <v>0</v>
      </c>
      <c r="BQ99" s="0" t="n">
        <v>96</v>
      </c>
      <c r="BR99" s="0" t="n">
        <v>0</v>
      </c>
      <c r="BS99" s="0" t="n">
        <v>96</v>
      </c>
      <c r="BT99" s="0" t="n">
        <v>0</v>
      </c>
      <c r="BU99" s="0" t="n">
        <v>96</v>
      </c>
      <c r="BV99" s="0" t="n">
        <v>0</v>
      </c>
      <c r="BW99" s="0" t="n">
        <v>96</v>
      </c>
      <c r="BX99" s="0" t="n">
        <v>0</v>
      </c>
      <c r="BY99" s="0" t="n">
        <v>96</v>
      </c>
      <c r="BZ99" s="0" t="n">
        <v>0</v>
      </c>
      <c r="CA99" s="0" t="n">
        <v>96</v>
      </c>
      <c r="CB99" s="0" t="n">
        <v>0</v>
      </c>
      <c r="CC99" s="0" t="n">
        <v>96</v>
      </c>
      <c r="CD99" s="0" t="n">
        <v>0</v>
      </c>
      <c r="CE99" s="0" t="n">
        <v>96</v>
      </c>
      <c r="CF99" s="0" t="n">
        <v>0</v>
      </c>
      <c r="CG99" s="0" t="n">
        <v>96</v>
      </c>
      <c r="CH99" s="0" t="n">
        <v>0</v>
      </c>
      <c r="CI99" s="0" t="n">
        <v>96</v>
      </c>
      <c r="CJ99" s="0" t="n">
        <v>0</v>
      </c>
      <c r="CK99" s="0" t="n">
        <v>96</v>
      </c>
      <c r="CL99" s="0" t="n">
        <v>0</v>
      </c>
      <c r="CM99" s="0" t="n">
        <v>96</v>
      </c>
      <c r="CN99" s="0" t="n">
        <v>0</v>
      </c>
      <c r="CO99" s="0" t="n">
        <v>96</v>
      </c>
      <c r="CP99" s="0" t="n">
        <v>0</v>
      </c>
      <c r="CQ99" s="0" t="n">
        <v>96</v>
      </c>
      <c r="CR99" s="0" t="n">
        <v>0</v>
      </c>
      <c r="CS99" s="0" t="n">
        <v>96</v>
      </c>
      <c r="CT99" s="0" t="n">
        <v>0</v>
      </c>
      <c r="CU99" s="0" t="n">
        <v>96</v>
      </c>
      <c r="CV99" s="0" t="n">
        <v>0</v>
      </c>
      <c r="CW99" s="0" t="n">
        <v>96</v>
      </c>
      <c r="CX99" s="0" t="n">
        <v>0</v>
      </c>
    </row>
    <row r="100" customFormat="false" ht="12.75" hidden="false" customHeight="false" outlineLevel="0" collapsed="false">
      <c r="B100" s="0" t="n">
        <v>97</v>
      </c>
      <c r="C100" s="0" t="n">
        <v>0</v>
      </c>
      <c r="D100" s="0" t="n">
        <v>0</v>
      </c>
      <c r="E100" s="0" t="n">
        <v>97</v>
      </c>
      <c r="F100" s="0" t="n">
        <v>0</v>
      </c>
      <c r="G100" s="0" t="n">
        <v>97</v>
      </c>
      <c r="H100" s="0" t="n">
        <v>0</v>
      </c>
      <c r="I100" s="0" t="n">
        <v>97</v>
      </c>
      <c r="J100" s="0" t="n">
        <v>0</v>
      </c>
      <c r="K100" s="0" t="n">
        <v>97</v>
      </c>
      <c r="L100" s="0" t="n">
        <v>0</v>
      </c>
      <c r="M100" s="0" t="n">
        <v>97</v>
      </c>
      <c r="N100" s="0" t="n">
        <v>0</v>
      </c>
      <c r="O100" s="0" t="n">
        <v>97</v>
      </c>
      <c r="P100" s="0" t="n">
        <v>0</v>
      </c>
      <c r="Q100" s="0" t="n">
        <v>97</v>
      </c>
      <c r="R100" s="0" t="n">
        <v>0</v>
      </c>
      <c r="S100" s="0" t="n">
        <v>97</v>
      </c>
      <c r="T100" s="0" t="n">
        <v>0</v>
      </c>
      <c r="U100" s="0" t="n">
        <v>97</v>
      </c>
      <c r="V100" s="0" t="n">
        <v>0</v>
      </c>
      <c r="W100" s="0" t="n">
        <v>97</v>
      </c>
      <c r="X100" s="0" t="n">
        <v>0</v>
      </c>
      <c r="Y100" s="0" t="n">
        <v>97</v>
      </c>
      <c r="Z100" s="0" t="n">
        <v>0</v>
      </c>
      <c r="AA100" s="0" t="n">
        <v>97</v>
      </c>
      <c r="AB100" s="0" t="n">
        <v>0</v>
      </c>
      <c r="AC100" s="0" t="n">
        <v>97</v>
      </c>
      <c r="AD100" s="0" t="n">
        <v>0</v>
      </c>
      <c r="AE100" s="0" t="n">
        <v>97</v>
      </c>
      <c r="AF100" s="0" t="n">
        <v>0</v>
      </c>
      <c r="AG100" s="0" t="n">
        <v>97</v>
      </c>
      <c r="AH100" s="0" t="n">
        <v>0</v>
      </c>
      <c r="AI100" s="0" t="n">
        <v>97</v>
      </c>
      <c r="AJ100" s="0" t="n">
        <v>0</v>
      </c>
      <c r="AK100" s="0" t="n">
        <v>97</v>
      </c>
      <c r="AL100" s="0" t="n">
        <v>0</v>
      </c>
      <c r="AM100" s="0" t="n">
        <v>97</v>
      </c>
      <c r="AN100" s="0" t="n">
        <v>0</v>
      </c>
      <c r="AO100" s="0" t="n">
        <v>97</v>
      </c>
      <c r="AP100" s="0" t="n">
        <v>0</v>
      </c>
      <c r="AQ100" s="0" t="n">
        <v>97</v>
      </c>
      <c r="AR100" s="0" t="n">
        <v>0</v>
      </c>
      <c r="AS100" s="0" t="n">
        <v>97</v>
      </c>
      <c r="AT100" s="0" t="n">
        <v>0</v>
      </c>
      <c r="AU100" s="0" t="n">
        <v>97</v>
      </c>
      <c r="AV100" s="0" t="n">
        <v>0</v>
      </c>
      <c r="AW100" s="0" t="n">
        <v>97</v>
      </c>
      <c r="AX100" s="0" t="n">
        <v>0</v>
      </c>
      <c r="AY100" s="0" t="n">
        <v>97</v>
      </c>
      <c r="AZ100" s="0" t="n">
        <v>0</v>
      </c>
      <c r="BA100" s="0" t="n">
        <v>97</v>
      </c>
      <c r="BB100" s="0" t="n">
        <v>0</v>
      </c>
      <c r="BC100" s="0" t="n">
        <v>97</v>
      </c>
      <c r="BD100" s="0" t="n">
        <v>0</v>
      </c>
      <c r="BE100" s="0" t="n">
        <v>97</v>
      </c>
      <c r="BF100" s="0" t="n">
        <v>0</v>
      </c>
      <c r="BG100" s="0" t="n">
        <v>97</v>
      </c>
      <c r="BH100" s="0" t="n">
        <v>0</v>
      </c>
      <c r="BI100" s="0" t="n">
        <v>97</v>
      </c>
      <c r="BJ100" s="0" t="n">
        <v>0</v>
      </c>
      <c r="BK100" s="0" t="n">
        <v>97</v>
      </c>
      <c r="BL100" s="0" t="n">
        <v>0</v>
      </c>
      <c r="BM100" s="0" t="n">
        <v>97</v>
      </c>
      <c r="BN100" s="0" t="n">
        <v>0</v>
      </c>
      <c r="BO100" s="0" t="n">
        <v>97</v>
      </c>
      <c r="BP100" s="0" t="n">
        <v>0</v>
      </c>
      <c r="BQ100" s="0" t="n">
        <v>97</v>
      </c>
      <c r="BR100" s="0" t="n">
        <v>0</v>
      </c>
      <c r="BS100" s="0" t="n">
        <v>97</v>
      </c>
      <c r="BT100" s="0" t="n">
        <v>0</v>
      </c>
      <c r="BU100" s="0" t="n">
        <v>97</v>
      </c>
      <c r="BV100" s="0" t="n">
        <v>0</v>
      </c>
      <c r="BW100" s="0" t="n">
        <v>97</v>
      </c>
      <c r="BX100" s="0" t="n">
        <v>0</v>
      </c>
      <c r="BY100" s="0" t="n">
        <v>97</v>
      </c>
      <c r="BZ100" s="0" t="n">
        <v>0</v>
      </c>
      <c r="CA100" s="0" t="n">
        <v>97</v>
      </c>
      <c r="CB100" s="0" t="n">
        <v>0</v>
      </c>
      <c r="CC100" s="0" t="n">
        <v>97</v>
      </c>
      <c r="CD100" s="0" t="n">
        <v>0</v>
      </c>
      <c r="CE100" s="0" t="n">
        <v>97</v>
      </c>
      <c r="CF100" s="0" t="n">
        <v>0</v>
      </c>
      <c r="CG100" s="0" t="n">
        <v>97</v>
      </c>
      <c r="CH100" s="0" t="n">
        <v>0</v>
      </c>
      <c r="CI100" s="0" t="n">
        <v>97</v>
      </c>
      <c r="CJ100" s="0" t="n">
        <v>0</v>
      </c>
      <c r="CK100" s="0" t="n">
        <v>97</v>
      </c>
      <c r="CL100" s="0" t="n">
        <v>0</v>
      </c>
      <c r="CM100" s="0" t="n">
        <v>97</v>
      </c>
      <c r="CN100" s="0" t="n">
        <v>0</v>
      </c>
      <c r="CO100" s="0" t="n">
        <v>97</v>
      </c>
      <c r="CP100" s="0" t="n">
        <v>0</v>
      </c>
      <c r="CQ100" s="0" t="n">
        <v>97</v>
      </c>
      <c r="CR100" s="0" t="n">
        <v>0</v>
      </c>
      <c r="CS100" s="0" t="n">
        <v>97</v>
      </c>
      <c r="CT100" s="0" t="n">
        <v>0</v>
      </c>
      <c r="CU100" s="0" t="n">
        <v>97</v>
      </c>
      <c r="CV100" s="0" t="n">
        <v>0</v>
      </c>
      <c r="CW100" s="0" t="n">
        <v>97</v>
      </c>
      <c r="CX100" s="0" t="n">
        <v>0</v>
      </c>
    </row>
    <row r="101" customFormat="false" ht="12.75" hidden="false" customHeight="false" outlineLevel="0" collapsed="false">
      <c r="B101" s="0" t="n">
        <v>98</v>
      </c>
      <c r="C101" s="0" t="n">
        <v>760</v>
      </c>
      <c r="D101" s="0" t="n">
        <v>218</v>
      </c>
      <c r="E101" s="0" t="n">
        <v>98</v>
      </c>
      <c r="F101" s="0" t="n">
        <v>1212</v>
      </c>
      <c r="G101" s="0" t="n">
        <v>98</v>
      </c>
      <c r="H101" s="0" t="n">
        <v>310</v>
      </c>
      <c r="I101" s="0" t="n">
        <v>98</v>
      </c>
      <c r="J101" s="0" t="n">
        <v>12044</v>
      </c>
      <c r="K101" s="0" t="n">
        <v>98</v>
      </c>
      <c r="L101" s="0" t="n">
        <v>825</v>
      </c>
      <c r="M101" s="0" t="n">
        <v>98</v>
      </c>
      <c r="N101" s="0" t="n">
        <v>749</v>
      </c>
      <c r="O101" s="0" t="n">
        <v>98</v>
      </c>
      <c r="P101" s="0" t="n">
        <v>477</v>
      </c>
      <c r="Q101" s="0" t="n">
        <v>98</v>
      </c>
      <c r="R101" s="0" t="n">
        <v>223</v>
      </c>
      <c r="S101" s="0" t="n">
        <v>98</v>
      </c>
      <c r="T101" s="0" t="n">
        <v>4379</v>
      </c>
      <c r="U101" s="0" t="n">
        <v>98</v>
      </c>
      <c r="V101" s="0" t="n">
        <v>1574</v>
      </c>
      <c r="W101" s="0" t="n">
        <v>98</v>
      </c>
      <c r="X101" s="0" t="n">
        <v>1333</v>
      </c>
      <c r="Y101" s="0" t="n">
        <v>98</v>
      </c>
      <c r="Z101" s="0" t="n">
        <v>56</v>
      </c>
      <c r="AA101" s="0" t="n">
        <v>98</v>
      </c>
      <c r="AB101" s="0" t="n">
        <v>1449</v>
      </c>
      <c r="AC101" s="0" t="n">
        <v>98</v>
      </c>
      <c r="AD101" s="0" t="n">
        <v>492</v>
      </c>
      <c r="AE101" s="0" t="n">
        <v>98</v>
      </c>
      <c r="AF101" s="0" t="n">
        <v>204</v>
      </c>
      <c r="AG101" s="0" t="n">
        <v>98</v>
      </c>
      <c r="AH101" s="0" t="n">
        <v>214</v>
      </c>
      <c r="AI101" s="0" t="n">
        <v>98</v>
      </c>
      <c r="AJ101" s="0" t="n">
        <v>484</v>
      </c>
      <c r="AK101" s="0" t="n">
        <v>98</v>
      </c>
      <c r="AL101" s="0" t="n">
        <v>1296</v>
      </c>
      <c r="AM101" s="0" t="n">
        <v>98</v>
      </c>
      <c r="AN101" s="0" t="n">
        <v>271</v>
      </c>
      <c r="AO101" s="0" t="n">
        <v>98</v>
      </c>
      <c r="AP101" s="0" t="n">
        <v>1107</v>
      </c>
      <c r="AQ101" s="0" t="n">
        <v>98</v>
      </c>
      <c r="AR101" s="0" t="n">
        <v>1073</v>
      </c>
      <c r="AS101" s="0" t="n">
        <v>98</v>
      </c>
      <c r="AT101" s="0" t="n">
        <v>1448</v>
      </c>
      <c r="AU101" s="0" t="n">
        <v>98</v>
      </c>
      <c r="AV101" s="0" t="n">
        <v>485</v>
      </c>
      <c r="AW101" s="0" t="n">
        <v>98</v>
      </c>
      <c r="AX101" s="0" t="n">
        <v>672</v>
      </c>
      <c r="AY101" s="0" t="n">
        <v>98</v>
      </c>
      <c r="AZ101" s="0" t="n">
        <v>841</v>
      </c>
      <c r="BA101" s="0" t="n">
        <v>98</v>
      </c>
      <c r="BB101" s="0" t="n">
        <v>65</v>
      </c>
      <c r="BC101" s="0" t="n">
        <v>98</v>
      </c>
      <c r="BD101" s="0" t="n">
        <v>255</v>
      </c>
      <c r="BE101" s="0" t="n">
        <v>98</v>
      </c>
      <c r="BF101" s="0" t="n">
        <v>174</v>
      </c>
      <c r="BG101" s="0" t="n">
        <v>98</v>
      </c>
      <c r="BH101" s="0" t="n">
        <v>270</v>
      </c>
      <c r="BI101" s="0" t="n">
        <v>98</v>
      </c>
      <c r="BJ101" s="0" t="n">
        <v>1632</v>
      </c>
      <c r="BK101" s="0" t="n">
        <v>98</v>
      </c>
      <c r="BL101" s="0" t="n">
        <v>462</v>
      </c>
      <c r="BM101" s="0" t="n">
        <v>98</v>
      </c>
      <c r="BN101" s="0" t="n">
        <v>3720</v>
      </c>
      <c r="BO101" s="0" t="n">
        <v>98</v>
      </c>
      <c r="BP101" s="0" t="n">
        <v>1659</v>
      </c>
      <c r="BQ101" s="0" t="n">
        <v>98</v>
      </c>
      <c r="BR101" s="0" t="n">
        <v>65</v>
      </c>
      <c r="BS101" s="0" t="n">
        <v>98</v>
      </c>
      <c r="BT101" s="0" t="n">
        <v>1245</v>
      </c>
      <c r="BU101" s="0" t="n">
        <v>98</v>
      </c>
      <c r="BV101" s="0" t="n">
        <v>566</v>
      </c>
      <c r="BW101" s="0" t="n">
        <v>98</v>
      </c>
      <c r="BX101" s="0" t="n">
        <v>518</v>
      </c>
      <c r="BY101" s="0" t="n">
        <v>98</v>
      </c>
      <c r="BZ101" s="0" t="n">
        <v>1391</v>
      </c>
      <c r="CA101" s="0" t="n">
        <v>98</v>
      </c>
      <c r="CB101" s="0" t="n">
        <v>91</v>
      </c>
      <c r="CC101" s="0" t="n">
        <v>98</v>
      </c>
      <c r="CD101" s="0" t="n">
        <v>95</v>
      </c>
      <c r="CE101" s="0" t="n">
        <v>98</v>
      </c>
      <c r="CF101" s="0" t="n">
        <v>2067</v>
      </c>
      <c r="CG101" s="0" t="n">
        <v>98</v>
      </c>
      <c r="CH101" s="0" t="n">
        <v>423</v>
      </c>
      <c r="CI101" s="0" t="n">
        <v>98</v>
      </c>
      <c r="CJ101" s="0" t="n">
        <v>7142</v>
      </c>
      <c r="CK101" s="0" t="n">
        <v>98</v>
      </c>
      <c r="CL101" s="0" t="n">
        <v>440</v>
      </c>
      <c r="CM101" s="0" t="n">
        <v>98</v>
      </c>
      <c r="CN101" s="0" t="n">
        <v>82</v>
      </c>
      <c r="CO101" s="0" t="n">
        <v>98</v>
      </c>
      <c r="CP101" s="0" t="n">
        <v>6078</v>
      </c>
      <c r="CQ101" s="0" t="n">
        <v>98</v>
      </c>
      <c r="CR101" s="0" t="n">
        <v>2598</v>
      </c>
      <c r="CS101" s="0" t="n">
        <v>98</v>
      </c>
      <c r="CT101" s="0" t="n">
        <v>94</v>
      </c>
      <c r="CU101" s="0" t="n">
        <v>98</v>
      </c>
      <c r="CV101" s="0" t="n">
        <v>416</v>
      </c>
      <c r="CW101" s="0" t="n">
        <v>98</v>
      </c>
      <c r="CX101" s="0" t="n">
        <v>92</v>
      </c>
    </row>
    <row r="102" customFormat="false" ht="12.75" hidden="false" customHeight="false" outlineLevel="0" collapsed="false">
      <c r="B102" s="0" t="n">
        <v>99</v>
      </c>
      <c r="C102" s="0" t="n">
        <v>0</v>
      </c>
      <c r="D102" s="0" t="n">
        <v>0</v>
      </c>
      <c r="E102" s="0" t="n">
        <v>99</v>
      </c>
      <c r="F102" s="0" t="n">
        <v>0</v>
      </c>
      <c r="G102" s="0" t="n">
        <v>99</v>
      </c>
      <c r="H102" s="0" t="n">
        <v>0</v>
      </c>
      <c r="I102" s="0" t="n">
        <v>99</v>
      </c>
      <c r="J102" s="0" t="n">
        <v>0</v>
      </c>
      <c r="K102" s="0" t="n">
        <v>99</v>
      </c>
      <c r="L102" s="0" t="n">
        <v>0</v>
      </c>
      <c r="M102" s="0" t="n">
        <v>99</v>
      </c>
      <c r="N102" s="0" t="n">
        <v>0</v>
      </c>
      <c r="O102" s="0" t="n">
        <v>99</v>
      </c>
      <c r="P102" s="0" t="n">
        <v>0</v>
      </c>
      <c r="Q102" s="0" t="n">
        <v>99</v>
      </c>
      <c r="R102" s="0" t="n">
        <v>0</v>
      </c>
      <c r="S102" s="0" t="n">
        <v>99</v>
      </c>
      <c r="T102" s="0" t="n">
        <v>0</v>
      </c>
      <c r="U102" s="0" t="n">
        <v>99</v>
      </c>
      <c r="V102" s="0" t="n">
        <v>0</v>
      </c>
      <c r="W102" s="0" t="n">
        <v>99</v>
      </c>
      <c r="X102" s="0" t="n">
        <v>0</v>
      </c>
      <c r="Y102" s="0" t="n">
        <v>99</v>
      </c>
      <c r="Z102" s="0" t="n">
        <v>0</v>
      </c>
      <c r="AA102" s="0" t="n">
        <v>99</v>
      </c>
      <c r="AB102" s="0" t="n">
        <v>0</v>
      </c>
      <c r="AC102" s="0" t="n">
        <v>99</v>
      </c>
      <c r="AD102" s="0" t="n">
        <v>0</v>
      </c>
      <c r="AE102" s="0" t="n">
        <v>99</v>
      </c>
      <c r="AF102" s="0" t="n">
        <v>0</v>
      </c>
      <c r="AG102" s="0" t="n">
        <v>99</v>
      </c>
      <c r="AH102" s="0" t="n">
        <v>0</v>
      </c>
      <c r="AI102" s="0" t="n">
        <v>99</v>
      </c>
      <c r="AJ102" s="0" t="n">
        <v>0</v>
      </c>
      <c r="AK102" s="0" t="n">
        <v>99</v>
      </c>
      <c r="AL102" s="0" t="n">
        <v>0</v>
      </c>
      <c r="AM102" s="0" t="n">
        <v>99</v>
      </c>
      <c r="AN102" s="0" t="n">
        <v>0</v>
      </c>
      <c r="AO102" s="0" t="n">
        <v>99</v>
      </c>
      <c r="AP102" s="0" t="n">
        <v>0</v>
      </c>
      <c r="AQ102" s="0" t="n">
        <v>99</v>
      </c>
      <c r="AR102" s="0" t="n">
        <v>0</v>
      </c>
      <c r="AS102" s="0" t="n">
        <v>99</v>
      </c>
      <c r="AT102" s="0" t="n">
        <v>0</v>
      </c>
      <c r="AU102" s="0" t="n">
        <v>99</v>
      </c>
      <c r="AV102" s="0" t="n">
        <v>0</v>
      </c>
      <c r="AW102" s="0" t="n">
        <v>99</v>
      </c>
      <c r="AX102" s="0" t="n">
        <v>0</v>
      </c>
      <c r="AY102" s="0" t="n">
        <v>99</v>
      </c>
      <c r="AZ102" s="0" t="n">
        <v>0</v>
      </c>
      <c r="BA102" s="0" t="n">
        <v>99</v>
      </c>
      <c r="BB102" s="0" t="n">
        <v>0</v>
      </c>
      <c r="BC102" s="0" t="n">
        <v>99</v>
      </c>
      <c r="BD102" s="0" t="n">
        <v>0</v>
      </c>
      <c r="BE102" s="0" t="n">
        <v>99</v>
      </c>
      <c r="BF102" s="0" t="n">
        <v>0</v>
      </c>
      <c r="BG102" s="0" t="n">
        <v>99</v>
      </c>
      <c r="BH102" s="0" t="n">
        <v>0</v>
      </c>
      <c r="BI102" s="0" t="n">
        <v>99</v>
      </c>
      <c r="BJ102" s="0" t="n">
        <v>0</v>
      </c>
      <c r="BK102" s="0" t="n">
        <v>99</v>
      </c>
      <c r="BL102" s="0" t="n">
        <v>0</v>
      </c>
      <c r="BM102" s="0" t="n">
        <v>99</v>
      </c>
      <c r="BN102" s="0" t="n">
        <v>0</v>
      </c>
      <c r="BO102" s="0" t="n">
        <v>99</v>
      </c>
      <c r="BP102" s="0" t="n">
        <v>0</v>
      </c>
      <c r="BQ102" s="0" t="n">
        <v>99</v>
      </c>
      <c r="BR102" s="0" t="n">
        <v>0</v>
      </c>
      <c r="BS102" s="0" t="n">
        <v>99</v>
      </c>
      <c r="BT102" s="0" t="n">
        <v>0</v>
      </c>
      <c r="BU102" s="0" t="n">
        <v>99</v>
      </c>
      <c r="BV102" s="0" t="n">
        <v>0</v>
      </c>
      <c r="BW102" s="0" t="n">
        <v>99</v>
      </c>
      <c r="BX102" s="0" t="n">
        <v>0</v>
      </c>
      <c r="BY102" s="0" t="n">
        <v>99</v>
      </c>
      <c r="BZ102" s="0" t="n">
        <v>0</v>
      </c>
      <c r="CA102" s="0" t="n">
        <v>99</v>
      </c>
      <c r="CB102" s="0" t="n">
        <v>0</v>
      </c>
      <c r="CC102" s="0" t="n">
        <v>99</v>
      </c>
      <c r="CD102" s="0" t="n">
        <v>0</v>
      </c>
      <c r="CE102" s="0" t="n">
        <v>99</v>
      </c>
      <c r="CF102" s="0" t="n">
        <v>0</v>
      </c>
      <c r="CG102" s="0" t="n">
        <v>99</v>
      </c>
      <c r="CH102" s="0" t="n">
        <v>0</v>
      </c>
      <c r="CI102" s="0" t="n">
        <v>99</v>
      </c>
      <c r="CJ102" s="0" t="n">
        <v>0</v>
      </c>
      <c r="CK102" s="0" t="n">
        <v>99</v>
      </c>
      <c r="CL102" s="0" t="n">
        <v>0</v>
      </c>
      <c r="CM102" s="0" t="n">
        <v>99</v>
      </c>
      <c r="CN102" s="0" t="n">
        <v>0</v>
      </c>
      <c r="CO102" s="0" t="n">
        <v>99</v>
      </c>
      <c r="CP102" s="0" t="n">
        <v>0</v>
      </c>
      <c r="CQ102" s="0" t="n">
        <v>99</v>
      </c>
      <c r="CR102" s="0" t="n">
        <v>0</v>
      </c>
      <c r="CS102" s="0" t="n">
        <v>99</v>
      </c>
      <c r="CT102" s="0" t="n">
        <v>0</v>
      </c>
      <c r="CU102" s="0" t="n">
        <v>99</v>
      </c>
      <c r="CV102" s="0" t="n">
        <v>0</v>
      </c>
      <c r="CW102" s="0" t="n">
        <v>99</v>
      </c>
      <c r="CX10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1998-11-17T03:06:29Z</dcterms:created>
  <dc:creator>David Levinson</dc:creator>
  <dc:description/>
  <dc:language>en-AU</dc:language>
  <cp:lastModifiedBy>David Levinson</cp:lastModifiedBy>
  <cp:revision>0</cp:revision>
  <dc:subject/>
  <dc:title/>
</cp:coreProperties>
</file>