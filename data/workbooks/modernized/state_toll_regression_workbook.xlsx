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38.xml" ContentType="application/vnd.openxmlformats-officedocument.spreadsheetml.worksheet+xml"/>
  <Override PartName="/xl/worksheets/sheet36.xml" ContentType="application/vnd.openxmlformats-officedocument.spreadsheetml.worksheet+xml"/>
  <Override PartName="/xl/worksheets/sheet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6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3.xml" ContentType="application/vnd.openxmlformats-officedocument.spreadsheetml.worksheet+xml"/>
  <Override PartName="/xl/worksheets/sheet63.xml" ContentType="application/vnd.openxmlformats-officedocument.spreadsheetml.worksheet+xml"/>
  <Override PartName="/xl/worksheets/sheet48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65.xml" ContentType="application/vnd.openxmlformats-officedocument.spreadsheetml.worksheet+xml"/>
  <Override PartName="/xl/worksheets/sheet52.xml" ContentType="application/vnd.openxmlformats-officedocument.spreadsheetml.worksheet+xml"/>
  <Override PartName="/xl/worksheets/sheet30.xml" ContentType="application/vnd.openxmlformats-officedocument.spreadsheetml.worksheet+xml"/>
  <Override PartName="/xl/worksheets/sheet9.xml" ContentType="application/vnd.openxmlformats-officedocument.spreadsheetml.worksheet+xml"/>
  <Override PartName="/xl/worksheets/sheet67.xml" ContentType="application/vnd.openxmlformats-officedocument.spreadsheetml.worksheet+xml"/>
  <Override PartName="/xl/worksheets/sheet59.xml" ContentType="application/vnd.openxmlformats-officedocument.spreadsheetml.worksheet+xml"/>
  <Override PartName="/xl/worksheets/sheet53.xml" ContentType="application/vnd.openxmlformats-officedocument.spreadsheetml.worksheet+xml"/>
  <Override PartName="/xl/worksheets/sheet64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55.xml" ContentType="application/vnd.openxmlformats-officedocument.spreadsheetml.worksheet+xml"/>
  <Override PartName="/xl/worksheets/sheet1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6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 (2)" sheetId="1" state="visible" r:id="rId3"/>
    <sheet name="LAND_ALL" sheetId="2" state="visible" r:id="rId4"/>
    <sheet name="LAND_TOLLSTATES" sheetId="3" state="visible" r:id="rId5"/>
    <sheet name="LANDPOP_TOLL STATES" sheetId="4" state="visible" r:id="rId6"/>
    <sheet name="NOTLOG-NOTLOG" sheetId="5" state="visible" r:id="rId7"/>
    <sheet name="LOG-LOG" sheetId="6" state="visible" r:id="rId8"/>
    <sheet name="LOG-NOTLOG" sheetId="7" state="visible" r:id="rId9"/>
    <sheet name="NOTLOG-LOG" sheetId="8" state="visible" r:id="rId10"/>
    <sheet name="LOG-NL=f(L,P,O)" sheetId="9" state="visible" r:id="rId11"/>
    <sheet name="LOG-NL=f(L,P,O,O')" sheetId="10" state="visible" r:id="rId12"/>
    <sheet name="NL-NL=f(L,P,O,J)" sheetId="11" state="visible" r:id="rId13"/>
    <sheet name="LOG-NL=f(L,P,O,J)" sheetId="12" state="visible" r:id="rId14"/>
    <sheet name="LOG-NL=f(P,O,J)" sheetId="13" state="visible" r:id="rId15"/>
    <sheet name="LAND=f(P,O,J)" sheetId="14" state="visible" r:id="rId16"/>
    <sheet name="LOG-NL-f(P,O,J,Neigh)" sheetId="15" state="visible" r:id="rId17"/>
    <sheet name="LOG-NL-f(P,Ov,Ow,Ro)" sheetId="16" state="visible" r:id="rId18"/>
    <sheet name="LOG-NL-f(P,Ow)" sheetId="17" state="visible" r:id="rId19"/>
    <sheet name="LOG-NL-f(D,Ow)" sheetId="18" state="visible" r:id="rId20"/>
    <sheet name="LOG-NL-f(D,P,Ow)" sheetId="19" state="visible" r:id="rId21"/>
    <sheet name="LOG-NL-f(D,P,Ow,Ov)" sheetId="20" state="visible" r:id="rId22"/>
    <sheet name="LOG-NL-f(D,P,Ow,Ro)" sheetId="21" state="visible" r:id="rId23"/>
    <sheet name="Log-NL-f(D,P,Ow,Ro,Ov,Nj)" sheetId="22" state="visible" r:id="rId24"/>
    <sheet name="L-NL-f(D,P,Ow,Rw,Ov,Nj,Lf)" sheetId="23" state="visible" r:id="rId25"/>
    <sheet name="L-NL-f-(P,Ow,Ro,Nj,Lf)" sheetId="24" state="visible" r:id="rId26"/>
    <sheet name="N-N-f(P,Ow,Ro,Nj,Lf)" sheetId="25" state="visible" r:id="rId27"/>
    <sheet name="FINAL-1" sheetId="26" state="visible" r:id="rId28"/>
    <sheet name="Sheet3" sheetId="27" state="visible" r:id="rId29"/>
    <sheet name="Sheet8" sheetId="28" state="visible" r:id="rId30"/>
    <sheet name="Ro=f(L,D)" sheetId="29" state="visible" r:id="rId31"/>
    <sheet name="N-N-f(P,M,Ow,RoxN2^4)" sheetId="30" state="visible" r:id="rId32"/>
    <sheet name="Sheet1" sheetId="31" state="visible" r:id="rId33"/>
    <sheet name="Final-2" sheetId="32" state="visible" r:id="rId34"/>
    <sheet name="Ow=f(L,D)" sheetId="33" state="visible" r:id="rId35"/>
    <sheet name="Chart1" sheetId="34" state="visible" r:id="rId36"/>
    <sheet name="L-L" sheetId="35" state="visible" r:id="rId37"/>
    <sheet name="NL-L" sheetId="36" state="visible" r:id="rId38"/>
    <sheet name="NL-NL" sheetId="37" state="visible" r:id="rId39"/>
    <sheet name="L-NL" sheetId="38" state="visible" r:id="rId40"/>
    <sheet name="Sheet4" sheetId="39" state="hidden" r:id="rId41"/>
    <sheet name="Sheet5" sheetId="40" state="hidden" r:id="rId42"/>
    <sheet name="Correlate" sheetId="41" state="visible" r:id="rId43"/>
    <sheet name="Sheet7" sheetId="42" state="visible" r:id="rId44"/>
    <sheet name="Sheet9" sheetId="43" state="visible" r:id="rId45"/>
    <sheet name="Sheet11" sheetId="44" state="visible" r:id="rId46"/>
    <sheet name="Sheet6" sheetId="45" state="visible" r:id="rId47"/>
    <sheet name="Sheet2" sheetId="46" state="visible" r:id="rId48"/>
    <sheet name="UberSelect" sheetId="47" state="visible" r:id="rId49"/>
    <sheet name="2sls" sheetId="48" state="visible" r:id="rId50"/>
    <sheet name="NL-NL-f(P,M,O,N,TotExp)" sheetId="49" state="visible" r:id="rId51"/>
    <sheet name="NL-NL-f(P,M,O,N,NonCap)" sheetId="50" state="visible" r:id="rId52"/>
    <sheet name="Sheet22" sheetId="51" state="visible" r:id="rId53"/>
    <sheet name="BinaryChoice" sheetId="52" state="visible" r:id="rId54"/>
    <sheet name="VMT" sheetId="53" state="visible" r:id="rId55"/>
    <sheet name="TotalWorkers" sheetId="54" state="visible" r:id="rId56"/>
    <sheet name="TotWork+Pop" sheetId="55" state="visible" r:id="rId57"/>
    <sheet name="Sheet13" sheetId="56" state="visible" r:id="rId58"/>
    <sheet name="N-N-F(M,O,P)" sheetId="57" state="visible" r:id="rId59"/>
    <sheet name="Select" sheetId="58" state="visible" r:id="rId60"/>
    <sheet name="JTW-DATA" sheetId="59" state="visible" r:id="rId61"/>
    <sheet name="Linear-TollingStates" sheetId="60" state="visible" r:id="rId62"/>
    <sheet name="Logit-TollingStates" sheetId="61" state="visible" r:id="rId63"/>
    <sheet name="Sheet19" sheetId="62" state="visible" r:id="rId64"/>
    <sheet name="Sheet20" sheetId="63" state="visible" r:id="rId65"/>
    <sheet name="Sheet21" sheetId="64" state="visible" r:id="rId66"/>
    <sheet name="SubSelect" sheetId="65" state="visible" r:id="rId67"/>
    <sheet name="HIST-RMS" sheetId="66" state="visible" r:id="rId68"/>
    <sheet name="HIST-TOLLS" sheetId="67" state="visible" r:id="rId69"/>
    <sheet name="Equity" sheetId="68" state="visible" r:id="rId7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<sst xmlns="http://schemas.openxmlformats.org/spreadsheetml/2006/main" count="4705" uniqueCount="637">
  <si>
    <t xml:space="preserve">STATE</t>
  </si>
  <si>
    <t xml:space="preserve">TollShare (S)</t>
  </si>
  <si>
    <t xml:space="preserve">Workers Who Live Out of State (O)</t>
  </si>
  <si>
    <t xml:space="preserve">Percent Federal Land</t>
  </si>
  <si>
    <t xml:space="preserve">TollShare in Neighboring States</t>
  </si>
  <si>
    <t xml:space="preserve">Residents Who Work Out of State</t>
  </si>
  <si>
    <t xml:space="preserve">TollMile1963</t>
  </si>
  <si>
    <t xml:space="preserve">Freeways, Expwy, Interstates 1995 Miles</t>
  </si>
  <si>
    <t xml:space="preserve">ALABAMA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</si>
  <si>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</si>
  <si>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</si>
  <si>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</si>
  <si>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</si>
  <si>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</si>
  <si>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</si>
  <si>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</si>
  <si>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</si>
  <si>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</si>
  <si>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</si>
  <si>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</si>
  <si>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</si>
  <si>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</si>
  <si>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</si>
  <si>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</si>
  <si>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</si>
  <si>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</si>
  <si>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</si>
  <si>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</si>
  <si>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</si>
  <si>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</si>
  <si>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</si>
  <si>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</si>
  <si>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</si>
  <si>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</si>
  <si>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</si>
  <si>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NEW-HAMPSHIRE</t>
  </si>
  <si>
    <t xml:space="preserve">NEW-JERSEY</t>
  </si>
  <si>
    <t xml:space="preserve">NEW-MEXICO</t>
  </si>
  <si>
    <t xml:space="preserve">NEW-YORK</t>
  </si>
  <si>
    <t xml:space="preserve">NORTH-CAROLINA</t>
  </si>
  <si>
    <t xml:space="preserve">NORTH-DAKOTA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</si>
  <si>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</si>
  <si>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</si>
  <si>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</si>
  <si>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</si>
  <si>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RHODE-ISLAND</t>
  </si>
  <si>
    <t xml:space="preserve">SOUTH-CAROLINA</t>
  </si>
  <si>
    <t xml:space="preserve">SOUTH-DAKOTA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</si>
  <si>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</si>
  <si>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</si>
  <si>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</si>
  <si>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</si>
  <si>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</si>
  <si>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</si>
  <si>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WEST-VIRGINIA</t>
  </si>
  <si>
    <t xml:space="preserve">WISCONSIN</t>
  </si>
  <si>
    <t xml:space="preserve">WYOMING</t>
  </si>
  <si>
    <t xml:space="preserve">SUMMARY OUTPUT = TOLL SHARE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</si>
  <si>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</si>
  <si>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</si>
  <si>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</si>
  <si>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</si>
  <si>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</si>
  <si>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</si>
  <si>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</si>
  <si>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</si>
  <si>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</si>
  <si>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</si>
  <si>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</si>
  <si>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</si>
  <si>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</si>
  <si>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</si>
  <si>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</si>
  <si>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</si>
  <si>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</si>
  <si>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</si>
  <si>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</si>
  <si>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</si>
  <si>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</si>
  <si>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</si>
  <si>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</si>
  <si>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Land</t>
  </si>
  <si>
    <t xml:space="preserve">note; Excluding Alaska</t>
  </si>
  <si>
    <t xml:space="preserve">SUMMARY OUTPUT = TOLLSHARE</t>
  </si>
  <si>
    <t xml:space="preserve">Population</t>
  </si>
  <si>
    <t xml:space="preserve">(Miles )</t>
  </si>
  <si>
    <t xml:space="preserve">SUMMARY OUTPUT = LOG(TOLLSHARE+1)</t>
  </si>
  <si>
    <t xml:space="preserve">Log(Land)</t>
  </si>
  <si>
    <t xml:space="preserve">Log(Pop)</t>
  </si>
  <si>
    <t xml:space="preserve">Log(Miles)</t>
  </si>
  <si>
    <t xml:space="preserve">SUMMARY OUTPUT=LOG(TOLLSHARE)</t>
  </si>
  <si>
    <t xml:space="preserve">Out of State Visitors</t>
  </si>
  <si>
    <t xml:space="preserve">SUMMARY OUTPUT DEP=LOG(TOLLSHARE)</t>
  </si>
  <si>
    <t xml:space="preserve">Residents Out-of-State Trips</t>
  </si>
  <si>
    <t xml:space="preserve">SUMMARY OUTPUT DEP=(TOLLSHARE)</t>
  </si>
  <si>
    <t xml:space="preserve">JTW-OOSRATIO</t>
  </si>
  <si>
    <t xml:space="preserve">SUMMARY OUTPUT</t>
  </si>
  <si>
    <t xml:space="preserve">DEP=LAND</t>
  </si>
  <si>
    <t xml:space="preserve">Neighbor</t>
  </si>
  <si>
    <t xml:space="preserve">Out of State Visitors - ATS</t>
  </si>
  <si>
    <t xml:space="preserve">Workers Who Live OOS (JTW)</t>
  </si>
  <si>
    <t xml:space="preserve">Residents Who Work OOS - JTW</t>
  </si>
  <si>
    <t xml:space="preserve">Density</t>
  </si>
  <si>
    <t xml:space="preserve">Neighbors-JTW</t>
  </si>
  <si>
    <t xml:space="preserve">Percent Federal</t>
  </si>
  <si>
    <t xml:space="preserve">OldTollMileRatio</t>
  </si>
  <si>
    <t xml:space="preserve">AVG-Neighbor-2</t>
  </si>
  <si>
    <t xml:space="preserve">dep=residents who work of jurisdiction</t>
  </si>
  <si>
    <t xml:space="preserve">XLSTAT - Regression / Started on 11/18/98 at 1:12:35 PM</t>
  </si>
  <si>
    <t xml:space="preserve">Input data : </t>
  </si>
  <si>
    <t xml:space="preserve">Y variable : Workbook = Levinson-stat.xls / Sheet = Select / Range = $C$3:$C$52</t>
  </si>
  <si>
    <t xml:space="preserve">Numerical variables : Workbook = Levinson-stat.xls / Sheet = Select / Range = $M$3:$P$52</t>
  </si>
  <si>
    <t xml:space="preserve">Categorical variables : None</t>
  </si>
  <si>
    <t xml:space="preserve">Mean</t>
  </si>
  <si>
    <t xml:space="preserve">Std. dev.</t>
  </si>
  <si>
    <t xml:space="preserve">Min</t>
  </si>
  <si>
    <t xml:space="preserve">Max</t>
  </si>
  <si>
    <t xml:space="preserve">TollShare</t>
  </si>
  <si>
    <t xml:space="preserve">Correlation coefficient r : 0.8093</t>
  </si>
  <si>
    <t xml:space="preserve">Determination coefficient r² : 0.6549</t>
  </si>
  <si>
    <t xml:space="preserve">Adjusted determination coefficient : 0.6235</t>
  </si>
  <si>
    <t xml:space="preserve">Evaluating significance of information carried by variables (H0 = Y=Mean(Y)):</t>
  </si>
  <si>
    <t xml:space="preserve">DF</t>
  </si>
  <si>
    <t xml:space="preserve">Sum of squares</t>
  </si>
  <si>
    <t xml:space="preserve">Mean of squares</t>
  </si>
  <si>
    <t xml:space="preserve">Fisher's F</t>
  </si>
  <si>
    <t xml:space="preserve">Pr &gt; F</t>
  </si>
  <si>
    <t xml:space="preserve">Model</t>
  </si>
  <si>
    <t xml:space="preserve">Residuals</t>
  </si>
  <si>
    <t xml:space="preserve">Model analysis (Type I SS) :</t>
  </si>
  <si>
    <t xml:space="preserve">Source</t>
  </si>
  <si>
    <t xml:space="preserve">Type I SS</t>
  </si>
  <si>
    <t xml:space="preserve">Mean Square</t>
  </si>
  <si>
    <t xml:space="preserve">Pr. &gt;F</t>
  </si>
  <si>
    <t xml:space="preserve">Regression parameters and corresponding statistics :</t>
  </si>
  <si>
    <t xml:space="preserve">Value</t>
  </si>
  <si>
    <t xml:space="preserve">Std dev.</t>
  </si>
  <si>
    <t xml:space="preserve">Student's t</t>
  </si>
  <si>
    <t xml:space="preserve">Corresponding probability</t>
  </si>
  <si>
    <t xml:space="preserve">Lower 95% bound</t>
  </si>
  <si>
    <t xml:space="preserve">Upper 95% bound</t>
  </si>
  <si>
    <t xml:space="preserve">AVG-Neighbor-2^4</t>
  </si>
  <si>
    <t xml:space="preserve">XLSTAT - Regression / Started on 11/24/98 at 10:43:32 AM</t>
  </si>
  <si>
    <t xml:space="preserve">N1^4</t>
  </si>
  <si>
    <t xml:space="preserve">Correlation coefficient r : 0.9803</t>
  </si>
  <si>
    <t xml:space="preserve">Determination coefficient r² : 0.9609</t>
  </si>
  <si>
    <t xml:space="preserve">Adjusted determination coefficient : 0.9609</t>
  </si>
  <si>
    <t xml:space="preserve">Residuals analysis :</t>
  </si>
  <si>
    <t xml:space="preserve">Observation</t>
  </si>
  <si>
    <t xml:space="preserve">Weight</t>
  </si>
  <si>
    <t xml:space="preserve">predicted TollShare</t>
  </si>
  <si>
    <t xml:space="preserve">Reduced residuals</t>
  </si>
  <si>
    <t xml:space="preserve">Lower value (95% confidence range)</t>
  </si>
  <si>
    <t xml:space="preserve">Upper value (95% confidence range)</t>
  </si>
  <si>
    <t xml:space="preserve">Durbin-Watson Dw statistic : 2.3192</t>
  </si>
  <si>
    <t xml:space="preserve">Results interpretation:</t>
  </si>
  <si>
    <t xml:space="preserve">The selected X variables explain 96.09% of the variability of Y which is a very good result.</t>
  </si>
  <si>
    <t xml:space="preserve">Try to find another set of explanatory variables to replace or to add to the selected ones.</t>
  </si>
  <si>
    <t xml:space="preserve">You would take an only 0.01% risk when rejecting the hypothesis that a constant model would be better than your model,</t>
  </si>
  <si>
    <t xml:space="preserve">so the selected variables bring significant information to the model.</t>
  </si>
  <si>
    <t xml:space="preserve">The variable that weights the most in the model is : Intercept.</t>
  </si>
  <si>
    <t xml:space="preserve">XLSTAT - Regression / Started on 11/18/98 at 4:10:42 PM</t>
  </si>
  <si>
    <t xml:space="preserve">dep=Workers who live out of jurisdiction</t>
  </si>
  <si>
    <t xml:space="preserve">LN(POP)</t>
  </si>
  <si>
    <t xml:space="preserve">LN(OLDMILES+1)</t>
  </si>
  <si>
    <t xml:space="preserve">LN(Ow)</t>
  </si>
  <si>
    <t xml:space="preserve">LN(N1^4)</t>
  </si>
  <si>
    <t xml:space="preserve">ImportedWorkers</t>
  </si>
  <si>
    <t xml:space="preserve">ResidentsWhoWorkInState</t>
  </si>
  <si>
    <t xml:space="preserve">NeighborTolls</t>
  </si>
  <si>
    <t xml:space="preserve">Federal</t>
  </si>
  <si>
    <t xml:space="preserve">XLSTAT - Correlations and Principal Components Analysis / Started on 11/25/98 at 10:13:17 AM</t>
  </si>
  <si>
    <t xml:space="preserve">Correlation coefficient type : Classical</t>
  </si>
  <si>
    <t xml:space="preserve">Data range : Workbook = Levinson-stat.xls / Sheet = UberSelect / Range = $C$1:$K$50</t>
  </si>
  <si>
    <t xml:space="preserve">Correlations matrix :</t>
  </si>
  <si>
    <t xml:space="preserve">AVG-Neighbor-1</t>
  </si>
  <si>
    <t xml:space="preserve">Percent Federal Lands</t>
  </si>
  <si>
    <t xml:space="preserve">Eigenvalues and eigenvectors (based on the correlations matrix) :</t>
  </si>
  <si>
    <t xml:space="preserve">Eigenvalue.</t>
  </si>
  <si>
    <t xml:space="preserve">% of variability.</t>
  </si>
  <si>
    <t xml:space="preserve">Cumulated %</t>
  </si>
  <si>
    <t xml:space="preserve">Vectors :</t>
  </si>
  <si>
    <t xml:space="preserve">Correlations between initial variables and principal factors :</t>
  </si>
  <si>
    <t xml:space="preserve">factor 1</t>
  </si>
  <si>
    <t xml:space="preserve">factor 2</t>
  </si>
  <si>
    <t xml:space="preserve">factor 3</t>
  </si>
  <si>
    <t xml:space="preserve">factor 4</t>
  </si>
  <si>
    <t xml:space="preserve">factor 5</t>
  </si>
  <si>
    <t xml:space="preserve">factor 6</t>
  </si>
  <si>
    <t xml:space="preserve">factor 7</t>
  </si>
  <si>
    <t xml:space="preserve">factor 8</t>
  </si>
  <si>
    <t xml:space="preserve">factor 9</t>
  </si>
  <si>
    <t xml:space="preserve">Data coordinates on new axes (principal components):</t>
  </si>
  <si>
    <t xml:space="preserve">axis 1</t>
  </si>
  <si>
    <t xml:space="preserve">axis 2</t>
  </si>
  <si>
    <t xml:space="preserve">axis 3</t>
  </si>
  <si>
    <t xml:space="preserve">axis 4</t>
  </si>
  <si>
    <t xml:space="preserve">axis 5</t>
  </si>
  <si>
    <t xml:space="preserve">axis 6</t>
  </si>
  <si>
    <t xml:space="preserve">axis 7</t>
  </si>
  <si>
    <t xml:space="preserve">axis 8</t>
  </si>
  <si>
    <t xml:space="preserve">axis 9</t>
  </si>
  <si>
    <t xml:space="preserve">Obs 1</t>
  </si>
  <si>
    <t xml:space="preserve">Obs 2</t>
  </si>
  <si>
    <t xml:space="preserve">Obs 3</t>
  </si>
  <si>
    <t xml:space="preserve">Obs 4</t>
  </si>
  <si>
    <t xml:space="preserve">Obs 5</t>
  </si>
  <si>
    <t xml:space="preserve">Obs 6</t>
  </si>
  <si>
    <t xml:space="preserve">Obs 7</t>
  </si>
  <si>
    <t xml:space="preserve">Obs 8</t>
  </si>
  <si>
    <t xml:space="preserve">Obs 9</t>
  </si>
  <si>
    <t xml:space="preserve">Obs 10</t>
  </si>
  <si>
    <t xml:space="preserve">Obs 11</t>
  </si>
  <si>
    <t xml:space="preserve">Obs 12</t>
  </si>
  <si>
    <t xml:space="preserve">Obs 13</t>
  </si>
  <si>
    <t xml:space="preserve">Obs 14</t>
  </si>
  <si>
    <t xml:space="preserve">Obs 15</t>
  </si>
  <si>
    <t xml:space="preserve">Obs 16</t>
  </si>
  <si>
    <t xml:space="preserve">Obs 17</t>
  </si>
  <si>
    <t xml:space="preserve">Obs 18</t>
  </si>
  <si>
    <t xml:space="preserve">Obs 19</t>
  </si>
  <si>
    <t xml:space="preserve">Obs 20</t>
  </si>
  <si>
    <t xml:space="preserve">Obs 21</t>
  </si>
  <si>
    <t xml:space="preserve">Obs 22</t>
  </si>
  <si>
    <t xml:space="preserve">Obs 23</t>
  </si>
  <si>
    <t xml:space="preserve">Obs 24</t>
  </si>
  <si>
    <t xml:space="preserve">Obs 25</t>
  </si>
  <si>
    <t xml:space="preserve">Obs 26</t>
  </si>
  <si>
    <t xml:space="preserve">Obs 27</t>
  </si>
  <si>
    <t xml:space="preserve">Obs 28</t>
  </si>
  <si>
    <t xml:space="preserve">Obs 29</t>
  </si>
  <si>
    <t xml:space="preserve">Obs 30</t>
  </si>
  <si>
    <t xml:space="preserve">Obs 31</t>
  </si>
  <si>
    <t xml:space="preserve">Obs 32</t>
  </si>
  <si>
    <t xml:space="preserve">Obs 33</t>
  </si>
  <si>
    <t xml:space="preserve">Obs 34</t>
  </si>
  <si>
    <t xml:space="preserve">Obs 35</t>
  </si>
  <si>
    <t xml:space="preserve">Obs 36</t>
  </si>
  <si>
    <t xml:space="preserve">Obs 37</t>
  </si>
  <si>
    <t xml:space="preserve">Obs 38</t>
  </si>
  <si>
    <t xml:space="preserve">Obs 39</t>
  </si>
  <si>
    <t xml:space="preserve">Obs 40</t>
  </si>
  <si>
    <t xml:space="preserve">Obs 41</t>
  </si>
  <si>
    <t xml:space="preserve">Obs 42</t>
  </si>
  <si>
    <t xml:space="preserve">Obs 43</t>
  </si>
  <si>
    <t xml:space="preserve">Obs 44</t>
  </si>
  <si>
    <t xml:space="preserve">Obs 45</t>
  </si>
  <si>
    <t xml:space="preserve">Obs 46</t>
  </si>
  <si>
    <t xml:space="preserve">Obs 47</t>
  </si>
  <si>
    <t xml:space="preserve">Obs 48</t>
  </si>
  <si>
    <t xml:space="preserve">Obs 49</t>
  </si>
  <si>
    <t xml:space="preserve">FULLNAME</t>
  </si>
  <si>
    <t xml:space="preserve">Ro</t>
  </si>
  <si>
    <t xml:space="preserve">LN(S/(1-S))</t>
  </si>
  <si>
    <t xml:space="preserve">Yhat-OLS-Final2</t>
  </si>
  <si>
    <t xml:space="preserve">Disburse</t>
  </si>
  <si>
    <t xml:space="preserve">Cap</t>
  </si>
  <si>
    <t xml:space="preserve">NonCap</t>
  </si>
  <si>
    <t xml:space="preserve">AL</t>
  </si>
  <si>
    <t xml:space="preserve">Alabama</t>
  </si>
  <si>
    <t xml:space="preserve">Alaska</t>
  </si>
  <si>
    <t xml:space="preserve">AZ</t>
  </si>
  <si>
    <t xml:space="preserve">Arizona</t>
  </si>
  <si>
    <t xml:space="preserve">Dist. of Col.</t>
  </si>
  <si>
    <t xml:space="preserve">AR</t>
  </si>
  <si>
    <t xml:space="preserve">Arkansas</t>
  </si>
  <si>
    <t xml:space="preserve">CA</t>
  </si>
  <si>
    <t xml:space="preserve">California</t>
  </si>
  <si>
    <t xml:space="preserve">CO</t>
  </si>
  <si>
    <t xml:space="preserve">Colorado</t>
  </si>
  <si>
    <t xml:space="preserve">CT</t>
  </si>
  <si>
    <t xml:space="preserve">Connecticut</t>
  </si>
  <si>
    <t xml:space="preserve">DE</t>
  </si>
  <si>
    <t xml:space="preserve">Delaware</t>
  </si>
  <si>
    <t xml:space="preserve">FL</t>
  </si>
  <si>
    <t xml:space="preserve">Florida</t>
  </si>
  <si>
    <t xml:space="preserve">GA</t>
  </si>
  <si>
    <t xml:space="preserve">Georgia</t>
  </si>
  <si>
    <t xml:space="preserve">HI</t>
  </si>
  <si>
    <t xml:space="preserve">Hawaii</t>
  </si>
  <si>
    <t xml:space="preserve">ID</t>
  </si>
  <si>
    <t xml:space="preserve">Idaho</t>
  </si>
  <si>
    <t xml:space="preserve">IL</t>
  </si>
  <si>
    <t xml:space="preserve">Illinois</t>
  </si>
  <si>
    <t xml:space="preserve">IN</t>
  </si>
  <si>
    <t xml:space="preserve">Indiana</t>
  </si>
  <si>
    <t xml:space="preserve">IA</t>
  </si>
  <si>
    <t xml:space="preserve">Iowa</t>
  </si>
  <si>
    <t xml:space="preserve">KS</t>
  </si>
  <si>
    <t xml:space="preserve">Kansas</t>
  </si>
  <si>
    <t xml:space="preserve">KY</t>
  </si>
  <si>
    <t xml:space="preserve">Kentucky</t>
  </si>
  <si>
    <t xml:space="preserve">LA</t>
  </si>
  <si>
    <t xml:space="preserve">Louisiana</t>
  </si>
  <si>
    <t xml:space="preserve">ME</t>
  </si>
  <si>
    <t xml:space="preserve">Maine</t>
  </si>
  <si>
    <t xml:space="preserve">MD</t>
  </si>
  <si>
    <t xml:space="preserve">Maryland</t>
  </si>
  <si>
    <t xml:space="preserve">MA</t>
  </si>
  <si>
    <t xml:space="preserve">Massachusetts</t>
  </si>
  <si>
    <t xml:space="preserve">MI</t>
  </si>
  <si>
    <t xml:space="preserve">Michigan</t>
  </si>
  <si>
    <t xml:space="preserve">MN</t>
  </si>
  <si>
    <t xml:space="preserve">Minnesota</t>
  </si>
  <si>
    <t xml:space="preserve">Mississippi</t>
  </si>
  <si>
    <t xml:space="preserve">MO</t>
  </si>
  <si>
    <t xml:space="preserve">Missouri</t>
  </si>
  <si>
    <t xml:space="preserve">MT</t>
  </si>
  <si>
    <t xml:space="preserve">Montana </t>
  </si>
  <si>
    <t xml:space="preserve">NE</t>
  </si>
  <si>
    <t xml:space="preserve">Nebraska</t>
  </si>
  <si>
    <t xml:space="preserve">NV</t>
  </si>
  <si>
    <t xml:space="preserve">Nevada</t>
  </si>
  <si>
    <t xml:space="preserve">NH</t>
  </si>
  <si>
    <t xml:space="preserve">New Hampshire</t>
  </si>
  <si>
    <t xml:space="preserve">NJ</t>
  </si>
  <si>
    <t xml:space="preserve">New Jersey</t>
  </si>
  <si>
    <t xml:space="preserve">NM</t>
  </si>
  <si>
    <t xml:space="preserve">New Mexico</t>
  </si>
  <si>
    <t xml:space="preserve">NY</t>
  </si>
  <si>
    <t xml:space="preserve">New York</t>
  </si>
  <si>
    <t xml:space="preserve">NC</t>
  </si>
  <si>
    <t xml:space="preserve">North Carolina</t>
  </si>
  <si>
    <t xml:space="preserve">ND</t>
  </si>
  <si>
    <t xml:space="preserve">North Dakota</t>
  </si>
  <si>
    <t xml:space="preserve">OH</t>
  </si>
  <si>
    <t xml:space="preserve">Ohio</t>
  </si>
  <si>
    <t xml:space="preserve">OK</t>
  </si>
  <si>
    <t xml:space="preserve">Oklahoma</t>
  </si>
  <si>
    <t xml:space="preserve">OR</t>
  </si>
  <si>
    <t xml:space="preserve">Oregon</t>
  </si>
  <si>
    <t xml:space="preserve">PA</t>
  </si>
  <si>
    <t xml:space="preserve">Pennsylvania</t>
  </si>
  <si>
    <t xml:space="preserve">RI</t>
  </si>
  <si>
    <t xml:space="preserve">Rhode Island</t>
  </si>
  <si>
    <t xml:space="preserve">SC</t>
  </si>
  <si>
    <t xml:space="preserve">South Carolina</t>
  </si>
  <si>
    <t xml:space="preserve">SD</t>
  </si>
  <si>
    <t xml:space="preserve">South Dakota</t>
  </si>
  <si>
    <t xml:space="preserve">TN</t>
  </si>
  <si>
    <t xml:space="preserve">Tennessee</t>
  </si>
  <si>
    <t xml:space="preserve">TX</t>
  </si>
  <si>
    <t xml:space="preserve">Texas</t>
  </si>
  <si>
    <t xml:space="preserve">UT</t>
  </si>
  <si>
    <t xml:space="preserve">Utah</t>
  </si>
  <si>
    <t xml:space="preserve">VT</t>
  </si>
  <si>
    <t xml:space="preserve">Vermont</t>
  </si>
  <si>
    <t xml:space="preserve">VA</t>
  </si>
  <si>
    <t xml:space="preserve">Virginia</t>
  </si>
  <si>
    <t xml:space="preserve">WA</t>
  </si>
  <si>
    <t xml:space="preserve">Washington</t>
  </si>
  <si>
    <t xml:space="preserve">WV</t>
  </si>
  <si>
    <t xml:space="preserve">West Virginia</t>
  </si>
  <si>
    <t xml:space="preserve">WI</t>
  </si>
  <si>
    <t xml:space="preserve">Wisconsin</t>
  </si>
  <si>
    <t xml:space="preserve">WY</t>
  </si>
  <si>
    <t xml:space="preserve">Wyoming</t>
  </si>
  <si>
    <t xml:space="preserve">Yhat</t>
  </si>
  <si>
    <t xml:space="preserve">Expend/Pop</t>
  </si>
  <si>
    <t xml:space="preserve">NonCap/Pop</t>
  </si>
  <si>
    <t xml:space="preserve">LN(S/1-S)</t>
  </si>
  <si>
    <t xml:space="preserve">NonTollShare</t>
  </si>
  <si>
    <t xml:space="preserve">Binary</t>
  </si>
  <si>
    <t xml:space="preserve">S*Ow</t>
  </si>
  <si>
    <t xml:space="preserve">(1-S)*(1-Ow)</t>
  </si>
  <si>
    <t xml:space="preserve">S*(1-Ow)</t>
  </si>
  <si>
    <t xml:space="preserve">(1-S)*Ow</t>
  </si>
  <si>
    <t xml:space="preserve">XLSTAT - Models for Binary Response Data / Started on 12/4/98 at 11:18:46 AM</t>
  </si>
  <si>
    <t xml:space="preserve">Binary response : Workbook = Levinson-stat.xls / Sheet = Sheet22 / Range = $g$1:$g$50</t>
  </si>
  <si>
    <t xml:space="preserve">Numerical variables : Workbook = Levinson-stat.xls / Sheet = Sheet22 / Range = $K$1:$L$50</t>
  </si>
  <si>
    <t xml:space="preserve">Probit Model</t>
  </si>
  <si>
    <t xml:space="preserve">Numerical data summary :</t>
  </si>
  <si>
    <t xml:space="preserve">Variable</t>
  </si>
  <si>
    <t xml:space="preserve">N1</t>
  </si>
  <si>
    <t xml:space="preserve">Maximum Likelihood estimators for parameters :</t>
  </si>
  <si>
    <t xml:space="preserve">Parameter</t>
  </si>
  <si>
    <t xml:space="preserve">Chi-Sq</t>
  </si>
  <si>
    <t xml:space="preserve">Prob&gt;Chi-Sq</t>
  </si>
  <si>
    <t xml:space="preserve">Goodness of fit evaluation :</t>
  </si>
  <si>
    <t xml:space="preserve">total obs.</t>
  </si>
  <si>
    <t xml:space="preserve">Log Like.</t>
  </si>
  <si>
    <t xml:space="preserve">Log Like. (indep)</t>
  </si>
  <si>
    <t xml:space="preserve">Pearson Chi-Sq</t>
  </si>
  <si>
    <t xml:space="preserve">DF (Chi-Sq)</t>
  </si>
  <si>
    <t xml:space="preserve">Prob&gt;Pearson Chi-Sq</t>
  </si>
  <si>
    <t xml:space="preserve">L.R. Chi-Sq</t>
  </si>
  <si>
    <t xml:space="preserve">DF (L.R. Chi-Sq)</t>
  </si>
  <si>
    <t xml:space="preserve">Prob&gt;L.R. Chi-Sq</t>
  </si>
  <si>
    <t xml:space="preserve">R2</t>
  </si>
  <si>
    <t xml:space="preserve">R2 (McFadden)</t>
  </si>
  <si>
    <t xml:space="preserve">Predictions and residuals :</t>
  </si>
  <si>
    <t xml:space="preserve">Fitted Probit</t>
  </si>
  <si>
    <t xml:space="preserve">Indep. model</t>
  </si>
  <si>
    <t xml:space="preserve">Binary / </t>
  </si>
  <si>
    <t xml:space="preserve">Fitted prop.</t>
  </si>
  <si>
    <t xml:space="preserve">Res. on Probit</t>
  </si>
  <si>
    <t xml:space="preserve">Res. on Indep model</t>
  </si>
  <si>
    <t xml:space="preserve">XLSTAT - Models for Binary Response Data / Started on 12/4/98 at 11:25:12 AM</t>
  </si>
  <si>
    <t xml:space="preserve">Binary response : Workbook = Levinson-stat.xls / Sheet = Sheet22 / Range = $f$1:$g$50</t>
  </si>
  <si>
    <t xml:space="preserve">XLSTAT - Models for Binary Response Data / Started on 12/4/98 at 11:27:11 AM</t>
  </si>
  <si>
    <t xml:space="preserve">Logit Model</t>
  </si>
  <si>
    <t xml:space="preserve">Fitted Logit</t>
  </si>
  <si>
    <t xml:space="preserve">Res. on Logit</t>
  </si>
  <si>
    <t xml:space="preserve">XLSTAT - Models for Binary Response Data / Started on 12/4/98 at 11:32:06 AM</t>
  </si>
  <si>
    <t xml:space="preserve">XLSTAT - Models for Binary Response Data / Started on 12/3/98 at 11:17:36 AM</t>
  </si>
  <si>
    <t xml:space="preserve">Binary response : Workbook = Levinson-stat.xls / Sheet = Sheet13 / Range = $F$1:$F$50</t>
  </si>
  <si>
    <t xml:space="preserve">Numerical variables : Workbook = Levinson-stat.xls / Sheet = Sheet13 / Range = $G$1:$J$50</t>
  </si>
  <si>
    <t xml:space="preserve">XLSTAT - Models for Binary Response Data / Started on 12/3/98 at 11:19:33 AM</t>
  </si>
  <si>
    <t xml:space="preserve">XLSTAT - Models for Binary Response Data / Started on 12/3/98 at 11:25:00 AM</t>
  </si>
  <si>
    <t xml:space="preserve">Log-logit up Model</t>
  </si>
  <si>
    <t xml:space="preserve">Fitted Log-logit up</t>
  </si>
  <si>
    <t xml:space="preserve">Res. on Log-logit up</t>
  </si>
  <si>
    <t xml:space="preserve">XLSTAT - Models for Binary Response Data / Started on 12/3/98 at 11:26:46 AM</t>
  </si>
  <si>
    <t xml:space="preserve">Log-logit down Model</t>
  </si>
  <si>
    <t xml:space="preserve">Fitted Log-logit down</t>
  </si>
  <si>
    <t xml:space="preserve">Res. on Log-logit down</t>
  </si>
  <si>
    <t xml:space="preserve">XLSTAT - Models for Binary Response Data / Started on 12/3/98 at 11:32:05 AM</t>
  </si>
  <si>
    <t xml:space="preserve">Binary response : Workbook = Levinson-stat.xls / Sheet = Sheet13 / Range = $a$1:$B$50</t>
  </si>
  <si>
    <t xml:space="preserve">TollShare / </t>
  </si>
  <si>
    <t xml:space="preserve">XLSTAT - Models for Binary Response Data / Started on 12/3/98 at 11:35:09 AM</t>
  </si>
  <si>
    <t xml:space="preserve">XLSTAT - Models for Binary Response Data / Started on 12/3/98 at 11:37:29 AM</t>
  </si>
  <si>
    <t xml:space="preserve">XLSTAT - Regression / Started on 12/3/98 at 12:36:52 PM</t>
  </si>
  <si>
    <t xml:space="preserve">Y variable : Workbook = Levinson-stat.xls / Sheet = BinaryChoice / Range = $a$1:$B$50</t>
  </si>
  <si>
    <t xml:space="preserve">Numerical variables : Workbook = Levinson-stat.xls / Sheet = BinaryChoice / Range = $G$1:$J$50</t>
  </si>
  <si>
    <t xml:space="preserve">Durbin-Watson Dw statistic : 2.3163</t>
  </si>
  <si>
    <t xml:space="preserve">The selected X variables explain 65.49% of the variability of Y which is a not very good result.</t>
  </si>
  <si>
    <t xml:space="preserve">The variable that weights the most in the model is : OldTollMileRatio.</t>
  </si>
  <si>
    <t xml:space="preserve">XLSTAT - Models for Binary Response Data / Started on 12/3/98 at 12:41:49 PM</t>
  </si>
  <si>
    <t xml:space="preserve">Binary response : Workbook = Levinson-stat.xls / Sheet = BinaryChoice / Range = $g$1:$g$50</t>
  </si>
  <si>
    <t xml:space="preserve">Numerical variables : Workbook = Levinson-stat.xls / Sheet = BinaryChoice / Range = $H$1:$K$50</t>
  </si>
  <si>
    <t xml:space="preserve">Total Rural and Urban</t>
  </si>
  <si>
    <t xml:space="preserve">Urban Total</t>
  </si>
  <si>
    <t xml:space="preserve">Urban Local</t>
  </si>
  <si>
    <t xml:space="preserve">Urban Collector</t>
  </si>
  <si>
    <t xml:space="preserve">Urban Minor Arterial</t>
  </si>
  <si>
    <t xml:space="preserve">Urban Other Principal Arterial</t>
  </si>
  <si>
    <t xml:space="preserve">Urban Other Freeways and Expressways</t>
  </si>
  <si>
    <t xml:space="preserve">Urban Interstate</t>
  </si>
  <si>
    <t xml:space="preserve">Rural Total</t>
  </si>
  <si>
    <t xml:space="preserve">Rural Local</t>
  </si>
  <si>
    <t xml:space="preserve">Rural Minor Collector</t>
  </si>
  <si>
    <t xml:space="preserve">Rural Major Collector</t>
  </si>
  <si>
    <t xml:space="preserve">Rural Minor Arterial</t>
  </si>
  <si>
    <t xml:space="preserve">Rural Other Principal Arterial</t>
  </si>
  <si>
    <t xml:space="preserve">Rural Interstate</t>
  </si>
  <si>
    <t xml:space="preserve">ABBREV</t>
  </si>
  <si>
    <t xml:space="preserve">AK</t>
  </si>
  <si>
    <t xml:space="preserve">ALASKA</t>
  </si>
  <si>
    <t xml:space="preserve">DC</t>
  </si>
  <si>
    <t xml:space="preserve">District-of-Columbia</t>
  </si>
  <si>
    <t xml:space="preserve">US</t>
  </si>
  <si>
    <t xml:space="preserve">*United States</t>
  </si>
  <si>
    <t xml:space="preserve">Total Workers</t>
  </si>
  <si>
    <t xml:space="preserve">Tot</t>
  </si>
  <si>
    <t xml:space="preserve">ATS</t>
  </si>
  <si>
    <t xml:space="preserve">from ATS-Data-Neighbors-OOS</t>
  </si>
  <si>
    <t xml:space="preserve">Highway-user taxation - Total</t>
  </si>
  <si>
    <t xml:space="preserve">Highway-user taxation - State and local tolls</t>
  </si>
  <si>
    <t xml:space="preserve">Highway-user taxation - State and local fuel and vehicle taxes</t>
  </si>
  <si>
    <t xml:space="preserve">Highway-user taxation - Federal fuel and vehicle taxes</t>
  </si>
  <si>
    <t xml:space="preserve">JTW-Tables</t>
  </si>
  <si>
    <t xml:space="preserve">ATS-Tables</t>
  </si>
  <si>
    <t xml:space="preserve">Published</t>
  </si>
  <si>
    <t xml:space="preserve">Vistors to State by Origin</t>
  </si>
  <si>
    <t xml:space="preserve">Destinations by Residents of</t>
  </si>
  <si>
    <t xml:space="preserve">Visitors</t>
  </si>
  <si>
    <t xml:space="preserve">Residents</t>
  </si>
  <si>
    <t xml:space="preserve">PUBLISHED JTW DATA</t>
  </si>
  <si>
    <t xml:space="preserve">Neighbor Tolls</t>
  </si>
  <si>
    <t xml:space="preserve">FROM JTW-TRIP TABLE</t>
  </si>
  <si>
    <t xml:space="preserve">RAE 1969</t>
  </si>
  <si>
    <t xml:space="preserve">Freeways, Expwy, Interstates</t>
  </si>
  <si>
    <t xml:space="preserve">Toll[1,0]</t>
  </si>
  <si>
    <t xml:space="preserve">(Thousands of $)</t>
  </si>
  <si>
    <t xml:space="preserve">Expenditures</t>
  </si>
  <si>
    <t xml:space="preserve">AVGNeighbor2*ResidentsWhoWorkOutofState^4</t>
  </si>
  <si>
    <t xml:space="preserve">Expected Toll Share</t>
  </si>
  <si>
    <t xml:space="preserve">Actual Toll Share</t>
  </si>
  <si>
    <t xml:space="preserve">Neighbor - ATS</t>
  </si>
  <si>
    <t xml:space="preserve">Residents Out-of-State Trips - ATS</t>
  </si>
  <si>
    <t xml:space="preserve">Log(TollShare+1)</t>
  </si>
  <si>
    <t xml:space="preserve">In-State</t>
  </si>
  <si>
    <t xml:space="preserve">Out-of-State</t>
  </si>
  <si>
    <t xml:space="preserve">Out-Of-Staet</t>
  </si>
  <si>
    <t xml:space="preserve">Visitors In-State Ratio</t>
  </si>
  <si>
    <t xml:space="preserve">Residents In-State Ratio</t>
  </si>
  <si>
    <t xml:space="preserve">P0450001    Worked in county of residence                                     </t>
  </si>
  <si>
    <t xml:space="preserve">P0450002    Worked outside county of residence</t>
  </si>
  <si>
    <t xml:space="preserve">P0450003  Worked outside State of residence</t>
  </si>
  <si>
    <t xml:space="preserve">TOTAL/TOTAL-OOS</t>
  </si>
  <si>
    <t xml:space="preserve">State</t>
  </si>
  <si>
    <t xml:space="preserve">WorkersWhoLiveInState</t>
  </si>
  <si>
    <t xml:space="preserve">x</t>
  </si>
  <si>
    <t xml:space="preserve">(miles )</t>
  </si>
  <si>
    <t xml:space="preserve">alabama</t>
  </si>
  <si>
    <t xml:space="preserve">arizona</t>
  </si>
  <si>
    <t xml:space="preserve">arkansas</t>
  </si>
  <si>
    <t xml:space="preserve">califo~1</t>
  </si>
  <si>
    <t xml:space="preserve">colorado</t>
  </si>
  <si>
    <t xml:space="preserve">connec~1</t>
  </si>
  <si>
    <t xml:space="preserve">1940-59</t>
  </si>
  <si>
    <t xml:space="preserve">deleware</t>
  </si>
  <si>
    <t xml:space="preserve">florida</t>
  </si>
  <si>
    <t xml:space="preserve">1950-64</t>
  </si>
  <si>
    <t xml:space="preserve">georgia</t>
  </si>
  <si>
    <t xml:space="preserve">hawaii</t>
  </si>
  <si>
    <t xml:space="preserve">idaho</t>
  </si>
  <si>
    <t xml:space="preserve">illinois</t>
  </si>
  <si>
    <t xml:space="preserve">1958-59</t>
  </si>
  <si>
    <t xml:space="preserve">indiana</t>
  </si>
  <si>
    <t xml:space="preserve">iowa</t>
  </si>
  <si>
    <t xml:space="preserve">kansas</t>
  </si>
  <si>
    <t xml:space="preserve">1956-59</t>
  </si>
  <si>
    <t xml:space="preserve">kentucky</t>
  </si>
  <si>
    <t xml:space="preserve">1956-64</t>
  </si>
  <si>
    <t xml:space="preserve">louisi~1</t>
  </si>
  <si>
    <t xml:space="preserve">maine</t>
  </si>
  <si>
    <t xml:space="preserve">1955-57</t>
  </si>
  <si>
    <t xml:space="preserve">maryland</t>
  </si>
  <si>
    <t xml:space="preserve">massac~1</t>
  </si>
  <si>
    <t xml:space="preserve">michigan</t>
  </si>
  <si>
    <t xml:space="preserve">minnes~1</t>
  </si>
  <si>
    <t xml:space="preserve">missis~1</t>
  </si>
  <si>
    <t xml:space="preserve">missouri</t>
  </si>
  <si>
    <t xml:space="preserve">Montana</t>
  </si>
  <si>
    <t xml:space="preserve">montana</t>
  </si>
  <si>
    <t xml:space="preserve">nebraska</t>
  </si>
  <si>
    <t xml:space="preserve">nevada</t>
  </si>
  <si>
    <t xml:space="preserve">New-Hampshire</t>
  </si>
  <si>
    <t xml:space="preserve">new-ha~1</t>
  </si>
  <si>
    <t xml:space="preserve">New_Hampshire</t>
  </si>
  <si>
    <t xml:space="preserve">1950-57</t>
  </si>
  <si>
    <t xml:space="preserve">New-Jersey</t>
  </si>
  <si>
    <t xml:space="preserve">new-je~1</t>
  </si>
  <si>
    <t xml:space="preserve">New_Jersey</t>
  </si>
  <si>
    <t xml:space="preserve">1952-57</t>
  </si>
  <si>
    <t xml:space="preserve">New-Mexico</t>
  </si>
  <si>
    <t xml:space="preserve">new-me~1</t>
  </si>
  <si>
    <t xml:space="preserve">New_Mexico</t>
  </si>
  <si>
    <t xml:space="preserve">New-York</t>
  </si>
  <si>
    <t xml:space="preserve">new-york</t>
  </si>
  <si>
    <t xml:space="preserve">New_York</t>
  </si>
  <si>
    <t xml:space="preserve">1926-60</t>
  </si>
  <si>
    <t xml:space="preserve">North-Carolina</t>
  </si>
  <si>
    <t xml:space="preserve">north-~1</t>
  </si>
  <si>
    <t xml:space="preserve">North_Carolina</t>
  </si>
  <si>
    <t xml:space="preserve">North-Dakota</t>
  </si>
  <si>
    <t xml:space="preserve">north-~2</t>
  </si>
  <si>
    <t xml:space="preserve">North_Dakota</t>
  </si>
  <si>
    <t xml:space="preserve">ohio</t>
  </si>
  <si>
    <t xml:space="preserve">oklahoma</t>
  </si>
  <si>
    <t xml:space="preserve">1953-57</t>
  </si>
  <si>
    <t xml:space="preserve">oregon</t>
  </si>
  <si>
    <t xml:space="preserve">pennsy~1</t>
  </si>
  <si>
    <t xml:space="preserve">1940-57</t>
  </si>
  <si>
    <t xml:space="preserve">Rhode- Island</t>
  </si>
  <si>
    <t xml:space="preserve">rhode-~1</t>
  </si>
  <si>
    <t xml:space="preserve">Rhode_Island</t>
  </si>
  <si>
    <t xml:space="preserve">South-Carolina</t>
  </si>
  <si>
    <t xml:space="preserve">south-~1</t>
  </si>
  <si>
    <t xml:space="preserve">South_Carolina</t>
  </si>
  <si>
    <t xml:space="preserve">South-Dakota</t>
  </si>
  <si>
    <t xml:space="preserve">south-~2</t>
  </si>
  <si>
    <t xml:space="preserve">South_Dakota</t>
  </si>
  <si>
    <t xml:space="preserve">tennes~1</t>
  </si>
  <si>
    <t xml:space="preserve">texas</t>
  </si>
  <si>
    <t xml:space="preserve">utah</t>
  </si>
  <si>
    <t xml:space="preserve">vermont</t>
  </si>
  <si>
    <t xml:space="preserve">virginia</t>
  </si>
  <si>
    <t xml:space="preserve">washin~1</t>
  </si>
  <si>
    <t xml:space="preserve">West-Virginia</t>
  </si>
  <si>
    <t xml:space="preserve">west-v~1</t>
  </si>
  <si>
    <t xml:space="preserve">West_Virginia</t>
  </si>
  <si>
    <t xml:space="preserve">wiscon~1</t>
  </si>
  <si>
    <t xml:space="preserve">wyoming</t>
  </si>
  <si>
    <t xml:space="preserve">Totals</t>
  </si>
  <si>
    <t xml:space="preserve">1940-64</t>
  </si>
  <si>
    <t xml:space="preserve">alaska</t>
  </si>
  <si>
    <t xml:space="preserve">district-of-columbia</t>
  </si>
  <si>
    <t xml:space="preserve">District_of_Columbia</t>
  </si>
  <si>
    <t xml:space="preserve">FIPS.STATE</t>
  </si>
  <si>
    <t xml:space="preserve">STUB.GEO</t>
  </si>
  <si>
    <t xml:space="preserve">POPULATION</t>
  </si>
  <si>
    <t xml:space="preserve">:                                       </t>
  </si>
  <si>
    <t xml:space="preserve">Worked in State of residence </t>
  </si>
  <si>
    <t xml:space="preserve">Employed Residents</t>
  </si>
  <si>
    <t xml:space="preserve">IO</t>
  </si>
  <si>
    <t xml:space="preserve">BIN</t>
  </si>
  <si>
    <t xml:space="preserve">Frequency</t>
  </si>
  <si>
    <t xml:space="preserve">Cumulative %</t>
  </si>
  <si>
    <t xml:space="preserve">More</t>
  </si>
  <si>
    <t xml:space="preserve">"Perfect Tolls w/Taxes (Gas Taxes in Home State)"</t>
  </si>
  <si>
    <t xml:space="preserve">overpayment</t>
  </si>
  <si>
    <t xml:space="preserve">"Cordon Tolls w/Taxes (Gas Taxes in Home State)"</t>
  </si>
  <si>
    <t xml:space="preserve">Annual</t>
  </si>
  <si>
    <t xml:space="preserve">"Perfect"</t>
  </si>
  <si>
    <t xml:space="preserve">PER TRIP</t>
  </si>
  <si>
    <t xml:space="preserve">"Cordon"</t>
  </si>
  <si>
    <t xml:space="preserve">CORDON SORT</t>
  </si>
  <si>
    <t xml:space="preserve">PERFECT SORT</t>
  </si>
  <si>
    <t xml:space="preserve">Workers Who Live In State</t>
  </si>
  <si>
    <t xml:space="preserve">Residents In-State</t>
  </si>
  <si>
    <t xml:space="preserve">Total Employed Residents</t>
  </si>
  <si>
    <t xml:space="preserve">NR Travel</t>
  </si>
  <si>
    <t xml:space="preserve">R-InState Travel</t>
  </si>
  <si>
    <t xml:space="preserve">R-OOS Travel</t>
  </si>
  <si>
    <t xml:space="preserve">Total Travel (Daily Work Trip Units)</t>
  </si>
  <si>
    <t xml:space="preserve">NR-Payment</t>
  </si>
  <si>
    <t xml:space="preserve">R-InState Payment</t>
  </si>
  <si>
    <t xml:space="preserve">R-OOS Payment</t>
  </si>
  <si>
    <t xml:space="preserve">TOTAL Payment</t>
  </si>
  <si>
    <t xml:space="preserve">NR-Payment/NR-Travel</t>
  </si>
  <si>
    <t xml:space="preserve">R-InPayment/R-InTravel</t>
  </si>
  <si>
    <t xml:space="preserve">R-OutPayment/R-OutTravel</t>
  </si>
  <si>
    <t xml:space="preserve">NR</t>
  </si>
  <si>
    <t xml:space="preserve">R-In</t>
  </si>
  <si>
    <t xml:space="preserve">R-Out</t>
  </si>
  <si>
    <t xml:space="preserve">Net Overpayment</t>
  </si>
  <si>
    <t xml:space="preserve">NR OverPay/Trip</t>
  </si>
  <si>
    <t xml:space="preserve">R-In OverPay/Trip</t>
  </si>
  <si>
    <t xml:space="preserve">R-Out OverPay</t>
  </si>
  <si>
    <t xml:space="preserve">S-Ow</t>
  </si>
  <si>
    <t xml:space="preserve">S/Ow</t>
  </si>
  <si>
    <t xml:space="preserve">Disburse ('000)</t>
  </si>
  <si>
    <t xml:space="preserve">Disburse/Trip</t>
  </si>
  <si>
    <t xml:space="preserve">NR-Revenue</t>
  </si>
  <si>
    <t xml:space="preserve">R-In Revenue</t>
  </si>
  <si>
    <t xml:space="preserve">R-Out Revenue</t>
  </si>
  <si>
    <t xml:space="preserve">NR-Rev/Trip</t>
  </si>
  <si>
    <t xml:space="preserve">R-In-Rev/Trip</t>
  </si>
  <si>
    <t xml:space="preserve">R-Out-Rev/Trip</t>
  </si>
  <si>
    <t xml:space="preserve">NR-Subsidy</t>
  </si>
  <si>
    <t xml:space="preserve">R-In Subsidy</t>
  </si>
  <si>
    <t xml:space="preserve">R-Out Subsidy</t>
  </si>
  <si>
    <t xml:space="preserve">RMS</t>
  </si>
  <si>
    <t xml:space="preserve">RMS-Perfect</t>
  </si>
  <si>
    <t xml:space="preserve">RMS-Cordon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</si>
</sst>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0"/>
    <numFmt numFmtId="166" formatCode="0.0%"/>
    <numFmt numFmtId="167" formatCode="0"/>
    <numFmt numFmtId="168" formatCode="0.0000"/>
    <numFmt numFmtId="169" formatCode="0.00"/>
    <numFmt numFmtId="170" formatCode="0.00E+00"/>
    <numFmt numFmtId="171" formatCode="_(* #,##0.00_);_(* \(#,##0.00\);_(* \-??_);_(@_)"/>
    <numFmt numFmtId="172" formatCode="0.00000000E+00"/>
    <numFmt numFmtId="173" formatCode="#,##0;\-#,##0"/>
    <numFmt numFmtId="174" formatCode="0.00000000"/>
    <numFmt numFmtId="175" formatCode="#,##0"/>
    <numFmt numFmtId="176" formatCode="\$#,##0_);[RED]&quot;($&quot;#,##0\)"/>
    <numFmt numFmtId="177" formatCode="0.000000000000000"/>
    <numFmt numFmtId="178" formatCode="0.00000"/>
    <numFmt numFmtId="179" formatCode=".00%"/>
  </numFmts>
  <fonts count="1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0"/>
    </font>
    <font>
      <b val="true"/>
      <sz val="10"/>
      <name val="Arial"/>
      <family val="0"/>
    </font>
    <font>
      <b val="true"/>
      <sz val="10"/>
      <color rgb="FF000000"/>
      <name val="Arial"/>
      <family val="2"/>
    </font>
    <font>
      <sz val="8"/>
      <color rgb="FF000000"/>
      <name val="Arial"/>
      <family val="2"/>
    </font>
    <font>
      <b val="true"/>
      <sz val="8"/>
      <color rgb="FF000000"/>
      <name val="Arial"/>
      <family val="2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name val="Arial"/>
      <family val="2"/>
    </font>
    <font>
      <sz val="8"/>
      <name val="P-AVGARD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00" b="1" u="none" strike="noStrike">
                <a:solidFill>
                  <a:srgbClr val="000000"/>
                </a:solidFill>
                <a:uFillTx/>
                <a:latin typeface="Arial"/>
              </a:rPr>
              <a:t>Residuals versus Population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46759158898764"/>
          <c:y val="0.254921928038018"/>
          <c:w val="0.85020593973553"/>
          <c:h val="0.74507807196198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Sheet1!$C$51:$C$99</c:f>
              <c:numCache>
                <c:formatCode>General</c:formatCode>
                <c:ptCount val="49"/>
                <c:pt idx="0">
                  <c:v>4252982</c:v>
                </c:pt>
                <c:pt idx="1">
                  <c:v>4217940</c:v>
                </c:pt>
                <c:pt idx="2">
                  <c:v>2483769</c:v>
                </c:pt>
                <c:pt idx="3">
                  <c:v>31589153</c:v>
                </c:pt>
                <c:pt idx="4">
                  <c:v>3746585</c:v>
                </c:pt>
                <c:pt idx="5">
                  <c:v>3274662</c:v>
                </c:pt>
                <c:pt idx="6">
                  <c:v>717197</c:v>
                </c:pt>
                <c:pt idx="7">
                  <c:v>14165570</c:v>
                </c:pt>
                <c:pt idx="8">
                  <c:v>7200882</c:v>
                </c:pt>
                <c:pt idx="9">
                  <c:v>1186815</c:v>
                </c:pt>
                <c:pt idx="10">
                  <c:v>1163261</c:v>
                </c:pt>
                <c:pt idx="11">
                  <c:v>11829940</c:v>
                </c:pt>
                <c:pt idx="12">
                  <c:v>5803471</c:v>
                </c:pt>
                <c:pt idx="13">
                  <c:v>2841764</c:v>
                </c:pt>
                <c:pt idx="14">
                  <c:v>2565328</c:v>
                </c:pt>
                <c:pt idx="15">
                  <c:v>3860219</c:v>
                </c:pt>
                <c:pt idx="16">
                  <c:v>4342334</c:v>
                </c:pt>
                <c:pt idx="17">
                  <c:v>1241382</c:v>
                </c:pt>
                <c:pt idx="18">
                  <c:v>5042438</c:v>
                </c:pt>
                <c:pt idx="19">
                  <c:v>6073550</c:v>
                </c:pt>
                <c:pt idx="20">
                  <c:v>9549353</c:v>
                </c:pt>
                <c:pt idx="21">
                  <c:v>4609548</c:v>
                </c:pt>
                <c:pt idx="22">
                  <c:v>2697243</c:v>
                </c:pt>
                <c:pt idx="23">
                  <c:v>5323523</c:v>
                </c:pt>
                <c:pt idx="24">
                  <c:v>870281</c:v>
                </c:pt>
                <c:pt idx="25">
                  <c:v>1637112</c:v>
                </c:pt>
                <c:pt idx="26">
                  <c:v>1530108</c:v>
                </c:pt>
                <c:pt idx="27">
                  <c:v>1148253</c:v>
                </c:pt>
                <c:pt idx="28">
                  <c:v>7945298</c:v>
                </c:pt>
                <c:pt idx="29">
                  <c:v>1685401</c:v>
                </c:pt>
                <c:pt idx="30">
                  <c:v>18136081</c:v>
                </c:pt>
                <c:pt idx="31">
                  <c:v>7195138</c:v>
                </c:pt>
                <c:pt idx="32">
                  <c:v>641367</c:v>
                </c:pt>
                <c:pt idx="33">
                  <c:v>11150506</c:v>
                </c:pt>
                <c:pt idx="34">
                  <c:v>3277687</c:v>
                </c:pt>
                <c:pt idx="35">
                  <c:v>3140585</c:v>
                </c:pt>
                <c:pt idx="36">
                  <c:v>12071842</c:v>
                </c:pt>
                <c:pt idx="37">
                  <c:v>989794</c:v>
                </c:pt>
                <c:pt idx="38">
                  <c:v>3673287</c:v>
                </c:pt>
                <c:pt idx="39">
                  <c:v>729034</c:v>
                </c:pt>
                <c:pt idx="40">
                  <c:v>5256051</c:v>
                </c:pt>
                <c:pt idx="41">
                  <c:v>18723991</c:v>
                </c:pt>
                <c:pt idx="42">
                  <c:v>1951408</c:v>
                </c:pt>
                <c:pt idx="43">
                  <c:v>584771</c:v>
                </c:pt>
                <c:pt idx="44">
                  <c:v>6618358</c:v>
                </c:pt>
                <c:pt idx="45">
                  <c:v>5430940</c:v>
                </c:pt>
                <c:pt idx="46">
                  <c:v>1828140</c:v>
                </c:pt>
                <c:pt idx="47">
                  <c:v>5122871</c:v>
                </c:pt>
                <c:pt idx="48">
                  <c:v>480184</c:v>
                </c:pt>
              </c:numCache>
            </c:numRef>
          </c:xVal>
          <c:yVal>
            <c:numRef>
              <c:f>Sheet1!$F$51:$F$99</c:f>
              <c:numCache>
                <c:formatCode>0.0000</c:formatCode>
                <c:ptCount val="49"/>
                <c:pt idx="0">
                  <c:v>-0.00274262654315651</c:v>
                </c:pt>
                <c:pt idx="1">
                  <c:v>0.0050241498638997</c:v>
                </c:pt>
                <c:pt idx="2">
                  <c:v>-0.00788129902764868</c:v>
                </c:pt>
                <c:pt idx="3">
                  <c:v>-0.044599108932215</c:v>
                </c:pt>
                <c:pt idx="4">
                  <c:v>0.00628035244790961</c:v>
                </c:pt>
                <c:pt idx="5">
                  <c:v>-0.135690778048143</c:v>
                </c:pt>
                <c:pt idx="6">
                  <c:v>0.114393501679171</c:v>
                </c:pt>
                <c:pt idx="7">
                  <c:v>0.020304223077577</c:v>
                </c:pt>
                <c:pt idx="8">
                  <c:v>-0.011855181068109</c:v>
                </c:pt>
                <c:pt idx="9">
                  <c:v>0.0143272355423441</c:v>
                </c:pt>
                <c:pt idx="10">
                  <c:v>0.00430982197983209</c:v>
                </c:pt>
                <c:pt idx="11">
                  <c:v>0.0386737440704936</c:v>
                </c:pt>
                <c:pt idx="12">
                  <c:v>-0.010314855495273</c:v>
                </c:pt>
                <c:pt idx="13">
                  <c:v>-0.0057393811047927</c:v>
                </c:pt>
                <c:pt idx="14">
                  <c:v>-0.0422610045599055</c:v>
                </c:pt>
                <c:pt idx="15">
                  <c:v>-0.097165887537813</c:v>
                </c:pt>
                <c:pt idx="16">
                  <c:v>0.028057478845128</c:v>
                </c:pt>
                <c:pt idx="17">
                  <c:v>0.0140636728752768</c:v>
                </c:pt>
                <c:pt idx="18">
                  <c:v>0.0174326683174069</c:v>
                </c:pt>
                <c:pt idx="19">
                  <c:v>0.0253670116119014</c:v>
                </c:pt>
                <c:pt idx="20">
                  <c:v>-0.000197136633590509</c:v>
                </c:pt>
                <c:pt idx="21">
                  <c:v>-0.00327148285177355</c:v>
                </c:pt>
                <c:pt idx="22">
                  <c:v>-0.00252506405174338</c:v>
                </c:pt>
                <c:pt idx="23">
                  <c:v>-0.034388482489103</c:v>
                </c:pt>
                <c:pt idx="24">
                  <c:v>0.0161426352726468</c:v>
                </c:pt>
                <c:pt idx="25">
                  <c:v>-0.00491320180107365</c:v>
                </c:pt>
                <c:pt idx="26">
                  <c:v>-0.00712806269245857</c:v>
                </c:pt>
                <c:pt idx="27">
                  <c:v>-0.018052649731847</c:v>
                </c:pt>
                <c:pt idx="28">
                  <c:v>6.30555727512694E-005</c:v>
                </c:pt>
                <c:pt idx="29">
                  <c:v>0.00716103995735501</c:v>
                </c:pt>
                <c:pt idx="30">
                  <c:v>0.183834470154193</c:v>
                </c:pt>
                <c:pt idx="31">
                  <c:v>-0.00900232654927492</c:v>
                </c:pt>
                <c:pt idx="32">
                  <c:v>-0.0139392730731585</c:v>
                </c:pt>
                <c:pt idx="33">
                  <c:v>-0.0332163526936422</c:v>
                </c:pt>
                <c:pt idx="34">
                  <c:v>0.0287400365322701</c:v>
                </c:pt>
                <c:pt idx="35">
                  <c:v>-0.00252696721835944</c:v>
                </c:pt>
                <c:pt idx="36">
                  <c:v>0.0103477485070585</c:v>
                </c:pt>
                <c:pt idx="37">
                  <c:v>0.010858064818349</c:v>
                </c:pt>
                <c:pt idx="38">
                  <c:v>0.000441371826655566</c:v>
                </c:pt>
                <c:pt idx="39">
                  <c:v>0.00341680056975347</c:v>
                </c:pt>
                <c:pt idx="40">
                  <c:v>-0.0187797598640746</c:v>
                </c:pt>
                <c:pt idx="41">
                  <c:v>-0.0108669931667662</c:v>
                </c:pt>
                <c:pt idx="42">
                  <c:v>0.0126277146775226</c:v>
                </c:pt>
                <c:pt idx="43">
                  <c:v>-0.0087553162141003</c:v>
                </c:pt>
                <c:pt idx="44">
                  <c:v>-0.0217281886684878</c:v>
                </c:pt>
                <c:pt idx="45">
                  <c:v>0.0406713332193149</c:v>
                </c:pt>
                <c:pt idx="46">
                  <c:v>-0.0184011589596836</c:v>
                </c:pt>
                <c:pt idx="47">
                  <c:v>0.00104431562597525</c:v>
                </c:pt>
                <c:pt idx="48">
                  <c:v>0.00649723518108127</c:v>
                </c:pt>
              </c:numCache>
            </c:numRef>
          </c:yVal>
          <c:smooth val="0"/>
        </c:ser>
        <c:axId val="99732975"/>
        <c:axId val="55167147"/>
      </c:scatterChart>
      <c:valAx>
        <c:axId val="997329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8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Population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5167147"/>
        <c:crossesAt val="0"/>
        <c:crossBetween val="midCat"/>
      </c:valAx>
      <c:valAx>
        <c:axId val="5516714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8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9732975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00" b="1" u="none" strike="noStrike">
                <a:solidFill>
                  <a:srgbClr val="000000"/>
                </a:solidFill>
                <a:uFillTx/>
                <a:latin typeface="Arial"/>
              </a:rPr>
              <a:t>Histogram for reduced residuals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Sheet1!$A$51:$A$99</c:f>
              <c:strCach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strCache>
            </c:strRef>
          </c:cat>
          <c:val>
            <c:numRef>
              <c:f>Sheet1!$G$51:$G$99</c:f>
              <c:numCache>
                <c:formatCode>0.0000</c:formatCode>
                <c:ptCount val="49"/>
                <c:pt idx="0">
                  <c:v>-0.0838968490994902</c:v>
                </c:pt>
                <c:pt idx="1">
                  <c:v>0.0949500598481204</c:v>
                </c:pt>
                <c:pt idx="2">
                  <c:v>-0.2022259526785</c:v>
                </c:pt>
                <c:pt idx="3">
                  <c:v>-1.04773333702802</c:v>
                </c:pt>
                <c:pt idx="4">
                  <c:v>0.123876854877016</c:v>
                </c:pt>
                <c:pt idx="5">
                  <c:v>-3.14531701890937</c:v>
                </c:pt>
                <c:pt idx="6">
                  <c:v>2.61341711498237</c:v>
                </c:pt>
                <c:pt idx="7">
                  <c:v>0.446806958969947</c:v>
                </c:pt>
                <c:pt idx="8">
                  <c:v>-0.293733224448685</c:v>
                </c:pt>
                <c:pt idx="9">
                  <c:v>0.309173829152585</c:v>
                </c:pt>
                <c:pt idx="10">
                  <c:v>0.0785011076258686</c:v>
                </c:pt>
                <c:pt idx="11">
                  <c:v>0.869805108555741</c:v>
                </c:pt>
                <c:pt idx="12">
                  <c:v>-0.258263880021002</c:v>
                </c:pt>
                <c:pt idx="13">
                  <c:v>-0.152903636746468</c:v>
                </c:pt>
                <c:pt idx="14">
                  <c:v>-0.993893401658623</c:v>
                </c:pt>
                <c:pt idx="15">
                  <c:v>-2.25819767566963</c:v>
                </c:pt>
                <c:pt idx="16">
                  <c:v>0.625342525803949</c:v>
                </c:pt>
                <c:pt idx="17">
                  <c:v>0.303104725853028</c:v>
                </c:pt>
                <c:pt idx="18">
                  <c:v>0.380683168891012</c:v>
                </c:pt>
                <c:pt idx="19">
                  <c:v>0.563388669651963</c:v>
                </c:pt>
                <c:pt idx="20">
                  <c:v>-0.0252814109532846</c:v>
                </c:pt>
                <c:pt idx="21">
                  <c:v>-0.0960749151485746</c:v>
                </c:pt>
                <c:pt idx="22">
                  <c:v>-0.0788869998321894</c:v>
                </c:pt>
                <c:pt idx="23">
                  <c:v>-0.81261146895026</c:v>
                </c:pt>
                <c:pt idx="24">
                  <c:v>0.350977353968104</c:v>
                </c:pt>
                <c:pt idx="25">
                  <c:v>-0.133879062462032</c:v>
                </c:pt>
                <c:pt idx="26">
                  <c:v>-0.18488104879619</c:v>
                </c:pt>
                <c:pt idx="27">
                  <c:v>-0.436443411496457</c:v>
                </c:pt>
                <c:pt idx="28">
                  <c:v>-0.0192899198381021</c:v>
                </c:pt>
                <c:pt idx="29">
                  <c:v>0.144156599079511</c:v>
                </c:pt>
                <c:pt idx="30">
                  <c:v>4.21244635377996</c:v>
                </c:pt>
                <c:pt idx="31">
                  <c:v>-0.228040048074101</c:v>
                </c:pt>
                <c:pt idx="32">
                  <c:v>-0.3417239729305</c:v>
                </c:pt>
                <c:pt idx="33">
                  <c:v>-0.785620632621677</c:v>
                </c:pt>
                <c:pt idx="34">
                  <c:v>0.641059900185024</c:v>
                </c:pt>
                <c:pt idx="35">
                  <c:v>-0.0789308243803232</c:v>
                </c:pt>
                <c:pt idx="36">
                  <c:v>0.217537490193307</c:v>
                </c:pt>
                <c:pt idx="37">
                  <c:v>0.22928863250467</c:v>
                </c:pt>
                <c:pt idx="38">
                  <c:v>-0.010578365768649</c:v>
                </c:pt>
                <c:pt idx="39">
                  <c:v>0.0579373485518344</c:v>
                </c:pt>
                <c:pt idx="40">
                  <c:v>-0.453186702766597</c:v>
                </c:pt>
                <c:pt idx="41">
                  <c:v>-0.27097805005561</c:v>
                </c:pt>
                <c:pt idx="42">
                  <c:v>0.270038667093697</c:v>
                </c:pt>
                <c:pt idx="43">
                  <c:v>-0.222352098195184</c:v>
                </c:pt>
                <c:pt idx="44">
                  <c:v>-0.521080684810722</c:v>
                </c:pt>
                <c:pt idx="45">
                  <c:v>0.915803940746843</c:v>
                </c:pt>
                <c:pt idx="46">
                  <c:v>-0.44446859400096</c:v>
                </c:pt>
                <c:pt idx="47">
                  <c:v>0.00330572579339017</c:v>
                </c:pt>
                <c:pt idx="48">
                  <c:v>0.128871051233257</c:v>
                </c:pt>
              </c:numCache>
            </c:numRef>
          </c:val>
        </c:ser>
        <c:gapWidth val="150"/>
        <c:overlap val="0"/>
        <c:axId val="85162978"/>
        <c:axId val="60866420"/>
      </c:barChart>
      <c:catAx>
        <c:axId val="85162978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8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Nbr of observation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0866420"/>
        <c:crossesAt val="0"/>
        <c:auto val="1"/>
        <c:lblAlgn val="ctr"/>
        <c:lblOffset val="100"/>
        <c:noMultiLvlLbl val="0"/>
      </c:catAx>
      <c:valAx>
        <c:axId val="60866420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8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5162978"/>
        <c:crosses val="max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Arial"/>
              </a:rPr>
              <a:t>Actual vs. Expected Toll Share (Final-2 model)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Select!$AI$3</c:f>
              <c:strCache>
                <c:ptCount val="1"/>
                <c:pt idx="0">
                  <c:v>Actual Toll Share</c:v>
                </c:pt>
              </c:strCache>
            </c:strRef>
          </c:tx>
          <c:spPr>
            <a:solidFill>
              <a:srgbClr val="FF00FF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520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Select!$AH$4:$AH$52</c:f>
              <c:numCache>
                <c:formatCode>0.000</c:formatCode>
                <c:ptCount val="49"/>
                <c:pt idx="0">
                  <c:v>0.00203153694747244</c:v>
                </c:pt>
                <c:pt idx="1">
                  <c:v>-0.00879855760707958</c:v>
                </c:pt>
                <c:pt idx="2">
                  <c:v>0.00916260781104561</c:v>
                </c:pt>
                <c:pt idx="3">
                  <c:v>0.0903953109870089</c:v>
                </c:pt>
                <c:pt idx="4">
                  <c:v>-0.00893720407939124</c:v>
                </c:pt>
                <c:pt idx="5">
                  <c:v>0.126203933231169</c:v>
                </c:pt>
                <c:pt idx="6">
                  <c:v>0.152902659966387</c:v>
                </c:pt>
                <c:pt idx="7">
                  <c:v>0.0598255409891766</c:v>
                </c:pt>
                <c:pt idx="8">
                  <c:v>0.0193009735759223</c:v>
                </c:pt>
                <c:pt idx="9">
                  <c:v>-0.0218296823794208</c:v>
                </c:pt>
                <c:pt idx="10">
                  <c:v>-0.00786112454893399</c:v>
                </c:pt>
                <c:pt idx="11">
                  <c:v>0.0594393317890046</c:v>
                </c:pt>
                <c:pt idx="12">
                  <c:v>0.0516012849195702</c:v>
                </c:pt>
                <c:pt idx="13">
                  <c:v>0.00767922006858876</c:v>
                </c:pt>
                <c:pt idx="14">
                  <c:v>0.106681574276485</c:v>
                </c:pt>
                <c:pt idx="15">
                  <c:v>0.104951039090086</c:v>
                </c:pt>
                <c:pt idx="16">
                  <c:v>5.86363436068266E-005</c:v>
                </c:pt>
                <c:pt idx="17">
                  <c:v>0.0754836874994905</c:v>
                </c:pt>
                <c:pt idx="18">
                  <c:v>0.0617828080652504</c:v>
                </c:pt>
                <c:pt idx="19">
                  <c:v>0.0801779212472107</c:v>
                </c:pt>
                <c:pt idx="20">
                  <c:v>0.0088849483161644</c:v>
                </c:pt>
                <c:pt idx="21">
                  <c:v>0.00277581255043061</c:v>
                </c:pt>
                <c:pt idx="22">
                  <c:v>0.00169827689615375</c:v>
                </c:pt>
                <c:pt idx="23">
                  <c:v>0.0472316177091278</c:v>
                </c:pt>
                <c:pt idx="24">
                  <c:v>-0.0243654655444589</c:v>
                </c:pt>
                <c:pt idx="25">
                  <c:v>0.00778970609851211</c:v>
                </c:pt>
                <c:pt idx="26">
                  <c:v>0.00809409450310411</c:v>
                </c:pt>
                <c:pt idx="27">
                  <c:v>0.135612187358915</c:v>
                </c:pt>
                <c:pt idx="28">
                  <c:v>0.270701031300064</c:v>
                </c:pt>
                <c:pt idx="29">
                  <c:v>-0.0118266967887972</c:v>
                </c:pt>
                <c:pt idx="30">
                  <c:v>0.159085652081775</c:v>
                </c:pt>
                <c:pt idx="31">
                  <c:v>0.0118456075686706</c:v>
                </c:pt>
                <c:pt idx="32">
                  <c:v>0.0175741019582812</c:v>
                </c:pt>
                <c:pt idx="33">
                  <c:v>0.0694388305239428</c:v>
                </c:pt>
                <c:pt idx="34">
                  <c:v>0.0363327314000797</c:v>
                </c:pt>
                <c:pt idx="35">
                  <c:v>0.00909807047819755</c:v>
                </c:pt>
                <c:pt idx="36">
                  <c:v>0.108702272032105</c:v>
                </c:pt>
                <c:pt idx="37">
                  <c:v>0.0346165862098814</c:v>
                </c:pt>
                <c:pt idx="38">
                  <c:v>-0.00241906277106673</c:v>
                </c:pt>
                <c:pt idx="39">
                  <c:v>-0.00662454220325811</c:v>
                </c:pt>
                <c:pt idx="40">
                  <c:v>0.0244926535687381</c:v>
                </c:pt>
                <c:pt idx="41">
                  <c:v>0.0470044539539321</c:v>
                </c:pt>
                <c:pt idx="42">
                  <c:v>-0.0185751659229495</c:v>
                </c:pt>
                <c:pt idx="43">
                  <c:v>0.0101466876102167</c:v>
                </c:pt>
                <c:pt idx="44">
                  <c:v>0.0761447498167308</c:v>
                </c:pt>
                <c:pt idx="45">
                  <c:v>-0.000715600837865596</c:v>
                </c:pt>
                <c:pt idx="46">
                  <c:v>0.0893553791790003</c:v>
                </c:pt>
                <c:pt idx="47">
                  <c:v>-0.00321640156566189</c:v>
                </c:pt>
                <c:pt idx="48">
                  <c:v>-0.010924128666663</c:v>
                </c:pt>
              </c:numCache>
            </c:numRef>
          </c:xVal>
          <c:yVal>
            <c:numRef>
              <c:f>Select!$AI$4:$AI$52</c:f>
              <c:numCache>
                <c:formatCode>0.000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0.0211415213324095</c:v>
                </c:pt>
                <c:pt idx="4">
                  <c:v>0.00295777769394722</c:v>
                </c:pt>
                <c:pt idx="5">
                  <c:v>0.000259885785260088</c:v>
                </c:pt>
                <c:pt idx="6">
                  <c:v>0.252590047672857</c:v>
                </c:pt>
                <c:pt idx="7">
                  <c:v>0.0778335546482334</c:v>
                </c:pt>
                <c:pt idx="8">
                  <c:v>0.0041858290740556</c:v>
                </c:pt>
                <c:pt idx="9">
                  <c:v>0</c:v>
                </c:pt>
                <c:pt idx="10">
                  <c:v>0</c:v>
                </c:pt>
                <c:pt idx="11">
                  <c:v>0.0925020274991467</c:v>
                </c:pt>
                <c:pt idx="12">
                  <c:v>0.0425729531743058</c:v>
                </c:pt>
                <c:pt idx="13">
                  <c:v>0.00107334901207605</c:v>
                </c:pt>
                <c:pt idx="14">
                  <c:v>0.0645640225441334</c:v>
                </c:pt>
                <c:pt idx="15">
                  <c:v>0.00845328299918051</c:v>
                </c:pt>
                <c:pt idx="16">
                  <c:v>0.0293839643250748</c:v>
                </c:pt>
                <c:pt idx="17">
                  <c:v>0.105088318367691</c:v>
                </c:pt>
                <c:pt idx="18">
                  <c:v>0.0702579161473665</c:v>
                </c:pt>
                <c:pt idx="19">
                  <c:v>0.103944816167345</c:v>
                </c:pt>
                <c:pt idx="20">
                  <c:v>0.00738787711371125</c:v>
                </c:pt>
                <c:pt idx="21">
                  <c:v>0</c:v>
                </c:pt>
                <c:pt idx="22">
                  <c:v>0</c:v>
                </c:pt>
                <c:pt idx="23">
                  <c:v>0.000759685797103275</c:v>
                </c:pt>
                <c:pt idx="24">
                  <c:v>0</c:v>
                </c:pt>
                <c:pt idx="25">
                  <c:v>0.00199508308555689</c:v>
                </c:pt>
                <c:pt idx="26">
                  <c:v>0</c:v>
                </c:pt>
                <c:pt idx="27">
                  <c:v>0.117777368981519</c:v>
                </c:pt>
                <c:pt idx="28">
                  <c:v>0.273303356469306</c:v>
                </c:pt>
                <c:pt idx="29">
                  <c:v>0</c:v>
                </c:pt>
                <c:pt idx="30">
                  <c:v>0.331822037089797</c:v>
                </c:pt>
                <c:pt idx="31">
                  <c:v>0.000738443042039357</c:v>
                </c:pt>
                <c:pt idx="32">
                  <c:v>0</c:v>
                </c:pt>
                <c:pt idx="33">
                  <c:v>0.0328757643019831</c:v>
                </c:pt>
                <c:pt idx="34">
                  <c:v>0.0759782565467173</c:v>
                </c:pt>
                <c:pt idx="35">
                  <c:v>0.00529904028492617</c:v>
                </c:pt>
                <c:pt idx="36">
                  <c:v>0.116977230877519</c:v>
                </c:pt>
                <c:pt idx="37">
                  <c:v>0.0373661178404778</c:v>
                </c:pt>
                <c:pt idx="38">
                  <c:v>0</c:v>
                </c:pt>
                <c:pt idx="39">
                  <c:v>0</c:v>
                </c:pt>
                <c:pt idx="40">
                  <c:v>5.80051647196015E-005</c:v>
                </c:pt>
                <c:pt idx="41">
                  <c:v>0.0247474685546935</c:v>
                </c:pt>
                <c:pt idx="42">
                  <c:v>0.000622986197117817</c:v>
                </c:pt>
                <c:pt idx="43">
                  <c:v>0</c:v>
                </c:pt>
                <c:pt idx="44">
                  <c:v>0.0465283677535952</c:v>
                </c:pt>
                <c:pt idx="45">
                  <c:v>0.0414276298865866</c:v>
                </c:pt>
                <c:pt idx="46">
                  <c:v>0.0657245663242686</c:v>
                </c:pt>
                <c:pt idx="47">
                  <c:v>1.13332512302244E-005</c:v>
                </c:pt>
                <c:pt idx="48">
                  <c:v>0</c:v>
                </c:pt>
              </c:numCache>
            </c:numRef>
          </c:yVal>
          <c:smooth val="0"/>
        </c:ser>
        <c:axId val="67945106"/>
        <c:axId val="7202502"/>
      </c:scatterChart>
      <c:valAx>
        <c:axId val="67945106"/>
        <c:scaling>
          <c:orientation val="minMax"/>
          <c:max val="0.4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Expected Toll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202502"/>
        <c:crossesAt val="0"/>
        <c:crossBetween val="midCat"/>
        <c:majorUnit val="0.1"/>
      </c:valAx>
      <c:valAx>
        <c:axId val="7202502"/>
        <c:scaling>
          <c:orientation val="minMax"/>
          <c:max val="0.4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Actual Toll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7945106"/>
        <c:crossesAt val="0"/>
        <c:crossBetween val="midCat"/>
        <c:majorUnit val="0.1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428760</xdr:colOff>
      <xdr:row>28</xdr:row>
      <xdr:rowOff>9360</xdr:rowOff>
    </xdr:from>
    <xdr:to>
      <xdr:col>14</xdr:col>
      <xdr:colOff>558720</xdr:colOff>
      <xdr:row>47</xdr:row>
      <xdr:rowOff>75960</xdr:rowOff>
    </xdr:to>
    <xdr:graphicFrame>
      <xdr:nvGraphicFramePr>
        <xdr:cNvPr id="1" name="Chart 3"/>
        <xdr:cNvGraphicFramePr/>
      </xdr:nvGraphicFramePr>
      <xdr:xfrm>
        <a:off x="6853680" y="4581360"/>
        <a:ext cx="3321000" cy="318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109800</xdr:colOff>
      <xdr:row>3</xdr:row>
      <xdr:rowOff>114480</xdr:rowOff>
    </xdr:from>
    <xdr:to>
      <xdr:col>14</xdr:col>
      <xdr:colOff>239760</xdr:colOff>
      <xdr:row>23</xdr:row>
      <xdr:rowOff>28440</xdr:rowOff>
    </xdr:to>
    <xdr:graphicFrame>
      <xdr:nvGraphicFramePr>
        <xdr:cNvPr id="2" name="Chart 4"/>
        <xdr:cNvGraphicFramePr/>
      </xdr:nvGraphicFramePr>
      <xdr:xfrm>
        <a:off x="6534720" y="600120"/>
        <a:ext cx="3321000" cy="318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3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7.14"/>
    <col collapsed="false" customWidth="true" hidden="false" outlineLevel="0" max="2" min="2" style="0" width="13.14"/>
    <col collapsed="false" customWidth="true" hidden="false" outlineLevel="0" max="3" min="3" style="0" width="10.41"/>
    <col collapsed="false" customWidth="true" hidden="false" outlineLevel="0" max="5" min="5" style="0" width="14.28"/>
    <col collapsed="false" customWidth="true" hidden="false" outlineLevel="0" max="6" min="6" style="0" width="10.56"/>
  </cols>
  <sheetData>
    <row r="1" customFormat="false" ht="12.75" hidden="false" customHeight="false" outlineLevel="0" collapsed="false">
      <c r="C1" s="1"/>
      <c r="D1" s="1"/>
      <c r="E1" s="1"/>
    </row>
    <row r="2" customFormat="false" ht="12.75" hidden="false" customHeight="false" outlineLevel="0" collapsed="false">
      <c r="A2" s="0" t="s">
        <v>0</v>
      </c>
      <c r="B2" s="0" t="s">
        <v>1</v>
      </c>
      <c r="C2" s="2" t="s">
        <v>2</v>
      </c>
      <c r="D2" s="2" t="s">
        <v>3</v>
      </c>
      <c r="E2" s="2" t="s">
        <v>4</v>
      </c>
      <c r="F2" s="0" t="s">
        <v>5</v>
      </c>
      <c r="G2" s="0" t="s">
        <v>6</v>
      </c>
      <c r="H2" s="1" t="s">
        <v>7</v>
      </c>
    </row>
    <row r="3" customFormat="false" ht="12.75" hidden="false" customHeight="false" outlineLevel="0" collapsed="false">
      <c r="A3" s="0" t="s">
        <v>8</v>
      </c>
      <c r="B3" s="3" t="n">
        <v>0</v>
      </c>
      <c r="C3" s="3" t="n">
        <v>0.0238518767065552</v>
      </c>
      <c r="D3" s="3" t="n">
        <v>0.03281</v>
      </c>
      <c r="E3" s="3" t="n">
        <v>0.0166414648812586</v>
      </c>
      <c r="F3" s="3" t="n">
        <v>0.0359985175247282</v>
      </c>
      <c r="G3" s="4" t="n">
        <v>0</v>
      </c>
      <c r="H3" s="1" t="n">
        <v>925</v>
      </c>
    </row>
    <row r="4" customFormat="false" ht="12.75" hidden="false" customHeight="false" outlineLevel="0" collapsed="false">
      <c r="A4" s="0" t="s">
        <v>9</v>
      </c>
      <c r="B4" s="3" t="n">
        <v>0</v>
      </c>
      <c r="C4" s="3" t="n">
        <v>0.0112071877535429</v>
      </c>
      <c r="D4" s="3" t="n">
        <v>0.41534</v>
      </c>
      <c r="E4" s="3" t="n">
        <v>0.0217355561541323</v>
      </c>
      <c r="F4" s="3" t="n">
        <v>0.0158043945367121</v>
      </c>
      <c r="G4" s="4" t="n">
        <v>0</v>
      </c>
      <c r="H4" s="1" t="n">
        <v>1250</v>
      </c>
    </row>
    <row r="5" customFormat="false" ht="12.75" hidden="false" customHeight="false" outlineLevel="0" collapsed="false">
      <c r="A5" s="0" t="s">
        <v>10</v>
      </c>
      <c r="B5" s="3" t="n">
        <v>0</v>
      </c>
      <c r="C5" s="3" t="n">
        <v>0.0402941869973762</v>
      </c>
      <c r="D5" s="3" t="n">
        <v>0.08266</v>
      </c>
      <c r="E5" s="3" t="n">
        <v>0.0202684321941504</v>
      </c>
      <c r="F5" s="3" t="n">
        <v>0.0322963796327023</v>
      </c>
      <c r="G5" s="4" t="n">
        <v>0</v>
      </c>
      <c r="H5" s="1" t="n">
        <v>646</v>
      </c>
    </row>
    <row r="6" customFormat="false" ht="12.75" hidden="false" customHeight="false" outlineLevel="0" collapsed="false">
      <c r="A6" s="0" t="s">
        <v>11</v>
      </c>
      <c r="B6" s="3" t="n">
        <v>0.0211415213324095</v>
      </c>
      <c r="C6" s="3" t="n">
        <v>0.004523030247648</v>
      </c>
      <c r="D6" s="3" t="n">
        <v>0.44598</v>
      </c>
      <c r="E6" s="3" t="n">
        <v>0.0462867458685396</v>
      </c>
      <c r="F6" s="3" t="n">
        <v>0.00368981200149532</v>
      </c>
      <c r="G6" s="4" t="n">
        <v>0</v>
      </c>
      <c r="H6" s="1" t="n">
        <v>3750</v>
      </c>
    </row>
    <row r="7" customFormat="false" ht="12.75" hidden="false" customHeight="false" outlineLevel="0" collapsed="false">
      <c r="A7" s="0" t="s">
        <v>12</v>
      </c>
      <c r="B7" s="3" t="n">
        <v>0.00295777769394722</v>
      </c>
      <c r="C7" s="3" t="n">
        <v>0.00794454114516863</v>
      </c>
      <c r="D7" s="3" t="n">
        <v>0.35954</v>
      </c>
      <c r="E7" s="3" t="n">
        <v>0.0385571760941081</v>
      </c>
      <c r="F7" s="3" t="n">
        <v>0.0102502826364698</v>
      </c>
      <c r="G7" s="4" t="n">
        <v>17.3</v>
      </c>
      <c r="H7" s="1" t="n">
        <v>1170</v>
      </c>
    </row>
    <row r="8" customFormat="false" ht="12.75" hidden="false" customHeight="false" outlineLevel="0" collapsed="false">
      <c r="A8" s="0" t="s">
        <v>13</v>
      </c>
      <c r="B8" s="3" t="n">
        <v>0.000259885785260088</v>
      </c>
      <c r="C8" s="3" t="n">
        <v>0.0456124226267046</v>
      </c>
      <c r="D8" s="3" t="n">
        <v>0.00238</v>
      </c>
      <c r="E8" s="3" t="n">
        <v>0.260230429297339</v>
      </c>
      <c r="F8" s="3" t="n">
        <v>0.0474450284948841</v>
      </c>
      <c r="G8" s="4" t="n">
        <v>193.9</v>
      </c>
      <c r="H8" s="1" t="n">
        <v>542</v>
      </c>
    </row>
    <row r="9" customFormat="false" ht="12.75" hidden="false" customHeight="false" outlineLevel="0" collapsed="false">
      <c r="A9" s="0" t="s">
        <v>14</v>
      </c>
      <c r="B9" s="3" t="n">
        <v>0.252590047672857</v>
      </c>
      <c r="C9" s="3" t="n">
        <v>0.138328875404208</v>
      </c>
      <c r="D9" s="3" t="n">
        <v>0.02219</v>
      </c>
      <c r="E9" s="3" t="n">
        <v>0.118726708029446</v>
      </c>
      <c r="F9" s="3" t="n">
        <v>0.0950457155007443</v>
      </c>
      <c r="G9" s="4" t="n">
        <v>11.2</v>
      </c>
      <c r="H9" s="1" t="n">
        <v>51</v>
      </c>
    </row>
    <row r="10" customFormat="false" ht="12.75" hidden="false" customHeight="false" outlineLevel="0" collapsed="false">
      <c r="A10" s="0" t="s">
        <v>15</v>
      </c>
      <c r="B10" s="3" t="n">
        <v>0.0778335546482334</v>
      </c>
      <c r="C10" s="3" t="n">
        <v>0.00799421046196813</v>
      </c>
      <c r="D10" s="3" t="n">
        <v>0.07562</v>
      </c>
      <c r="E10" s="3" t="n">
        <v>0.0626719688727428</v>
      </c>
      <c r="F10" s="3" t="n">
        <v>0.00998690499789412</v>
      </c>
      <c r="G10" s="4" t="n">
        <v>206.6</v>
      </c>
      <c r="H10" s="1" t="n">
        <v>1861</v>
      </c>
    </row>
    <row r="11" customFormat="false" ht="12.75" hidden="false" customHeight="false" outlineLevel="0" collapsed="false">
      <c r="A11" s="0" t="s">
        <v>16</v>
      </c>
      <c r="B11" s="3" t="n">
        <v>0.0041858290740556</v>
      </c>
      <c r="C11" s="3" t="n">
        <v>0.0281378236648974</v>
      </c>
      <c r="D11" s="3" t="n">
        <v>0.03892</v>
      </c>
      <c r="E11" s="3" t="n">
        <v>0.0206160900363821</v>
      </c>
      <c r="F11" s="3" t="n">
        <v>0.0238915218027792</v>
      </c>
      <c r="G11" s="4" t="n">
        <v>11.1</v>
      </c>
      <c r="H11" s="1" t="n">
        <v>1413</v>
      </c>
    </row>
    <row r="12" customFormat="false" ht="12.75" hidden="false" customHeight="false" outlineLevel="0" collapsed="false">
      <c r="A12" s="0" t="s">
        <v>17</v>
      </c>
      <c r="B12" s="3" t="n">
        <v>0</v>
      </c>
      <c r="C12" s="3" t="n">
        <v>0.00952409571468726</v>
      </c>
      <c r="D12" s="3" t="n">
        <v>0.08548</v>
      </c>
      <c r="E12" s="3" t="n">
        <v>0.0353682242605231</v>
      </c>
      <c r="F12" s="3" t="n">
        <v>0.00467522963157696</v>
      </c>
      <c r="G12" s="4" t="n">
        <v>0</v>
      </c>
      <c r="H12" s="1" t="n">
        <v>77</v>
      </c>
    </row>
    <row r="13" customFormat="false" ht="12.75" hidden="false" customHeight="false" outlineLevel="0" collapsed="false">
      <c r="A13" s="0" t="s">
        <v>18</v>
      </c>
      <c r="B13" s="3" t="n">
        <v>0</v>
      </c>
      <c r="C13" s="3" t="n">
        <v>0.0261485883128481</v>
      </c>
      <c r="D13" s="3" t="n">
        <v>0.60588</v>
      </c>
      <c r="E13" s="3" t="n">
        <v>0.0255232505281166</v>
      </c>
      <c r="F13" s="3" t="n">
        <v>0.0397824182916148</v>
      </c>
      <c r="G13" s="4" t="n">
        <v>0</v>
      </c>
      <c r="H13" s="1" t="n">
        <v>613</v>
      </c>
    </row>
    <row r="14" customFormat="false" ht="12.75" hidden="false" customHeight="false" outlineLevel="0" collapsed="false">
      <c r="A14" s="0" t="s">
        <v>19</v>
      </c>
      <c r="B14" s="3" t="n">
        <v>0.0925020274991467</v>
      </c>
      <c r="C14" s="3" t="n">
        <v>0.0281937744250442</v>
      </c>
      <c r="D14" s="3" t="n">
        <v>0.01266</v>
      </c>
      <c r="E14" s="3" t="n">
        <v>0.0139671691446418</v>
      </c>
      <c r="F14" s="3" t="n">
        <v>0.0286833403546032</v>
      </c>
      <c r="G14" s="4" t="n">
        <v>185.3</v>
      </c>
      <c r="H14" s="1" t="n">
        <v>2245</v>
      </c>
    </row>
    <row r="15" customFormat="false" ht="12.75" hidden="false" customHeight="false" outlineLevel="0" collapsed="false">
      <c r="A15" s="0" t="s">
        <v>20</v>
      </c>
      <c r="B15" s="3" t="n">
        <v>0.0425729531743058</v>
      </c>
      <c r="C15" s="3" t="n">
        <v>0.03280824193038</v>
      </c>
      <c r="D15" s="3" t="n">
        <v>0.01725</v>
      </c>
      <c r="E15" s="3" t="n">
        <v>0.0504285786346856</v>
      </c>
      <c r="F15" s="3" t="n">
        <v>0.0482898576543466</v>
      </c>
      <c r="G15" s="4" t="n">
        <v>156.9</v>
      </c>
      <c r="H15" s="1" t="n">
        <v>1303</v>
      </c>
    </row>
    <row r="16" customFormat="false" ht="12.75" hidden="false" customHeight="false" outlineLevel="0" collapsed="false">
      <c r="A16" s="0" t="s">
        <v>21</v>
      </c>
      <c r="B16" s="3" t="n">
        <v>0.00107334901207605</v>
      </c>
      <c r="C16" s="3" t="n">
        <v>0.0369184324665151</v>
      </c>
      <c r="D16" s="3" t="n">
        <v>0.00187</v>
      </c>
      <c r="E16" s="3" t="n">
        <v>0.0371121032485432</v>
      </c>
      <c r="F16" s="3" t="n">
        <v>0.0429848737657769</v>
      </c>
      <c r="G16" s="4" t="n">
        <v>0</v>
      </c>
      <c r="H16" s="1" t="n">
        <v>781</v>
      </c>
    </row>
    <row r="17" customFormat="false" ht="12.75" hidden="false" customHeight="false" outlineLevel="0" collapsed="false">
      <c r="A17" s="0" t="s">
        <v>22</v>
      </c>
      <c r="B17" s="3" t="n">
        <v>0.0645640225441334</v>
      </c>
      <c r="C17" s="3" t="n">
        <v>0.0706260870607761</v>
      </c>
      <c r="D17" s="3" t="n">
        <v>0.00539</v>
      </c>
      <c r="E17" s="3" t="n">
        <v>0.0047015824577715</v>
      </c>
      <c r="F17" s="3" t="n">
        <v>0.0757243087363327</v>
      </c>
      <c r="G17" s="4" t="n">
        <v>240.9</v>
      </c>
      <c r="H17" s="1" t="n">
        <v>1008</v>
      </c>
    </row>
    <row r="18" customFormat="false" ht="12.75" hidden="false" customHeight="false" outlineLevel="0" collapsed="false">
      <c r="A18" s="0" t="s">
        <v>23</v>
      </c>
      <c r="B18" s="3" t="n">
        <v>0.00845328299918051</v>
      </c>
      <c r="C18" s="3" t="n">
        <v>0.0625602364619358</v>
      </c>
      <c r="D18" s="3" t="n">
        <v>0.04206</v>
      </c>
      <c r="E18" s="3" t="n">
        <v>0.0342163256066311</v>
      </c>
      <c r="F18" s="3" t="n">
        <v>0.0671134356375722</v>
      </c>
      <c r="G18" s="4" t="n">
        <v>204.7</v>
      </c>
      <c r="H18" s="1" t="n">
        <v>855</v>
      </c>
    </row>
    <row r="19" customFormat="false" ht="12.75" hidden="false" customHeight="false" outlineLevel="0" collapsed="false">
      <c r="A19" s="0" t="s">
        <v>24</v>
      </c>
      <c r="B19" s="3" t="n">
        <v>0.0293839643250748</v>
      </c>
      <c r="C19" s="3" t="n">
        <v>0.0211147303966919</v>
      </c>
      <c r="D19" s="3" t="n">
        <v>0.02757</v>
      </c>
      <c r="E19" s="3" t="n">
        <v>0.0243662758193366</v>
      </c>
      <c r="F19" s="3" t="n">
        <v>0.0191944537858603</v>
      </c>
      <c r="G19" s="4" t="n">
        <v>0</v>
      </c>
      <c r="H19" s="1" t="n">
        <v>929</v>
      </c>
    </row>
    <row r="20" customFormat="false" ht="12.75" hidden="false" customHeight="false" outlineLevel="0" collapsed="false">
      <c r="A20" s="0" t="s">
        <v>25</v>
      </c>
      <c r="B20" s="3" t="n">
        <v>0.105088318367691</v>
      </c>
      <c r="C20" s="3" t="n">
        <v>0.0206121747105353</v>
      </c>
      <c r="D20" s="3" t="n">
        <v>0.00942</v>
      </c>
      <c r="E20" s="3" t="n">
        <v>0.11374675564763</v>
      </c>
      <c r="F20" s="3" t="n">
        <v>0.031342669150636</v>
      </c>
      <c r="G20" s="4" t="n">
        <v>112.2</v>
      </c>
      <c r="H20" s="1" t="n">
        <v>383</v>
      </c>
    </row>
    <row r="21" customFormat="false" ht="12.75" hidden="false" customHeight="false" outlineLevel="0" collapsed="false">
      <c r="A21" s="0" t="s">
        <v>26</v>
      </c>
      <c r="B21" s="3" t="n">
        <v>0.0702579161473665</v>
      </c>
      <c r="C21" s="3" t="n">
        <v>0.0697797782145526</v>
      </c>
      <c r="D21" s="3" t="n">
        <v>0.03139</v>
      </c>
      <c r="E21" s="3" t="n">
        <v>0.0274781962774974</v>
      </c>
      <c r="F21" s="3" t="n">
        <v>0.173367872424564</v>
      </c>
      <c r="G21" s="4" t="n">
        <v>42.3</v>
      </c>
      <c r="H21" s="1" t="n">
        <v>711</v>
      </c>
    </row>
    <row r="22" customFormat="false" ht="12.75" hidden="false" customHeight="false" outlineLevel="0" collapsed="false">
      <c r="A22" s="0" t="s">
        <v>27</v>
      </c>
      <c r="B22" s="3" t="n">
        <v>0.103944816167345</v>
      </c>
      <c r="C22" s="3" t="n">
        <v>0.0502082263621112</v>
      </c>
      <c r="D22" s="3" t="n">
        <v>0.012</v>
      </c>
      <c r="E22" s="3" t="n">
        <v>0.0613123203667421</v>
      </c>
      <c r="F22" s="3" t="n">
        <v>0.0309692261748951</v>
      </c>
      <c r="G22" s="4" t="n">
        <v>124.4</v>
      </c>
      <c r="H22" s="1" t="n">
        <v>762</v>
      </c>
    </row>
    <row r="23" customFormat="false" ht="12.75" hidden="false" customHeight="false" outlineLevel="0" collapsed="false">
      <c r="A23" s="0" t="s">
        <v>28</v>
      </c>
      <c r="B23" s="3" t="n">
        <v>0.00738787711371125</v>
      </c>
      <c r="C23" s="3" t="n">
        <v>0.00796925854450259</v>
      </c>
      <c r="D23" s="3" t="n">
        <v>0.10085</v>
      </c>
      <c r="E23" s="3" t="n">
        <v>0.0419633136501008</v>
      </c>
      <c r="F23" s="3" t="n">
        <v>0.0149153692098973</v>
      </c>
      <c r="G23" s="4" t="n">
        <v>0</v>
      </c>
      <c r="H23" s="1" t="n">
        <v>1458</v>
      </c>
    </row>
    <row r="24" customFormat="false" ht="12.75" hidden="false" customHeight="false" outlineLevel="0" collapsed="false">
      <c r="A24" s="0" t="s">
        <v>29</v>
      </c>
      <c r="B24" s="3" t="n">
        <v>0</v>
      </c>
      <c r="C24" s="3" t="n">
        <v>0.0231171606433715</v>
      </c>
      <c r="D24" s="3" t="n">
        <v>0.03055</v>
      </c>
      <c r="E24" s="3" t="n">
        <v>0.0124292221309667</v>
      </c>
      <c r="F24" s="3" t="n">
        <v>0.0177078029509453</v>
      </c>
      <c r="G24" s="4" t="n">
        <v>0</v>
      </c>
      <c r="H24" s="1" t="n">
        <v>1042</v>
      </c>
    </row>
    <row r="25" customFormat="false" ht="12.75" hidden="false" customHeight="false" outlineLevel="0" collapsed="false">
      <c r="A25" s="0" t="s">
        <v>30</v>
      </c>
      <c r="B25" s="3" t="n">
        <v>0</v>
      </c>
      <c r="C25" s="3" t="n">
        <v>0.0305028704492417</v>
      </c>
      <c r="D25" s="3" t="n">
        <v>0.04286</v>
      </c>
      <c r="E25" s="3" t="n">
        <v>0.0117861455165629</v>
      </c>
      <c r="F25" s="3" t="n">
        <v>0.0587008990703929</v>
      </c>
      <c r="G25" s="4" t="n">
        <v>0</v>
      </c>
      <c r="H25" s="1" t="n">
        <v>726</v>
      </c>
    </row>
    <row r="26" customFormat="false" ht="12.75" hidden="false" customHeight="false" outlineLevel="0" collapsed="false">
      <c r="A26" s="0" t="s">
        <v>31</v>
      </c>
      <c r="B26" s="3" t="n">
        <v>0.000759685797103275</v>
      </c>
      <c r="C26" s="3" t="n">
        <v>0.0724272745344907</v>
      </c>
      <c r="D26" s="3" t="n">
        <v>0.03808</v>
      </c>
      <c r="E26" s="3" t="n">
        <v>0.0608954144235067</v>
      </c>
      <c r="F26" s="3" t="n">
        <v>0.0479660948799265</v>
      </c>
      <c r="G26" s="4" t="n">
        <v>0</v>
      </c>
      <c r="H26" s="1" t="n">
        <v>1460</v>
      </c>
    </row>
    <row r="27" customFormat="false" ht="12.75" hidden="false" customHeight="false" outlineLevel="0" collapsed="false">
      <c r="A27" s="0" t="s">
        <v>32</v>
      </c>
      <c r="B27" s="3" t="n">
        <v>0</v>
      </c>
      <c r="C27" s="3" t="n">
        <v>0.00796409544263987</v>
      </c>
      <c r="D27" s="3" t="n">
        <v>0.27542</v>
      </c>
      <c r="E27" s="3" t="n">
        <v>0.0198386177748442</v>
      </c>
      <c r="F27" s="3" t="n">
        <v>0.0123823944448102</v>
      </c>
      <c r="G27" s="4" t="n">
        <v>0</v>
      </c>
      <c r="H27" s="1" t="n">
        <v>1190</v>
      </c>
    </row>
    <row r="28" customFormat="false" ht="12.75" hidden="false" customHeight="false" outlineLevel="0" collapsed="false">
      <c r="A28" s="0" t="s">
        <v>33</v>
      </c>
      <c r="B28" s="3" t="n">
        <v>0.00199508308555689</v>
      </c>
      <c r="C28" s="3" t="n">
        <v>0.0425053293156057</v>
      </c>
      <c r="D28" s="3" t="n">
        <v>0.01188</v>
      </c>
      <c r="E28" s="3" t="n">
        <v>0.011502118639517</v>
      </c>
      <c r="F28" s="3" t="n">
        <v>0.0233357665648155</v>
      </c>
      <c r="G28" s="4" t="n">
        <v>0</v>
      </c>
      <c r="H28" s="1" t="n">
        <v>497</v>
      </c>
    </row>
    <row r="29" customFormat="false" ht="12.75" hidden="false" customHeight="false" outlineLevel="0" collapsed="false">
      <c r="A29" s="0" t="s">
        <v>34</v>
      </c>
      <c r="B29" s="3" t="n">
        <v>0</v>
      </c>
      <c r="C29" s="3" t="n">
        <v>0.0433497425670366</v>
      </c>
      <c r="D29" s="3" t="n">
        <v>0.7708</v>
      </c>
      <c r="E29" s="3" t="n">
        <v>0.0289080720529774</v>
      </c>
      <c r="F29" s="3" t="n">
        <v>0.0123862731576335</v>
      </c>
      <c r="G29" s="4" t="n">
        <v>0</v>
      </c>
      <c r="H29" s="1" t="n">
        <v>586</v>
      </c>
    </row>
    <row r="30" customFormat="false" ht="12.75" hidden="false" customHeight="false" outlineLevel="0" collapsed="false">
      <c r="A30" s="0" t="s">
        <v>35</v>
      </c>
      <c r="B30" s="3" t="n">
        <v>0.117777368981519</v>
      </c>
      <c r="C30" s="3" t="n">
        <v>0.0851357193769645</v>
      </c>
      <c r="D30" s="3" t="n">
        <v>0.12758</v>
      </c>
      <c r="E30" s="3" t="n">
        <v>0.0956898865432891</v>
      </c>
      <c r="F30" s="3" t="n">
        <v>0.167975827605201</v>
      </c>
      <c r="G30" s="4" t="n">
        <v>77.2</v>
      </c>
      <c r="H30" s="1" t="n">
        <v>266</v>
      </c>
    </row>
    <row r="31" customFormat="false" ht="12.75" hidden="false" customHeight="false" outlineLevel="0" collapsed="false">
      <c r="A31" s="0" t="s">
        <v>36</v>
      </c>
      <c r="B31" s="3" t="n">
        <v>0.273303356469306</v>
      </c>
      <c r="C31" s="3" t="n">
        <v>0.0704522955482905</v>
      </c>
      <c r="D31" s="3" t="n">
        <v>0.03332</v>
      </c>
      <c r="E31" s="3" t="n">
        <v>0.264967672481142</v>
      </c>
      <c r="F31" s="3" t="n">
        <v>0.117079489030126</v>
      </c>
      <c r="G31" s="4" t="n">
        <v>309.2</v>
      </c>
      <c r="H31" s="1" t="n">
        <v>728</v>
      </c>
    </row>
    <row r="32" customFormat="false" ht="12.75" hidden="false" customHeight="false" outlineLevel="0" collapsed="false">
      <c r="A32" s="0" t="s">
        <v>37</v>
      </c>
      <c r="B32" s="3" t="n">
        <v>0</v>
      </c>
      <c r="C32" s="3" t="n">
        <v>0.0190957981584029</v>
      </c>
      <c r="D32" s="3" t="n">
        <v>0.33853</v>
      </c>
      <c r="E32" s="3" t="n">
        <v>0.0243108794619173</v>
      </c>
      <c r="F32" s="3" t="n">
        <v>0.0251645042035998</v>
      </c>
      <c r="G32" s="4" t="n">
        <v>0</v>
      </c>
      <c r="H32" s="1" t="n">
        <v>1003</v>
      </c>
    </row>
    <row r="33" customFormat="false" ht="12.75" hidden="false" customHeight="false" outlineLevel="0" collapsed="false">
      <c r="A33" s="0" t="s">
        <v>38</v>
      </c>
      <c r="B33" s="3" t="n">
        <v>0.331822037089797</v>
      </c>
      <c r="C33" s="3" t="n">
        <v>0.0509878017590525</v>
      </c>
      <c r="D33" s="3" t="n">
        <v>0.00686</v>
      </c>
      <c r="E33" s="3" t="n">
        <v>0.185769873927339</v>
      </c>
      <c r="F33" s="3" t="n">
        <v>0.0243517386556935</v>
      </c>
      <c r="G33" s="4" t="n">
        <v>628.8</v>
      </c>
      <c r="H33" s="1" t="n">
        <v>2328</v>
      </c>
    </row>
    <row r="34" customFormat="false" ht="12.75" hidden="false" customHeight="false" outlineLevel="0" collapsed="false">
      <c r="A34" s="0" t="s">
        <v>39</v>
      </c>
      <c r="B34" s="3" t="n">
        <v>0.000738443042039357</v>
      </c>
      <c r="C34" s="3" t="n">
        <v>0.0221303868527105</v>
      </c>
      <c r="D34" s="3" t="n">
        <v>0.0687</v>
      </c>
      <c r="E34" s="3" t="n">
        <v>0.0363048002647108</v>
      </c>
      <c r="F34" s="3" t="n">
        <v>0.0177088340756862</v>
      </c>
      <c r="G34" s="4" t="n">
        <v>0</v>
      </c>
      <c r="H34" s="1" t="n">
        <v>1237</v>
      </c>
    </row>
    <row r="35" customFormat="false" ht="12.75" hidden="false" customHeight="false" outlineLevel="0" collapsed="false">
      <c r="A35" s="0" t="s">
        <v>40</v>
      </c>
      <c r="B35" s="3" t="n">
        <v>0</v>
      </c>
      <c r="C35" s="3" t="n">
        <v>0.0585817128891722</v>
      </c>
      <c r="D35" s="3" t="n">
        <v>0.04025</v>
      </c>
      <c r="E35" s="3" t="n">
        <v>0.00521176899171673</v>
      </c>
      <c r="F35" s="3" t="n">
        <v>0.0366960008154666</v>
      </c>
      <c r="G35" s="4" t="n">
        <v>0</v>
      </c>
      <c r="H35" s="1" t="n">
        <v>570</v>
      </c>
    </row>
    <row r="36" customFormat="false" ht="12.75" hidden="false" customHeight="false" outlineLevel="0" collapsed="false">
      <c r="A36" s="0" t="s">
        <v>41</v>
      </c>
      <c r="B36" s="3" t="n">
        <v>0.0328757643019831</v>
      </c>
      <c r="C36" s="3" t="n">
        <v>0.0282688311910131</v>
      </c>
      <c r="D36" s="3" t="n">
        <v>0.0107</v>
      </c>
      <c r="E36" s="3" t="n">
        <v>0.0513408485554598</v>
      </c>
      <c r="F36" s="3" t="n">
        <v>0.0222724306202026</v>
      </c>
      <c r="G36" s="4" t="n">
        <v>241</v>
      </c>
      <c r="H36" s="1" t="n">
        <v>1937</v>
      </c>
    </row>
    <row r="37" customFormat="false" ht="12.75" hidden="false" customHeight="false" outlineLevel="0" collapsed="false">
      <c r="A37" s="0" t="s">
        <v>42</v>
      </c>
      <c r="B37" s="3" t="n">
        <v>0.0759782565467173</v>
      </c>
      <c r="C37" s="3" t="n">
        <v>0.0108396118772474</v>
      </c>
      <c r="D37" s="3" t="n">
        <v>0.01454</v>
      </c>
      <c r="E37" s="3" t="n">
        <v>0.0183732361717298</v>
      </c>
      <c r="F37" s="3" t="n">
        <v>0.0292472634139496</v>
      </c>
      <c r="G37" s="4" t="n">
        <v>174.3</v>
      </c>
      <c r="H37" s="1" t="n">
        <v>1064</v>
      </c>
    </row>
    <row r="38" customFormat="false" ht="12.75" hidden="false" customHeight="false" outlineLevel="0" collapsed="false">
      <c r="A38" s="0" t="s">
        <v>43</v>
      </c>
      <c r="B38" s="3" t="n">
        <v>0.00529904028492617</v>
      </c>
      <c r="C38" s="3" t="n">
        <v>0.0372433830337473</v>
      </c>
      <c r="D38" s="3" t="n">
        <v>0.51837</v>
      </c>
      <c r="E38" s="3" t="n">
        <v>0.0359708061626984</v>
      </c>
      <c r="F38" s="3" t="n">
        <v>0.0211666342060599</v>
      </c>
      <c r="G38" s="4" t="n">
        <v>0</v>
      </c>
      <c r="H38" s="1" t="n">
        <v>780</v>
      </c>
    </row>
    <row r="39" customFormat="false" ht="12.75" hidden="false" customHeight="false" outlineLevel="0" collapsed="false">
      <c r="A39" s="0" t="s">
        <v>44</v>
      </c>
      <c r="B39" s="3" t="n">
        <v>0.116977230877519</v>
      </c>
      <c r="C39" s="3" t="n">
        <v>0.0341732303708947</v>
      </c>
      <c r="D39" s="3" t="n">
        <v>0.02205</v>
      </c>
      <c r="E39" s="3" t="n">
        <v>0.210983235947242</v>
      </c>
      <c r="F39" s="3" t="n">
        <v>0.0427593939304231</v>
      </c>
      <c r="G39" s="4" t="n">
        <v>469.3</v>
      </c>
      <c r="H39" s="1" t="n">
        <v>2087</v>
      </c>
    </row>
    <row r="40" customFormat="false" ht="12.75" hidden="false" customHeight="false" outlineLevel="0" collapsed="false">
      <c r="A40" s="0" t="s">
        <v>45</v>
      </c>
      <c r="B40" s="3" t="n">
        <v>0.0373661178404778</v>
      </c>
      <c r="C40" s="3" t="n">
        <v>0.0757652407576525</v>
      </c>
      <c r="D40" s="3" t="n">
        <v>0.00681</v>
      </c>
      <c r="E40" s="3" t="n">
        <v>0.0883295351941335</v>
      </c>
      <c r="F40" s="3" t="n">
        <v>0.118844543736755</v>
      </c>
      <c r="G40" s="4" t="n">
        <v>0</v>
      </c>
      <c r="H40" s="1" t="n">
        <v>137</v>
      </c>
    </row>
    <row r="41" customFormat="false" ht="12.75" hidden="false" customHeight="false" outlineLevel="0" collapsed="false">
      <c r="A41" s="0" t="s">
        <v>46</v>
      </c>
      <c r="B41" s="3" t="n">
        <v>0</v>
      </c>
      <c r="C41" s="3" t="n">
        <v>0.0212156597627681</v>
      </c>
      <c r="D41" s="3" t="n">
        <v>0.03782</v>
      </c>
      <c r="E41" s="3" t="n">
        <v>0.0059124840684687</v>
      </c>
      <c r="F41" s="3" t="n">
        <v>0.0182349459979287</v>
      </c>
      <c r="G41" s="4" t="n">
        <v>0</v>
      </c>
      <c r="H41" s="1" t="n">
        <v>894</v>
      </c>
    </row>
    <row r="42" customFormat="false" ht="12.75" hidden="false" customHeight="false" outlineLevel="0" collapsed="false">
      <c r="A42" s="0" t="s">
        <v>47</v>
      </c>
      <c r="B42" s="3" t="n">
        <v>0</v>
      </c>
      <c r="C42" s="3" t="n">
        <v>0.0295761623107812</v>
      </c>
      <c r="D42" s="3" t="n">
        <v>0.05487</v>
      </c>
      <c r="E42" s="3" t="n">
        <v>0.0109357214220361</v>
      </c>
      <c r="F42" s="3" t="n">
        <v>0.0401567596137732</v>
      </c>
      <c r="G42" s="4" t="n">
        <v>0</v>
      </c>
      <c r="H42" s="1" t="n">
        <v>681</v>
      </c>
    </row>
    <row r="43" customFormat="false" ht="12.75" hidden="false" customHeight="false" outlineLevel="0" collapsed="false">
      <c r="A43" s="0" t="s">
        <v>48</v>
      </c>
      <c r="B43" s="3" t="n">
        <v>5.80051647196015E-005</v>
      </c>
      <c r="C43" s="3" t="n">
        <v>0.0458630868796215</v>
      </c>
      <c r="D43" s="3" t="n">
        <v>0.05741</v>
      </c>
      <c r="E43" s="3" t="n">
        <v>0.0166026291755834</v>
      </c>
      <c r="F43" s="3" t="n">
        <v>0.0329980660228999</v>
      </c>
      <c r="G43" s="4" t="n">
        <v>0</v>
      </c>
      <c r="H43" s="1" t="n">
        <v>1176</v>
      </c>
    </row>
    <row r="44" customFormat="false" ht="12.75" hidden="false" customHeight="false" outlineLevel="0" collapsed="false">
      <c r="A44" s="0" t="s">
        <v>49</v>
      </c>
      <c r="B44" s="3" t="n">
        <v>0.0247474685546935</v>
      </c>
      <c r="C44" s="3" t="n">
        <v>0.00910524272123237</v>
      </c>
      <c r="D44" s="3" t="n">
        <v>0.01395</v>
      </c>
      <c r="E44" s="3" t="n">
        <v>0.0366459653194965</v>
      </c>
      <c r="F44" s="3" t="n">
        <v>0.00799104065061407</v>
      </c>
      <c r="G44" s="4" t="n">
        <v>30.1</v>
      </c>
      <c r="H44" s="1" t="n">
        <v>4474</v>
      </c>
    </row>
    <row r="45" customFormat="false" ht="12.75" hidden="false" customHeight="false" outlineLevel="0" collapsed="false">
      <c r="A45" s="0" t="s">
        <v>50</v>
      </c>
      <c r="B45" s="3" t="n">
        <v>0.000622986197117817</v>
      </c>
      <c r="C45" s="3" t="n">
        <v>0.00991343868813166</v>
      </c>
      <c r="D45" s="3" t="n">
        <v>0.63112</v>
      </c>
      <c r="E45" s="3" t="n">
        <v>0.0153031212711886</v>
      </c>
      <c r="F45" s="3" t="n">
        <v>0.0133017559790412</v>
      </c>
      <c r="G45" s="4" t="n">
        <v>0</v>
      </c>
      <c r="H45" s="1" t="n">
        <v>948</v>
      </c>
    </row>
    <row r="46" customFormat="false" ht="12.75" hidden="false" customHeight="false" outlineLevel="0" collapsed="false">
      <c r="A46" s="0" t="s">
        <v>51</v>
      </c>
      <c r="B46" s="3" t="n">
        <v>0</v>
      </c>
      <c r="C46" s="3" t="n">
        <v>0.0494956071368481</v>
      </c>
      <c r="D46" s="3" t="n">
        <v>0.06407</v>
      </c>
      <c r="E46" s="3" t="n">
        <v>0.141040500339582</v>
      </c>
      <c r="F46" s="3" t="n">
        <v>0.0583507567879001</v>
      </c>
      <c r="G46" s="4" t="n">
        <v>0</v>
      </c>
      <c r="H46" s="1" t="n">
        <v>1329</v>
      </c>
    </row>
    <row r="47" customFormat="false" ht="12.75" hidden="false" customHeight="false" outlineLevel="0" collapsed="false">
      <c r="A47" s="0" t="s">
        <v>52</v>
      </c>
      <c r="B47" s="3" t="n">
        <v>0.0465283677535952</v>
      </c>
      <c r="C47" s="3" t="n">
        <v>0.0646098010772455</v>
      </c>
      <c r="D47" s="3" t="n">
        <v>0.0939</v>
      </c>
      <c r="E47" s="3" t="n">
        <v>0.020499083028995</v>
      </c>
      <c r="F47" s="3" t="n">
        <v>0.092933458258515</v>
      </c>
      <c r="G47" s="4" t="n">
        <v>34.6</v>
      </c>
      <c r="H47" s="1" t="n">
        <v>339</v>
      </c>
    </row>
    <row r="48" customFormat="false" ht="12.75" hidden="false" customHeight="false" outlineLevel="0" collapsed="false">
      <c r="A48" s="0" t="s">
        <v>53</v>
      </c>
      <c r="B48" s="3" t="n">
        <v>0.0414276298865866</v>
      </c>
      <c r="C48" s="3" t="n">
        <v>0.0152694227003708</v>
      </c>
      <c r="D48" s="3" t="n">
        <v>0.24061</v>
      </c>
      <c r="E48" s="3" t="n">
        <v>0.0124407469527925</v>
      </c>
      <c r="F48" s="3" t="n">
        <v>0.0270377915926971</v>
      </c>
      <c r="G48" s="4" t="n">
        <v>0</v>
      </c>
      <c r="H48" s="1" t="n">
        <v>1079</v>
      </c>
    </row>
    <row r="49" customFormat="false" ht="12.75" hidden="false" customHeight="false" outlineLevel="0" collapsed="false">
      <c r="A49" s="0" t="s">
        <v>54</v>
      </c>
      <c r="B49" s="3" t="n">
        <v>0.0657245663242686</v>
      </c>
      <c r="C49" s="3" t="n">
        <v>0.083450810945235</v>
      </c>
      <c r="D49" s="3" t="n">
        <v>0.07007</v>
      </c>
      <c r="E49" s="3" t="n">
        <v>0.051171165724616</v>
      </c>
      <c r="F49" s="3" t="n">
        <v>0.0971717626381163</v>
      </c>
      <c r="G49" s="4" t="n">
        <v>86.3</v>
      </c>
      <c r="H49" s="1" t="n">
        <v>560</v>
      </c>
    </row>
    <row r="50" customFormat="false" ht="12.75" hidden="false" customHeight="false" outlineLevel="0" collapsed="false">
      <c r="A50" s="0" t="s">
        <v>55</v>
      </c>
      <c r="B50" s="3" t="n">
        <v>1.13332512302244E-005</v>
      </c>
      <c r="C50" s="3" t="n">
        <v>0.0137079087829872</v>
      </c>
      <c r="D50" s="3" t="n">
        <v>0.05291</v>
      </c>
      <c r="E50" s="3" t="n">
        <v>0.0435898383333731</v>
      </c>
      <c r="F50" s="3" t="n">
        <v>0.0321774975235133</v>
      </c>
      <c r="G50" s="4" t="n">
        <v>0</v>
      </c>
      <c r="H50" s="1" t="n">
        <v>830</v>
      </c>
    </row>
    <row r="51" customFormat="false" ht="12.75" hidden="false" customHeight="false" outlineLevel="0" collapsed="false">
      <c r="A51" s="0" t="s">
        <v>56</v>
      </c>
      <c r="B51" s="3" t="n">
        <v>0</v>
      </c>
      <c r="C51" s="3" t="n">
        <v>0.0256209952218234</v>
      </c>
      <c r="D51" s="3" t="n">
        <v>0.48452</v>
      </c>
      <c r="E51" s="3" t="n">
        <v>0.0115138917944774</v>
      </c>
      <c r="F51" s="3" t="n">
        <v>0.0200604415996298</v>
      </c>
      <c r="G51" s="4" t="n">
        <v>0</v>
      </c>
      <c r="H51" s="1" t="n">
        <v>916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12.99"/>
    <col collapsed="false" customWidth="true" hidden="false" outlineLevel="0" max="5" min="3" style="0" width="9.28"/>
    <col collapsed="false" customWidth="true" hidden="false" outlineLevel="0" max="9" min="6" style="0" width="12.99"/>
  </cols>
  <sheetData>
    <row r="1" customFormat="false" ht="12.75" hidden="false" customHeight="false" outlineLevel="0" collapsed="false">
      <c r="A1" s="0" t="s">
        <v>57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0.30177658377542</v>
      </c>
    </row>
    <row r="5" customFormat="false" ht="12.75" hidden="false" customHeight="false" outlineLevel="0" collapsed="false">
      <c r="A5" s="6" t="s">
        <v>60</v>
      </c>
      <c r="B5" s="6" t="n">
        <v>0.091069106515163</v>
      </c>
    </row>
    <row r="6" customFormat="false" ht="12.75" hidden="false" customHeight="false" outlineLevel="0" collapsed="false">
      <c r="A6" s="6" t="s">
        <v>61</v>
      </c>
      <c r="B6" s="6" t="n">
        <v>0.0721330462342289</v>
      </c>
    </row>
    <row r="7" customFormat="false" ht="12.75" hidden="false" customHeight="false" outlineLevel="0" collapsed="false">
      <c r="A7" s="6" t="s">
        <v>62</v>
      </c>
      <c r="B7" s="6" t="n">
        <v>0.0698114434751775</v>
      </c>
    </row>
    <row r="8" customFormat="false" ht="13.5" hidden="false" customHeight="false" outlineLevel="0" collapsed="false">
      <c r="A8" s="7" t="s">
        <v>63</v>
      </c>
      <c r="B8" s="7" t="n">
        <v>50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1</v>
      </c>
      <c r="C12" s="6" t="n">
        <v>0.0234387628037049</v>
      </c>
      <c r="D12" s="6" t="n">
        <v>0.0234387628037049</v>
      </c>
      <c r="E12" s="6" t="n">
        <v>4.80929534254052</v>
      </c>
      <c r="F12" s="6" t="n">
        <v>0.0331846763425904</v>
      </c>
    </row>
    <row r="13" customFormat="false" ht="12.75" hidden="false" customHeight="false" outlineLevel="0" collapsed="false">
      <c r="A13" s="6" t="s">
        <v>71</v>
      </c>
      <c r="B13" s="6" t="n">
        <v>48</v>
      </c>
      <c r="C13" s="6" t="n">
        <v>0.233934606724219</v>
      </c>
      <c r="D13" s="6" t="n">
        <v>0.0048736376400879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49</v>
      </c>
      <c r="C14" s="7" t="n">
        <v>0.257373369527924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0.0685966561075713</v>
      </c>
      <c r="C17" s="6" t="n">
        <v>0.0159357727089163</v>
      </c>
      <c r="D17" s="6" t="n">
        <v>4.30457043787969</v>
      </c>
      <c r="E17" s="6" t="n">
        <v>8.20143843851967E-005</v>
      </c>
      <c r="F17" s="6" t="n">
        <v>0.0365556563816737</v>
      </c>
      <c r="G17" s="6" t="n">
        <v>0.100637655833469</v>
      </c>
      <c r="H17" s="6" t="n">
        <v>0.0365556563816737</v>
      </c>
      <c r="I17" s="6" t="n">
        <v>0.100637655833469</v>
      </c>
    </row>
    <row r="18" customFormat="false" ht="13.5" hidden="false" customHeight="false" outlineLevel="0" collapsed="false">
      <c r="A18" s="7" t="s">
        <v>81</v>
      </c>
      <c r="B18" s="7" t="n">
        <v>-4.62453247308424E-007</v>
      </c>
      <c r="C18" s="7" t="n">
        <v>2.10875977745148E-007</v>
      </c>
      <c r="D18" s="7" t="n">
        <v>-2.19301056598926</v>
      </c>
      <c r="E18" s="7" t="n">
        <v>0.0331846763425905</v>
      </c>
      <c r="F18" s="7" t="n">
        <v>-8.86447569300114E-007</v>
      </c>
      <c r="G18" s="7" t="n">
        <v>-3.84589253167343E-008</v>
      </c>
      <c r="H18" s="7" t="n">
        <v>-8.86447569300114E-007</v>
      </c>
      <c r="I18" s="7" t="n">
        <v>-3.84589253167343E-008</v>
      </c>
    </row>
    <row r="20" customFormat="false" ht="12.75" hidden="false" customHeight="false" outlineLevel="0" collapsed="false">
      <c r="A20" s="0" t="s">
        <v>82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12.99"/>
    <col collapsed="false" customWidth="true" hidden="false" outlineLevel="0" max="5" min="3" style="0" width="9.28"/>
    <col collapsed="false" customWidth="true" hidden="false" outlineLevel="0" max="6" min="6" style="0" width="12.99"/>
    <col collapsed="false" customWidth="true" hidden="false" outlineLevel="0" max="7" min="7" style="0" width="9.28"/>
    <col collapsed="false" customWidth="true" hidden="false" outlineLevel="0" max="8" min="8" style="0" width="12.99"/>
    <col collapsed="false" customWidth="true" hidden="false" outlineLevel="0" max="9" min="9" style="0" width="9.28"/>
  </cols>
  <sheetData>
    <row r="1" customFormat="false" ht="12.75" hidden="false" customHeight="false" outlineLevel="0" collapsed="false">
      <c r="A1" s="0" t="s">
        <v>83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0.320393856181174</v>
      </c>
    </row>
    <row r="5" customFormat="false" ht="12.75" hidden="false" customHeight="false" outlineLevel="0" collapsed="false">
      <c r="A5" s="6" t="s">
        <v>60</v>
      </c>
      <c r="B5" s="6" t="n">
        <v>0.102652223078643</v>
      </c>
    </row>
    <row r="6" customFormat="false" ht="12.75" hidden="false" customHeight="false" outlineLevel="0" collapsed="false">
      <c r="A6" s="6" t="s">
        <v>61</v>
      </c>
      <c r="B6" s="6" t="n">
        <v>0.0746101050498504</v>
      </c>
    </row>
    <row r="7" customFormat="false" ht="12.75" hidden="false" customHeight="false" outlineLevel="0" collapsed="false">
      <c r="A7" s="6" t="s">
        <v>62</v>
      </c>
      <c r="B7" s="6" t="n">
        <v>0.0780976599473187</v>
      </c>
    </row>
    <row r="8" customFormat="false" ht="13.5" hidden="false" customHeight="false" outlineLevel="0" collapsed="false">
      <c r="A8" s="7" t="s">
        <v>63</v>
      </c>
      <c r="B8" s="7" t="n">
        <v>34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1</v>
      </c>
      <c r="C12" s="6" t="n">
        <v>0.0223271653474433</v>
      </c>
      <c r="D12" s="6" t="n">
        <v>0.0223271653474433</v>
      </c>
      <c r="E12" s="6" t="n">
        <v>3.66064442683124</v>
      </c>
      <c r="F12" s="6" t="n">
        <v>0.0646949733573163</v>
      </c>
    </row>
    <row r="13" customFormat="false" ht="12.75" hidden="false" customHeight="false" outlineLevel="0" collapsed="false">
      <c r="A13" s="6" t="s">
        <v>71</v>
      </c>
      <c r="B13" s="6" t="n">
        <v>32</v>
      </c>
      <c r="C13" s="6" t="n">
        <v>0.195175823655905</v>
      </c>
      <c r="D13" s="6" t="n">
        <v>0.00609924448924703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33</v>
      </c>
      <c r="C14" s="7" t="n">
        <v>0.217502989003348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0.0897676159583974</v>
      </c>
      <c r="C17" s="6" t="n">
        <v>0.0203180109539226</v>
      </c>
      <c r="D17" s="6" t="n">
        <v>4.41813010938785</v>
      </c>
      <c r="E17" s="6" t="n">
        <v>0.000106795302857576</v>
      </c>
      <c r="F17" s="6" t="n">
        <v>0.0483812170125519</v>
      </c>
      <c r="G17" s="6" t="n">
        <v>0.131154014904243</v>
      </c>
      <c r="H17" s="6" t="n">
        <v>0.0483812170125519</v>
      </c>
      <c r="I17" s="6" t="n">
        <v>0.131154014904243</v>
      </c>
    </row>
    <row r="18" customFormat="false" ht="13.5" hidden="false" customHeight="false" outlineLevel="0" collapsed="false">
      <c r="A18" s="7" t="s">
        <v>81</v>
      </c>
      <c r="B18" s="7" t="n">
        <v>-5.29889338641115E-007</v>
      </c>
      <c r="C18" s="7" t="n">
        <v>2.76953213425206E-007</v>
      </c>
      <c r="D18" s="7" t="n">
        <v>-1.91328106320824</v>
      </c>
      <c r="E18" s="7" t="n">
        <v>0.0646949733573163</v>
      </c>
      <c r="F18" s="7" t="n">
        <v>-1.09402409603166E-006</v>
      </c>
      <c r="G18" s="7" t="n">
        <v>3.42454187494264E-008</v>
      </c>
      <c r="H18" s="7" t="n">
        <v>-1.09402409603166E-006</v>
      </c>
      <c r="I18" s="7" t="n">
        <v>3.42454187494264E-008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83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0.525766289603778</v>
      </c>
    </row>
    <row r="5" customFormat="false" ht="12.75" hidden="false" customHeight="false" outlineLevel="0" collapsed="false">
      <c r="A5" s="6" t="s">
        <v>60</v>
      </c>
      <c r="B5" s="6" t="n">
        <v>0.276430191283724</v>
      </c>
    </row>
    <row r="6" customFormat="false" ht="12.75" hidden="false" customHeight="false" outlineLevel="0" collapsed="false">
      <c r="A6" s="6" t="s">
        <v>61</v>
      </c>
      <c r="B6" s="6" t="n">
        <v>0.224746633518276</v>
      </c>
    </row>
    <row r="7" customFormat="false" ht="12.75" hidden="false" customHeight="false" outlineLevel="0" collapsed="false">
      <c r="A7" s="6" t="s">
        <v>62</v>
      </c>
      <c r="B7" s="6" t="n">
        <v>0.0728711380785578</v>
      </c>
    </row>
    <row r="8" customFormat="false" ht="13.5" hidden="false" customHeight="false" outlineLevel="0" collapsed="false">
      <c r="A8" s="7" t="s">
        <v>63</v>
      </c>
      <c r="B8" s="7" t="n">
        <v>31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2</v>
      </c>
      <c r="C12" s="6" t="n">
        <v>0.0568033792374916</v>
      </c>
      <c r="D12" s="6" t="n">
        <v>0.0284016896187458</v>
      </c>
      <c r="E12" s="6" t="n">
        <v>5.34851320681574</v>
      </c>
      <c r="F12" s="6" t="n">
        <v>0.0107826652836716</v>
      </c>
    </row>
    <row r="13" customFormat="false" ht="12.75" hidden="false" customHeight="false" outlineLevel="0" collapsed="false">
      <c r="A13" s="6" t="s">
        <v>71</v>
      </c>
      <c r="B13" s="6" t="n">
        <v>28</v>
      </c>
      <c r="C13" s="6" t="n">
        <v>0.148685677416198</v>
      </c>
      <c r="D13" s="6" t="n">
        <v>0.00531020276486423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30</v>
      </c>
      <c r="C14" s="7" t="n">
        <v>0.20548905665369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0.0845181272996335</v>
      </c>
      <c r="C17" s="6" t="n">
        <v>0.0211970028026037</v>
      </c>
      <c r="D17" s="6" t="n">
        <v>3.98726782681049</v>
      </c>
      <c r="E17" s="6" t="n">
        <v>0.000434795018829023</v>
      </c>
      <c r="F17" s="6" t="n">
        <v>0.0410979866152366</v>
      </c>
      <c r="G17" s="6" t="n">
        <v>0.12793826798403</v>
      </c>
      <c r="H17" s="6" t="n">
        <v>0.0410979866152366</v>
      </c>
      <c r="I17" s="6" t="n">
        <v>0.12793826798403</v>
      </c>
    </row>
    <row r="18" customFormat="false" ht="12.75" hidden="false" customHeight="false" outlineLevel="0" collapsed="false">
      <c r="A18" s="6" t="s">
        <v>81</v>
      </c>
      <c r="B18" s="6" t="n">
        <v>-9.89510414540661E-007</v>
      </c>
      <c r="C18" s="6" t="n">
        <v>3.10706231361899E-007</v>
      </c>
      <c r="D18" s="6" t="n">
        <v>-3.18471377353265</v>
      </c>
      <c r="E18" s="6" t="n">
        <v>0.00353931761395387</v>
      </c>
      <c r="F18" s="6" t="n">
        <v>-1.62596399257176E-006</v>
      </c>
      <c r="G18" s="6" t="n">
        <v>-3.53056836509559E-007</v>
      </c>
      <c r="H18" s="6" t="n">
        <v>-1.62596399257176E-006</v>
      </c>
      <c r="I18" s="6" t="n">
        <v>-3.53056836509559E-007</v>
      </c>
    </row>
    <row r="19" customFormat="false" ht="13.5" hidden="false" customHeight="false" outlineLevel="0" collapsed="false">
      <c r="A19" s="7" t="s">
        <v>84</v>
      </c>
      <c r="B19" s="7" t="n">
        <v>5.50098460363931E-009</v>
      </c>
      <c r="C19" s="7" t="n">
        <v>2.36776634166663E-009</v>
      </c>
      <c r="D19" s="7" t="n">
        <v>2.32328017627249</v>
      </c>
      <c r="E19" s="7" t="n">
        <v>0.0276492361105454</v>
      </c>
      <c r="F19" s="7" t="n">
        <v>6.508296727584E-010</v>
      </c>
      <c r="G19" s="7" t="n">
        <v>1.03511395345202E-008</v>
      </c>
      <c r="H19" s="7" t="n">
        <v>6.508296727584E-010</v>
      </c>
      <c r="I19" s="7" t="n">
        <v>1.03511395345202E-008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83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0.525245282716707</v>
      </c>
    </row>
    <row r="5" customFormat="false" ht="12.75" hidden="false" customHeight="false" outlineLevel="0" collapsed="false">
      <c r="A5" s="6" t="s">
        <v>60</v>
      </c>
      <c r="B5" s="6" t="n">
        <v>0.275882607016153</v>
      </c>
    </row>
    <row r="6" customFormat="false" ht="12.75" hidden="false" customHeight="false" outlineLevel="0" collapsed="false">
      <c r="A6" s="6" t="s">
        <v>61</v>
      </c>
      <c r="B6" s="6" t="n">
        <v>0.228657559647642</v>
      </c>
    </row>
    <row r="7" customFormat="false" ht="12.75" hidden="false" customHeight="false" outlineLevel="0" collapsed="false">
      <c r="A7" s="6" t="s">
        <v>62</v>
      </c>
      <c r="B7" s="6" t="n">
        <v>0.0636513146430082</v>
      </c>
    </row>
    <row r="8" customFormat="false" ht="13.5" hidden="false" customHeight="false" outlineLevel="0" collapsed="false">
      <c r="A8" s="7" t="s">
        <v>63</v>
      </c>
      <c r="B8" s="7" t="n">
        <v>50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3</v>
      </c>
      <c r="C12" s="6" t="n">
        <v>0.0710048361618956</v>
      </c>
      <c r="D12" s="6" t="n">
        <v>0.0236682787206319</v>
      </c>
      <c r="E12" s="6" t="n">
        <v>5.84187041387922</v>
      </c>
      <c r="F12" s="6" t="n">
        <v>0.00181280708252026</v>
      </c>
    </row>
    <row r="13" customFormat="false" ht="12.75" hidden="false" customHeight="false" outlineLevel="0" collapsed="false">
      <c r="A13" s="6" t="s">
        <v>71</v>
      </c>
      <c r="B13" s="6" t="n">
        <v>46</v>
      </c>
      <c r="C13" s="6" t="n">
        <v>0.186368533366029</v>
      </c>
      <c r="D13" s="6" t="n">
        <v>0.00405148985578323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49</v>
      </c>
      <c r="C14" s="7" t="n">
        <v>0.257373369527924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0.0603793609603886</v>
      </c>
      <c r="C17" s="6" t="n">
        <v>0.0166191827014168</v>
      </c>
      <c r="D17" s="6" t="n">
        <v>3.63311253297922</v>
      </c>
      <c r="E17" s="6" t="n">
        <v>0.000702844627404112</v>
      </c>
      <c r="F17" s="6" t="n">
        <v>0.0269267132342575</v>
      </c>
      <c r="G17" s="6" t="n">
        <v>0.0938320086865197</v>
      </c>
      <c r="H17" s="6" t="n">
        <v>0.0269267132342575</v>
      </c>
      <c r="I17" s="6" t="n">
        <v>0.0938320086865197</v>
      </c>
    </row>
    <row r="18" customFormat="false" ht="12.75" hidden="false" customHeight="false" outlineLevel="0" collapsed="false">
      <c r="A18" s="6" t="s">
        <v>81</v>
      </c>
      <c r="B18" s="6" t="n">
        <v>-5.5036323103743E-007</v>
      </c>
      <c r="C18" s="6" t="n">
        <v>2.72999149588394E-007</v>
      </c>
      <c r="D18" s="6" t="n">
        <v>-2.01598881120041</v>
      </c>
      <c r="E18" s="6" t="n">
        <v>0.0496633481382659</v>
      </c>
      <c r="F18" s="6" t="n">
        <v>-1.09988149224142E-006</v>
      </c>
      <c r="G18" s="6" t="n">
        <v>-8.44969833441799E-010</v>
      </c>
      <c r="H18" s="6" t="n">
        <v>-1.09988149224142E-006</v>
      </c>
      <c r="I18" s="6" t="n">
        <v>-8.44969833441799E-010</v>
      </c>
    </row>
    <row r="19" customFormat="false" ht="12.75" hidden="false" customHeight="false" outlineLevel="0" collapsed="false">
      <c r="A19" s="6" t="s">
        <v>84</v>
      </c>
      <c r="B19" s="6" t="n">
        <v>6.81279138400812E-009</v>
      </c>
      <c r="C19" s="6" t="n">
        <v>2.14588024156544E-009</v>
      </c>
      <c r="D19" s="6" t="n">
        <v>3.17482367004699</v>
      </c>
      <c r="E19" s="6" t="n">
        <v>0.00267472849599626</v>
      </c>
      <c r="F19" s="6" t="n">
        <v>2.49336262067704E-009</v>
      </c>
      <c r="G19" s="6" t="n">
        <v>1.11322201473392E-008</v>
      </c>
      <c r="H19" s="6" t="n">
        <v>2.49336262067704E-009</v>
      </c>
      <c r="I19" s="6" t="n">
        <v>1.11322201473392E-008</v>
      </c>
    </row>
    <row r="20" customFormat="false" ht="13.5" hidden="false" customHeight="false" outlineLevel="0" collapsed="false">
      <c r="A20" s="7" t="s">
        <v>85</v>
      </c>
      <c r="B20" s="7" t="n">
        <v>-2.85831141125607E-007</v>
      </c>
      <c r="C20" s="7" t="n">
        <v>3.10611930392752E-007</v>
      </c>
      <c r="D20" s="7" t="n">
        <v>-0.920219454430448</v>
      </c>
      <c r="E20" s="7" t="n">
        <v>0.362258894699908</v>
      </c>
      <c r="F20" s="7" t="n">
        <v>-9.11059930870876E-007</v>
      </c>
      <c r="G20" s="7" t="n">
        <v>3.39397648619663E-007</v>
      </c>
      <c r="H20" s="7" t="n">
        <v>-9.11059930870876E-007</v>
      </c>
      <c r="I20" s="7" t="n">
        <v>3.39397648619663E-007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86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0.437026480264225</v>
      </c>
    </row>
    <row r="5" customFormat="false" ht="12.75" hidden="false" customHeight="false" outlineLevel="0" collapsed="false">
      <c r="A5" s="6" t="s">
        <v>60</v>
      </c>
      <c r="B5" s="6" t="n">
        <v>0.190992144452137</v>
      </c>
    </row>
    <row r="6" customFormat="false" ht="12.75" hidden="false" customHeight="false" outlineLevel="0" collapsed="false">
      <c r="A6" s="6" t="s">
        <v>61</v>
      </c>
      <c r="B6" s="6" t="n">
        <v>0.138230762568581</v>
      </c>
    </row>
    <row r="7" customFormat="false" ht="12.75" hidden="false" customHeight="false" outlineLevel="0" collapsed="false">
      <c r="A7" s="6" t="s">
        <v>62</v>
      </c>
      <c r="B7" s="6" t="n">
        <v>0.0598913501247366</v>
      </c>
    </row>
    <row r="8" customFormat="false" ht="13.5" hidden="false" customHeight="false" outlineLevel="0" collapsed="false">
      <c r="A8" s="7" t="s">
        <v>63</v>
      </c>
      <c r="B8" s="7" t="n">
        <v>50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3</v>
      </c>
      <c r="C12" s="6" t="n">
        <v>0.0389537080421243</v>
      </c>
      <c r="D12" s="6" t="n">
        <v>0.0129845693473748</v>
      </c>
      <c r="E12" s="6" t="n">
        <v>3.61992308832347</v>
      </c>
      <c r="F12" s="6" t="n">
        <v>0.0198606485038369</v>
      </c>
    </row>
    <row r="13" customFormat="false" ht="12.75" hidden="false" customHeight="false" outlineLevel="0" collapsed="false">
      <c r="A13" s="6" t="s">
        <v>71</v>
      </c>
      <c r="B13" s="6" t="n">
        <v>46</v>
      </c>
      <c r="C13" s="6" t="n">
        <v>0.165000795709134</v>
      </c>
      <c r="D13" s="6" t="n">
        <v>0.00358697381976379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49</v>
      </c>
      <c r="C14" s="7" t="n">
        <v>0.203954503751259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-0.135368743775019</v>
      </c>
      <c r="C17" s="6" t="n">
        <v>0.128182693574024</v>
      </c>
      <c r="D17" s="6" t="n">
        <v>-1.05606100168932</v>
      </c>
      <c r="E17" s="6" t="n">
        <v>0.296455343994894</v>
      </c>
      <c r="F17" s="6" t="n">
        <v>-0.393386876781818</v>
      </c>
      <c r="G17" s="6" t="n">
        <v>0.122649389231779</v>
      </c>
      <c r="H17" s="6" t="n">
        <v>-0.393386876781818</v>
      </c>
      <c r="I17" s="6" t="n">
        <v>0.122649389231779</v>
      </c>
    </row>
    <row r="18" customFormat="false" ht="12.75" hidden="false" customHeight="false" outlineLevel="0" collapsed="false">
      <c r="A18" s="6" t="s">
        <v>87</v>
      </c>
      <c r="B18" s="6" t="n">
        <v>-0.0100659568702017</v>
      </c>
      <c r="C18" s="6" t="n">
        <v>0.014199600631088</v>
      </c>
      <c r="D18" s="6" t="n">
        <v>-0.708890139358131</v>
      </c>
      <c r="E18" s="6" t="n">
        <v>0.481970084468962</v>
      </c>
      <c r="F18" s="6" t="n">
        <v>-0.0386482431533317</v>
      </c>
      <c r="G18" s="6" t="n">
        <v>0.0185163294129282</v>
      </c>
      <c r="H18" s="6" t="n">
        <v>-0.0386482431533317</v>
      </c>
      <c r="I18" s="6" t="n">
        <v>0.0185163294129282</v>
      </c>
    </row>
    <row r="19" customFormat="false" ht="12.75" hidden="false" customHeight="false" outlineLevel="0" collapsed="false">
      <c r="A19" s="6" t="s">
        <v>88</v>
      </c>
      <c r="B19" s="6" t="n">
        <v>0.0285720817663948</v>
      </c>
      <c r="C19" s="6" t="n">
        <v>0.0128590386424876</v>
      </c>
      <c r="D19" s="6" t="n">
        <v>2.22194540048971</v>
      </c>
      <c r="E19" s="6" t="n">
        <v>0.0312460692907024</v>
      </c>
      <c r="F19" s="6" t="n">
        <v>0.00268820422967485</v>
      </c>
      <c r="G19" s="6" t="n">
        <v>0.0544559593031147</v>
      </c>
      <c r="H19" s="6" t="n">
        <v>0.00268820422967485</v>
      </c>
      <c r="I19" s="6" t="n">
        <v>0.0544559593031147</v>
      </c>
    </row>
    <row r="20" customFormat="false" ht="13.5" hidden="false" customHeight="false" outlineLevel="0" collapsed="false">
      <c r="A20" s="7" t="s">
        <v>89</v>
      </c>
      <c r="B20" s="7" t="n">
        <v>-0.0136575108512224</v>
      </c>
      <c r="C20" s="7" t="n">
        <v>0.0241848014229739</v>
      </c>
      <c r="D20" s="7" t="n">
        <v>-0.56471461610798</v>
      </c>
      <c r="E20" s="7" t="n">
        <v>0.57501157749395</v>
      </c>
      <c r="F20" s="7" t="n">
        <v>-0.0623389446415983</v>
      </c>
      <c r="G20" s="7" t="n">
        <v>0.0350239229391535</v>
      </c>
      <c r="H20" s="7" t="n">
        <v>-0.0623389446415983</v>
      </c>
      <c r="I20" s="7" t="n">
        <v>0.0350239229391535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12.99"/>
    <col collapsed="false" customWidth="true" hidden="false" outlineLevel="0" max="5" min="3" style="0" width="9.28"/>
    <col collapsed="false" customWidth="true" hidden="false" outlineLevel="0" max="9" min="6" style="0" width="12.99"/>
  </cols>
  <sheetData>
    <row r="1" customFormat="false" ht="12.75" hidden="false" customHeight="false" outlineLevel="0" collapsed="false">
      <c r="A1" s="0" t="s">
        <v>86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0.530026479822233</v>
      </c>
    </row>
    <row r="5" customFormat="false" ht="12.75" hidden="false" customHeight="false" outlineLevel="0" collapsed="false">
      <c r="A5" s="6" t="s">
        <v>60</v>
      </c>
      <c r="B5" s="6" t="n">
        <v>0.280928069312748</v>
      </c>
    </row>
    <row r="6" customFormat="false" ht="12.75" hidden="false" customHeight="false" outlineLevel="0" collapsed="false">
      <c r="A6" s="6" t="s">
        <v>61</v>
      </c>
      <c r="B6" s="6" t="n">
        <v>0.234032073833144</v>
      </c>
    </row>
    <row r="7" customFormat="false" ht="12.75" hidden="false" customHeight="false" outlineLevel="0" collapsed="false">
      <c r="A7" s="6" t="s">
        <v>62</v>
      </c>
      <c r="B7" s="6" t="n">
        <v>0.0564642939858568</v>
      </c>
    </row>
    <row r="8" customFormat="false" ht="13.5" hidden="false" customHeight="false" outlineLevel="0" collapsed="false">
      <c r="A8" s="7" t="s">
        <v>63</v>
      </c>
      <c r="B8" s="7" t="n">
        <v>50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3</v>
      </c>
      <c r="C12" s="6" t="n">
        <v>0.0572965449664807</v>
      </c>
      <c r="D12" s="6" t="n">
        <v>0.0190988483221602</v>
      </c>
      <c r="E12" s="6" t="n">
        <v>5.99044900187549</v>
      </c>
      <c r="F12" s="6" t="n">
        <v>0.0015557224928186</v>
      </c>
    </row>
    <row r="13" customFormat="false" ht="12.75" hidden="false" customHeight="false" outlineLevel="0" collapsed="false">
      <c r="A13" s="6" t="s">
        <v>71</v>
      </c>
      <c r="B13" s="6" t="n">
        <v>46</v>
      </c>
      <c r="C13" s="6" t="n">
        <v>0.146657958784778</v>
      </c>
      <c r="D13" s="6" t="n">
        <v>0.00318821649532126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49</v>
      </c>
      <c r="C14" s="7" t="n">
        <v>0.203954503751259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0.0553746474369759</v>
      </c>
      <c r="C17" s="6" t="n">
        <v>0.0147426714298121</v>
      </c>
      <c r="D17" s="6" t="n">
        <v>3.7560796020319</v>
      </c>
      <c r="E17" s="6" t="n">
        <v>0.000484308012506545</v>
      </c>
      <c r="F17" s="6" t="n">
        <v>0.0256992173785795</v>
      </c>
      <c r="G17" s="6" t="n">
        <v>0.0850500774953723</v>
      </c>
      <c r="H17" s="6" t="n">
        <v>0.0256992173785795</v>
      </c>
      <c r="I17" s="6" t="n">
        <v>0.0850500774953723</v>
      </c>
    </row>
    <row r="18" customFormat="false" ht="12.75" hidden="false" customHeight="false" outlineLevel="0" collapsed="false">
      <c r="A18" s="6" t="s">
        <v>81</v>
      </c>
      <c r="B18" s="6" t="n">
        <v>-5.06184353084164E-007</v>
      </c>
      <c r="C18" s="6" t="n">
        <v>2.42174169169988E-007</v>
      </c>
      <c r="D18" s="6" t="n">
        <v>-2.09016657234348</v>
      </c>
      <c r="E18" s="6" t="n">
        <v>0.0421585307887663</v>
      </c>
      <c r="F18" s="6" t="n">
        <v>-9.93655206203882E-007</v>
      </c>
      <c r="G18" s="6" t="n">
        <v>-1.87134999644455E-008</v>
      </c>
      <c r="H18" s="6" t="n">
        <v>-9.93655206203882E-007</v>
      </c>
      <c r="I18" s="6" t="n">
        <v>-1.87134999644455E-008</v>
      </c>
    </row>
    <row r="19" customFormat="false" ht="12.75" hidden="false" customHeight="false" outlineLevel="0" collapsed="false">
      <c r="A19" s="6" t="s">
        <v>84</v>
      </c>
      <c r="B19" s="6" t="n">
        <v>6.05659394103889E-009</v>
      </c>
      <c r="C19" s="6" t="n">
        <v>1.90358382223142E-009</v>
      </c>
      <c r="D19" s="6" t="n">
        <v>3.1816796666927</v>
      </c>
      <c r="E19" s="6" t="n">
        <v>0.0026234890547254</v>
      </c>
      <c r="F19" s="6" t="n">
        <v>2.22488210740934E-009</v>
      </c>
      <c r="G19" s="6" t="n">
        <v>9.88830577466843E-009</v>
      </c>
      <c r="H19" s="6" t="n">
        <v>2.22488210740934E-009</v>
      </c>
      <c r="I19" s="6" t="n">
        <v>9.88830577466843E-009</v>
      </c>
    </row>
    <row r="20" customFormat="false" ht="13.5" hidden="false" customHeight="false" outlineLevel="0" collapsed="false">
      <c r="A20" s="7" t="s">
        <v>85</v>
      </c>
      <c r="B20" s="7" t="n">
        <v>-2.42484850260816E-007</v>
      </c>
      <c r="C20" s="7" t="n">
        <v>2.75540001829913E-007</v>
      </c>
      <c r="D20" s="7" t="n">
        <v>-0.880035017240431</v>
      </c>
      <c r="E20" s="7" t="n">
        <v>0.383414936886735</v>
      </c>
      <c r="F20" s="7" t="n">
        <v>-7.97117576868233E-007</v>
      </c>
      <c r="G20" s="7" t="n">
        <v>3.12147876346602E-007</v>
      </c>
      <c r="H20" s="7" t="n">
        <v>-7.97117576868233E-007</v>
      </c>
      <c r="I20" s="7" t="n">
        <v>3.12147876346602E-007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83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0.430702971364682</v>
      </c>
    </row>
    <row r="5" customFormat="false" ht="12.75" hidden="false" customHeight="false" outlineLevel="0" collapsed="false">
      <c r="A5" s="6" t="s">
        <v>60</v>
      </c>
      <c r="B5" s="6" t="n">
        <v>0.185505049542366</v>
      </c>
    </row>
    <row r="6" customFormat="false" ht="12.75" hidden="false" customHeight="false" outlineLevel="0" collapsed="false">
      <c r="A6" s="6" t="s">
        <v>61</v>
      </c>
      <c r="B6" s="6" t="n">
        <v>0.132385813642955</v>
      </c>
    </row>
    <row r="7" customFormat="false" ht="12.75" hidden="false" customHeight="false" outlineLevel="0" collapsed="false">
      <c r="A7" s="6" t="s">
        <v>62</v>
      </c>
      <c r="B7" s="6" t="n">
        <v>0.0675067323313758</v>
      </c>
    </row>
    <row r="8" customFormat="false" ht="13.5" hidden="false" customHeight="false" outlineLevel="0" collapsed="false">
      <c r="A8" s="7" t="s">
        <v>63</v>
      </c>
      <c r="B8" s="7" t="n">
        <v>50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3</v>
      </c>
      <c r="C12" s="6" t="n">
        <v>0.0477440596651633</v>
      </c>
      <c r="D12" s="6" t="n">
        <v>0.0159146865550544</v>
      </c>
      <c r="E12" s="6" t="n">
        <v>3.49223866649075</v>
      </c>
      <c r="F12" s="6" t="n">
        <v>0.0229250225618866</v>
      </c>
    </row>
    <row r="13" customFormat="false" ht="12.75" hidden="false" customHeight="false" outlineLevel="0" collapsed="false">
      <c r="A13" s="6" t="s">
        <v>71</v>
      </c>
      <c r="B13" s="6" t="n">
        <v>46</v>
      </c>
      <c r="C13" s="6" t="n">
        <v>0.209629309862761</v>
      </c>
      <c r="D13" s="6" t="n">
        <v>0.00455715891006002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49</v>
      </c>
      <c r="C14" s="7" t="n">
        <v>0.257373369527924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-0.149705171916661</v>
      </c>
      <c r="C17" s="6" t="n">
        <v>0.144481544773899</v>
      </c>
      <c r="D17" s="6" t="n">
        <v>-1.03615428635495</v>
      </c>
      <c r="E17" s="6" t="n">
        <v>0.305546613517032</v>
      </c>
      <c r="F17" s="6" t="n">
        <v>-0.440531159396566</v>
      </c>
      <c r="G17" s="6" t="n">
        <v>0.141120815563245</v>
      </c>
      <c r="H17" s="6" t="n">
        <v>-0.440531159396566</v>
      </c>
      <c r="I17" s="6" t="n">
        <v>0.141120815563245</v>
      </c>
    </row>
    <row r="18" customFormat="false" ht="12.75" hidden="false" customHeight="false" outlineLevel="0" collapsed="false">
      <c r="A18" s="6" t="s">
        <v>87</v>
      </c>
      <c r="B18" s="6" t="n">
        <v>-0.0110018570156774</v>
      </c>
      <c r="C18" s="6" t="n">
        <v>0.0160051265670062</v>
      </c>
      <c r="D18" s="6" t="n">
        <v>-0.687395814685854</v>
      </c>
      <c r="E18" s="6" t="n">
        <v>0.49528472216316</v>
      </c>
      <c r="F18" s="6" t="n">
        <v>-0.0432184750333948</v>
      </c>
      <c r="G18" s="6" t="n">
        <v>0.02121476100204</v>
      </c>
      <c r="H18" s="6" t="n">
        <v>-0.0432184750333948</v>
      </c>
      <c r="I18" s="6" t="n">
        <v>0.02121476100204</v>
      </c>
    </row>
    <row r="19" customFormat="false" ht="12.75" hidden="false" customHeight="false" outlineLevel="0" collapsed="false">
      <c r="A19" s="6" t="s">
        <v>88</v>
      </c>
      <c r="B19" s="6" t="n">
        <v>0.0316787319581185</v>
      </c>
      <c r="C19" s="6" t="n">
        <v>0.0144941077112017</v>
      </c>
      <c r="D19" s="6" t="n">
        <v>2.18562829732772</v>
      </c>
      <c r="E19" s="6" t="n">
        <v>0.0339713055175977</v>
      </c>
      <c r="F19" s="6" t="n">
        <v>0.00250363423648989</v>
      </c>
      <c r="G19" s="6" t="n">
        <v>0.060853829679747</v>
      </c>
      <c r="H19" s="6" t="n">
        <v>0.00250363423648989</v>
      </c>
      <c r="I19" s="6" t="n">
        <v>0.060853829679747</v>
      </c>
    </row>
    <row r="20" customFormat="false" ht="13.5" hidden="false" customHeight="false" outlineLevel="0" collapsed="false">
      <c r="A20" s="7" t="s">
        <v>89</v>
      </c>
      <c r="B20" s="7" t="n">
        <v>-0.0154376621859262</v>
      </c>
      <c r="C20" s="7" t="n">
        <v>0.0272599784901802</v>
      </c>
      <c r="D20" s="7" t="n">
        <v>-0.566312339222396</v>
      </c>
      <c r="E20" s="7" t="n">
        <v>0.573934188839902</v>
      </c>
      <c r="F20" s="7" t="n">
        <v>-0.0703091004412004</v>
      </c>
      <c r="G20" s="7" t="n">
        <v>0.0394337760693481</v>
      </c>
      <c r="H20" s="7" t="n">
        <v>-0.0703091004412004</v>
      </c>
      <c r="I20" s="7" t="n">
        <v>0.0394337760693481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90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0.578327528219052</v>
      </c>
    </row>
    <row r="5" customFormat="false" ht="12.75" hidden="false" customHeight="false" outlineLevel="0" collapsed="false">
      <c r="A5" s="6" t="s">
        <v>60</v>
      </c>
      <c r="B5" s="6" t="n">
        <v>0.334462729895959</v>
      </c>
    </row>
    <row r="6" customFormat="false" ht="12.75" hidden="false" customHeight="false" outlineLevel="0" collapsed="false">
      <c r="A6" s="6" t="s">
        <v>61</v>
      </c>
      <c r="B6" s="6" t="n">
        <v>0.290093578555689</v>
      </c>
    </row>
    <row r="7" customFormat="false" ht="12.75" hidden="false" customHeight="false" outlineLevel="0" collapsed="false">
      <c r="A7" s="6" t="s">
        <v>62</v>
      </c>
      <c r="B7" s="6" t="n">
        <v>0.0547212266208686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3</v>
      </c>
      <c r="C12" s="6" t="n">
        <v>0.0677172808172109</v>
      </c>
      <c r="D12" s="6" t="n">
        <v>0.0225724269390703</v>
      </c>
      <c r="E12" s="6" t="n">
        <v>7.53818181760895</v>
      </c>
      <c r="F12" s="6" t="n">
        <v>0.000344028393385964</v>
      </c>
    </row>
    <row r="13" customFormat="false" ht="12.75" hidden="false" customHeight="false" outlineLevel="0" collapsed="false">
      <c r="A13" s="6" t="s">
        <v>71</v>
      </c>
      <c r="B13" s="6" t="n">
        <v>45</v>
      </c>
      <c r="C13" s="6" t="n">
        <v>0.134748568930161</v>
      </c>
      <c r="D13" s="6" t="n">
        <v>0.00299441264289246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-0.0370363389064878</v>
      </c>
      <c r="C17" s="6" t="n">
        <v>0.0481087049444982</v>
      </c>
      <c r="D17" s="6" t="n">
        <v>-0.769846932051397</v>
      </c>
      <c r="E17" s="6" t="n">
        <v>0.445413319135924</v>
      </c>
      <c r="F17" s="6" t="n">
        <v>-0.133932240386162</v>
      </c>
      <c r="G17" s="6" t="n">
        <v>0.0598595625731865</v>
      </c>
      <c r="H17" s="6" t="n">
        <v>-0.133932240386162</v>
      </c>
      <c r="I17" s="6" t="n">
        <v>0.0598595625731865</v>
      </c>
    </row>
    <row r="18" customFormat="false" ht="12.75" hidden="false" customHeight="false" outlineLevel="0" collapsed="false">
      <c r="A18" s="6" t="s">
        <v>81</v>
      </c>
      <c r="B18" s="6" t="n">
        <v>-3.94737421492895E-007</v>
      </c>
      <c r="C18" s="6" t="n">
        <v>2.29069127757033E-007</v>
      </c>
      <c r="D18" s="6" t="n">
        <v>-1.72322401258532</v>
      </c>
      <c r="E18" s="6" t="n">
        <v>0.0917139441872157</v>
      </c>
      <c r="F18" s="6" t="n">
        <v>-8.56106308075629E-007</v>
      </c>
      <c r="G18" s="6" t="n">
        <v>6.66314650898395E-008</v>
      </c>
      <c r="H18" s="6" t="n">
        <v>-8.56106308075629E-007</v>
      </c>
      <c r="I18" s="6" t="n">
        <v>6.66314650898395E-008</v>
      </c>
    </row>
    <row r="19" customFormat="false" ht="12.75" hidden="false" customHeight="false" outlineLevel="0" collapsed="false">
      <c r="A19" s="6" t="s">
        <v>84</v>
      </c>
      <c r="B19" s="6" t="n">
        <v>5.53687470396263E-009</v>
      </c>
      <c r="C19" s="6" t="n">
        <v>1.49278957413832E-009</v>
      </c>
      <c r="D19" s="6" t="n">
        <v>3.70907916285432</v>
      </c>
      <c r="E19" s="6" t="n">
        <v>0.000569171872047524</v>
      </c>
      <c r="F19" s="6" t="n">
        <v>2.53024229362306E-009</v>
      </c>
      <c r="G19" s="6" t="n">
        <v>8.5435071143022E-009</v>
      </c>
      <c r="H19" s="6" t="n">
        <v>2.53024229362306E-009</v>
      </c>
      <c r="I19" s="6" t="n">
        <v>8.5435071143022E-009</v>
      </c>
    </row>
    <row r="20" customFormat="false" ht="13.5" hidden="false" customHeight="false" outlineLevel="0" collapsed="false">
      <c r="A20" s="7" t="s">
        <v>91</v>
      </c>
      <c r="B20" s="7" t="n">
        <v>0.114942979693427</v>
      </c>
      <c r="C20" s="7" t="n">
        <v>0.0588459967168231</v>
      </c>
      <c r="D20" s="7" t="n">
        <v>1.95328460908822</v>
      </c>
      <c r="E20" s="7" t="n">
        <v>0.0570205906088071</v>
      </c>
      <c r="F20" s="7" t="n">
        <v>-0.00357893659853557</v>
      </c>
      <c r="G20" s="7" t="n">
        <v>0.233464895985389</v>
      </c>
      <c r="H20" s="7" t="n">
        <v>-0.00357893659853557</v>
      </c>
      <c r="I20" s="7" t="n">
        <v>0.233464895985389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92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0.587776823942561</v>
      </c>
    </row>
    <row r="5" customFormat="false" ht="12.75" hidden="false" customHeight="false" outlineLevel="0" collapsed="false">
      <c r="A5" s="6" t="s">
        <v>60</v>
      </c>
      <c r="B5" s="6" t="n">
        <v>0.345481594764004</v>
      </c>
    </row>
    <row r="6" customFormat="false" ht="12.75" hidden="false" customHeight="false" outlineLevel="0" collapsed="false">
      <c r="A6" s="6" t="s">
        <v>61</v>
      </c>
      <c r="B6" s="6" t="n">
        <v>0.285979921560732</v>
      </c>
    </row>
    <row r="7" customFormat="false" ht="12.75" hidden="false" customHeight="false" outlineLevel="0" collapsed="false">
      <c r="A7" s="6" t="s">
        <v>62</v>
      </c>
      <c r="B7" s="6" t="n">
        <v>0.054879542696917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0.0699482246559712</v>
      </c>
      <c r="D12" s="6" t="n">
        <v>0.0174870561639928</v>
      </c>
      <c r="E12" s="6" t="n">
        <v>5.80625007945161</v>
      </c>
      <c r="F12" s="6" t="n">
        <v>0.000767024964912522</v>
      </c>
    </row>
    <row r="13" customFormat="false" ht="12.75" hidden="false" customHeight="false" outlineLevel="0" collapsed="false">
      <c r="A13" s="6" t="s">
        <v>71</v>
      </c>
      <c r="B13" s="6" t="n">
        <v>44</v>
      </c>
      <c r="C13" s="6" t="n">
        <v>0.1325176250914</v>
      </c>
      <c r="D13" s="6" t="n">
        <v>0.00301176420662274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-0.0481233057254996</v>
      </c>
      <c r="C17" s="6" t="n">
        <v>0.0499379762555176</v>
      </c>
      <c r="D17" s="6" t="n">
        <v>-0.963661512418266</v>
      </c>
      <c r="E17" s="6" t="n">
        <v>0.340482243532425</v>
      </c>
      <c r="F17" s="6" t="n">
        <v>-0.148766680064303</v>
      </c>
      <c r="G17" s="6" t="n">
        <v>0.0525200686133035</v>
      </c>
      <c r="H17" s="6" t="n">
        <v>-0.148766680064303</v>
      </c>
      <c r="I17" s="6" t="n">
        <v>0.0525200686133035</v>
      </c>
    </row>
    <row r="18" customFormat="false" ht="12.75" hidden="false" customHeight="false" outlineLevel="0" collapsed="false">
      <c r="A18" s="6" t="s">
        <v>81</v>
      </c>
      <c r="B18" s="6" t="n">
        <v>-3.61839404133957E-007</v>
      </c>
      <c r="C18" s="6" t="n">
        <v>2.3289009940926E-007</v>
      </c>
      <c r="D18" s="6" t="n">
        <v>-1.55369165564266</v>
      </c>
      <c r="E18" s="6" t="n">
        <v>0.127422108397342</v>
      </c>
      <c r="F18" s="6" t="n">
        <v>-8.31198541450969E-007</v>
      </c>
      <c r="G18" s="6" t="n">
        <v>1.07519733183054E-007</v>
      </c>
      <c r="H18" s="6" t="n">
        <v>-8.31198541450969E-007</v>
      </c>
      <c r="I18" s="6" t="n">
        <v>1.07519733183054E-007</v>
      </c>
    </row>
    <row r="19" customFormat="false" ht="12.75" hidden="false" customHeight="false" outlineLevel="0" collapsed="false">
      <c r="A19" s="6" t="s">
        <v>84</v>
      </c>
      <c r="B19" s="6" t="n">
        <v>5.32665759076807E-009</v>
      </c>
      <c r="C19" s="6" t="n">
        <v>1.51690197207716E-009</v>
      </c>
      <c r="D19" s="6" t="n">
        <v>3.51153712554941</v>
      </c>
      <c r="E19" s="6" t="n">
        <v>0.00104275027990122</v>
      </c>
      <c r="F19" s="6" t="n">
        <v>2.26954265623641E-009</v>
      </c>
      <c r="G19" s="6" t="n">
        <v>8.38377252529972E-009</v>
      </c>
      <c r="H19" s="6" t="n">
        <v>2.26954265623641E-009</v>
      </c>
      <c r="I19" s="6" t="n">
        <v>8.38377252529972E-009</v>
      </c>
    </row>
    <row r="20" customFormat="false" ht="12.75" hidden="false" customHeight="false" outlineLevel="0" collapsed="false">
      <c r="A20" s="6" t="s">
        <v>91</v>
      </c>
      <c r="B20" s="6" t="n">
        <v>0.0437326977917695</v>
      </c>
      <c r="C20" s="6" t="n">
        <v>0.101629795783201</v>
      </c>
      <c r="D20" s="6" t="n">
        <v>0.430313742684883</v>
      </c>
      <c r="E20" s="6" t="n">
        <v>0.669067883509204</v>
      </c>
      <c r="F20" s="6" t="n">
        <v>-0.161088689615868</v>
      </c>
      <c r="G20" s="6" t="n">
        <v>0.248554085199407</v>
      </c>
      <c r="H20" s="6" t="n">
        <v>-0.161088689615868</v>
      </c>
      <c r="I20" s="6" t="n">
        <v>0.248554085199407</v>
      </c>
    </row>
    <row r="21" customFormat="false" ht="13.5" hidden="false" customHeight="false" outlineLevel="0" collapsed="false">
      <c r="A21" s="7" t="s">
        <v>93</v>
      </c>
      <c r="B21" s="7" t="n">
        <v>0.0895455598959079</v>
      </c>
      <c r="C21" s="7" t="n">
        <v>0.104042366354289</v>
      </c>
      <c r="D21" s="7" t="n">
        <v>0.860664391186417</v>
      </c>
      <c r="E21" s="7" t="n">
        <v>0.394088662717198</v>
      </c>
      <c r="F21" s="7" t="n">
        <v>-0.120138043831077</v>
      </c>
      <c r="G21" s="7" t="n">
        <v>0.299229163622893</v>
      </c>
      <c r="H21" s="7" t="n">
        <v>-0.120138043831077</v>
      </c>
      <c r="I21" s="7" t="n">
        <v>0.299229163622893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A1:B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94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0.612085405708762</v>
      </c>
    </row>
    <row r="5" customFormat="false" ht="12.75" hidden="false" customHeight="false" outlineLevel="0" collapsed="false">
      <c r="A5" s="6" t="s">
        <v>60</v>
      </c>
      <c r="B5" s="6" t="n">
        <v>0.37464854388166</v>
      </c>
    </row>
    <row r="6" customFormat="false" ht="12.75" hidden="false" customHeight="false" outlineLevel="0" collapsed="false">
      <c r="A6" s="6" t="s">
        <v>61</v>
      </c>
      <c r="B6" s="6" t="n">
        <v>0.317798411507265</v>
      </c>
    </row>
    <row r="7" customFormat="false" ht="12.75" hidden="false" customHeight="false" outlineLevel="0" collapsed="false">
      <c r="A7" s="6" t="s">
        <v>62</v>
      </c>
      <c r="B7" s="6" t="n">
        <v>0.0602773011168014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0.0957767635864099</v>
      </c>
      <c r="D12" s="6" t="n">
        <v>0.0239441908966025</v>
      </c>
      <c r="E12" s="6" t="n">
        <v>6.59010855796006</v>
      </c>
      <c r="F12" s="6" t="n">
        <v>0.000302350154975718</v>
      </c>
    </row>
    <row r="13" customFormat="false" ht="12.75" hidden="false" customHeight="false" outlineLevel="0" collapsed="false">
      <c r="A13" s="6" t="s">
        <v>71</v>
      </c>
      <c r="B13" s="6" t="n">
        <v>44</v>
      </c>
      <c r="C13" s="6" t="n">
        <v>0.159867533316724</v>
      </c>
      <c r="D13" s="6" t="n">
        <v>0.00363335302992555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0.255644296903134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-0.0513650227373438</v>
      </c>
      <c r="C17" s="6" t="n">
        <v>0.0531710626397064</v>
      </c>
      <c r="D17" s="6" t="n">
        <v>-0.966033405903498</v>
      </c>
      <c r="E17" s="6" t="n">
        <v>0.339307396621125</v>
      </c>
      <c r="F17" s="6" t="n">
        <v>-0.158524254298087</v>
      </c>
      <c r="G17" s="6" t="n">
        <v>0.0557942088233995</v>
      </c>
      <c r="H17" s="6" t="n">
        <v>-0.158524254298087</v>
      </c>
      <c r="I17" s="6" t="n">
        <v>0.0557942088233995</v>
      </c>
    </row>
    <row r="18" customFormat="false" ht="12.75" hidden="false" customHeight="false" outlineLevel="0" collapsed="false">
      <c r="A18" s="6" t="s">
        <v>81</v>
      </c>
      <c r="B18" s="6" t="n">
        <v>-3.00423241607352E-007</v>
      </c>
      <c r="C18" s="6" t="n">
        <v>2.62535468119758E-007</v>
      </c>
      <c r="D18" s="6" t="n">
        <v>-1.14431487584874</v>
      </c>
      <c r="E18" s="6" t="n">
        <v>0.258680159638339</v>
      </c>
      <c r="F18" s="6" t="n">
        <v>-8.29528691535758E-007</v>
      </c>
      <c r="G18" s="6" t="n">
        <v>2.28682208321054E-007</v>
      </c>
      <c r="H18" s="6" t="n">
        <v>-8.29528691535758E-007</v>
      </c>
      <c r="I18" s="6" t="n">
        <v>2.28682208321054E-007</v>
      </c>
    </row>
    <row r="19" customFormat="false" ht="12.75" hidden="false" customHeight="false" outlineLevel="0" collapsed="false">
      <c r="A19" s="6" t="s">
        <v>84</v>
      </c>
      <c r="B19" s="6" t="n">
        <v>6.11513792096205E-009</v>
      </c>
      <c r="C19" s="6" t="n">
        <v>1.64465922558442E-009</v>
      </c>
      <c r="D19" s="6" t="n">
        <v>3.71817931996769</v>
      </c>
      <c r="E19" s="6" t="n">
        <v>0.000564555777570516</v>
      </c>
      <c r="F19" s="6" t="n">
        <v>2.80054516987976E-009</v>
      </c>
      <c r="G19" s="6" t="n">
        <v>9.42973067204434E-009</v>
      </c>
      <c r="H19" s="6" t="n">
        <v>2.80054516987976E-009</v>
      </c>
      <c r="I19" s="6" t="n">
        <v>9.42973067204434E-009</v>
      </c>
    </row>
    <row r="20" customFormat="false" ht="12.75" hidden="false" customHeight="false" outlineLevel="0" collapsed="false">
      <c r="A20" s="6" t="s">
        <v>91</v>
      </c>
      <c r="B20" s="6" t="n">
        <v>0.0929767447209712</v>
      </c>
      <c r="C20" s="6" t="n">
        <v>0.0676736201429608</v>
      </c>
      <c r="D20" s="6" t="n">
        <v>1.37389937947102</v>
      </c>
      <c r="E20" s="6" t="n">
        <v>0.176432113918685</v>
      </c>
      <c r="F20" s="6" t="n">
        <v>-0.0434104698922248</v>
      </c>
      <c r="G20" s="6" t="n">
        <v>0.229363959334167</v>
      </c>
      <c r="H20" s="6" t="n">
        <v>-0.0434104698922248</v>
      </c>
      <c r="I20" s="6" t="n">
        <v>0.229363959334167</v>
      </c>
    </row>
    <row r="21" customFormat="false" ht="13.5" hidden="false" customHeight="false" outlineLevel="0" collapsed="false">
      <c r="A21" s="7" t="s">
        <v>95</v>
      </c>
      <c r="B21" s="7" t="n">
        <v>0.511570185416178</v>
      </c>
      <c r="C21" s="7" t="n">
        <v>0.279457192388082</v>
      </c>
      <c r="D21" s="7" t="n">
        <v>1.83058514631379</v>
      </c>
      <c r="E21" s="7" t="n">
        <v>0.0739406005291048</v>
      </c>
      <c r="F21" s="7" t="n">
        <v>-0.0516387576390003</v>
      </c>
      <c r="G21" s="7" t="n">
        <v>1.07477912847136</v>
      </c>
      <c r="H21" s="7" t="n">
        <v>-0.0516387576390003</v>
      </c>
      <c r="I21" s="7" t="n">
        <v>1.07477912847136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92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0.623048076586094</v>
      </c>
    </row>
    <row r="5" customFormat="false" ht="12.75" hidden="false" customHeight="false" outlineLevel="0" collapsed="false">
      <c r="A5" s="6" t="s">
        <v>60</v>
      </c>
      <c r="B5" s="6" t="n">
        <v>0.388188905737632</v>
      </c>
    </row>
    <row r="6" customFormat="false" ht="12.75" hidden="false" customHeight="false" outlineLevel="0" collapsed="false">
      <c r="A6" s="6" t="s">
        <v>61</v>
      </c>
      <c r="B6" s="6" t="n">
        <v>0.332569715350144</v>
      </c>
    </row>
    <row r="7" customFormat="false" ht="12.75" hidden="false" customHeight="false" outlineLevel="0" collapsed="false">
      <c r="A7" s="6" t="s">
        <v>62</v>
      </c>
      <c r="B7" s="6" t="n">
        <v>0.053058898038085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0.0785949966626719</v>
      </c>
      <c r="D12" s="6" t="n">
        <v>0.019648749165668</v>
      </c>
      <c r="E12" s="6" t="n">
        <v>6.97940590348754</v>
      </c>
      <c r="F12" s="6" t="n">
        <v>0.000192813362649151</v>
      </c>
    </row>
    <row r="13" customFormat="false" ht="12.75" hidden="false" customHeight="false" outlineLevel="0" collapsed="false">
      <c r="A13" s="6" t="s">
        <v>71</v>
      </c>
      <c r="B13" s="6" t="n">
        <v>44</v>
      </c>
      <c r="C13" s="6" t="n">
        <v>0.1238708530847</v>
      </c>
      <c r="D13" s="6" t="n">
        <v>0.0028152466610159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-0.044551253036305</v>
      </c>
      <c r="C17" s="6" t="n">
        <v>0.0468036547573701</v>
      </c>
      <c r="D17" s="6" t="n">
        <v>-0.951875516287317</v>
      </c>
      <c r="E17" s="6" t="n">
        <v>0.346360014920569</v>
      </c>
      <c r="F17" s="6" t="n">
        <v>-0.138877817694592</v>
      </c>
      <c r="G17" s="6" t="n">
        <v>0.0497753116219823</v>
      </c>
      <c r="H17" s="6" t="n">
        <v>-0.138877817694592</v>
      </c>
      <c r="I17" s="6" t="n">
        <v>0.0497753116219823</v>
      </c>
    </row>
    <row r="18" customFormat="false" ht="12.75" hidden="false" customHeight="false" outlineLevel="0" collapsed="false">
      <c r="A18" s="6" t="s">
        <v>81</v>
      </c>
      <c r="B18" s="6" t="n">
        <v>-2.69298845343499E-007</v>
      </c>
      <c r="C18" s="6" t="n">
        <v>2.31095990966066E-007</v>
      </c>
      <c r="D18" s="6" t="n">
        <v>-1.16531162750912</v>
      </c>
      <c r="E18" s="6" t="n">
        <v>0.250171527725041</v>
      </c>
      <c r="F18" s="6" t="n">
        <v>-7.35042194813425E-007</v>
      </c>
      <c r="G18" s="6" t="n">
        <v>1.96444504126428E-007</v>
      </c>
      <c r="H18" s="6" t="n">
        <v>-7.35042194813425E-007</v>
      </c>
      <c r="I18" s="6" t="n">
        <v>1.96444504126428E-007</v>
      </c>
    </row>
    <row r="19" customFormat="false" ht="12.75" hidden="false" customHeight="false" outlineLevel="0" collapsed="false">
      <c r="A19" s="6" t="s">
        <v>84</v>
      </c>
      <c r="B19" s="6" t="n">
        <v>5.4824785952913E-009</v>
      </c>
      <c r="C19" s="6" t="n">
        <v>1.44770592811688E-009</v>
      </c>
      <c r="D19" s="6" t="n">
        <v>3.78701122155569</v>
      </c>
      <c r="E19" s="6" t="n">
        <v>0.000458701714413551</v>
      </c>
      <c r="F19" s="6" t="n">
        <v>2.56481911885482E-009</v>
      </c>
      <c r="G19" s="6" t="n">
        <v>8.40013807172778E-009</v>
      </c>
      <c r="H19" s="6" t="n">
        <v>2.56481911885482E-009</v>
      </c>
      <c r="I19" s="6" t="n">
        <v>8.40013807172778E-009</v>
      </c>
    </row>
    <row r="20" customFormat="false" ht="12.75" hidden="false" customHeight="false" outlineLevel="0" collapsed="false">
      <c r="A20" s="6" t="s">
        <v>91</v>
      </c>
      <c r="B20" s="6" t="n">
        <v>0.0813038027422553</v>
      </c>
      <c r="C20" s="6" t="n">
        <v>0.0595694837775775</v>
      </c>
      <c r="D20" s="6" t="n">
        <v>1.36485659412175</v>
      </c>
      <c r="E20" s="6" t="n">
        <v>0.17923727608277</v>
      </c>
      <c r="F20" s="6" t="n">
        <v>-0.0387505988282042</v>
      </c>
      <c r="G20" s="6" t="n">
        <v>0.201358204312715</v>
      </c>
      <c r="H20" s="6" t="n">
        <v>-0.0387505988282042</v>
      </c>
      <c r="I20" s="6" t="n">
        <v>0.201358204312715</v>
      </c>
    </row>
    <row r="21" customFormat="false" ht="13.5" hidden="false" customHeight="false" outlineLevel="0" collapsed="false">
      <c r="A21" s="7" t="s">
        <v>95</v>
      </c>
      <c r="B21" s="7" t="n">
        <v>0.483537708033756</v>
      </c>
      <c r="C21" s="7" t="n">
        <v>0.245991283654134</v>
      </c>
      <c r="D21" s="7" t="n">
        <v>1.96567008737437</v>
      </c>
      <c r="E21" s="7" t="n">
        <v>0.055667483367457</v>
      </c>
      <c r="F21" s="7" t="n">
        <v>-0.0122251302160278</v>
      </c>
      <c r="G21" s="7" t="n">
        <v>0.979300546283539</v>
      </c>
      <c r="H21" s="7" t="n">
        <v>-0.0122251302160278</v>
      </c>
      <c r="I21" s="7" t="n">
        <v>0.979300546283539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92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0.607706236026309</v>
      </c>
    </row>
    <row r="5" customFormat="false" ht="12.75" hidden="false" customHeight="false" outlineLevel="0" collapsed="false">
      <c r="A5" s="6" t="s">
        <v>60</v>
      </c>
      <c r="B5" s="6" t="n">
        <v>0.369306869305264</v>
      </c>
    </row>
    <row r="6" customFormat="false" ht="12.75" hidden="false" customHeight="false" outlineLevel="0" collapsed="false">
      <c r="A6" s="6" t="s">
        <v>61</v>
      </c>
      <c r="B6" s="6" t="n">
        <v>0.327260660592281</v>
      </c>
    </row>
    <row r="7" customFormat="false" ht="12.75" hidden="false" customHeight="false" outlineLevel="0" collapsed="false">
      <c r="A7" s="6" t="s">
        <v>62</v>
      </c>
      <c r="B7" s="6" t="n">
        <v>0.0532695077748654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3</v>
      </c>
      <c r="C12" s="6" t="n">
        <v>0.0747720291114317</v>
      </c>
      <c r="D12" s="6" t="n">
        <v>0.0249240097038106</v>
      </c>
      <c r="E12" s="6" t="n">
        <v>8.7833571827187</v>
      </c>
      <c r="F12" s="6" t="n">
        <v>0.000107224916696001</v>
      </c>
    </row>
    <row r="13" customFormat="false" ht="12.75" hidden="false" customHeight="false" outlineLevel="0" collapsed="false">
      <c r="A13" s="6" t="s">
        <v>71</v>
      </c>
      <c r="B13" s="6" t="n">
        <v>45</v>
      </c>
      <c r="C13" s="6" t="n">
        <v>0.12769382063594</v>
      </c>
      <c r="D13" s="6" t="n">
        <v>0.00283764045857644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-0.0837680240446553</v>
      </c>
      <c r="C17" s="6" t="n">
        <v>0.032656432911898</v>
      </c>
      <c r="D17" s="6" t="n">
        <v>-2.56513086627215</v>
      </c>
      <c r="E17" s="6" t="n">
        <v>0.0137181928610978</v>
      </c>
      <c r="F17" s="6" t="n">
        <v>-0.149541453401347</v>
      </c>
      <c r="G17" s="6" t="n">
        <v>-0.017994594687964</v>
      </c>
      <c r="H17" s="6" t="n">
        <v>-0.149541453401347</v>
      </c>
      <c r="I17" s="6" t="n">
        <v>-0.017994594687964</v>
      </c>
    </row>
    <row r="18" customFormat="false" ht="12.75" hidden="false" customHeight="false" outlineLevel="0" collapsed="false">
      <c r="A18" s="6" t="s">
        <v>84</v>
      </c>
      <c r="B18" s="6" t="n">
        <v>5.23113297608999E-009</v>
      </c>
      <c r="C18" s="6" t="n">
        <v>1.43723059476385E-009</v>
      </c>
      <c r="D18" s="6" t="n">
        <v>3.63973115737181</v>
      </c>
      <c r="E18" s="6" t="n">
        <v>0.000701100702208054</v>
      </c>
      <c r="F18" s="6" t="n">
        <v>2.3364020895597E-009</v>
      </c>
      <c r="G18" s="6" t="n">
        <v>8.12586386262028E-009</v>
      </c>
      <c r="H18" s="6" t="n">
        <v>2.3364020895597E-009</v>
      </c>
      <c r="I18" s="6" t="n">
        <v>8.12586386262028E-009</v>
      </c>
    </row>
    <row r="19" customFormat="false" ht="12.75" hidden="false" customHeight="false" outlineLevel="0" collapsed="false">
      <c r="A19" s="6" t="s">
        <v>91</v>
      </c>
      <c r="B19" s="6" t="n">
        <v>0.115378266967828</v>
      </c>
      <c r="C19" s="6" t="n">
        <v>0.052105023540324</v>
      </c>
      <c r="D19" s="6" t="n">
        <v>2.21434055928478</v>
      </c>
      <c r="E19" s="6" t="n">
        <v>0.0319135227791719</v>
      </c>
      <c r="F19" s="6" t="n">
        <v>0.0104333670087878</v>
      </c>
      <c r="G19" s="6" t="n">
        <v>0.220323166926868</v>
      </c>
      <c r="H19" s="6" t="n">
        <v>0.0104333670087878</v>
      </c>
      <c r="I19" s="6" t="n">
        <v>0.220323166926868</v>
      </c>
    </row>
    <row r="20" customFormat="false" ht="13.5" hidden="false" customHeight="false" outlineLevel="0" collapsed="false">
      <c r="A20" s="7" t="s">
        <v>95</v>
      </c>
      <c r="B20" s="7" t="n">
        <v>0.562694807865493</v>
      </c>
      <c r="C20" s="7" t="n">
        <v>0.237365026093163</v>
      </c>
      <c r="D20" s="7" t="n">
        <v>2.37058852825539</v>
      </c>
      <c r="E20" s="7" t="n">
        <v>0.0221039440382687</v>
      </c>
      <c r="F20" s="7" t="n">
        <v>0.084617125051591</v>
      </c>
      <c r="G20" s="7" t="n">
        <v>1.04077249067939</v>
      </c>
      <c r="H20" s="7" t="n">
        <v>0.084617125051591</v>
      </c>
      <c r="I20" s="7" t="n">
        <v>1.04077249067939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  <c r="C1" s="0" t="s">
        <v>97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0.709053361829555</v>
      </c>
    </row>
    <row r="5" customFormat="false" ht="12.75" hidden="false" customHeight="false" outlineLevel="0" collapsed="false">
      <c r="A5" s="6" t="s">
        <v>60</v>
      </c>
      <c r="B5" s="6" t="n">
        <v>0.502756669921793</v>
      </c>
    </row>
    <row r="6" customFormat="false" ht="12.75" hidden="false" customHeight="false" outlineLevel="0" collapsed="false">
      <c r="A6" s="6" t="s">
        <v>61</v>
      </c>
      <c r="B6" s="6" t="n">
        <v>0.469607114583246</v>
      </c>
    </row>
    <row r="7" customFormat="false" ht="12.75" hidden="false" customHeight="false" outlineLevel="0" collapsed="false">
      <c r="A7" s="6" t="s">
        <v>62</v>
      </c>
      <c r="B7" s="6" t="n">
        <v>34226.2688701827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3</v>
      </c>
      <c r="C12" s="6" t="n">
        <v>53299177093.6988</v>
      </c>
      <c r="D12" s="6" t="n">
        <v>17766392364.5663</v>
      </c>
      <c r="E12" s="6" t="n">
        <v>15.1663171583232</v>
      </c>
      <c r="F12" s="6" t="n">
        <v>5.86182486065888E-007</v>
      </c>
    </row>
    <row r="13" customFormat="false" ht="12.75" hidden="false" customHeight="false" outlineLevel="0" collapsed="false">
      <c r="A13" s="6" t="s">
        <v>71</v>
      </c>
      <c r="B13" s="6" t="n">
        <v>45</v>
      </c>
      <c r="C13" s="6" t="n">
        <v>52714686634.8318</v>
      </c>
      <c r="D13" s="6" t="n">
        <v>1171437480.77404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106013863728.531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145625.470314692</v>
      </c>
      <c r="C17" s="6" t="n">
        <v>20982.1321778964</v>
      </c>
      <c r="D17" s="6" t="n">
        <v>6.94045147938306</v>
      </c>
      <c r="E17" s="6" t="n">
        <v>1.24881407171252E-008</v>
      </c>
      <c r="F17" s="6" t="n">
        <v>103365.288613927</v>
      </c>
      <c r="G17" s="6" t="n">
        <v>187885.652015456</v>
      </c>
      <c r="H17" s="6" t="n">
        <v>103365.288613927</v>
      </c>
      <c r="I17" s="6" t="n">
        <v>187885.652015456</v>
      </c>
    </row>
    <row r="18" customFormat="false" ht="12.75" hidden="false" customHeight="false" outlineLevel="0" collapsed="false">
      <c r="A18" s="6" t="s">
        <v>84</v>
      </c>
      <c r="B18" s="6" t="n">
        <v>0.000933333445528551</v>
      </c>
      <c r="C18" s="6" t="n">
        <v>0.000923437118524499</v>
      </c>
      <c r="D18" s="6" t="n">
        <v>1.01071683908469</v>
      </c>
      <c r="E18" s="6" t="n">
        <v>0.317555905156389</v>
      </c>
      <c r="F18" s="6" t="n">
        <v>-0.000926564304004549</v>
      </c>
      <c r="G18" s="6" t="n">
        <v>0.00279323119506165</v>
      </c>
      <c r="H18" s="6" t="n">
        <v>-0.000926564304004549</v>
      </c>
      <c r="I18" s="6" t="n">
        <v>0.00279323119506165</v>
      </c>
    </row>
    <row r="19" customFormat="false" ht="12.75" hidden="false" customHeight="false" outlineLevel="0" collapsed="false">
      <c r="A19" s="6" t="s">
        <v>91</v>
      </c>
      <c r="B19" s="6" t="n">
        <v>-126530.301985179</v>
      </c>
      <c r="C19" s="6" t="n">
        <v>33478.0744120146</v>
      </c>
      <c r="D19" s="6" t="n">
        <v>-3.77949760275848</v>
      </c>
      <c r="E19" s="6" t="n">
        <v>0.000459801752290754</v>
      </c>
      <c r="F19" s="6" t="n">
        <v>-193958.602200247</v>
      </c>
      <c r="G19" s="6" t="n">
        <v>-59102.0017701108</v>
      </c>
      <c r="H19" s="6" t="n">
        <v>-193958.602200247</v>
      </c>
      <c r="I19" s="6" t="n">
        <v>-59102.0017701108</v>
      </c>
    </row>
    <row r="20" customFormat="false" ht="13.5" hidden="false" customHeight="false" outlineLevel="0" collapsed="false">
      <c r="A20" s="7" t="s">
        <v>95</v>
      </c>
      <c r="B20" s="7" t="n">
        <v>-293937.761711415</v>
      </c>
      <c r="C20" s="7" t="n">
        <v>152509.747936432</v>
      </c>
      <c r="D20" s="7" t="n">
        <v>-1.92733753539434</v>
      </c>
      <c r="E20" s="7" t="n">
        <v>0.0602646217060339</v>
      </c>
      <c r="F20" s="7" t="n">
        <v>-601108.148604743</v>
      </c>
      <c r="G20" s="7" t="n">
        <v>13232.6251819132</v>
      </c>
      <c r="H20" s="7" t="n">
        <v>-601108.148604743</v>
      </c>
      <c r="I20" s="7" t="n">
        <v>13232.6251819132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0.615640337069815</v>
      </c>
    </row>
    <row r="5" customFormat="false" ht="12.75" hidden="false" customHeight="false" outlineLevel="0" collapsed="false">
      <c r="A5" s="6" t="s">
        <v>60</v>
      </c>
      <c r="B5" s="6" t="n">
        <v>0.379013024627435</v>
      </c>
    </row>
    <row r="6" customFormat="false" ht="12.75" hidden="false" customHeight="false" outlineLevel="0" collapsed="false">
      <c r="A6" s="6" t="s">
        <v>61</v>
      </c>
      <c r="B6" s="6" t="n">
        <v>0.32255966322993</v>
      </c>
    </row>
    <row r="7" customFormat="false" ht="12.75" hidden="false" customHeight="false" outlineLevel="0" collapsed="false">
      <c r="A7" s="6" t="s">
        <v>62</v>
      </c>
      <c r="B7" s="6" t="n">
        <v>0.0534553032599234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0.0767371940965152</v>
      </c>
      <c r="D12" s="6" t="n">
        <v>0.0191842985241288</v>
      </c>
      <c r="E12" s="6" t="n">
        <v>6.71373706091096</v>
      </c>
      <c r="F12" s="6" t="n">
        <v>0.000261867743318287</v>
      </c>
    </row>
    <row r="13" customFormat="false" ht="12.75" hidden="false" customHeight="false" outlineLevel="0" collapsed="false">
      <c r="A13" s="6" t="s">
        <v>71</v>
      </c>
      <c r="B13" s="6" t="n">
        <v>44</v>
      </c>
      <c r="C13" s="6" t="n">
        <v>0.125728655650856</v>
      </c>
      <c r="D13" s="6" t="n">
        <v>0.00285746944661037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-0.0730436705501365</v>
      </c>
      <c r="C17" s="6" t="n">
        <v>0.0352296584988876</v>
      </c>
      <c r="D17" s="6" t="n">
        <v>-2.07335732625517</v>
      </c>
      <c r="E17" s="6" t="n">
        <v>0.0440255310940753</v>
      </c>
      <c r="F17" s="6" t="n">
        <v>-0.144044379309134</v>
      </c>
      <c r="G17" s="6" t="n">
        <v>-0.00204296179113896</v>
      </c>
      <c r="H17" s="6" t="n">
        <v>-0.144044379309134</v>
      </c>
      <c r="I17" s="6" t="n">
        <v>-0.00204296179113896</v>
      </c>
    </row>
    <row r="18" customFormat="false" ht="12.75" hidden="false" customHeight="false" outlineLevel="0" collapsed="false">
      <c r="A18" s="6" t="s">
        <v>84</v>
      </c>
      <c r="B18" s="6" t="n">
        <v>4.34737846519572E-009</v>
      </c>
      <c r="C18" s="6" t="n">
        <v>1.79324277516819E-009</v>
      </c>
      <c r="D18" s="6" t="n">
        <v>2.42431115596602</v>
      </c>
      <c r="E18" s="6" t="n">
        <v>0.0195138244228643</v>
      </c>
      <c r="F18" s="6" t="n">
        <v>7.33335257314115E-010</v>
      </c>
      <c r="G18" s="6" t="n">
        <v>7.96142167307733E-009</v>
      </c>
      <c r="H18" s="6" t="n">
        <v>7.33335257314115E-010</v>
      </c>
      <c r="I18" s="6" t="n">
        <v>7.96142167307733E-009</v>
      </c>
    </row>
    <row r="19" customFormat="false" ht="12.75" hidden="false" customHeight="false" outlineLevel="0" collapsed="false">
      <c r="A19" s="6" t="s">
        <v>91</v>
      </c>
      <c r="B19" s="6" t="n">
        <v>0.0940893278606712</v>
      </c>
      <c r="C19" s="6" t="n">
        <v>0.0582487159002705</v>
      </c>
      <c r="D19" s="6" t="n">
        <v>1.61530303984322</v>
      </c>
      <c r="E19" s="6" t="n">
        <v>0.113394113076631</v>
      </c>
      <c r="F19" s="6" t="n">
        <v>-0.0233032410554106</v>
      </c>
      <c r="G19" s="6" t="n">
        <v>0.211481896776753</v>
      </c>
      <c r="H19" s="6" t="n">
        <v>-0.0233032410554106</v>
      </c>
      <c r="I19" s="6" t="n">
        <v>0.211481896776753</v>
      </c>
    </row>
    <row r="20" customFormat="false" ht="12.75" hidden="false" customHeight="false" outlineLevel="0" collapsed="false">
      <c r="A20" s="6" t="s">
        <v>95</v>
      </c>
      <c r="B20" s="6" t="n">
        <v>0.57005612953681</v>
      </c>
      <c r="C20" s="6" t="n">
        <v>0.238358259716974</v>
      </c>
      <c r="D20" s="6" t="n">
        <v>2.3915937723899</v>
      </c>
      <c r="E20" s="6" t="n">
        <v>0.0211159657813246</v>
      </c>
      <c r="F20" s="6" t="n">
        <v>0.0896766396532864</v>
      </c>
      <c r="G20" s="6" t="n">
        <v>1.05043561942033</v>
      </c>
      <c r="H20" s="6" t="n">
        <v>0.0896766396532864</v>
      </c>
      <c r="I20" s="6" t="n">
        <v>1.05043561942033</v>
      </c>
    </row>
    <row r="21" customFormat="false" ht="13.5" hidden="false" customHeight="false" outlineLevel="0" collapsed="false">
      <c r="A21" s="7" t="s">
        <v>98</v>
      </c>
      <c r="B21" s="7" t="n">
        <v>0.0874777072497076</v>
      </c>
      <c r="C21" s="7" t="n">
        <v>0.105484507829823</v>
      </c>
      <c r="D21" s="7" t="n">
        <v>0.829294358474276</v>
      </c>
      <c r="E21" s="7" t="n">
        <v>0.411414383454822</v>
      </c>
      <c r="F21" s="7" t="n">
        <v>-0.125112341536826</v>
      </c>
      <c r="G21" s="7" t="n">
        <v>0.300067756036241</v>
      </c>
      <c r="H21" s="7" t="n">
        <v>-0.125112341536826</v>
      </c>
      <c r="I21" s="7" t="n">
        <v>0.300067756036241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8.85"/>
  </cols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0.66672354166605</v>
      </c>
    </row>
    <row r="5" customFormat="false" ht="12.75" hidden="false" customHeight="false" outlineLevel="0" collapsed="false">
      <c r="A5" s="6" t="s">
        <v>60</v>
      </c>
      <c r="B5" s="6" t="n">
        <v>0.444520281011721</v>
      </c>
    </row>
    <row r="6" customFormat="false" ht="12.75" hidden="false" customHeight="false" outlineLevel="0" collapsed="false">
      <c r="A6" s="6" t="s">
        <v>61</v>
      </c>
      <c r="B6" s="6" t="n">
        <v>0.394022124740059</v>
      </c>
    </row>
    <row r="7" customFormat="false" ht="12.75" hidden="false" customHeight="false" outlineLevel="0" collapsed="false">
      <c r="A7" s="6" t="s">
        <v>62</v>
      </c>
      <c r="B7" s="6" t="n">
        <v>0.0505572747490842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0.0900001764249785</v>
      </c>
      <c r="D12" s="6" t="n">
        <v>0.0225000441062446</v>
      </c>
      <c r="E12" s="6" t="n">
        <v>8.80270318425812</v>
      </c>
      <c r="F12" s="6" t="n">
        <v>2.60193836889944E-005</v>
      </c>
    </row>
    <row r="13" customFormat="false" ht="12.75" hidden="false" customHeight="false" outlineLevel="0" collapsed="false">
      <c r="A13" s="6" t="s">
        <v>71</v>
      </c>
      <c r="B13" s="6" t="n">
        <v>44</v>
      </c>
      <c r="C13" s="6" t="n">
        <v>0.112465673322393</v>
      </c>
      <c r="D13" s="6" t="n">
        <v>0.00255603803005439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-0.0793481321660865</v>
      </c>
      <c r="C17" s="6" t="n">
        <v>0.0309491241041662</v>
      </c>
      <c r="D17" s="6" t="n">
        <v>-2.56382480806315</v>
      </c>
      <c r="E17" s="6" t="n">
        <v>0.0138449729716</v>
      </c>
      <c r="F17" s="6" t="n">
        <v>-0.141721991025245</v>
      </c>
      <c r="G17" s="6" t="n">
        <v>-0.0169742733069279</v>
      </c>
      <c r="H17" s="6" t="n">
        <v>-0.141721991025245</v>
      </c>
      <c r="I17" s="6" t="n">
        <v>-0.0169742733069279</v>
      </c>
    </row>
    <row r="18" customFormat="false" ht="12.75" hidden="false" customHeight="false" outlineLevel="0" collapsed="false">
      <c r="A18" s="6" t="s">
        <v>84</v>
      </c>
      <c r="B18" s="6" t="n">
        <v>5.38368847965538E-009</v>
      </c>
      <c r="C18" s="6" t="n">
        <v>1.36541385909291E-009</v>
      </c>
      <c r="D18" s="6" t="n">
        <v>3.94289866314374</v>
      </c>
      <c r="E18" s="6" t="n">
        <v>0.000285022171851574</v>
      </c>
      <c r="F18" s="6" t="n">
        <v>2.63187776460074E-009</v>
      </c>
      <c r="G18" s="6" t="n">
        <v>8.13549919471002E-009</v>
      </c>
      <c r="H18" s="6" t="n">
        <v>2.63187776460074E-009</v>
      </c>
      <c r="I18" s="6" t="n">
        <v>8.13549919471002E-009</v>
      </c>
    </row>
    <row r="19" customFormat="false" ht="12.75" hidden="false" customHeight="false" outlineLevel="0" collapsed="false">
      <c r="A19" s="6" t="s">
        <v>99</v>
      </c>
      <c r="B19" s="6" t="n">
        <v>0.0734141215973679</v>
      </c>
      <c r="C19" s="6" t="n">
        <v>0.0521013203876414</v>
      </c>
      <c r="D19" s="6" t="n">
        <v>1.4090645122073</v>
      </c>
      <c r="E19" s="6" t="n">
        <v>0.165844501973556</v>
      </c>
      <c r="F19" s="6" t="n">
        <v>-0.0315891861956653</v>
      </c>
      <c r="G19" s="6" t="n">
        <v>0.178417429390401</v>
      </c>
      <c r="H19" s="6" t="n">
        <v>-0.0315891861956653</v>
      </c>
      <c r="I19" s="6" t="n">
        <v>0.178417429390401</v>
      </c>
    </row>
    <row r="20" customFormat="false" ht="12.75" hidden="false" customHeight="false" outlineLevel="0" collapsed="false">
      <c r="A20" s="6" t="s">
        <v>100</v>
      </c>
      <c r="B20" s="6" t="n">
        <v>1.05526744415544</v>
      </c>
      <c r="C20" s="6" t="n">
        <v>0.458520863995389</v>
      </c>
      <c r="D20" s="6" t="n">
        <v>2.30146003599533</v>
      </c>
      <c r="E20" s="6" t="n">
        <v>0.0261599213063799</v>
      </c>
      <c r="F20" s="6" t="n">
        <v>0.131179396992323</v>
      </c>
      <c r="G20" s="6" t="n">
        <v>1.97935549131856</v>
      </c>
      <c r="H20" s="6" t="n">
        <v>0.131179396992323</v>
      </c>
      <c r="I20" s="6" t="n">
        <v>1.97935549131856</v>
      </c>
    </row>
    <row r="21" customFormat="false" ht="13.5" hidden="false" customHeight="false" outlineLevel="0" collapsed="false">
      <c r="A21" s="7" t="s">
        <v>101</v>
      </c>
      <c r="B21" s="7" t="n">
        <v>0.125681223641648</v>
      </c>
      <c r="C21" s="7" t="n">
        <v>0.294463599221986</v>
      </c>
      <c r="D21" s="7" t="n">
        <v>0.42681412566346</v>
      </c>
      <c r="E21" s="7" t="n">
        <v>0.671595951249904</v>
      </c>
      <c r="F21" s="7" t="n">
        <v>-0.467771144031645</v>
      </c>
      <c r="G21" s="7" t="n">
        <v>0.719133591314941</v>
      </c>
      <c r="H21" s="7" t="n">
        <v>-0.467771144031645</v>
      </c>
      <c r="I21" s="7" t="n">
        <v>0.719133591314941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0.644880228013215</v>
      </c>
    </row>
    <row r="5" customFormat="false" ht="12.75" hidden="false" customHeight="false" outlineLevel="0" collapsed="false">
      <c r="A5" s="6" t="s">
        <v>60</v>
      </c>
      <c r="B5" s="6" t="n">
        <v>0.415870508482376</v>
      </c>
    </row>
    <row r="6" customFormat="false" ht="12.75" hidden="false" customHeight="false" outlineLevel="0" collapsed="false">
      <c r="A6" s="6" t="s">
        <v>61</v>
      </c>
      <c r="B6" s="6" t="n">
        <v>0.390473574068566</v>
      </c>
    </row>
    <row r="7" customFormat="false" ht="12.75" hidden="false" customHeight="false" outlineLevel="0" collapsed="false">
      <c r="A7" s="6" t="s">
        <v>62</v>
      </c>
      <c r="B7" s="6" t="n">
        <v>0.0507050880438554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2</v>
      </c>
      <c r="C12" s="6" t="n">
        <v>0.0841995758847557</v>
      </c>
      <c r="D12" s="6" t="n">
        <v>0.0420997879423779</v>
      </c>
      <c r="E12" s="6" t="n">
        <v>16.374830981815</v>
      </c>
      <c r="F12" s="6" t="n">
        <v>4.26294833503974E-006</v>
      </c>
    </row>
    <row r="13" customFormat="false" ht="12.75" hidden="false" customHeight="false" outlineLevel="0" collapsed="false">
      <c r="A13" s="6" t="s">
        <v>71</v>
      </c>
      <c r="B13" s="6" t="n">
        <v>46</v>
      </c>
      <c r="C13" s="6" t="n">
        <v>0.118266273862616</v>
      </c>
      <c r="D13" s="6" t="n">
        <v>0.00257100595353513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-0.0413683674513146</v>
      </c>
      <c r="C17" s="6" t="n">
        <v>0.015831209827197</v>
      </c>
      <c r="D17" s="6" t="n">
        <v>-2.61308945449301</v>
      </c>
      <c r="E17" s="6" t="n">
        <v>0.012083475426782</v>
      </c>
      <c r="F17" s="6" t="n">
        <v>-0.0732349095636737</v>
      </c>
      <c r="G17" s="6" t="n">
        <v>-0.00950182533895554</v>
      </c>
      <c r="H17" s="6" t="n">
        <v>-0.0732349095636737</v>
      </c>
      <c r="I17" s="6" t="n">
        <v>-0.00950182533895554</v>
      </c>
    </row>
    <row r="18" customFormat="false" ht="12.75" hidden="false" customHeight="false" outlineLevel="0" collapsed="false">
      <c r="A18" s="6" t="s">
        <v>84</v>
      </c>
      <c r="B18" s="6" t="n">
        <v>4.81382069721029E-009</v>
      </c>
      <c r="C18" s="6" t="n">
        <v>1.31304562192009E-009</v>
      </c>
      <c r="D18" s="6" t="n">
        <v>3.66614885031257</v>
      </c>
      <c r="E18" s="6" t="n">
        <v>0.000636264588562985</v>
      </c>
      <c r="F18" s="6" t="n">
        <v>2.17079947122142E-009</v>
      </c>
      <c r="G18" s="6" t="n">
        <v>7.45684192319917E-009</v>
      </c>
      <c r="H18" s="6" t="n">
        <v>2.17079947122142E-009</v>
      </c>
      <c r="I18" s="6" t="n">
        <v>7.45684192319917E-009</v>
      </c>
    </row>
    <row r="19" customFormat="false" ht="13.5" hidden="false" customHeight="false" outlineLevel="0" collapsed="false">
      <c r="A19" s="7" t="s">
        <v>100</v>
      </c>
      <c r="B19" s="7" t="n">
        <v>1.46736082091485</v>
      </c>
      <c r="C19" s="7" t="n">
        <v>0.281820919699842</v>
      </c>
      <c r="D19" s="7" t="n">
        <v>5.20671361969043</v>
      </c>
      <c r="E19" s="7" t="n">
        <v>4.37902200368175E-006</v>
      </c>
      <c r="F19" s="7" t="n">
        <v>0.900085274460368</v>
      </c>
      <c r="G19" s="7" t="n">
        <v>2.03463636736934</v>
      </c>
      <c r="H19" s="7" t="n">
        <v>0.900085274460368</v>
      </c>
      <c r="I19" s="7" t="n">
        <v>2.03463636736934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0.619693745793177</v>
      </c>
    </row>
    <row r="5" customFormat="false" ht="12.75" hidden="false" customHeight="false" outlineLevel="0" collapsed="false">
      <c r="A5" s="6" t="s">
        <v>60</v>
      </c>
      <c r="B5" s="6" t="n">
        <v>0.384020338575179</v>
      </c>
    </row>
    <row r="6" customFormat="false" ht="12.75" hidden="false" customHeight="false" outlineLevel="0" collapsed="false">
      <c r="A6" s="6" t="s">
        <v>61</v>
      </c>
      <c r="B6" s="6" t="n">
        <v>0.357238614165404</v>
      </c>
    </row>
    <row r="7" customFormat="false" ht="12.75" hidden="false" customHeight="false" outlineLevel="0" collapsed="false">
      <c r="A7" s="6" t="s">
        <v>62</v>
      </c>
      <c r="B7" s="6" t="n">
        <v>0.0520691107583229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2</v>
      </c>
      <c r="C12" s="6" t="n">
        <v>0.077751004169897</v>
      </c>
      <c r="D12" s="6" t="n">
        <v>0.0388755020849485</v>
      </c>
      <c r="E12" s="6" t="n">
        <v>14.3388951622181</v>
      </c>
      <c r="F12" s="6" t="n">
        <v>1.44552821619259E-005</v>
      </c>
    </row>
    <row r="13" customFormat="false" ht="12.75" hidden="false" customHeight="false" outlineLevel="0" collapsed="false">
      <c r="A13" s="6" t="s">
        <v>71</v>
      </c>
      <c r="B13" s="6" t="n">
        <v>46</v>
      </c>
      <c r="C13" s="6" t="n">
        <v>0.124714845577475</v>
      </c>
      <c r="D13" s="6" t="n">
        <v>0.00271119229516249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-0.010652987700689</v>
      </c>
      <c r="C17" s="6" t="n">
        <v>0.0128812783780907</v>
      </c>
      <c r="D17" s="6" t="n">
        <v>-0.827013234867141</v>
      </c>
      <c r="E17" s="6" t="n">
        <v>0.412499144757258</v>
      </c>
      <c r="F17" s="6" t="n">
        <v>-0.0365816314605151</v>
      </c>
      <c r="G17" s="6" t="n">
        <v>0.0152756560591371</v>
      </c>
      <c r="H17" s="6" t="n">
        <v>-0.0365816314605151</v>
      </c>
      <c r="I17" s="6" t="n">
        <v>0.0152756560591371</v>
      </c>
    </row>
    <row r="18" customFormat="false" ht="12.75" hidden="false" customHeight="false" outlineLevel="0" collapsed="false">
      <c r="A18" s="6" t="s">
        <v>102</v>
      </c>
      <c r="B18" s="6" t="n">
        <v>0.000110103130165634</v>
      </c>
      <c r="C18" s="6" t="n">
        <v>3.41955340769415E-005</v>
      </c>
      <c r="D18" s="6" t="n">
        <v>3.21981022194001</v>
      </c>
      <c r="E18" s="6" t="n">
        <v>0.00235501257580913</v>
      </c>
      <c r="F18" s="6" t="n">
        <v>4.12711559443435E-005</v>
      </c>
      <c r="G18" s="6" t="n">
        <v>0.000178935104386925</v>
      </c>
      <c r="H18" s="6" t="n">
        <v>4.12711559443435E-005</v>
      </c>
      <c r="I18" s="6" t="n">
        <v>0.000178935104386925</v>
      </c>
    </row>
    <row r="19" customFormat="false" ht="13.5" hidden="false" customHeight="false" outlineLevel="0" collapsed="false">
      <c r="A19" s="7" t="s">
        <v>100</v>
      </c>
      <c r="B19" s="7" t="n">
        <v>0.81456094012103</v>
      </c>
      <c r="C19" s="7" t="n">
        <v>0.303019996729679</v>
      </c>
      <c r="D19" s="7" t="n">
        <v>2.68814252825595</v>
      </c>
      <c r="E19" s="7" t="n">
        <v>0.00997090953497943</v>
      </c>
      <c r="F19" s="7" t="n">
        <v>0.204613905619314</v>
      </c>
      <c r="G19" s="7" t="n">
        <v>1.42450797462275</v>
      </c>
      <c r="H19" s="7" t="n">
        <v>0.204613905619314</v>
      </c>
      <c r="I19" s="7" t="n">
        <v>1.42450797462275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0.693211905137287</v>
      </c>
    </row>
    <row r="5" customFormat="false" ht="12.75" hidden="false" customHeight="false" outlineLevel="0" collapsed="false">
      <c r="A5" s="6" t="s">
        <v>60</v>
      </c>
      <c r="B5" s="6" t="n">
        <v>0.480542745424066</v>
      </c>
    </row>
    <row r="6" customFormat="false" ht="12.75" hidden="false" customHeight="false" outlineLevel="0" collapsed="false">
      <c r="A6" s="6" t="s">
        <v>61</v>
      </c>
      <c r="B6" s="6" t="n">
        <v>0.445912261785671</v>
      </c>
    </row>
    <row r="7" customFormat="false" ht="12.75" hidden="false" customHeight="false" outlineLevel="0" collapsed="false">
      <c r="A7" s="6" t="s">
        <v>62</v>
      </c>
      <c r="B7" s="6" t="n">
        <v>0.0483442181893216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3</v>
      </c>
      <c r="C12" s="6" t="n">
        <v>0.0972934952922185</v>
      </c>
      <c r="D12" s="6" t="n">
        <v>0.0324311650974062</v>
      </c>
      <c r="E12" s="6" t="n">
        <v>13.8762932230978</v>
      </c>
      <c r="F12" s="6" t="n">
        <v>1.53492948362807E-006</v>
      </c>
    </row>
    <row r="13" customFormat="false" ht="12.75" hidden="false" customHeight="false" outlineLevel="0" collapsed="false">
      <c r="A13" s="6" t="s">
        <v>71</v>
      </c>
      <c r="B13" s="6" t="n">
        <v>45</v>
      </c>
      <c r="C13" s="6" t="n">
        <v>0.105172354455153</v>
      </c>
      <c r="D13" s="6" t="n">
        <v>0.00233716343233674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-0.0376626522915659</v>
      </c>
      <c r="C17" s="6" t="n">
        <v>0.0151750731539162</v>
      </c>
      <c r="D17" s="6" t="n">
        <v>-2.48187616030348</v>
      </c>
      <c r="E17" s="6" t="n">
        <v>0.0168690969979771</v>
      </c>
      <c r="F17" s="6" t="n">
        <v>-0.0682268172377035</v>
      </c>
      <c r="G17" s="6" t="n">
        <v>-0.00709848734542823</v>
      </c>
      <c r="H17" s="6" t="n">
        <v>-0.0682268172377035</v>
      </c>
      <c r="I17" s="6" t="n">
        <v>-0.00709848734542823</v>
      </c>
    </row>
    <row r="18" customFormat="false" ht="12.75" hidden="false" customHeight="false" outlineLevel="0" collapsed="false">
      <c r="A18" s="6" t="s">
        <v>102</v>
      </c>
      <c r="B18" s="6" t="n">
        <v>7.92732040595098E-005</v>
      </c>
      <c r="C18" s="6" t="n">
        <v>3.34916174078936E-005</v>
      </c>
      <c r="D18" s="6" t="n">
        <v>2.3669565758513</v>
      </c>
      <c r="E18" s="6" t="n">
        <v>0.0222970994110301</v>
      </c>
      <c r="F18" s="6" t="n">
        <v>1.18176268517236E-005</v>
      </c>
      <c r="G18" s="6" t="n">
        <v>0.000146728781267296</v>
      </c>
      <c r="H18" s="6" t="n">
        <v>1.18176268517236E-005</v>
      </c>
      <c r="I18" s="6" t="n">
        <v>0.000146728781267296</v>
      </c>
    </row>
    <row r="19" customFormat="false" ht="12.75" hidden="false" customHeight="false" outlineLevel="0" collapsed="false">
      <c r="A19" s="6" t="s">
        <v>84</v>
      </c>
      <c r="B19" s="6" t="n">
        <v>3.81874436104121E-009</v>
      </c>
      <c r="C19" s="6" t="n">
        <v>1.32061177704887E-009</v>
      </c>
      <c r="D19" s="6" t="n">
        <v>2.89164796756156</v>
      </c>
      <c r="E19" s="6" t="n">
        <v>0.00588299402489213</v>
      </c>
      <c r="F19" s="6" t="n">
        <v>1.15889582033634E-009</v>
      </c>
      <c r="G19" s="6" t="n">
        <v>6.47859290174608E-009</v>
      </c>
      <c r="H19" s="6" t="n">
        <v>1.15889582033634E-009</v>
      </c>
      <c r="I19" s="6" t="n">
        <v>6.47859290174608E-009</v>
      </c>
    </row>
    <row r="20" customFormat="false" ht="13.5" hidden="false" customHeight="false" outlineLevel="0" collapsed="false">
      <c r="A20" s="7" t="s">
        <v>100</v>
      </c>
      <c r="B20" s="7" t="n">
        <v>1.13747178437056</v>
      </c>
      <c r="C20" s="7" t="n">
        <v>0.302694483573972</v>
      </c>
      <c r="D20" s="7" t="n">
        <v>3.75782132181668</v>
      </c>
      <c r="E20" s="7" t="n">
        <v>0.000491105681680211</v>
      </c>
      <c r="F20" s="7" t="n">
        <v>0.527813825532102</v>
      </c>
      <c r="G20" s="7" t="n">
        <v>1.74712974320902</v>
      </c>
      <c r="H20" s="7" t="n">
        <v>0.527813825532102</v>
      </c>
      <c r="I20" s="7" t="n">
        <v>1.74712974320902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4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0.694158295978623</v>
      </c>
    </row>
    <row r="5" customFormat="false" ht="12.75" hidden="false" customHeight="false" outlineLevel="0" collapsed="false">
      <c r="A5" s="6" t="s">
        <v>60</v>
      </c>
      <c r="B5" s="6" t="n">
        <v>0.481855739875946</v>
      </c>
    </row>
    <row r="6" customFormat="false" ht="12.75" hidden="false" customHeight="false" outlineLevel="0" collapsed="false">
      <c r="A6" s="6" t="s">
        <v>61</v>
      </c>
      <c r="B6" s="6" t="n">
        <v>0.434751716228305</v>
      </c>
    </row>
    <row r="7" customFormat="false" ht="12.75" hidden="false" customHeight="false" outlineLevel="0" collapsed="false">
      <c r="A7" s="6" t="s">
        <v>62</v>
      </c>
      <c r="B7" s="6" t="n">
        <v>0.0488286703032654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0.0975593318296319</v>
      </c>
      <c r="D12" s="6" t="n">
        <v>0.024389832957408</v>
      </c>
      <c r="E12" s="6" t="n">
        <v>10.2296089073078</v>
      </c>
      <c r="F12" s="6" t="n">
        <v>6.059044421299E-006</v>
      </c>
    </row>
    <row r="13" customFormat="false" ht="12.75" hidden="false" customHeight="false" outlineLevel="0" collapsed="false">
      <c r="A13" s="6" t="s">
        <v>71</v>
      </c>
      <c r="B13" s="6" t="n">
        <v>44</v>
      </c>
      <c r="C13" s="6" t="n">
        <v>0.10490651791774</v>
      </c>
      <c r="D13" s="6" t="n">
        <v>0.00238423904358499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-0.0479975909512578</v>
      </c>
      <c r="C17" s="6" t="n">
        <v>0.0345382265126017</v>
      </c>
      <c r="D17" s="6" t="n">
        <v>-1.38969471793073</v>
      </c>
      <c r="E17" s="6" t="n">
        <v>0.171613606248164</v>
      </c>
      <c r="F17" s="6" t="n">
        <v>-0.117604810156944</v>
      </c>
      <c r="G17" s="6" t="n">
        <v>0.0216096282544279</v>
      </c>
      <c r="H17" s="6" t="n">
        <v>-0.117604810156944</v>
      </c>
      <c r="I17" s="6" t="n">
        <v>0.0216096282544279</v>
      </c>
    </row>
    <row r="18" customFormat="false" ht="12.75" hidden="false" customHeight="false" outlineLevel="0" collapsed="false">
      <c r="A18" s="6" t="s">
        <v>102</v>
      </c>
      <c r="B18" s="6" t="n">
        <v>7.24639597491965E-005</v>
      </c>
      <c r="C18" s="6" t="n">
        <v>3.94984571737512E-005</v>
      </c>
      <c r="D18" s="6" t="n">
        <v>1.8346022840951</v>
      </c>
      <c r="E18" s="6" t="n">
        <v>0.0733315655914434</v>
      </c>
      <c r="F18" s="6" t="n">
        <v>-7.13994712125461E-006</v>
      </c>
      <c r="G18" s="6" t="n">
        <v>0.000152067866619648</v>
      </c>
      <c r="H18" s="6" t="n">
        <v>-7.13994712125461E-006</v>
      </c>
      <c r="I18" s="6" t="n">
        <v>0.000152067866619648</v>
      </c>
    </row>
    <row r="19" customFormat="false" ht="12.75" hidden="false" customHeight="false" outlineLevel="0" collapsed="false">
      <c r="A19" s="6" t="s">
        <v>84</v>
      </c>
      <c r="B19" s="6" t="n">
        <v>4.04988362795647E-009</v>
      </c>
      <c r="C19" s="6" t="n">
        <v>1.5027661205776E-009</v>
      </c>
      <c r="D19" s="6" t="n">
        <v>2.69495270920791</v>
      </c>
      <c r="E19" s="6" t="n">
        <v>0.00993157416096826</v>
      </c>
      <c r="F19" s="6" t="n">
        <v>1.02125762911553E-009</v>
      </c>
      <c r="G19" s="6" t="n">
        <v>7.07850962679741E-009</v>
      </c>
      <c r="H19" s="6" t="n">
        <v>1.02125762911553E-009</v>
      </c>
      <c r="I19" s="6" t="n">
        <v>7.07850962679741E-009</v>
      </c>
    </row>
    <row r="20" customFormat="false" ht="12.75" hidden="false" customHeight="false" outlineLevel="0" collapsed="false">
      <c r="A20" s="6" t="s">
        <v>100</v>
      </c>
      <c r="B20" s="6" t="n">
        <v>1.09236715474843</v>
      </c>
      <c r="C20" s="6" t="n">
        <v>0.334239234049718</v>
      </c>
      <c r="D20" s="6" t="n">
        <v>3.26821941731096</v>
      </c>
      <c r="E20" s="6" t="n">
        <v>0.00210401480633732</v>
      </c>
      <c r="F20" s="6" t="n">
        <v>0.418752265369253</v>
      </c>
      <c r="G20" s="6" t="n">
        <v>1.76598204412761</v>
      </c>
      <c r="H20" s="6" t="n">
        <v>0.418752265369253</v>
      </c>
      <c r="I20" s="6" t="n">
        <v>1.76598204412761</v>
      </c>
    </row>
    <row r="21" customFormat="false" ht="13.5" hidden="false" customHeight="false" outlineLevel="0" collapsed="false">
      <c r="A21" s="7" t="s">
        <v>99</v>
      </c>
      <c r="B21" s="7" t="n">
        <v>0.0195653366817528</v>
      </c>
      <c r="C21" s="7" t="n">
        <v>0.0585942348885238</v>
      </c>
      <c r="D21" s="7" t="n">
        <v>0.333912316100313</v>
      </c>
      <c r="E21" s="7" t="n">
        <v>0.74003199161777</v>
      </c>
      <c r="F21" s="7" t="n">
        <v>-0.098523579973733</v>
      </c>
      <c r="G21" s="7" t="n">
        <v>0.137654253337239</v>
      </c>
      <c r="H21" s="7" t="n">
        <v>-0.098523579973733</v>
      </c>
      <c r="I21" s="7" t="n">
        <v>0.137654253337239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0.693399611115203</v>
      </c>
    </row>
    <row r="5" customFormat="false" ht="12.75" hidden="false" customHeight="false" outlineLevel="0" collapsed="false">
      <c r="A5" s="6" t="s">
        <v>60</v>
      </c>
      <c r="B5" s="6" t="n">
        <v>0.480803020694714</v>
      </c>
    </row>
    <row r="6" customFormat="false" ht="12.75" hidden="false" customHeight="false" outlineLevel="0" collapsed="false">
      <c r="A6" s="6" t="s">
        <v>61</v>
      </c>
      <c r="B6" s="6" t="n">
        <v>0.433603295303325</v>
      </c>
    </row>
    <row r="7" customFormat="false" ht="12.75" hidden="false" customHeight="false" outlineLevel="0" collapsed="false">
      <c r="A7" s="6" t="s">
        <v>62</v>
      </c>
      <c r="B7" s="6" t="n">
        <v>0.048878247997474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0.0973461921460584</v>
      </c>
      <c r="D12" s="6" t="n">
        <v>0.0243365480365146</v>
      </c>
      <c r="E12" s="6" t="n">
        <v>10.1865639409509</v>
      </c>
      <c r="F12" s="6" t="n">
        <v>6.32307727250572E-006</v>
      </c>
    </row>
    <row r="13" customFormat="false" ht="12.75" hidden="false" customHeight="false" outlineLevel="0" collapsed="false">
      <c r="A13" s="6" t="s">
        <v>71</v>
      </c>
      <c r="B13" s="6" t="n">
        <v>44</v>
      </c>
      <c r="C13" s="6" t="n">
        <v>0.105119657601313</v>
      </c>
      <c r="D13" s="6" t="n">
        <v>0.00238908312730257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-0.037451131629405</v>
      </c>
      <c r="C17" s="6" t="n">
        <v>0.0154086642329749</v>
      </c>
      <c r="D17" s="6" t="n">
        <v>-2.43052422086391</v>
      </c>
      <c r="E17" s="6" t="n">
        <v>0.0192222823486747</v>
      </c>
      <c r="F17" s="6" t="n">
        <v>-0.0685052527360623</v>
      </c>
      <c r="G17" s="6" t="n">
        <v>-0.0063970105227477</v>
      </c>
      <c r="H17" s="6" t="n">
        <v>-0.0685052527360623</v>
      </c>
      <c r="I17" s="6" t="n">
        <v>-0.0063970105227477</v>
      </c>
    </row>
    <row r="18" customFormat="false" ht="12.75" hidden="false" customHeight="false" outlineLevel="0" collapsed="false">
      <c r="A18" s="6" t="s">
        <v>102</v>
      </c>
      <c r="B18" s="6" t="n">
        <v>8.08317094475884E-005</v>
      </c>
      <c r="C18" s="6" t="n">
        <v>3.54503285428537E-005</v>
      </c>
      <c r="D18" s="6" t="n">
        <v>2.28013992451088</v>
      </c>
      <c r="E18" s="6" t="n">
        <v>0.0275004641666066</v>
      </c>
      <c r="F18" s="6" t="n">
        <v>9.38626945385674E-006</v>
      </c>
      <c r="G18" s="6" t="n">
        <v>0.00015227714944132</v>
      </c>
      <c r="H18" s="6" t="n">
        <v>9.38626945385674E-006</v>
      </c>
      <c r="I18" s="6" t="n">
        <v>0.00015227714944132</v>
      </c>
    </row>
    <row r="19" customFormat="false" ht="12.75" hidden="false" customHeight="false" outlineLevel="0" collapsed="false">
      <c r="A19" s="6" t="s">
        <v>84</v>
      </c>
      <c r="B19" s="6" t="n">
        <v>3.79100092635157E-009</v>
      </c>
      <c r="C19" s="6" t="n">
        <v>1.34820391076183E-009</v>
      </c>
      <c r="D19" s="6" t="n">
        <v>2.8118898751817</v>
      </c>
      <c r="E19" s="6" t="n">
        <v>0.00732960234944106</v>
      </c>
      <c r="F19" s="6" t="n">
        <v>1.07387458183237E-009</v>
      </c>
      <c r="G19" s="6" t="n">
        <v>6.50812727087076E-009</v>
      </c>
      <c r="H19" s="6" t="n">
        <v>1.07387458183237E-009</v>
      </c>
      <c r="I19" s="6" t="n">
        <v>6.50812727087076E-009</v>
      </c>
    </row>
    <row r="20" customFormat="false" ht="12.75" hidden="false" customHeight="false" outlineLevel="0" collapsed="false">
      <c r="A20" s="6" t="s">
        <v>100</v>
      </c>
      <c r="B20" s="6" t="n">
        <v>1.17893704915644</v>
      </c>
      <c r="C20" s="6" t="n">
        <v>0.414257459470069</v>
      </c>
      <c r="D20" s="6" t="n">
        <v>2.84590421296112</v>
      </c>
      <c r="E20" s="6" t="n">
        <v>0.00670102599595544</v>
      </c>
      <c r="F20" s="6" t="n">
        <v>0.344056028893207</v>
      </c>
      <c r="G20" s="6" t="n">
        <v>2.01381806941967</v>
      </c>
      <c r="H20" s="6" t="n">
        <v>0.344056028893207</v>
      </c>
      <c r="I20" s="6" t="n">
        <v>2.01381806941967</v>
      </c>
    </row>
    <row r="21" customFormat="false" ht="13.5" hidden="false" customHeight="false" outlineLevel="0" collapsed="false">
      <c r="A21" s="7" t="s">
        <v>101</v>
      </c>
      <c r="B21" s="7" t="n">
        <v>-0.0441422655981356</v>
      </c>
      <c r="C21" s="7" t="n">
        <v>0.297219915546222</v>
      </c>
      <c r="D21" s="7" t="n">
        <v>-0.148517186397191</v>
      </c>
      <c r="E21" s="7" t="n">
        <v>0.882613202972671</v>
      </c>
      <c r="F21" s="7" t="n">
        <v>-0.643149623609779</v>
      </c>
      <c r="G21" s="7" t="n">
        <v>0.554865092413508</v>
      </c>
      <c r="H21" s="7" t="n">
        <v>-0.643149623609779</v>
      </c>
      <c r="I21" s="7" t="n">
        <v>0.554865092413508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9.85"/>
  </cols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0.744752029673544</v>
      </c>
    </row>
    <row r="5" customFormat="false" ht="12.75" hidden="false" customHeight="false" outlineLevel="0" collapsed="false">
      <c r="A5" s="6" t="s">
        <v>60</v>
      </c>
      <c r="B5" s="6" t="n">
        <v>0.554655585702864</v>
      </c>
    </row>
    <row r="6" customFormat="false" ht="12.75" hidden="false" customHeight="false" outlineLevel="0" collapsed="false">
      <c r="A6" s="6" t="s">
        <v>61</v>
      </c>
      <c r="B6" s="6" t="n">
        <v>0.491034955088987</v>
      </c>
    </row>
    <row r="7" customFormat="false" ht="12.75" hidden="false" customHeight="false" outlineLevel="0" collapsed="false">
      <c r="A7" s="6" t="s">
        <v>62</v>
      </c>
      <c r="B7" s="6" t="n">
        <v>0.0463339419121342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6</v>
      </c>
      <c r="C12" s="6" t="n">
        <v>0.112298814476456</v>
      </c>
      <c r="D12" s="6" t="n">
        <v>0.0187164690794094</v>
      </c>
      <c r="E12" s="6" t="n">
        <v>8.71817176835535</v>
      </c>
      <c r="F12" s="6" t="n">
        <v>3.51083523053946E-006</v>
      </c>
    </row>
    <row r="13" customFormat="false" ht="12.75" hidden="false" customHeight="false" outlineLevel="0" collapsed="false">
      <c r="A13" s="6" t="s">
        <v>71</v>
      </c>
      <c r="B13" s="6" t="n">
        <v>42</v>
      </c>
      <c r="C13" s="6" t="n">
        <v>0.0901670352709153</v>
      </c>
      <c r="D13" s="6" t="n">
        <v>0.00214683417311703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-0.029049579719776</v>
      </c>
      <c r="C17" s="6" t="n">
        <v>0.0338230176977787</v>
      </c>
      <c r="D17" s="6" t="n">
        <v>-0.858870133331829</v>
      </c>
      <c r="E17" s="6" t="n">
        <v>0.395287623710336</v>
      </c>
      <c r="F17" s="6" t="n">
        <v>-0.0973072144630252</v>
      </c>
      <c r="G17" s="6" t="n">
        <v>0.0392080550234733</v>
      </c>
      <c r="H17" s="6" t="n">
        <v>-0.0973072144630252</v>
      </c>
      <c r="I17" s="6" t="n">
        <v>0.0392080550234733</v>
      </c>
    </row>
    <row r="18" customFormat="false" ht="12.75" hidden="false" customHeight="false" outlineLevel="0" collapsed="false">
      <c r="A18" s="6" t="s">
        <v>102</v>
      </c>
      <c r="B18" s="6" t="n">
        <v>1.85459306177212E-005</v>
      </c>
      <c r="C18" s="6" t="n">
        <v>4.45903895244937E-005</v>
      </c>
      <c r="D18" s="6" t="n">
        <v>0.415917663323704</v>
      </c>
      <c r="E18" s="6" t="n">
        <v>0.67958784011354</v>
      </c>
      <c r="F18" s="6" t="n">
        <v>-7.14411470705593E-005</v>
      </c>
      <c r="G18" s="6" t="n">
        <v>0.000108533008306002</v>
      </c>
      <c r="H18" s="6" t="n">
        <v>-7.14411470705593E-005</v>
      </c>
      <c r="I18" s="6" t="n">
        <v>0.000108533008306002</v>
      </c>
    </row>
    <row r="19" customFormat="false" ht="12.75" hidden="false" customHeight="false" outlineLevel="0" collapsed="false">
      <c r="A19" s="6" t="s">
        <v>84</v>
      </c>
      <c r="B19" s="6" t="n">
        <v>3.868729340668E-009</v>
      </c>
      <c r="C19" s="6" t="n">
        <v>1.45388044513674E-009</v>
      </c>
      <c r="D19" s="6" t="n">
        <v>2.66096800022931</v>
      </c>
      <c r="E19" s="6" t="n">
        <v>0.010989170732006</v>
      </c>
      <c r="F19" s="6" t="n">
        <v>9.34678888067093E-010</v>
      </c>
      <c r="G19" s="6" t="n">
        <v>6.8027797932689E-009</v>
      </c>
      <c r="H19" s="6" t="n">
        <v>9.34678888067093E-010</v>
      </c>
      <c r="I19" s="6" t="n">
        <v>6.8027797932689E-009</v>
      </c>
    </row>
    <row r="20" customFormat="false" ht="12.75" hidden="false" customHeight="false" outlineLevel="0" collapsed="false">
      <c r="A20" s="6" t="s">
        <v>100</v>
      </c>
      <c r="B20" s="6" t="n">
        <v>1.11626513784726</v>
      </c>
      <c r="C20" s="6" t="n">
        <v>0.421405158942252</v>
      </c>
      <c r="D20" s="6" t="n">
        <v>2.64891189431362</v>
      </c>
      <c r="E20" s="6" t="n">
        <v>0.0113295335832145</v>
      </c>
      <c r="F20" s="6" t="n">
        <v>0.265834828079531</v>
      </c>
      <c r="G20" s="6" t="n">
        <v>1.96669544761498</v>
      </c>
      <c r="H20" s="6" t="n">
        <v>0.265834828079531</v>
      </c>
      <c r="I20" s="6" t="n">
        <v>1.96669544761498</v>
      </c>
    </row>
    <row r="21" customFormat="false" ht="12.75" hidden="false" customHeight="false" outlineLevel="0" collapsed="false">
      <c r="A21" s="6" t="s">
        <v>101</v>
      </c>
      <c r="B21" s="6" t="n">
        <v>-0.329081952107607</v>
      </c>
      <c r="C21" s="6" t="n">
        <v>0.302599183791835</v>
      </c>
      <c r="D21" s="6" t="n">
        <v>-1.08751764622733</v>
      </c>
      <c r="E21" s="6" t="n">
        <v>0.283009834191093</v>
      </c>
      <c r="F21" s="6" t="n">
        <v>-0.939752021390777</v>
      </c>
      <c r="G21" s="6" t="n">
        <v>0.281588117175563</v>
      </c>
      <c r="H21" s="6" t="n">
        <v>-0.939752021390777</v>
      </c>
      <c r="I21" s="6" t="n">
        <v>0.281588117175563</v>
      </c>
    </row>
    <row r="22" customFormat="false" ht="12.75" hidden="false" customHeight="false" outlineLevel="0" collapsed="false">
      <c r="A22" s="6" t="s">
        <v>99</v>
      </c>
      <c r="B22" s="6" t="n">
        <v>-0.00371894134808062</v>
      </c>
      <c r="C22" s="6" t="n">
        <v>0.056512721006779</v>
      </c>
      <c r="D22" s="6" t="n">
        <v>-0.0658071542446968</v>
      </c>
      <c r="E22" s="6" t="n">
        <v>0.947843611273662</v>
      </c>
      <c r="F22" s="6" t="n">
        <v>-0.11776626566714</v>
      </c>
      <c r="G22" s="6" t="n">
        <v>0.110328382970979</v>
      </c>
      <c r="H22" s="6" t="n">
        <v>-0.11776626566714</v>
      </c>
      <c r="I22" s="6" t="n">
        <v>0.110328382970979</v>
      </c>
    </row>
    <row r="23" customFormat="false" ht="13.5" hidden="false" customHeight="false" outlineLevel="0" collapsed="false">
      <c r="A23" s="7" t="s">
        <v>103</v>
      </c>
      <c r="B23" s="7" t="n">
        <v>5.43187372067766</v>
      </c>
      <c r="C23" s="7" t="n">
        <v>2.03590455100204</v>
      </c>
      <c r="D23" s="7" t="n">
        <v>2.66803948053664</v>
      </c>
      <c r="E23" s="7" t="n">
        <v>0.0107939358597103</v>
      </c>
      <c r="F23" s="7" t="n">
        <v>1.32325069785546</v>
      </c>
      <c r="G23" s="7" t="n">
        <v>9.54049674349986</v>
      </c>
      <c r="H23" s="7" t="n">
        <v>1.32325069785546</v>
      </c>
      <c r="I23" s="7" t="n">
        <v>9.54049674349986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7.14"/>
  </cols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0.748681863507804</v>
      </c>
    </row>
    <row r="5" customFormat="false" ht="12.75" hidden="false" customHeight="false" outlineLevel="0" collapsed="false">
      <c r="A5" s="6" t="s">
        <v>60</v>
      </c>
      <c r="B5" s="6" t="n">
        <v>0.560524532745518</v>
      </c>
    </row>
    <row r="6" customFormat="false" ht="12.75" hidden="false" customHeight="false" outlineLevel="0" collapsed="false">
      <c r="A6" s="6" t="s">
        <v>61</v>
      </c>
      <c r="B6" s="6" t="n">
        <v>0.485492135897192</v>
      </c>
    </row>
    <row r="7" customFormat="false" ht="12.75" hidden="false" customHeight="false" outlineLevel="0" collapsed="false">
      <c r="A7" s="6" t="s">
        <v>62</v>
      </c>
      <c r="B7" s="6" t="n">
        <v>0.0465855556805791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7</v>
      </c>
      <c r="C12" s="6" t="n">
        <v>0.11348707582657</v>
      </c>
      <c r="D12" s="6" t="n">
        <v>0.0162124394037957</v>
      </c>
      <c r="E12" s="6" t="n">
        <v>7.47043352324979</v>
      </c>
      <c r="F12" s="6" t="n">
        <v>8.66424012760262E-006</v>
      </c>
    </row>
    <row r="13" customFormat="false" ht="12.75" hidden="false" customHeight="false" outlineLevel="0" collapsed="false">
      <c r="A13" s="6" t="s">
        <v>71</v>
      </c>
      <c r="B13" s="6" t="n">
        <v>41</v>
      </c>
      <c r="C13" s="6" t="n">
        <v>0.0889787739208019</v>
      </c>
      <c r="D13" s="6" t="n">
        <v>0.00217021399806834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-0.0262964312550552</v>
      </c>
      <c r="C17" s="6" t="n">
        <v>0.0342096287747066</v>
      </c>
      <c r="D17" s="6" t="n">
        <v>-0.768685080689851</v>
      </c>
      <c r="E17" s="6" t="n">
        <v>0.446485714082153</v>
      </c>
      <c r="F17" s="6" t="n">
        <v>-0.0953842161147524</v>
      </c>
      <c r="G17" s="6" t="n">
        <v>0.042791353604642</v>
      </c>
      <c r="H17" s="6" t="n">
        <v>-0.0953842161147524</v>
      </c>
      <c r="I17" s="6" t="n">
        <v>0.042791353604642</v>
      </c>
    </row>
    <row r="18" customFormat="false" ht="12.75" hidden="false" customHeight="false" outlineLevel="0" collapsed="false">
      <c r="A18" s="6" t="s">
        <v>102</v>
      </c>
      <c r="B18" s="6" t="n">
        <v>9.63982832622764E-006</v>
      </c>
      <c r="C18" s="6" t="n">
        <v>4.64200605718746E-005</v>
      </c>
      <c r="D18" s="6" t="n">
        <v>0.207665138896184</v>
      </c>
      <c r="E18" s="6" t="n">
        <v>0.836518514135295</v>
      </c>
      <c r="F18" s="6" t="n">
        <v>-8.41074373656753E-005</v>
      </c>
      <c r="G18" s="6" t="n">
        <v>0.000103387094018131</v>
      </c>
      <c r="H18" s="6" t="n">
        <v>-8.41074373656753E-005</v>
      </c>
      <c r="I18" s="6" t="n">
        <v>0.000103387094018131</v>
      </c>
    </row>
    <row r="19" customFormat="false" ht="12.75" hidden="false" customHeight="false" outlineLevel="0" collapsed="false">
      <c r="A19" s="6" t="s">
        <v>84</v>
      </c>
      <c r="B19" s="6" t="n">
        <v>3.87496151537988E-009</v>
      </c>
      <c r="C19" s="6" t="n">
        <v>1.4617999216899E-009</v>
      </c>
      <c r="D19" s="6" t="n">
        <v>2.65081524351175</v>
      </c>
      <c r="E19" s="6" t="n">
        <v>0.0113599213466799</v>
      </c>
      <c r="F19" s="6" t="n">
        <v>9.22795060644641E-010</v>
      </c>
      <c r="G19" s="6" t="n">
        <v>6.82712797011511E-009</v>
      </c>
      <c r="H19" s="6" t="n">
        <v>9.22795060644641E-010</v>
      </c>
      <c r="I19" s="6" t="n">
        <v>6.82712797011511E-009</v>
      </c>
    </row>
    <row r="20" customFormat="false" ht="12.75" hidden="false" customHeight="false" outlineLevel="0" collapsed="false">
      <c r="A20" s="6" t="s">
        <v>100</v>
      </c>
      <c r="B20" s="6" t="n">
        <v>1.05939743960101</v>
      </c>
      <c r="C20" s="6" t="n">
        <v>0.43060728329175</v>
      </c>
      <c r="D20" s="6" t="n">
        <v>2.46024041094362</v>
      </c>
      <c r="E20" s="6" t="n">
        <v>0.0181876767791312</v>
      </c>
      <c r="F20" s="6" t="n">
        <v>0.189767910938161</v>
      </c>
      <c r="G20" s="6" t="n">
        <v>1.92902696826386</v>
      </c>
      <c r="H20" s="6" t="n">
        <v>0.189767910938161</v>
      </c>
      <c r="I20" s="6" t="n">
        <v>1.92902696826386</v>
      </c>
    </row>
    <row r="21" customFormat="false" ht="12.75" hidden="false" customHeight="false" outlineLevel="0" collapsed="false">
      <c r="A21" s="6" t="s">
        <v>101</v>
      </c>
      <c r="B21" s="6" t="n">
        <v>-0.34660389970287</v>
      </c>
      <c r="C21" s="6" t="n">
        <v>0.305162561312861</v>
      </c>
      <c r="D21" s="6" t="n">
        <v>-1.13580086040608</v>
      </c>
      <c r="E21" s="6" t="n">
        <v>0.26263577939866</v>
      </c>
      <c r="F21" s="6" t="n">
        <v>-0.962892533586121</v>
      </c>
      <c r="G21" s="6" t="n">
        <v>0.269684734180382</v>
      </c>
      <c r="H21" s="6" t="n">
        <v>-0.962892533586121</v>
      </c>
      <c r="I21" s="6" t="n">
        <v>0.269684734180382</v>
      </c>
    </row>
    <row r="22" customFormat="false" ht="12.75" hidden="false" customHeight="false" outlineLevel="0" collapsed="false">
      <c r="A22" s="6" t="s">
        <v>99</v>
      </c>
      <c r="B22" s="6" t="n">
        <v>0.0044704353832327</v>
      </c>
      <c r="C22" s="6" t="n">
        <v>0.0578874401882934</v>
      </c>
      <c r="D22" s="6" t="n">
        <v>0.0772263442413672</v>
      </c>
      <c r="E22" s="6" t="n">
        <v>0.9388191295269</v>
      </c>
      <c r="F22" s="6" t="n">
        <v>-0.112435685994043</v>
      </c>
      <c r="G22" s="6" t="n">
        <v>0.121376556760509</v>
      </c>
      <c r="H22" s="6" t="n">
        <v>-0.112435685994043</v>
      </c>
      <c r="I22" s="6" t="n">
        <v>0.121376556760509</v>
      </c>
    </row>
    <row r="23" customFormat="false" ht="12.75" hidden="false" customHeight="false" outlineLevel="0" collapsed="false">
      <c r="A23" s="6" t="s">
        <v>103</v>
      </c>
      <c r="B23" s="6" t="n">
        <v>5.55632586138393</v>
      </c>
      <c r="C23" s="6" t="n">
        <v>2.05385843661793</v>
      </c>
      <c r="D23" s="6" t="n">
        <v>2.70531101965016</v>
      </c>
      <c r="E23" s="6" t="n">
        <v>0.00989544082965615</v>
      </c>
      <c r="F23" s="6" t="n">
        <v>1.4084723217908</v>
      </c>
      <c r="G23" s="6" t="n">
        <v>9.70417940097705</v>
      </c>
      <c r="H23" s="6" t="n">
        <v>1.4084723217908</v>
      </c>
      <c r="I23" s="6" t="n">
        <v>9.70417940097705</v>
      </c>
    </row>
    <row r="24" customFormat="false" ht="13.5" hidden="false" customHeight="false" outlineLevel="0" collapsed="false">
      <c r="A24" s="7" t="s">
        <v>104</v>
      </c>
      <c r="B24" s="7" t="n">
        <v>-0.0283115121776179</v>
      </c>
      <c r="C24" s="7" t="n">
        <v>0.0382611801131814</v>
      </c>
      <c r="D24" s="7" t="n">
        <v>-0.739953971463213</v>
      </c>
      <c r="E24" s="7" t="n">
        <v>0.463544137889205</v>
      </c>
      <c r="F24" s="7" t="n">
        <v>-0.105581575455592</v>
      </c>
      <c r="G24" s="7" t="n">
        <v>0.0489585511003568</v>
      </c>
      <c r="H24" s="7" t="n">
        <v>-0.105581575455592</v>
      </c>
      <c r="I24" s="7" t="n">
        <v>0.0489585511003568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8.85"/>
  </cols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0.748147377500847</v>
      </c>
    </row>
    <row r="5" customFormat="false" ht="12.75" hidden="false" customHeight="false" outlineLevel="0" collapsed="false">
      <c r="A5" s="6" t="s">
        <v>60</v>
      </c>
      <c r="B5" s="6" t="n">
        <v>0.559724498461394</v>
      </c>
    </row>
    <row r="6" customFormat="false" ht="12.75" hidden="false" customHeight="false" outlineLevel="0" collapsed="false">
      <c r="A6" s="6" t="s">
        <v>61</v>
      </c>
      <c r="B6" s="6" t="n">
        <v>0.508529672701091</v>
      </c>
    </row>
    <row r="7" customFormat="false" ht="12.75" hidden="false" customHeight="false" outlineLevel="0" collapsed="false">
      <c r="A7" s="6" t="s">
        <v>62</v>
      </c>
      <c r="B7" s="6" t="n">
        <v>0.0455306575841562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5</v>
      </c>
      <c r="C12" s="6" t="n">
        <v>0.113325096205408</v>
      </c>
      <c r="D12" s="6" t="n">
        <v>0.0226650192410815</v>
      </c>
      <c r="E12" s="6" t="n">
        <v>10.9332240152951</v>
      </c>
      <c r="F12" s="6" t="n">
        <v>7.8770321770835E-007</v>
      </c>
    </row>
    <row r="13" customFormat="false" ht="12.75" hidden="false" customHeight="false" outlineLevel="0" collapsed="false">
      <c r="A13" s="6" t="s">
        <v>71</v>
      </c>
      <c r="B13" s="6" t="n">
        <v>43</v>
      </c>
      <c r="C13" s="6" t="n">
        <v>0.0891407535419641</v>
      </c>
      <c r="D13" s="6" t="n">
        <v>0.00207304078004568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-0.0235865129264097</v>
      </c>
      <c r="C17" s="6" t="n">
        <v>0.0172142474412609</v>
      </c>
      <c r="D17" s="6" t="n">
        <v>-1.37017392174084</v>
      </c>
      <c r="E17" s="6" t="n">
        <v>0.17774435948572</v>
      </c>
      <c r="F17" s="6" t="n">
        <v>-0.0583023276170409</v>
      </c>
      <c r="G17" s="6" t="n">
        <v>0.0111293017642216</v>
      </c>
      <c r="H17" s="6" t="n">
        <v>-0.0583023276170409</v>
      </c>
      <c r="I17" s="6" t="n">
        <v>0.0111293017642216</v>
      </c>
    </row>
    <row r="18" customFormat="false" ht="12.75" hidden="false" customHeight="false" outlineLevel="0" collapsed="false">
      <c r="A18" s="6" t="s">
        <v>84</v>
      </c>
      <c r="B18" s="6" t="n">
        <v>3.91720324194278E-009</v>
      </c>
      <c r="C18" s="6" t="n">
        <v>1.2195433457345E-009</v>
      </c>
      <c r="D18" s="6" t="n">
        <v>3.21202461203504</v>
      </c>
      <c r="E18" s="6" t="n">
        <v>0.00249742177451789</v>
      </c>
      <c r="F18" s="6" t="n">
        <v>1.45776137890597E-009</v>
      </c>
      <c r="G18" s="6" t="n">
        <v>6.3766451049796E-009</v>
      </c>
      <c r="H18" s="6" t="n">
        <v>1.45776137890597E-009</v>
      </c>
      <c r="I18" s="6" t="n">
        <v>6.3766451049796E-009</v>
      </c>
    </row>
    <row r="19" customFormat="false" ht="12.75" hidden="false" customHeight="false" outlineLevel="0" collapsed="false">
      <c r="A19" s="6" t="s">
        <v>100</v>
      </c>
      <c r="B19" s="6" t="n">
        <v>1.07589683008635</v>
      </c>
      <c r="C19" s="6" t="n">
        <v>0.38872897408285</v>
      </c>
      <c r="D19" s="6" t="n">
        <v>2.76772996565222</v>
      </c>
      <c r="E19" s="6" t="n">
        <v>0.00829254985365681</v>
      </c>
      <c r="F19" s="6" t="n">
        <v>0.291950678784198</v>
      </c>
      <c r="G19" s="6" t="n">
        <v>1.8598429813885</v>
      </c>
      <c r="H19" s="6" t="n">
        <v>0.291950678784198</v>
      </c>
      <c r="I19" s="6" t="n">
        <v>1.8598429813885</v>
      </c>
    </row>
    <row r="20" customFormat="false" ht="12.75" hidden="false" customHeight="false" outlineLevel="0" collapsed="false">
      <c r="A20" s="6" t="s">
        <v>101</v>
      </c>
      <c r="B20" s="6" t="n">
        <v>-0.348937375127931</v>
      </c>
      <c r="C20" s="6" t="n">
        <v>0.295700261042287</v>
      </c>
      <c r="D20" s="6" t="n">
        <v>-1.18003742674421</v>
      </c>
      <c r="E20" s="6" t="n">
        <v>0.244472461100842</v>
      </c>
      <c r="F20" s="6" t="n">
        <v>-0.94527337537096</v>
      </c>
      <c r="G20" s="6" t="n">
        <v>0.247398625115097</v>
      </c>
      <c r="H20" s="6" t="n">
        <v>-0.94527337537096</v>
      </c>
      <c r="I20" s="6" t="n">
        <v>0.247398625115097</v>
      </c>
    </row>
    <row r="21" customFormat="false" ht="12.75" hidden="false" customHeight="false" outlineLevel="0" collapsed="false">
      <c r="A21" s="6" t="s">
        <v>103</v>
      </c>
      <c r="B21" s="6" t="n">
        <v>5.89244278950144</v>
      </c>
      <c r="C21" s="6" t="n">
        <v>1.60622022662728</v>
      </c>
      <c r="D21" s="6" t="n">
        <v>3.66851487225655</v>
      </c>
      <c r="E21" s="6" t="n">
        <v>0.000667903633217348</v>
      </c>
      <c r="F21" s="6" t="n">
        <v>2.65319321264908</v>
      </c>
      <c r="G21" s="6" t="n">
        <v>9.1316923663538</v>
      </c>
      <c r="H21" s="6" t="n">
        <v>2.65319321264908</v>
      </c>
      <c r="I21" s="6" t="n">
        <v>9.1316923663538</v>
      </c>
    </row>
    <row r="22" customFormat="false" ht="13.5" hidden="false" customHeight="false" outlineLevel="0" collapsed="false">
      <c r="A22" s="7" t="s">
        <v>3</v>
      </c>
      <c r="B22" s="7" t="n">
        <v>-0.0297369966491198</v>
      </c>
      <c r="C22" s="7" t="n">
        <v>0.0359464784784038</v>
      </c>
      <c r="D22" s="7" t="n">
        <v>-0.827257575925983</v>
      </c>
      <c r="E22" s="7" t="n">
        <v>0.412658536201062</v>
      </c>
      <c r="F22" s="7" t="n">
        <v>-0.102229929604522</v>
      </c>
      <c r="G22" s="7" t="n">
        <v>0.0427559363062823</v>
      </c>
      <c r="H22" s="7" t="n">
        <v>-0.102229929604522</v>
      </c>
      <c r="I22" s="7" t="n">
        <v>0.0427559363062823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0.748430931203836</v>
      </c>
    </row>
    <row r="5" customFormat="false" ht="12.75" hidden="false" customHeight="false" outlineLevel="0" collapsed="false">
      <c r="A5" s="6" t="s">
        <v>60</v>
      </c>
      <c r="B5" s="6" t="n">
        <v>0.560148858782641</v>
      </c>
    </row>
    <row r="6" customFormat="false" ht="12.75" hidden="false" customHeight="false" outlineLevel="0" collapsed="false">
      <c r="A6" s="6" t="s">
        <v>61</v>
      </c>
      <c r="B6" s="6" t="n">
        <v>0.509003377245739</v>
      </c>
    </row>
    <row r="7" customFormat="false" ht="12.75" hidden="false" customHeight="false" outlineLevel="0" collapsed="false">
      <c r="A7" s="6" t="s">
        <v>62</v>
      </c>
      <c r="B7" s="6" t="n">
        <v>0.0511371697833848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5</v>
      </c>
      <c r="C12" s="6" t="n">
        <v>0.143198861164581</v>
      </c>
      <c r="D12" s="6" t="n">
        <v>0.0286397722329162</v>
      </c>
      <c r="E12" s="6" t="n">
        <v>10.9520693118997</v>
      </c>
      <c r="F12" s="6" t="n">
        <v>7.72349310763009E-007</v>
      </c>
    </row>
    <row r="13" customFormat="false" ht="12.75" hidden="false" customHeight="false" outlineLevel="0" collapsed="false">
      <c r="A13" s="6" t="s">
        <v>71</v>
      </c>
      <c r="B13" s="6" t="n">
        <v>43</v>
      </c>
      <c r="C13" s="6" t="n">
        <v>0.112445435738553</v>
      </c>
      <c r="D13" s="6" t="n">
        <v>0.00261501013345472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0.255644296903134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-0.0278467533995786</v>
      </c>
      <c r="C17" s="6" t="n">
        <v>0.0193339595956831</v>
      </c>
      <c r="D17" s="6" t="n">
        <v>-1.44030265821991</v>
      </c>
      <c r="E17" s="6" t="n">
        <v>0.157023622696255</v>
      </c>
      <c r="F17" s="6" t="n">
        <v>-0.0668373721210858</v>
      </c>
      <c r="G17" s="6" t="n">
        <v>0.0111438653219286</v>
      </c>
      <c r="H17" s="6" t="n">
        <v>-0.0668373721210858</v>
      </c>
      <c r="I17" s="6" t="n">
        <v>0.0111438653219286</v>
      </c>
    </row>
    <row r="18" customFormat="false" ht="12.75" hidden="false" customHeight="false" outlineLevel="0" collapsed="false">
      <c r="A18" s="6" t="s">
        <v>84</v>
      </c>
      <c r="B18" s="6" t="n">
        <v>4.35060321066362E-009</v>
      </c>
      <c r="C18" s="6" t="n">
        <v>1.36971435156087E-009</v>
      </c>
      <c r="D18" s="6" t="n">
        <v>3.17628504491163</v>
      </c>
      <c r="E18" s="6" t="n">
        <v>0.00275953731232738</v>
      </c>
      <c r="F18" s="6" t="n">
        <v>1.58831285959601E-009</v>
      </c>
      <c r="G18" s="6" t="n">
        <v>7.11289356173123E-009</v>
      </c>
      <c r="H18" s="6" t="n">
        <v>1.58831285959601E-009</v>
      </c>
      <c r="I18" s="6" t="n">
        <v>7.11289356173123E-009</v>
      </c>
    </row>
    <row r="19" customFormat="false" ht="12.75" hidden="false" customHeight="false" outlineLevel="0" collapsed="false">
      <c r="A19" s="6" t="s">
        <v>100</v>
      </c>
      <c r="B19" s="6" t="n">
        <v>1.25149247040976</v>
      </c>
      <c r="C19" s="6" t="n">
        <v>0.436595924639424</v>
      </c>
      <c r="D19" s="6" t="n">
        <v>2.8664776737056</v>
      </c>
      <c r="E19" s="6" t="n">
        <v>0.00640182932751377</v>
      </c>
      <c r="F19" s="6" t="n">
        <v>0.371013479609521</v>
      </c>
      <c r="G19" s="6" t="n">
        <v>2.13197146121</v>
      </c>
      <c r="H19" s="6" t="n">
        <v>0.371013479609521</v>
      </c>
      <c r="I19" s="6" t="n">
        <v>2.13197146121</v>
      </c>
    </row>
    <row r="20" customFormat="false" ht="12.75" hidden="false" customHeight="false" outlineLevel="0" collapsed="false">
      <c r="A20" s="6" t="s">
        <v>101</v>
      </c>
      <c r="B20" s="6" t="n">
        <v>-0.455806944337249</v>
      </c>
      <c r="C20" s="6" t="n">
        <v>0.332111927572348</v>
      </c>
      <c r="D20" s="6" t="n">
        <v>-1.37244978724215</v>
      </c>
      <c r="E20" s="6" t="n">
        <v>0.177040315605237</v>
      </c>
      <c r="F20" s="6" t="n">
        <v>-1.1255740180064</v>
      </c>
      <c r="G20" s="6" t="n">
        <v>0.2139601293319</v>
      </c>
      <c r="H20" s="6" t="n">
        <v>-1.1255740180064</v>
      </c>
      <c r="I20" s="6" t="n">
        <v>0.2139601293319</v>
      </c>
    </row>
    <row r="21" customFormat="false" ht="12.75" hidden="false" customHeight="false" outlineLevel="0" collapsed="false">
      <c r="A21" s="6" t="s">
        <v>103</v>
      </c>
      <c r="B21" s="6" t="n">
        <v>6.80594686613382</v>
      </c>
      <c r="C21" s="6" t="n">
        <v>1.80400549424808</v>
      </c>
      <c r="D21" s="6" t="n">
        <v>3.77268632930111</v>
      </c>
      <c r="E21" s="6" t="n">
        <v>0.000489194159037515</v>
      </c>
      <c r="F21" s="6" t="n">
        <v>3.16782555685806</v>
      </c>
      <c r="G21" s="6" t="n">
        <v>10.4440681754096</v>
      </c>
      <c r="H21" s="6" t="n">
        <v>3.16782555685806</v>
      </c>
      <c r="I21" s="6" t="n">
        <v>10.4440681754096</v>
      </c>
    </row>
    <row r="22" customFormat="false" ht="13.5" hidden="false" customHeight="false" outlineLevel="0" collapsed="false">
      <c r="A22" s="7" t="s">
        <v>3</v>
      </c>
      <c r="B22" s="7" t="n">
        <v>-0.0310742949605252</v>
      </c>
      <c r="C22" s="7" t="n">
        <v>0.0403728228538606</v>
      </c>
      <c r="D22" s="7" t="n">
        <v>-0.769683484184553</v>
      </c>
      <c r="E22" s="7" t="n">
        <v>0.445695456825374</v>
      </c>
      <c r="F22" s="7" t="n">
        <v>-0.112493795959033</v>
      </c>
      <c r="G22" s="7" t="n">
        <v>0.0503452060379828</v>
      </c>
      <c r="H22" s="7" t="n">
        <v>-0.112493795959033</v>
      </c>
      <c r="I22" s="7" t="n">
        <v>0.0503452060379828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9.85"/>
  </cols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0.809297765749897</v>
      </c>
    </row>
    <row r="5" customFormat="false" ht="12.75" hidden="false" customHeight="false" outlineLevel="0" collapsed="false">
      <c r="A5" s="6" t="s">
        <v>60</v>
      </c>
      <c r="B5" s="6" t="n">
        <v>0.654962873647775</v>
      </c>
    </row>
    <row r="6" customFormat="false" ht="12.75" hidden="false" customHeight="false" outlineLevel="0" collapsed="false">
      <c r="A6" s="6" t="s">
        <v>61</v>
      </c>
      <c r="B6" s="6" t="n">
        <v>0.605671855597457</v>
      </c>
    </row>
    <row r="7" customFormat="false" ht="12.75" hidden="false" customHeight="false" outlineLevel="0" collapsed="false">
      <c r="A7" s="6" t="s">
        <v>62</v>
      </c>
      <c r="B7" s="6" t="n">
        <v>0.0458275165759488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6</v>
      </c>
      <c r="C12" s="6" t="n">
        <v>0.167437523331342</v>
      </c>
      <c r="D12" s="6" t="n">
        <v>0.027906253888557</v>
      </c>
      <c r="E12" s="6" t="n">
        <v>13.2876718630394</v>
      </c>
      <c r="F12" s="6" t="n">
        <v>2.2465023852683E-008</v>
      </c>
    </row>
    <row r="13" customFormat="false" ht="12.75" hidden="false" customHeight="false" outlineLevel="0" collapsed="false">
      <c r="A13" s="6" t="s">
        <v>71</v>
      </c>
      <c r="B13" s="6" t="n">
        <v>42</v>
      </c>
      <c r="C13" s="6" t="n">
        <v>0.0882067735717923</v>
      </c>
      <c r="D13" s="6" t="n">
        <v>0.00210016127551887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0.255644296903134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-0.0322321148139819</v>
      </c>
      <c r="C17" s="6" t="n">
        <v>0.0173745029786918</v>
      </c>
      <c r="D17" s="6" t="n">
        <v>-1.85513881194251</v>
      </c>
      <c r="E17" s="6" t="n">
        <v>0.0706043916417248</v>
      </c>
      <c r="F17" s="6" t="n">
        <v>-0.0672952924630575</v>
      </c>
      <c r="G17" s="6" t="n">
        <v>0.00283106283509366</v>
      </c>
      <c r="H17" s="6" t="n">
        <v>-0.0672952924630575</v>
      </c>
      <c r="I17" s="6" t="n">
        <v>0.00283106283509366</v>
      </c>
    </row>
    <row r="18" customFormat="false" ht="12.75" hidden="false" customHeight="false" outlineLevel="0" collapsed="false">
      <c r="A18" s="6" t="s">
        <v>84</v>
      </c>
      <c r="B18" s="6" t="n">
        <v>3.68873387353248E-009</v>
      </c>
      <c r="C18" s="6" t="n">
        <v>1.24285962768896E-009</v>
      </c>
      <c r="D18" s="6" t="n">
        <v>2.96794086102186</v>
      </c>
      <c r="E18" s="6" t="n">
        <v>0.00493371455139459</v>
      </c>
      <c r="F18" s="6" t="n">
        <v>1.18054080625643E-009</v>
      </c>
      <c r="G18" s="6" t="n">
        <v>6.19692694080854E-009</v>
      </c>
      <c r="H18" s="6" t="n">
        <v>1.18054080625643E-009</v>
      </c>
      <c r="I18" s="6" t="n">
        <v>6.19692694080854E-009</v>
      </c>
    </row>
    <row r="19" customFormat="false" ht="12.75" hidden="false" customHeight="false" outlineLevel="0" collapsed="false">
      <c r="A19" s="6" t="s">
        <v>100</v>
      </c>
      <c r="B19" s="6" t="n">
        <v>1.00945473507982</v>
      </c>
      <c r="C19" s="6" t="n">
        <v>0.397697091303272</v>
      </c>
      <c r="D19" s="6" t="n">
        <v>2.5382502340457</v>
      </c>
      <c r="E19" s="6" t="n">
        <v>0.0149373716957419</v>
      </c>
      <c r="F19" s="6" t="n">
        <v>0.206869257959188</v>
      </c>
      <c r="G19" s="6" t="n">
        <v>1.81204021220046</v>
      </c>
      <c r="H19" s="6" t="n">
        <v>0.206869257959188</v>
      </c>
      <c r="I19" s="6" t="n">
        <v>1.81204021220046</v>
      </c>
    </row>
    <row r="20" customFormat="false" ht="12.75" hidden="false" customHeight="false" outlineLevel="0" collapsed="false">
      <c r="A20" s="6" t="s">
        <v>101</v>
      </c>
      <c r="B20" s="6" t="n">
        <v>-0.352209661721363</v>
      </c>
      <c r="C20" s="6" t="n">
        <v>0.299186342413305</v>
      </c>
      <c r="D20" s="6" t="n">
        <v>-1.17722506609212</v>
      </c>
      <c r="E20" s="6" t="n">
        <v>0.245734037497635</v>
      </c>
      <c r="F20" s="6" t="n">
        <v>-0.955992336085078</v>
      </c>
      <c r="G20" s="6" t="n">
        <v>0.251573012642352</v>
      </c>
      <c r="H20" s="6" t="n">
        <v>-0.955992336085078</v>
      </c>
      <c r="I20" s="6" t="n">
        <v>0.251573012642352</v>
      </c>
    </row>
    <row r="21" customFormat="false" ht="12.75" hidden="false" customHeight="false" outlineLevel="0" collapsed="false">
      <c r="A21" s="6" t="s">
        <v>103</v>
      </c>
      <c r="B21" s="6" t="n">
        <v>3.03004984632983</v>
      </c>
      <c r="C21" s="6" t="n">
        <v>1.9618942718572</v>
      </c>
      <c r="D21" s="6" t="n">
        <v>1.54445114081579</v>
      </c>
      <c r="E21" s="6" t="n">
        <v>0.129981326880568</v>
      </c>
      <c r="F21" s="6" t="n">
        <v>-0.929214339080115</v>
      </c>
      <c r="G21" s="6" t="n">
        <v>6.98931403173977</v>
      </c>
      <c r="H21" s="6" t="n">
        <v>-0.929214339080115</v>
      </c>
      <c r="I21" s="6" t="n">
        <v>6.98931403173977</v>
      </c>
    </row>
    <row r="22" customFormat="false" ht="12.75" hidden="false" customHeight="false" outlineLevel="0" collapsed="false">
      <c r="A22" s="6" t="s">
        <v>3</v>
      </c>
      <c r="B22" s="6" t="n">
        <v>-0.00111645020198729</v>
      </c>
      <c r="C22" s="6" t="n">
        <v>0.0372399706064863</v>
      </c>
      <c r="D22" s="6" t="n">
        <v>-0.0299798894522443</v>
      </c>
      <c r="E22" s="6" t="n">
        <v>0.976225102945733</v>
      </c>
      <c r="F22" s="6" t="n">
        <v>-0.0762697772711393</v>
      </c>
      <c r="G22" s="6" t="n">
        <v>0.0740368768671647</v>
      </c>
      <c r="H22" s="6" t="n">
        <v>-0.0762697772711393</v>
      </c>
      <c r="I22" s="6" t="n">
        <v>0.0740368768671647</v>
      </c>
    </row>
    <row r="23" customFormat="false" ht="13.5" hidden="false" customHeight="false" outlineLevel="0" collapsed="false">
      <c r="A23" s="7" t="s">
        <v>105</v>
      </c>
      <c r="B23" s="7" t="n">
        <v>0.288378268454052</v>
      </c>
      <c r="C23" s="7" t="n">
        <v>0.0848856991804622</v>
      </c>
      <c r="D23" s="7" t="n">
        <v>3.39725385121675</v>
      </c>
      <c r="E23" s="7" t="n">
        <v>0.00149990344873637</v>
      </c>
      <c r="F23" s="7" t="n">
        <v>0.117071937914366</v>
      </c>
      <c r="G23" s="7" t="n">
        <v>0.459684598993738</v>
      </c>
      <c r="H23" s="7" t="n">
        <v>0.117071937914366</v>
      </c>
      <c r="I23" s="7" t="n">
        <v>0.459684598993738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8.99"/>
  </cols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0.809293203915885</v>
      </c>
    </row>
    <row r="5" customFormat="false" ht="12.75" hidden="false" customHeight="false" outlineLevel="0" collapsed="false">
      <c r="A5" s="6" t="s">
        <v>60</v>
      </c>
      <c r="B5" s="6" t="n">
        <v>0.654955489904439</v>
      </c>
    </row>
    <row r="6" customFormat="false" ht="12.75" hidden="false" customHeight="false" outlineLevel="0" collapsed="false">
      <c r="A6" s="6" t="s">
        <v>61</v>
      </c>
      <c r="B6" s="6" t="n">
        <v>0.614834035242164</v>
      </c>
    </row>
    <row r="7" customFormat="false" ht="12.75" hidden="false" customHeight="false" outlineLevel="0" collapsed="false">
      <c r="A7" s="6" t="s">
        <v>62</v>
      </c>
      <c r="B7" s="6" t="n">
        <v>0.0452919884038406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5</v>
      </c>
      <c r="C12" s="6" t="n">
        <v>0.167435635719468</v>
      </c>
      <c r="D12" s="6" t="n">
        <v>0.0334871271438936</v>
      </c>
      <c r="E12" s="6" t="n">
        <v>16.3243206263975</v>
      </c>
      <c r="F12" s="6" t="n">
        <v>5.19466874489837E-009</v>
      </c>
    </row>
    <row r="13" customFormat="false" ht="12.75" hidden="false" customHeight="false" outlineLevel="0" collapsed="false">
      <c r="A13" s="6" t="s">
        <v>71</v>
      </c>
      <c r="B13" s="6" t="n">
        <v>43</v>
      </c>
      <c r="C13" s="6" t="n">
        <v>0.088208661183666</v>
      </c>
      <c r="D13" s="6" t="n">
        <v>0.00205136421357363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0.255644296903134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-0.0325088936338892</v>
      </c>
      <c r="C17" s="6" t="n">
        <v>0.0145467226931563</v>
      </c>
      <c r="D17" s="6" t="n">
        <v>-2.23479159667927</v>
      </c>
      <c r="E17" s="6" t="n">
        <v>0.030679434928989</v>
      </c>
      <c r="F17" s="6" t="n">
        <v>-0.0618451356679831</v>
      </c>
      <c r="G17" s="6" t="n">
        <v>-0.00317265159979524</v>
      </c>
      <c r="H17" s="6" t="n">
        <v>-0.0618451356679831</v>
      </c>
      <c r="I17" s="6" t="n">
        <v>-0.00317265159979524</v>
      </c>
    </row>
    <row r="18" customFormat="false" ht="12.75" hidden="false" customHeight="false" outlineLevel="0" collapsed="false">
      <c r="A18" s="6" t="s">
        <v>84</v>
      </c>
      <c r="B18" s="6" t="n">
        <v>3.69305132917222E-009</v>
      </c>
      <c r="C18" s="6" t="n">
        <v>1.22006212337937E-009</v>
      </c>
      <c r="D18" s="6" t="n">
        <v>3.02693711935182</v>
      </c>
      <c r="E18" s="6" t="n">
        <v>0.00416267290420416</v>
      </c>
      <c r="F18" s="6" t="n">
        <v>1.23256325202432E-009</v>
      </c>
      <c r="G18" s="6" t="n">
        <v>6.15353940632013E-009</v>
      </c>
      <c r="H18" s="6" t="n">
        <v>1.23256325202432E-009</v>
      </c>
      <c r="I18" s="6" t="n">
        <v>6.15353940632013E-009</v>
      </c>
    </row>
    <row r="19" customFormat="false" ht="12.75" hidden="false" customHeight="false" outlineLevel="0" collapsed="false">
      <c r="A19" s="6" t="s">
        <v>100</v>
      </c>
      <c r="B19" s="6" t="n">
        <v>1.0103889604978</v>
      </c>
      <c r="C19" s="6" t="n">
        <v>0.391841271627895</v>
      </c>
      <c r="D19" s="6" t="n">
        <v>2.57856696998802</v>
      </c>
      <c r="E19" s="6" t="n">
        <v>0.0134277683357313</v>
      </c>
      <c r="F19" s="6" t="n">
        <v>0.220166267325046</v>
      </c>
      <c r="G19" s="6" t="n">
        <v>1.80061165367054</v>
      </c>
      <c r="H19" s="6" t="n">
        <v>0.220166267325046</v>
      </c>
      <c r="I19" s="6" t="n">
        <v>1.80061165367054</v>
      </c>
    </row>
    <row r="20" customFormat="false" ht="12.75" hidden="false" customHeight="false" outlineLevel="0" collapsed="false">
      <c r="A20" s="6" t="s">
        <v>103</v>
      </c>
      <c r="B20" s="6" t="n">
        <v>3.02258827107761</v>
      </c>
      <c r="C20" s="6" t="n">
        <v>1.92330244675779</v>
      </c>
      <c r="D20" s="6" t="n">
        <v>1.57156160029482</v>
      </c>
      <c r="E20" s="6" t="n">
        <v>0.123382397625563</v>
      </c>
      <c r="F20" s="6" t="n">
        <v>-0.856118106503682</v>
      </c>
      <c r="G20" s="6" t="n">
        <v>6.9012946486589</v>
      </c>
      <c r="H20" s="6" t="n">
        <v>-0.856118106503682</v>
      </c>
      <c r="I20" s="6" t="n">
        <v>6.9012946486589</v>
      </c>
    </row>
    <row r="21" customFormat="false" ht="12.75" hidden="false" customHeight="false" outlineLevel="0" collapsed="false">
      <c r="A21" s="6" t="s">
        <v>105</v>
      </c>
      <c r="B21" s="6" t="n">
        <v>0.28898088047955</v>
      </c>
      <c r="C21" s="6" t="n">
        <v>0.0815077709264846</v>
      </c>
      <c r="D21" s="6" t="n">
        <v>3.54543962121347</v>
      </c>
      <c r="E21" s="6" t="n">
        <v>0.000960375132055943</v>
      </c>
      <c r="F21" s="6" t="n">
        <v>0.124604907554474</v>
      </c>
      <c r="G21" s="6" t="n">
        <v>0.453356853404626</v>
      </c>
      <c r="H21" s="6" t="n">
        <v>0.124604907554474</v>
      </c>
      <c r="I21" s="6" t="n">
        <v>0.453356853404626</v>
      </c>
    </row>
    <row r="22" customFormat="false" ht="13.5" hidden="false" customHeight="false" outlineLevel="0" collapsed="false">
      <c r="A22" s="7" t="s">
        <v>101</v>
      </c>
      <c r="B22" s="7" t="n">
        <v>-0.351044280315377</v>
      </c>
      <c r="C22" s="7" t="n">
        <v>0.293183767559841</v>
      </c>
      <c r="D22" s="7" t="n">
        <v>-1.19735237471401</v>
      </c>
      <c r="E22" s="7" t="n">
        <v>0.23772836789249</v>
      </c>
      <c r="F22" s="7" t="n">
        <v>-0.942305291267999</v>
      </c>
      <c r="G22" s="7" t="n">
        <v>0.240216730637246</v>
      </c>
      <c r="H22" s="7" t="n">
        <v>-0.942305291267999</v>
      </c>
      <c r="I22" s="7" t="n">
        <v>0.240216730637246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2" activeCellId="0" sqref="C3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8.41"/>
  </cols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0.801116015713826</v>
      </c>
    </row>
    <row r="5" customFormat="false" ht="12.75" hidden="false" customHeight="false" outlineLevel="0" collapsed="false">
      <c r="A5" s="6" t="s">
        <v>60</v>
      </c>
      <c r="B5" s="6" t="n">
        <v>0.641786870633195</v>
      </c>
    </row>
    <row r="6" customFormat="false" ht="12.75" hidden="false" customHeight="false" outlineLevel="0" collapsed="false">
      <c r="A6" s="6" t="s">
        <v>61</v>
      </c>
      <c r="B6" s="6" t="n">
        <v>0.590613566437938</v>
      </c>
    </row>
    <row r="7" customFormat="false" ht="12.75" hidden="false" customHeight="false" outlineLevel="0" collapsed="false">
      <c r="A7" s="6" t="s">
        <v>62</v>
      </c>
      <c r="B7" s="6" t="n">
        <v>0.0466943311534475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6</v>
      </c>
      <c r="C12" s="6" t="n">
        <v>0.164069153304686</v>
      </c>
      <c r="D12" s="6" t="n">
        <v>0.0273448588841143</v>
      </c>
      <c r="E12" s="6" t="n">
        <v>12.5414389538807</v>
      </c>
      <c r="F12" s="6" t="n">
        <v>4.75201657081144E-008</v>
      </c>
    </row>
    <row r="13" customFormat="false" ht="12.75" hidden="false" customHeight="false" outlineLevel="0" collapsed="false">
      <c r="A13" s="6" t="s">
        <v>71</v>
      </c>
      <c r="B13" s="6" t="n">
        <v>42</v>
      </c>
      <c r="C13" s="6" t="n">
        <v>0.0915751435984482</v>
      </c>
      <c r="D13" s="6" t="n">
        <v>0.00218036056186781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0.255644296903134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-0.0388015621832761</v>
      </c>
      <c r="C17" s="6" t="n">
        <v>0.0175476035172065</v>
      </c>
      <c r="D17" s="6" t="n">
        <v>-2.21121716963965</v>
      </c>
      <c r="E17" s="6" t="n">
        <v>0.0325180997738627</v>
      </c>
      <c r="F17" s="6" t="n">
        <v>-0.0742140709723869</v>
      </c>
      <c r="G17" s="6" t="n">
        <v>-0.00338905339416537</v>
      </c>
      <c r="H17" s="6" t="n">
        <v>-0.0742140709723869</v>
      </c>
      <c r="I17" s="6" t="n">
        <v>-0.00338905339416537</v>
      </c>
    </row>
    <row r="18" customFormat="false" ht="12.75" hidden="false" customHeight="false" outlineLevel="0" collapsed="false">
      <c r="A18" s="6" t="s">
        <v>84</v>
      </c>
      <c r="B18" s="6" t="n">
        <v>3.60725443710952E-009</v>
      </c>
      <c r="C18" s="6" t="n">
        <v>1.28345775552816E-009</v>
      </c>
      <c r="D18" s="6" t="n">
        <v>2.81057512144223</v>
      </c>
      <c r="E18" s="6" t="n">
        <v>0.00748060415748488</v>
      </c>
      <c r="F18" s="6" t="n">
        <v>1.01713100495388E-009</v>
      </c>
      <c r="G18" s="6" t="n">
        <v>6.19737786926516E-009</v>
      </c>
      <c r="H18" s="6" t="n">
        <v>1.01713100495388E-009</v>
      </c>
      <c r="I18" s="6" t="n">
        <v>6.19737786926516E-009</v>
      </c>
    </row>
    <row r="19" customFormat="false" ht="12.75" hidden="false" customHeight="false" outlineLevel="0" collapsed="false">
      <c r="A19" s="6" t="s">
        <v>105</v>
      </c>
      <c r="B19" s="6" t="n">
        <v>0.30730054347129</v>
      </c>
      <c r="C19" s="6" t="n">
        <v>0.0956548022921575</v>
      </c>
      <c r="D19" s="6" t="n">
        <v>3.21259922249074</v>
      </c>
      <c r="E19" s="6" t="n">
        <v>0.00252660289290187</v>
      </c>
      <c r="F19" s="6" t="n">
        <v>0.114261276110927</v>
      </c>
      <c r="G19" s="6" t="n">
        <v>0.500339810831654</v>
      </c>
      <c r="H19" s="6" t="n">
        <v>0.114261276110927</v>
      </c>
      <c r="I19" s="6" t="n">
        <v>0.500339810831654</v>
      </c>
    </row>
    <row r="20" customFormat="false" ht="12.75" hidden="false" customHeight="false" outlineLevel="0" collapsed="false">
      <c r="A20" s="6" t="s">
        <v>100</v>
      </c>
      <c r="B20" s="6" t="n">
        <v>0.984500676828965</v>
      </c>
      <c r="C20" s="6" t="n">
        <v>0.406343428317574</v>
      </c>
      <c r="D20" s="6" t="n">
        <v>2.42282908549843</v>
      </c>
      <c r="E20" s="6" t="n">
        <v>0.019791429781789</v>
      </c>
      <c r="F20" s="6" t="n">
        <v>0.164466179663379</v>
      </c>
      <c r="G20" s="6" t="n">
        <v>1.80453517399455</v>
      </c>
      <c r="H20" s="6" t="n">
        <v>0.164466179663379</v>
      </c>
      <c r="I20" s="6" t="n">
        <v>1.80453517399455</v>
      </c>
    </row>
    <row r="21" customFormat="false" ht="12.75" hidden="false" customHeight="false" outlineLevel="0" collapsed="false">
      <c r="A21" s="6" t="s">
        <v>106</v>
      </c>
      <c r="B21" s="6" t="n">
        <v>0.141818363451403</v>
      </c>
      <c r="C21" s="6" t="n">
        <v>0.163461336986931</v>
      </c>
      <c r="D21" s="6" t="n">
        <v>0.867595763411264</v>
      </c>
      <c r="E21" s="6" t="n">
        <v>0.390545862605414</v>
      </c>
      <c r="F21" s="6" t="n">
        <v>-0.188060074196989</v>
      </c>
      <c r="G21" s="6" t="n">
        <v>0.471696801099794</v>
      </c>
      <c r="H21" s="6" t="n">
        <v>-0.188060074196989</v>
      </c>
      <c r="I21" s="6" t="n">
        <v>0.471696801099794</v>
      </c>
    </row>
    <row r="22" customFormat="false" ht="12.75" hidden="false" customHeight="false" outlineLevel="0" collapsed="false">
      <c r="A22" s="6" t="s">
        <v>101</v>
      </c>
      <c r="B22" s="6" t="n">
        <v>-0.149297002758097</v>
      </c>
      <c r="C22" s="6" t="n">
        <v>0.278300433315518</v>
      </c>
      <c r="D22" s="6" t="n">
        <v>-0.536459828608439</v>
      </c>
      <c r="E22" s="6" t="n">
        <v>0.594471088168267</v>
      </c>
      <c r="F22" s="6" t="n">
        <v>-0.710930192790878</v>
      </c>
      <c r="G22" s="6" t="n">
        <v>0.412336187274683</v>
      </c>
      <c r="H22" s="6" t="n">
        <v>-0.710930192790878</v>
      </c>
      <c r="I22" s="6" t="n">
        <v>0.412336187274683</v>
      </c>
    </row>
    <row r="23" customFormat="false" ht="13.5" hidden="false" customHeight="false" outlineLevel="0" collapsed="false">
      <c r="A23" s="7" t="s">
        <v>3</v>
      </c>
      <c r="B23" s="7" t="n">
        <v>0.0051962971496468</v>
      </c>
      <c r="C23" s="7" t="n">
        <v>0.0376548598268424</v>
      </c>
      <c r="D23" s="7" t="n">
        <v>0.137998047889229</v>
      </c>
      <c r="E23" s="7" t="n">
        <v>0.89090145574973</v>
      </c>
      <c r="F23" s="7" t="n">
        <v>-0.0707943105286756</v>
      </c>
      <c r="G23" s="7" t="n">
        <v>0.0811869048279692</v>
      </c>
      <c r="H23" s="7" t="n">
        <v>-0.0707943105286756</v>
      </c>
      <c r="I23" s="7" t="n">
        <v>0.0811869048279692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  <c r="C1" s="0" t="s">
        <v>107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0.565375651256394</v>
      </c>
    </row>
    <row r="5" customFormat="false" ht="12.75" hidden="false" customHeight="false" outlineLevel="0" collapsed="false">
      <c r="A5" s="6" t="s">
        <v>60</v>
      </c>
      <c r="B5" s="6" t="n">
        <v>0.319649627033592</v>
      </c>
    </row>
    <row r="6" customFormat="false" ht="12.75" hidden="false" customHeight="false" outlineLevel="0" collapsed="false">
      <c r="A6" s="6" t="s">
        <v>61</v>
      </c>
      <c r="B6" s="6" t="n">
        <v>0.290069176035052</v>
      </c>
    </row>
    <row r="7" customFormat="false" ht="12.75" hidden="false" customHeight="false" outlineLevel="0" collapsed="false">
      <c r="A7" s="6" t="s">
        <v>62</v>
      </c>
      <c r="B7" s="6" t="n">
        <v>0.0325319768573026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2</v>
      </c>
      <c r="C12" s="6" t="n">
        <v>0.022872851789992</v>
      </c>
      <c r="D12" s="6" t="n">
        <v>0.011436425894996</v>
      </c>
      <c r="E12" s="6" t="n">
        <v>10.8061106657696</v>
      </c>
      <c r="F12" s="6" t="n">
        <v>0.000142183901062158</v>
      </c>
    </row>
    <row r="13" customFormat="false" ht="12.75" hidden="false" customHeight="false" outlineLevel="0" collapsed="false">
      <c r="A13" s="6" t="s">
        <v>71</v>
      </c>
      <c r="B13" s="6" t="n">
        <v>46</v>
      </c>
      <c r="C13" s="6" t="n">
        <v>0.0486831578392272</v>
      </c>
      <c r="D13" s="6" t="n">
        <v>0.00105832951824407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0.0715560096292192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0.0546074125968009</v>
      </c>
      <c r="C17" s="6" t="n">
        <v>0.0105131045081609</v>
      </c>
      <c r="D17" s="6" t="n">
        <v>5.19422331951624</v>
      </c>
      <c r="E17" s="6" t="n">
        <v>4.56809706625074E-006</v>
      </c>
      <c r="F17" s="6" t="n">
        <v>0.033445651038603</v>
      </c>
      <c r="G17" s="6" t="n">
        <v>0.0757691741549988</v>
      </c>
      <c r="H17" s="6" t="n">
        <v>0.033445651038603</v>
      </c>
      <c r="I17" s="6" t="n">
        <v>0.0757691741549988</v>
      </c>
    </row>
    <row r="18" customFormat="false" ht="12.75" hidden="false" customHeight="false" outlineLevel="0" collapsed="false">
      <c r="A18" s="6" t="s">
        <v>81</v>
      </c>
      <c r="B18" s="6" t="n">
        <v>-3.21076133010691E-007</v>
      </c>
      <c r="C18" s="6" t="n">
        <v>1.13864277214385E-007</v>
      </c>
      <c r="D18" s="6" t="n">
        <v>-2.81981443930974</v>
      </c>
      <c r="E18" s="6" t="n">
        <v>0.00706613868355145</v>
      </c>
      <c r="F18" s="6" t="n">
        <v>-5.50272816305993E-007</v>
      </c>
      <c r="G18" s="6" t="n">
        <v>-9.18794497153893E-008</v>
      </c>
      <c r="H18" s="6" t="n">
        <v>-5.50272816305993E-007</v>
      </c>
      <c r="I18" s="6" t="n">
        <v>-9.18794497153893E-008</v>
      </c>
    </row>
    <row r="19" customFormat="false" ht="13.5" hidden="false" customHeight="false" outlineLevel="0" collapsed="false">
      <c r="A19" s="7" t="s">
        <v>102</v>
      </c>
      <c r="B19" s="7" t="n">
        <v>4.24069903405483E-005</v>
      </c>
      <c r="C19" s="7" t="n">
        <v>2.24271402807011E-005</v>
      </c>
      <c r="D19" s="7" t="n">
        <v>1.89087818641952</v>
      </c>
      <c r="E19" s="7" t="n">
        <v>0.0649485116468896</v>
      </c>
      <c r="F19" s="7" t="n">
        <v>-2.73645845557478E-006</v>
      </c>
      <c r="G19" s="7" t="n">
        <v>8.75504391366713E-005</v>
      </c>
      <c r="H19" s="7" t="n">
        <v>-2.73645845557478E-006</v>
      </c>
      <c r="I19" s="7" t="n">
        <v>8.75504391366713E-005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45" activeCellId="0" sqref="A45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3" style="0" width="12.85"/>
    <col collapsed="false" customWidth="true" hidden="false" outlineLevel="0" max="4" min="4" style="0" width="11.85"/>
    <col collapsed="false" customWidth="true" hidden="false" outlineLevel="0" max="5" min="5" style="0" width="14.85"/>
    <col collapsed="false" customWidth="true" hidden="false" outlineLevel="0" max="6" min="6" style="0" width="11.13"/>
    <col collapsed="false" customWidth="true" hidden="false" outlineLevel="0" max="7" min="7" style="0" width="11.56"/>
  </cols>
  <sheetData>
    <row r="1" customFormat="false" ht="12.75" hidden="false" customHeight="false" outlineLevel="0" collapsed="false">
      <c r="A1" s="0" t="s">
        <v>108</v>
      </c>
    </row>
    <row r="2" customFormat="false" ht="12.75" hidden="false" customHeight="false" outlineLevel="0" collapsed="false">
      <c r="A2" s="0" t="s">
        <v>109</v>
      </c>
    </row>
    <row r="3" customFormat="false" ht="12.75" hidden="false" customHeight="false" outlineLevel="0" collapsed="false">
      <c r="A3" s="0" t="s">
        <v>110</v>
      </c>
    </row>
    <row r="4" customFormat="false" ht="12.75" hidden="false" customHeight="false" outlineLevel="0" collapsed="false">
      <c r="A4" s="0" t="s">
        <v>111</v>
      </c>
    </row>
    <row r="5" customFormat="false" ht="12.75" hidden="false" customHeight="false" outlineLevel="0" collapsed="false">
      <c r="A5" s="0" t="s">
        <v>112</v>
      </c>
    </row>
    <row r="7" customFormat="false" ht="13.5" hidden="false" customHeight="false" outlineLevel="0" collapsed="false"/>
    <row r="8" customFormat="false" ht="12.75" hidden="false" customHeight="false" outlineLevel="0" collapsed="false">
      <c r="A8" s="8"/>
      <c r="B8" s="8" t="s">
        <v>113</v>
      </c>
      <c r="C8" s="8" t="s">
        <v>114</v>
      </c>
      <c r="D8" s="8" t="s">
        <v>115</v>
      </c>
      <c r="E8" s="8" t="s">
        <v>116</v>
      </c>
    </row>
    <row r="9" customFormat="false" ht="12.75" hidden="false" customHeight="false" outlineLevel="0" collapsed="false">
      <c r="A9" s="6" t="s">
        <v>117</v>
      </c>
      <c r="B9" s="6" t="n">
        <v>0.0420042833674684</v>
      </c>
      <c r="C9" s="6" t="n">
        <v>0.0729789206014218</v>
      </c>
      <c r="D9" s="6" t="n">
        <v>0</v>
      </c>
      <c r="E9" s="6" t="n">
        <v>0.331822037089797</v>
      </c>
    </row>
    <row r="10" customFormat="false" ht="12.75" hidden="false" customHeight="false" outlineLevel="0" collapsed="false">
      <c r="A10" s="6" t="s">
        <v>84</v>
      </c>
      <c r="B10" s="6" t="n">
        <v>5338722.3877551</v>
      </c>
      <c r="C10" s="6" t="n">
        <v>5779174.66837188</v>
      </c>
      <c r="D10" s="6" t="n">
        <v>480184</v>
      </c>
      <c r="E10" s="6" t="n">
        <v>31589153</v>
      </c>
    </row>
    <row r="11" customFormat="false" ht="12.75" hidden="false" customHeight="false" outlineLevel="0" collapsed="false">
      <c r="A11" s="6" t="s">
        <v>105</v>
      </c>
      <c r="B11" s="6" t="n">
        <v>0.0748801382019185</v>
      </c>
      <c r="C11" s="6" t="n">
        <v>0.114610023517382</v>
      </c>
      <c r="D11" s="6" t="n">
        <v>0</v>
      </c>
      <c r="E11" s="6" t="n">
        <v>0.424725274725275</v>
      </c>
    </row>
    <row r="12" customFormat="false" ht="12.75" hidden="false" customHeight="false" outlineLevel="0" collapsed="false">
      <c r="A12" s="6" t="s">
        <v>100</v>
      </c>
      <c r="B12" s="6" t="n">
        <v>0.0372393142980251</v>
      </c>
      <c r="C12" s="6" t="n">
        <v>0.0269260351740362</v>
      </c>
      <c r="D12" s="6" t="n">
        <v>0.004523030247648</v>
      </c>
      <c r="E12" s="6" t="n">
        <v>0.138328875404208</v>
      </c>
    </row>
    <row r="13" customFormat="false" ht="13.5" hidden="false" customHeight="false" outlineLevel="0" collapsed="false">
      <c r="A13" s="7" t="s">
        <v>106</v>
      </c>
      <c r="B13" s="7" t="n">
        <v>2.15840876724981E-008</v>
      </c>
      <c r="C13" s="7" t="n">
        <v>1.32323083885098E-007</v>
      </c>
      <c r="D13" s="7" t="n">
        <v>1.3511322495704E-016</v>
      </c>
      <c r="E13" s="7" t="n">
        <v>9.26178802127664E-007</v>
      </c>
    </row>
    <row r="16" customFormat="false" ht="12.75" hidden="false" customHeight="false" outlineLevel="0" collapsed="false">
      <c r="A16" s="0" t="s">
        <v>118</v>
      </c>
    </row>
    <row r="17" customFormat="false" ht="12.75" hidden="false" customHeight="false" outlineLevel="0" collapsed="false">
      <c r="A17" s="0" t="s">
        <v>119</v>
      </c>
    </row>
    <row r="18" customFormat="false" ht="12.75" hidden="false" customHeight="false" outlineLevel="0" collapsed="false">
      <c r="A18" s="0" t="s">
        <v>120</v>
      </c>
    </row>
    <row r="21" customFormat="false" ht="12.75" hidden="false" customHeight="false" outlineLevel="0" collapsed="false">
      <c r="A21" s="0" t="s">
        <v>121</v>
      </c>
    </row>
    <row r="22" customFormat="false" ht="13.5" hidden="false" customHeight="false" outlineLevel="0" collapsed="false"/>
    <row r="23" customFormat="false" ht="12.75" hidden="false" customHeight="false" outlineLevel="0" collapsed="false">
      <c r="A23" s="9"/>
      <c r="B23" s="9" t="s">
        <v>122</v>
      </c>
      <c r="C23" s="9" t="s">
        <v>123</v>
      </c>
      <c r="D23" s="9" t="s">
        <v>124</v>
      </c>
      <c r="E23" s="9" t="s">
        <v>125</v>
      </c>
      <c r="F23" s="9" t="s">
        <v>126</v>
      </c>
    </row>
    <row r="24" customFormat="false" ht="12.75" hidden="false" customHeight="false" outlineLevel="0" collapsed="false">
      <c r="A24" s="10" t="s">
        <v>127</v>
      </c>
      <c r="B24" s="10" t="n">
        <v>4</v>
      </c>
      <c r="C24" s="11" t="n">
        <v>0.167421444498192</v>
      </c>
      <c r="D24" s="11" t="n">
        <v>0.0418553611245479</v>
      </c>
      <c r="E24" s="11" t="n">
        <v>20.8748168901523</v>
      </c>
      <c r="F24" s="11" t="n">
        <v>0.0001</v>
      </c>
    </row>
    <row r="25" customFormat="false" ht="12.75" hidden="false" customHeight="false" outlineLevel="0" collapsed="false">
      <c r="A25" s="10" t="s">
        <v>128</v>
      </c>
      <c r="B25" s="10" t="n">
        <v>44</v>
      </c>
      <c r="C25" s="11" t="n">
        <v>0.0882228524049425</v>
      </c>
      <c r="D25" s="11" t="n">
        <v>0.00200506482738506</v>
      </c>
      <c r="E25" s="11"/>
      <c r="F25" s="11"/>
    </row>
    <row r="26" customFormat="false" ht="13.5" hidden="false" customHeight="false" outlineLevel="0" collapsed="false">
      <c r="A26" s="12" t="s">
        <v>72</v>
      </c>
      <c r="B26" s="12" t="n">
        <v>48</v>
      </c>
      <c r="C26" s="13" t="n">
        <v>0.255644296903134</v>
      </c>
      <c r="D26" s="13"/>
      <c r="E26" s="13"/>
      <c r="F26" s="13"/>
    </row>
    <row r="29" customFormat="false" ht="12.75" hidden="false" customHeight="false" outlineLevel="0" collapsed="false">
      <c r="A29" s="0" t="s">
        <v>129</v>
      </c>
    </row>
    <row r="30" customFormat="false" ht="13.5" hidden="false" customHeight="false" outlineLevel="0" collapsed="false"/>
    <row r="31" customFormat="false" ht="12.75" hidden="false" customHeight="false" outlineLevel="0" collapsed="false">
      <c r="A31" s="8" t="s">
        <v>130</v>
      </c>
      <c r="B31" s="8" t="s">
        <v>122</v>
      </c>
      <c r="C31" s="14" t="s">
        <v>131</v>
      </c>
      <c r="D31" s="14" t="s">
        <v>132</v>
      </c>
      <c r="E31" s="14" t="s">
        <v>125</v>
      </c>
      <c r="F31" s="14" t="s">
        <v>133</v>
      </c>
    </row>
    <row r="32" customFormat="false" ht="12.75" hidden="false" customHeight="false" outlineLevel="0" collapsed="false">
      <c r="A32" s="6" t="s">
        <v>84</v>
      </c>
      <c r="B32" s="6" t="n">
        <v>1</v>
      </c>
      <c r="C32" s="15" t="n">
        <v>0.0181823416089512</v>
      </c>
      <c r="D32" s="15" t="n">
        <v>0.0181823416089512</v>
      </c>
      <c r="E32" s="15" t="n">
        <v>9.06820635453671</v>
      </c>
      <c r="F32" s="15" t="n">
        <v>0.0042980641117891</v>
      </c>
    </row>
    <row r="33" customFormat="false" ht="12.75" hidden="false" customHeight="false" outlineLevel="0" collapsed="false">
      <c r="A33" s="6" t="s">
        <v>105</v>
      </c>
      <c r="B33" s="6" t="n">
        <v>1</v>
      </c>
      <c r="C33" s="15" t="n">
        <v>0.126322833398973</v>
      </c>
      <c r="D33" s="15" t="n">
        <v>0.126322833398973</v>
      </c>
      <c r="E33" s="15" t="n">
        <v>63.0018699014932</v>
      </c>
      <c r="F33" s="15" t="n">
        <v>0.0001</v>
      </c>
    </row>
    <row r="34" customFormat="false" ht="12.75" hidden="false" customHeight="false" outlineLevel="0" collapsed="false">
      <c r="A34" s="6" t="s">
        <v>100</v>
      </c>
      <c r="B34" s="6" t="n">
        <v>1</v>
      </c>
      <c r="C34" s="15" t="n">
        <v>0.0170784127429364</v>
      </c>
      <c r="D34" s="15" t="n">
        <v>0.0170784127429364</v>
      </c>
      <c r="E34" s="15" t="n">
        <v>8.51763619294521</v>
      </c>
      <c r="F34" s="15" t="n">
        <v>0.00552347050688536</v>
      </c>
    </row>
    <row r="35" customFormat="false" ht="13.5" hidden="false" customHeight="false" outlineLevel="0" collapsed="false">
      <c r="A35" s="7" t="s">
        <v>106</v>
      </c>
      <c r="B35" s="7" t="n">
        <v>1</v>
      </c>
      <c r="C35" s="16" t="n">
        <v>0.00583785674733073</v>
      </c>
      <c r="D35" s="16" t="n">
        <v>0.00583785674733073</v>
      </c>
      <c r="E35" s="16" t="n">
        <v>2.91155511163411</v>
      </c>
      <c r="F35" s="16" t="n">
        <v>0.0949969338391866</v>
      </c>
    </row>
    <row r="38" customFormat="false" ht="12.75" hidden="false" customHeight="false" outlineLevel="0" collapsed="false">
      <c r="A38" s="0" t="s">
        <v>134</v>
      </c>
    </row>
    <row r="39" customFormat="false" ht="13.5" hidden="false" customHeight="false" outlineLevel="0" collapsed="false"/>
    <row r="40" customFormat="false" ht="12.75" hidden="false" customHeight="false" outlineLevel="0" collapsed="false">
      <c r="A40" s="8"/>
      <c r="B40" s="8" t="s">
        <v>135</v>
      </c>
      <c r="C40" s="14" t="s">
        <v>136</v>
      </c>
      <c r="D40" s="14" t="s">
        <v>137</v>
      </c>
      <c r="E40" s="14" t="s">
        <v>138</v>
      </c>
      <c r="F40" s="14" t="s">
        <v>139</v>
      </c>
      <c r="G40" s="14" t="s">
        <v>140</v>
      </c>
    </row>
    <row r="41" customFormat="false" ht="12.75" hidden="false" customHeight="false" outlineLevel="0" collapsed="false">
      <c r="A41" s="6" t="s">
        <v>80</v>
      </c>
      <c r="B41" s="6" t="n">
        <v>-0.0344660135452348</v>
      </c>
      <c r="C41" s="15" t="n">
        <v>0.0142314415442474</v>
      </c>
      <c r="D41" s="15" t="n">
        <v>-2.42182167126748</v>
      </c>
      <c r="E41" s="15" t="n">
        <v>0.0196317578536361</v>
      </c>
      <c r="F41" s="15" t="n">
        <v>-0.0631475983052946</v>
      </c>
      <c r="G41" s="15" t="n">
        <v>-0.00578442878517489</v>
      </c>
    </row>
    <row r="42" customFormat="false" ht="12.75" hidden="false" customHeight="false" outlineLevel="0" collapsed="false">
      <c r="A42" s="6" t="s">
        <v>84</v>
      </c>
      <c r="B42" s="6" t="n">
        <v>3.82960863881519E-009</v>
      </c>
      <c r="C42" s="15" t="n">
        <v>1.19814349182053E-009</v>
      </c>
      <c r="D42" s="15" t="n">
        <v>3.19628547411818</v>
      </c>
      <c r="E42" s="15" t="n">
        <v>0.00257740168429716</v>
      </c>
      <c r="F42" s="15" t="n">
        <v>1.41490918559955E-009</v>
      </c>
      <c r="G42" s="15" t="n">
        <v>6.24430809203083E-009</v>
      </c>
    </row>
    <row r="43" customFormat="false" ht="12.75" hidden="false" customHeight="false" outlineLevel="0" collapsed="false">
      <c r="A43" s="6" t="s">
        <v>105</v>
      </c>
      <c r="B43" s="6" t="n">
        <v>0.299644107923951</v>
      </c>
      <c r="C43" s="15" t="n">
        <v>0.0724698952459995</v>
      </c>
      <c r="D43" s="15" t="n">
        <v>4.13473907899007</v>
      </c>
      <c r="E43" s="15" t="n">
        <v>0.000157141711566953</v>
      </c>
      <c r="F43" s="15" t="n">
        <v>0.153590636349177</v>
      </c>
      <c r="G43" s="15" t="n">
        <v>0.445697579498725</v>
      </c>
    </row>
    <row r="44" customFormat="false" ht="12.75" hidden="false" customHeight="false" outlineLevel="0" collapsed="false">
      <c r="A44" s="6" t="s">
        <v>100</v>
      </c>
      <c r="B44" s="6" t="n">
        <v>0.846971929838998</v>
      </c>
      <c r="C44" s="15" t="n">
        <v>0.289258557409539</v>
      </c>
      <c r="D44" s="15" t="n">
        <v>2.9280790771553</v>
      </c>
      <c r="E44" s="15" t="n">
        <v>0.00538336132501233</v>
      </c>
      <c r="F44" s="15" t="n">
        <v>0.264009634268323</v>
      </c>
      <c r="G44" s="15" t="n">
        <v>1.42993422540967</v>
      </c>
    </row>
    <row r="45" customFormat="false" ht="13.5" hidden="false" customHeight="false" outlineLevel="0" collapsed="false">
      <c r="A45" s="7" t="s">
        <v>141</v>
      </c>
      <c r="B45" s="7" t="n">
        <v>94839.9329063646</v>
      </c>
      <c r="C45" s="16" t="n">
        <v>55581.3038615133</v>
      </c>
      <c r="D45" s="16" t="n">
        <v>1.70632796133513</v>
      </c>
      <c r="E45" s="16" t="n">
        <v>0.0949969338391855</v>
      </c>
      <c r="F45" s="16" t="n">
        <v>-17176.8204788905</v>
      </c>
      <c r="G45" s="16" t="n">
        <v>206856.68629162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3" style="0" width="10.85"/>
    <col collapsed="false" customWidth="true" hidden="false" outlineLevel="0" max="4" min="4" style="0" width="9.56"/>
    <col collapsed="false" customWidth="true" hidden="false" outlineLevel="0" max="5" min="5" style="0" width="11.56"/>
    <col collapsed="false" customWidth="true" hidden="false" outlineLevel="0" max="6" min="6" style="0" width="11.42"/>
    <col collapsed="false" customWidth="true" hidden="false" outlineLevel="0" max="7" min="7" style="0" width="11.56"/>
  </cols>
  <sheetData>
    <row r="1" customFormat="false" ht="12.75" hidden="false" customHeight="false" outlineLevel="0" collapsed="false">
      <c r="A1" s="0" t="s">
        <v>142</v>
      </c>
    </row>
    <row r="2" customFormat="false" ht="12.75" hidden="false" customHeight="false" outlineLevel="0" collapsed="false">
      <c r="A2" s="0" t="s">
        <v>109</v>
      </c>
    </row>
    <row r="3" customFormat="false" ht="12.75" hidden="false" customHeight="false" outlineLevel="0" collapsed="false">
      <c r="A3" s="0" t="s">
        <v>110</v>
      </c>
    </row>
    <row r="4" customFormat="false" ht="12.75" hidden="false" customHeight="false" outlineLevel="0" collapsed="false">
      <c r="A4" s="0" t="s">
        <v>111</v>
      </c>
    </row>
    <row r="5" customFormat="false" ht="12.75" hidden="false" customHeight="false" outlineLevel="0" collapsed="false">
      <c r="A5" s="0" t="s">
        <v>112</v>
      </c>
    </row>
    <row r="7" customFormat="false" ht="13.5" hidden="false" customHeight="false" outlineLevel="0" collapsed="false"/>
    <row r="8" customFormat="false" ht="12.75" hidden="false" customHeight="false" outlineLevel="0" collapsed="false">
      <c r="A8" s="8"/>
      <c r="B8" s="8" t="s">
        <v>113</v>
      </c>
      <c r="C8" s="8" t="s">
        <v>114</v>
      </c>
      <c r="D8" s="8" t="s">
        <v>115</v>
      </c>
      <c r="E8" s="8" t="s">
        <v>116</v>
      </c>
    </row>
    <row r="9" customFormat="false" ht="12.75" hidden="false" customHeight="false" outlineLevel="0" collapsed="false">
      <c r="A9" s="6" t="s">
        <v>117</v>
      </c>
      <c r="B9" s="6" t="n">
        <v>0.0297578276087786</v>
      </c>
      <c r="C9" s="6" t="n">
        <v>0.0683994743971143</v>
      </c>
      <c r="D9" s="6" t="n">
        <v>0</v>
      </c>
      <c r="E9" s="6" t="n">
        <v>0.331822037089797</v>
      </c>
    </row>
    <row r="10" customFormat="false" ht="12.75" hidden="false" customHeight="false" outlineLevel="0" collapsed="false">
      <c r="A10" s="6" t="s">
        <v>84</v>
      </c>
      <c r="B10" s="6" t="n">
        <v>4649000.48010608</v>
      </c>
      <c r="C10" s="6" t="n">
        <v>3539126.21049401</v>
      </c>
      <c r="D10" s="6" t="n">
        <v>480184</v>
      </c>
      <c r="E10" s="6" t="n">
        <v>31589153</v>
      </c>
    </row>
    <row r="11" customFormat="false" ht="12.75" hidden="false" customHeight="false" outlineLevel="0" collapsed="false">
      <c r="A11" s="6" t="s">
        <v>105</v>
      </c>
      <c r="B11" s="6" t="n">
        <v>0.0445547298471582</v>
      </c>
      <c r="C11" s="6" t="n">
        <v>0.111957686904715</v>
      </c>
      <c r="D11" s="6" t="n">
        <v>0</v>
      </c>
      <c r="E11" s="6" t="n">
        <v>0.424725274725275</v>
      </c>
    </row>
    <row r="12" customFormat="false" ht="12.75" hidden="false" customHeight="false" outlineLevel="0" collapsed="false">
      <c r="A12" s="6" t="s">
        <v>100</v>
      </c>
      <c r="B12" s="6" t="n">
        <v>0.0328625404238531</v>
      </c>
      <c r="C12" s="6" t="n">
        <v>0.0214990737003084</v>
      </c>
      <c r="D12" s="6" t="n">
        <v>0.004523030247648</v>
      </c>
      <c r="E12" s="6" t="n">
        <v>0.138328875404208</v>
      </c>
    </row>
    <row r="13" customFormat="false" ht="13.5" hidden="false" customHeight="false" outlineLevel="0" collapsed="false">
      <c r="A13" s="7" t="s">
        <v>143</v>
      </c>
      <c r="B13" s="7" t="n">
        <v>6.01247115779498E-008</v>
      </c>
      <c r="C13" s="7" t="n">
        <v>2.31575691386766E-007</v>
      </c>
      <c r="D13" s="7" t="n">
        <v>2.57625046539453E-014</v>
      </c>
      <c r="E13" s="7" t="n">
        <v>9.78574048714857E-007</v>
      </c>
    </row>
    <row r="16" customFormat="false" ht="12.75" hidden="false" customHeight="false" outlineLevel="0" collapsed="false">
      <c r="A16" s="0" t="s">
        <v>144</v>
      </c>
    </row>
    <row r="17" customFormat="false" ht="12.75" hidden="false" customHeight="false" outlineLevel="0" collapsed="false">
      <c r="A17" s="0" t="s">
        <v>145</v>
      </c>
    </row>
    <row r="18" customFormat="false" ht="12.75" hidden="false" customHeight="false" outlineLevel="0" collapsed="false">
      <c r="A18" s="0" t="s">
        <v>146</v>
      </c>
    </row>
    <row r="21" customFormat="false" ht="12.75" hidden="false" customHeight="false" outlineLevel="0" collapsed="false">
      <c r="A21" s="0" t="s">
        <v>121</v>
      </c>
    </row>
    <row r="22" customFormat="false" ht="13.5" hidden="false" customHeight="false" outlineLevel="0" collapsed="false"/>
    <row r="23" customFormat="false" ht="12.75" hidden="false" customHeight="false" outlineLevel="0" collapsed="false">
      <c r="A23" s="9"/>
      <c r="B23" s="9" t="s">
        <v>122</v>
      </c>
      <c r="C23" s="9" t="s">
        <v>123</v>
      </c>
      <c r="D23" s="9" t="s">
        <v>124</v>
      </c>
      <c r="E23" s="9" t="s">
        <v>125</v>
      </c>
      <c r="F23" s="9" t="s">
        <v>126</v>
      </c>
    </row>
    <row r="24" customFormat="false" ht="12.75" hidden="false" customHeight="false" outlineLevel="0" collapsed="false">
      <c r="A24" s="10" t="s">
        <v>127</v>
      </c>
      <c r="B24" s="10" t="n">
        <v>4</v>
      </c>
      <c r="C24" s="11" t="n">
        <v>28.9317501025619</v>
      </c>
      <c r="D24" s="11" t="n">
        <v>7.23293752564047</v>
      </c>
      <c r="E24" s="11" t="n">
        <v>39555.0787847198</v>
      </c>
      <c r="F24" s="11" t="n">
        <v>0.0001</v>
      </c>
    </row>
    <row r="25" customFormat="false" ht="12.75" hidden="false" customHeight="false" outlineLevel="0" collapsed="false">
      <c r="A25" s="10" t="s">
        <v>128</v>
      </c>
      <c r="B25" s="10" t="n">
        <v>6431.3636675729</v>
      </c>
      <c r="C25" s="11" t="n">
        <v>1.17602222120206</v>
      </c>
      <c r="D25" s="11" t="n">
        <v>0.000182857366180612</v>
      </c>
      <c r="E25" s="11"/>
      <c r="F25" s="11"/>
    </row>
    <row r="26" customFormat="false" ht="13.5" hidden="false" customHeight="false" outlineLevel="0" collapsed="false">
      <c r="A26" s="12" t="s">
        <v>72</v>
      </c>
      <c r="B26" s="12" t="n">
        <v>6435.3636675729</v>
      </c>
      <c r="C26" s="13" t="n">
        <v>30.1077723237639</v>
      </c>
      <c r="D26" s="13"/>
      <c r="E26" s="13"/>
      <c r="F26" s="13"/>
    </row>
    <row r="29" customFormat="false" ht="12.75" hidden="false" customHeight="false" outlineLevel="0" collapsed="false">
      <c r="A29" s="0" t="s">
        <v>129</v>
      </c>
    </row>
    <row r="30" customFormat="false" ht="13.5" hidden="false" customHeight="false" outlineLevel="0" collapsed="false"/>
    <row r="31" customFormat="false" ht="12.75" hidden="false" customHeight="false" outlineLevel="0" collapsed="false">
      <c r="A31" s="8" t="s">
        <v>130</v>
      </c>
      <c r="B31" s="8" t="s">
        <v>122</v>
      </c>
      <c r="C31" s="14" t="s">
        <v>131</v>
      </c>
      <c r="D31" s="14" t="s">
        <v>132</v>
      </c>
      <c r="E31" s="14" t="s">
        <v>125</v>
      </c>
      <c r="F31" s="14" t="s">
        <v>133</v>
      </c>
    </row>
    <row r="32" customFormat="false" ht="12.75" hidden="false" customHeight="false" outlineLevel="0" collapsed="false">
      <c r="A32" s="6" t="s">
        <v>84</v>
      </c>
      <c r="B32" s="6" t="n">
        <v>1</v>
      </c>
      <c r="C32" s="15" t="n">
        <v>3.09087224511542</v>
      </c>
      <c r="D32" s="15" t="n">
        <v>3.09087224511542</v>
      </c>
      <c r="E32" s="15" t="n">
        <v>16903.186946609</v>
      </c>
      <c r="F32" s="15" t="n">
        <v>0.0001</v>
      </c>
    </row>
    <row r="33" customFormat="false" ht="12.75" hidden="false" customHeight="false" outlineLevel="0" collapsed="false">
      <c r="A33" s="6" t="s">
        <v>105</v>
      </c>
      <c r="B33" s="6" t="n">
        <v>1</v>
      </c>
      <c r="C33" s="15" t="n">
        <v>24.5525396986436</v>
      </c>
      <c r="D33" s="15" t="n">
        <v>24.5525396986436</v>
      </c>
      <c r="E33" s="15" t="n">
        <v>134271.537491099</v>
      </c>
      <c r="F33" s="15" t="n">
        <v>0.0001</v>
      </c>
    </row>
    <row r="34" customFormat="false" ht="12.75" hidden="false" customHeight="false" outlineLevel="0" collapsed="false">
      <c r="A34" s="6" t="s">
        <v>100</v>
      </c>
      <c r="B34" s="6" t="n">
        <v>1</v>
      </c>
      <c r="C34" s="15" t="n">
        <v>0.5568605449701</v>
      </c>
      <c r="D34" s="15" t="n">
        <v>0.5568605449701</v>
      </c>
      <c r="E34" s="15" t="n">
        <v>3045.32738604622</v>
      </c>
      <c r="F34" s="15" t="n">
        <v>0.0001</v>
      </c>
    </row>
    <row r="35" customFormat="false" ht="13.5" hidden="false" customHeight="false" outlineLevel="0" collapsed="false">
      <c r="A35" s="7" t="s">
        <v>143</v>
      </c>
      <c r="B35" s="7" t="n">
        <v>1</v>
      </c>
      <c r="C35" s="16" t="n">
        <v>0.731477613832755</v>
      </c>
      <c r="D35" s="16" t="n">
        <v>0.731477613832755</v>
      </c>
      <c r="E35" s="16" t="n">
        <v>4000.2633151254</v>
      </c>
      <c r="F35" s="16" t="n">
        <v>0.0001</v>
      </c>
    </row>
    <row r="38" customFormat="false" ht="12.75" hidden="false" customHeight="false" outlineLevel="0" collapsed="false">
      <c r="A38" s="0" t="s">
        <v>134</v>
      </c>
    </row>
    <row r="39" customFormat="false" ht="13.5" hidden="false" customHeight="false" outlineLevel="0" collapsed="false"/>
    <row r="40" customFormat="false" ht="12.75" hidden="false" customHeight="false" outlineLevel="0" collapsed="false">
      <c r="A40" s="8"/>
      <c r="B40" s="8" t="s">
        <v>135</v>
      </c>
      <c r="C40" s="14" t="s">
        <v>136</v>
      </c>
      <c r="D40" s="14" t="s">
        <v>137</v>
      </c>
      <c r="E40" s="14" t="s">
        <v>138</v>
      </c>
      <c r="F40" s="14" t="s">
        <v>139</v>
      </c>
      <c r="G40" s="14" t="s">
        <v>140</v>
      </c>
    </row>
    <row r="41" customFormat="false" ht="12.75" hidden="false" customHeight="false" outlineLevel="0" collapsed="false">
      <c r="A41" s="6" t="s">
        <v>80</v>
      </c>
      <c r="B41" s="6" t="n">
        <v>-0.0233530637233089</v>
      </c>
      <c r="C41" s="15" t="n">
        <v>0.000526297011069702</v>
      </c>
      <c r="D41" s="15" t="n">
        <v>-44.3724042358585</v>
      </c>
      <c r="E41" s="15" t="n">
        <v>0.0001</v>
      </c>
      <c r="F41" s="15" t="n">
        <v>-0.0243847816351279</v>
      </c>
      <c r="G41" s="15" t="n">
        <v>-0.0223213458114899</v>
      </c>
    </row>
    <row r="42" customFormat="false" ht="12.75" hidden="false" customHeight="false" outlineLevel="0" collapsed="false">
      <c r="A42" s="6" t="s">
        <v>84</v>
      </c>
      <c r="B42" s="6" t="n">
        <v>2.73352215642262E-009</v>
      </c>
      <c r="C42" s="15" t="n">
        <v>5.94793344766097E-011</v>
      </c>
      <c r="D42" s="15" t="n">
        <v>45.9575107972598</v>
      </c>
      <c r="E42" s="15" t="n">
        <v>0.0001</v>
      </c>
      <c r="F42" s="15" t="n">
        <v>2.61692279622891E-009</v>
      </c>
      <c r="G42" s="15" t="n">
        <v>2.85012151661633E-009</v>
      </c>
    </row>
    <row r="43" customFormat="false" ht="12.75" hidden="false" customHeight="false" outlineLevel="0" collapsed="false">
      <c r="A43" s="6" t="s">
        <v>105</v>
      </c>
      <c r="B43" s="6" t="n">
        <v>0.336082543414965</v>
      </c>
      <c r="C43" s="15" t="n">
        <v>0.00335238912450588</v>
      </c>
      <c r="D43" s="15" t="n">
        <v>100.251650668537</v>
      </c>
      <c r="E43" s="15" t="n">
        <v>0.0001</v>
      </c>
      <c r="F43" s="15" t="n">
        <v>0.329510741116278</v>
      </c>
      <c r="G43" s="15" t="n">
        <v>0.342654345713651</v>
      </c>
    </row>
    <row r="44" customFormat="false" ht="12.75" hidden="false" customHeight="false" outlineLevel="0" collapsed="false">
      <c r="A44" s="6" t="s">
        <v>100</v>
      </c>
      <c r="B44" s="6" t="n">
        <v>0.606659339648306</v>
      </c>
      <c r="C44" s="15" t="n">
        <v>0.0108990138878227</v>
      </c>
      <c r="D44" s="15" t="n">
        <v>55.6618558240499</v>
      </c>
      <c r="E44" s="15" t="n">
        <v>0.0001</v>
      </c>
      <c r="F44" s="15" t="n">
        <v>0.585293632428393</v>
      </c>
      <c r="G44" s="15" t="n">
        <v>0.628025046868219</v>
      </c>
    </row>
    <row r="45" customFormat="false" ht="13.5" hidden="false" customHeight="false" outlineLevel="0" collapsed="false">
      <c r="A45" s="7" t="s">
        <v>143</v>
      </c>
      <c r="B45" s="7" t="n">
        <v>91348.6546455597</v>
      </c>
      <c r="C45" s="16" t="n">
        <v>1444.30151183855</v>
      </c>
      <c r="D45" s="16" t="n">
        <v>63.2476348579568</v>
      </c>
      <c r="E45" s="16" t="n">
        <v>0.0001</v>
      </c>
      <c r="F45" s="16" t="n">
        <v>88517.3413215444</v>
      </c>
      <c r="G45" s="16" t="n">
        <v>94179.967969575</v>
      </c>
    </row>
    <row r="48" customFormat="false" ht="12.75" hidden="false" customHeight="false" outlineLevel="0" collapsed="false">
      <c r="A48" s="0" t="s">
        <v>147</v>
      </c>
    </row>
    <row r="49" customFormat="false" ht="13.5" hidden="false" customHeight="false" outlineLevel="0" collapsed="false"/>
    <row r="50" customFormat="false" ht="12.75" hidden="false" customHeight="false" outlineLevel="0" collapsed="false">
      <c r="A50" s="17" t="s">
        <v>148</v>
      </c>
      <c r="B50" s="17" t="s">
        <v>149</v>
      </c>
      <c r="C50" s="17" t="s">
        <v>84</v>
      </c>
      <c r="D50" s="17" t="s">
        <v>117</v>
      </c>
      <c r="E50" s="18" t="s">
        <v>150</v>
      </c>
      <c r="F50" s="18" t="s">
        <v>128</v>
      </c>
      <c r="G50" s="18" t="s">
        <v>151</v>
      </c>
      <c r="H50" s="18" t="s">
        <v>152</v>
      </c>
      <c r="I50" s="18" t="s">
        <v>153</v>
      </c>
    </row>
    <row r="51" customFormat="false" ht="12.75" hidden="false" customHeight="false" outlineLevel="0" collapsed="false">
      <c r="A51" s="10" t="n">
        <v>1</v>
      </c>
      <c r="B51" s="10" t="n">
        <v>492.238155571898</v>
      </c>
      <c r="C51" s="10" t="n">
        <v>4252982</v>
      </c>
      <c r="D51" s="10" t="n">
        <v>0</v>
      </c>
      <c r="E51" s="11" t="n">
        <v>0.00274262654315651</v>
      </c>
      <c r="F51" s="11" t="n">
        <v>-0.00274262654315651</v>
      </c>
      <c r="G51" s="11" t="n">
        <v>-0.0838968490994902</v>
      </c>
      <c r="H51" s="11" t="n">
        <v>-0.0237685612729982</v>
      </c>
      <c r="I51" s="11" t="n">
        <v>0.0292538143593112</v>
      </c>
    </row>
    <row r="52" customFormat="false" ht="12.75" hidden="false" customHeight="false" outlineLevel="0" collapsed="false">
      <c r="A52" s="10" t="n">
        <v>2</v>
      </c>
      <c r="B52" s="10" t="n">
        <v>113.654992631448</v>
      </c>
      <c r="C52" s="10" t="n">
        <v>4217940</v>
      </c>
      <c r="D52" s="10" t="n">
        <v>0</v>
      </c>
      <c r="E52" s="11" t="n">
        <v>-0.0050241498638997</v>
      </c>
      <c r="F52" s="11" t="n">
        <v>0.0050241498638997</v>
      </c>
      <c r="G52" s="11" t="n">
        <v>0.0949500598481204</v>
      </c>
      <c r="H52" s="11" t="n">
        <v>-0.0315377267259695</v>
      </c>
      <c r="I52" s="11" t="n">
        <v>0.0214894269981701</v>
      </c>
    </row>
    <row r="53" customFormat="false" ht="12.75" hidden="false" customHeight="false" outlineLevel="0" collapsed="false">
      <c r="A53" s="10" t="n">
        <v>3</v>
      </c>
      <c r="B53" s="10" t="n">
        <v>109.139234224834</v>
      </c>
      <c r="C53" s="10" t="n">
        <v>2483769</v>
      </c>
      <c r="D53" s="10" t="n">
        <v>0</v>
      </c>
      <c r="E53" s="11" t="n">
        <v>0.00788129902764868</v>
      </c>
      <c r="F53" s="11" t="n">
        <v>-0.00788129902764868</v>
      </c>
      <c r="G53" s="11" t="n">
        <v>-0.2022259526785</v>
      </c>
      <c r="H53" s="11" t="n">
        <v>-0.018630630793386</v>
      </c>
      <c r="I53" s="11" t="n">
        <v>0.0343932288486834</v>
      </c>
    </row>
    <row r="54" customFormat="false" ht="12.75" hidden="false" customHeight="false" outlineLevel="0" collapsed="false">
      <c r="A54" s="10" t="n">
        <v>4</v>
      </c>
      <c r="B54" s="10" t="n">
        <v>14.4396430143023</v>
      </c>
      <c r="C54" s="10" t="n">
        <v>31589153</v>
      </c>
      <c r="D54" s="10" t="n">
        <v>0.0211415213324095</v>
      </c>
      <c r="E54" s="11" t="n">
        <v>0.0657406302646245</v>
      </c>
      <c r="F54" s="11" t="n">
        <v>-0.044599108932215</v>
      </c>
      <c r="G54" s="11" t="n">
        <v>-1.04773333702802</v>
      </c>
      <c r="H54" s="11" t="n">
        <v>0.0390663214074603</v>
      </c>
      <c r="I54" s="11" t="n">
        <v>0.0924149391217888</v>
      </c>
    </row>
    <row r="55" customFormat="false" ht="12.75" hidden="false" customHeight="false" outlineLevel="0" collapsed="false">
      <c r="A55" s="10" t="n">
        <v>5</v>
      </c>
      <c r="B55" s="10" t="n">
        <v>84.0690653466498</v>
      </c>
      <c r="C55" s="10" t="n">
        <v>3746585</v>
      </c>
      <c r="D55" s="10" t="n">
        <v>0.00295777769394722</v>
      </c>
      <c r="E55" s="11" t="n">
        <v>-0.00332257475396239</v>
      </c>
      <c r="F55" s="11" t="n">
        <v>0.00628035244790961</v>
      </c>
      <c r="G55" s="11" t="n">
        <v>0.123876854877016</v>
      </c>
      <c r="H55" s="11" t="n">
        <v>-0.0298383143527903</v>
      </c>
      <c r="I55" s="11" t="n">
        <v>0.0231931648448656</v>
      </c>
    </row>
    <row r="56" customFormat="false" ht="12.75" hidden="false" customHeight="false" outlineLevel="0" collapsed="false">
      <c r="A56" s="10" t="n">
        <v>6</v>
      </c>
      <c r="B56" s="10" t="n">
        <v>7.94003385058342</v>
      </c>
      <c r="C56" s="10" t="n">
        <v>3274662</v>
      </c>
      <c r="D56" s="10" t="n">
        <v>0.000259885785260088</v>
      </c>
      <c r="E56" s="11" t="n">
        <v>0.135950663833403</v>
      </c>
      <c r="F56" s="11" t="n">
        <v>-0.135690778048143</v>
      </c>
      <c r="G56" s="11" t="n">
        <v>-3.14531701890937</v>
      </c>
      <c r="H56" s="11" t="n">
        <v>0.109357478707085</v>
      </c>
      <c r="I56" s="11" t="n">
        <v>0.162543848959721</v>
      </c>
    </row>
    <row r="57" customFormat="false" ht="12.75" hidden="false" customHeight="false" outlineLevel="0" collapsed="false">
      <c r="A57" s="10" t="n">
        <v>7</v>
      </c>
      <c r="B57" s="10" t="n">
        <v>10.031359262262</v>
      </c>
      <c r="C57" s="10" t="n">
        <v>717197</v>
      </c>
      <c r="D57" s="10" t="n">
        <v>0.252590047672857</v>
      </c>
      <c r="E57" s="11" t="n">
        <v>0.138196545993686</v>
      </c>
      <c r="F57" s="11" t="n">
        <v>0.114393501679171</v>
      </c>
      <c r="G57" s="11" t="n">
        <v>2.61341711498237</v>
      </c>
      <c r="H57" s="11" t="n">
        <v>0.111611731698552</v>
      </c>
      <c r="I57" s="11" t="n">
        <v>0.16478136028882</v>
      </c>
    </row>
    <row r="58" customFormat="false" ht="12.75" hidden="false" customHeight="false" outlineLevel="0" collapsed="false">
      <c r="A58" s="10" t="n">
        <v>8</v>
      </c>
      <c r="B58" s="10" t="n">
        <v>55.5308330464902</v>
      </c>
      <c r="C58" s="10" t="n">
        <v>14165570</v>
      </c>
      <c r="D58" s="10" t="n">
        <v>0.0778335546482334</v>
      </c>
      <c r="E58" s="11" t="n">
        <v>0.0575293315706564</v>
      </c>
      <c r="F58" s="11" t="n">
        <v>0.020304223077577</v>
      </c>
      <c r="G58" s="11" t="n">
        <v>0.446806958969947</v>
      </c>
      <c r="H58" s="11" t="n">
        <v>0.0309995328462932</v>
      </c>
      <c r="I58" s="11" t="n">
        <v>0.0840591302950197</v>
      </c>
    </row>
    <row r="59" customFormat="false" ht="12.75" hidden="false" customHeight="false" outlineLevel="0" collapsed="false">
      <c r="A59" s="10" t="n">
        <v>9</v>
      </c>
      <c r="B59" s="10" t="n">
        <v>66.158811771631</v>
      </c>
      <c r="C59" s="10" t="n">
        <v>7200882</v>
      </c>
      <c r="D59" s="10" t="n">
        <v>0.0041858290740556</v>
      </c>
      <c r="E59" s="11" t="n">
        <v>0.0160410101421646</v>
      </c>
      <c r="F59" s="11" t="n">
        <v>-0.011855181068109</v>
      </c>
      <c r="G59" s="11" t="n">
        <v>-0.293733224448685</v>
      </c>
      <c r="H59" s="11" t="n">
        <v>-0.0104718548790256</v>
      </c>
      <c r="I59" s="11" t="n">
        <v>0.0425538751633548</v>
      </c>
    </row>
    <row r="60" customFormat="false" ht="12.75" hidden="false" customHeight="false" outlineLevel="0" collapsed="false">
      <c r="A60" s="10" t="n">
        <v>10</v>
      </c>
      <c r="B60" s="10" t="n">
        <v>45.8091868960363</v>
      </c>
      <c r="C60" s="10" t="n">
        <v>1186815</v>
      </c>
      <c r="D60" s="10" t="n">
        <v>0</v>
      </c>
      <c r="E60" s="11" t="n">
        <v>-0.0143272355423441</v>
      </c>
      <c r="F60" s="11" t="n">
        <v>0.0143272355423441</v>
      </c>
      <c r="G60" s="11" t="n">
        <v>0.309173829152585</v>
      </c>
      <c r="H60" s="11" t="n">
        <v>-0.0408465992679128</v>
      </c>
      <c r="I60" s="11" t="n">
        <v>0.0121921281832246</v>
      </c>
    </row>
    <row r="61" customFormat="false" ht="12.75" hidden="false" customHeight="false" outlineLevel="0" collapsed="false">
      <c r="A61" s="10" t="n">
        <v>11</v>
      </c>
      <c r="B61" s="10" t="n">
        <v>127.208263114926</v>
      </c>
      <c r="C61" s="10" t="n">
        <v>1163261</v>
      </c>
      <c r="D61" s="10" t="n">
        <v>0</v>
      </c>
      <c r="E61" s="11" t="n">
        <v>-0.00430982197983209</v>
      </c>
      <c r="F61" s="11" t="n">
        <v>0.00430982197983209</v>
      </c>
      <c r="G61" s="11" t="n">
        <v>0.0785011076258686</v>
      </c>
      <c r="H61" s="11" t="n">
        <v>-0.0308236132851886</v>
      </c>
      <c r="I61" s="11" t="n">
        <v>0.0222039693255244</v>
      </c>
    </row>
    <row r="62" customFormat="false" ht="12.75" hidden="false" customHeight="false" outlineLevel="0" collapsed="false">
      <c r="A62" s="10" t="n">
        <v>12</v>
      </c>
      <c r="B62" s="10" t="n">
        <v>30.2455676562769</v>
      </c>
      <c r="C62" s="10" t="n">
        <v>11829940</v>
      </c>
      <c r="D62" s="10" t="n">
        <v>0.0925020274991467</v>
      </c>
      <c r="E62" s="11" t="n">
        <v>0.0538282834286532</v>
      </c>
      <c r="F62" s="11" t="n">
        <v>0.0386737440704936</v>
      </c>
      <c r="G62" s="11" t="n">
        <v>0.869805108555741</v>
      </c>
      <c r="H62" s="11" t="n">
        <v>0.0273058615339305</v>
      </c>
      <c r="I62" s="11" t="n">
        <v>0.0803507053233759</v>
      </c>
    </row>
    <row r="63" customFormat="false" ht="12.75" hidden="false" customHeight="false" outlineLevel="0" collapsed="false">
      <c r="A63" s="10" t="n">
        <v>13</v>
      </c>
      <c r="B63" s="10" t="n">
        <v>110.762434103568</v>
      </c>
      <c r="C63" s="10" t="n">
        <v>5803471</v>
      </c>
      <c r="D63" s="10" t="n">
        <v>0.0425729531743058</v>
      </c>
      <c r="E63" s="11" t="n">
        <v>0.0528878086695788</v>
      </c>
      <c r="F63" s="11" t="n">
        <v>-0.010314855495273</v>
      </c>
      <c r="G63" s="11" t="n">
        <v>-0.258263880021002</v>
      </c>
      <c r="H63" s="11" t="n">
        <v>0.0263701115432362</v>
      </c>
      <c r="I63" s="11" t="n">
        <v>0.0794055057959214</v>
      </c>
    </row>
    <row r="64" customFormat="false" ht="12.75" hidden="false" customHeight="false" outlineLevel="0" collapsed="false">
      <c r="A64" s="10" t="n">
        <v>14</v>
      </c>
      <c r="B64" s="10" t="n">
        <v>151.380490391816</v>
      </c>
      <c r="C64" s="10" t="n">
        <v>2841764</v>
      </c>
      <c r="D64" s="10" t="n">
        <v>0.00107334901207605</v>
      </c>
      <c r="E64" s="11" t="n">
        <v>0.00681273011686875</v>
      </c>
      <c r="F64" s="11" t="n">
        <v>-0.0057393811047927</v>
      </c>
      <c r="G64" s="11" t="n">
        <v>-0.152903636746468</v>
      </c>
      <c r="H64" s="11" t="n">
        <v>-0.019698780132177</v>
      </c>
      <c r="I64" s="11" t="n">
        <v>0.0333242403659144</v>
      </c>
    </row>
    <row r="65" customFormat="false" ht="12.75" hidden="false" customHeight="false" outlineLevel="0" collapsed="false">
      <c r="A65" s="10" t="n">
        <v>15</v>
      </c>
      <c r="B65" s="10" t="n">
        <v>23.7430704983707</v>
      </c>
      <c r="C65" s="10" t="n">
        <v>2565328</v>
      </c>
      <c r="D65" s="10" t="n">
        <v>0.0645640225441334</v>
      </c>
      <c r="E65" s="11" t="n">
        <v>0.106825027104039</v>
      </c>
      <c r="F65" s="11" t="n">
        <v>-0.0422610045599055</v>
      </c>
      <c r="G65" s="11" t="n">
        <v>-0.993893401658623</v>
      </c>
      <c r="H65" s="11" t="n">
        <v>0.0802790700767502</v>
      </c>
      <c r="I65" s="11" t="n">
        <v>0.133370984131327</v>
      </c>
    </row>
    <row r="66" customFormat="false" ht="12.75" hidden="false" customHeight="false" outlineLevel="0" collapsed="false">
      <c r="A66" s="10" t="n">
        <v>16</v>
      </c>
      <c r="B66" s="10" t="n">
        <v>10.3629352692714</v>
      </c>
      <c r="C66" s="10" t="n">
        <v>3860219</v>
      </c>
      <c r="D66" s="10" t="n">
        <v>0.00845328299918051</v>
      </c>
      <c r="E66" s="11" t="n">
        <v>0.105619170536993</v>
      </c>
      <c r="F66" s="11" t="n">
        <v>-0.097165887537813</v>
      </c>
      <c r="G66" s="11" t="n">
        <v>-2.25819767566963</v>
      </c>
      <c r="H66" s="11" t="n">
        <v>0.0790752485351658</v>
      </c>
      <c r="I66" s="11" t="n">
        <v>0.132163092538821</v>
      </c>
    </row>
    <row r="67" customFormat="false" ht="12.75" hidden="false" customHeight="false" outlineLevel="0" collapsed="false">
      <c r="A67" s="10" t="n">
        <v>17</v>
      </c>
      <c r="B67" s="10" t="n">
        <v>34.1002153712295</v>
      </c>
      <c r="C67" s="10" t="n">
        <v>4342334</v>
      </c>
      <c r="D67" s="10" t="n">
        <v>0.0293839643250748</v>
      </c>
      <c r="E67" s="11" t="n">
        <v>0.00132648547994684</v>
      </c>
      <c r="F67" s="11" t="n">
        <v>0.028057478845128</v>
      </c>
      <c r="G67" s="11" t="n">
        <v>0.625342525803949</v>
      </c>
      <c r="H67" s="11" t="n">
        <v>-0.0251849502401149</v>
      </c>
      <c r="I67" s="11" t="n">
        <v>0.0278379212000086</v>
      </c>
    </row>
    <row r="68" customFormat="false" ht="12.75" hidden="false" customHeight="false" outlineLevel="0" collapsed="false">
      <c r="A68" s="10" t="n">
        <v>18</v>
      </c>
      <c r="B68" s="10" t="n">
        <v>33.7784991966961</v>
      </c>
      <c r="C68" s="10" t="n">
        <v>1241382</v>
      </c>
      <c r="D68" s="10" t="n">
        <v>0.105088318367691</v>
      </c>
      <c r="E68" s="11" t="n">
        <v>0.0910246454924143</v>
      </c>
      <c r="F68" s="11" t="n">
        <v>0.0140636728752768</v>
      </c>
      <c r="G68" s="11" t="n">
        <v>0.303104725853028</v>
      </c>
      <c r="H68" s="11" t="n">
        <v>0.0644326063173313</v>
      </c>
      <c r="I68" s="11" t="n">
        <v>0.117616684667497</v>
      </c>
    </row>
    <row r="69" customFormat="false" ht="12.75" hidden="false" customHeight="false" outlineLevel="0" collapsed="false">
      <c r="A69" s="10" t="n">
        <v>19</v>
      </c>
      <c r="B69" s="10" t="n">
        <v>117.992595529274</v>
      </c>
      <c r="C69" s="10" t="n">
        <v>5042438</v>
      </c>
      <c r="D69" s="10" t="n">
        <v>0.0702579161473665</v>
      </c>
      <c r="E69" s="11" t="n">
        <v>0.0528252478299596</v>
      </c>
      <c r="F69" s="11" t="n">
        <v>0.0174326683174069</v>
      </c>
      <c r="G69" s="11" t="n">
        <v>0.380683168891012</v>
      </c>
      <c r="H69" s="11" t="n">
        <v>0.0263022457573685</v>
      </c>
      <c r="I69" s="11" t="n">
        <v>0.0793482499025507</v>
      </c>
    </row>
    <row r="70" customFormat="false" ht="12.75" hidden="false" customHeight="false" outlineLevel="0" collapsed="false">
      <c r="A70" s="10" t="n">
        <v>20</v>
      </c>
      <c r="B70" s="10" t="n">
        <v>42.0753322367262</v>
      </c>
      <c r="C70" s="10" t="n">
        <v>6073550</v>
      </c>
      <c r="D70" s="10" t="n">
        <v>0.103944816167345</v>
      </c>
      <c r="E70" s="11" t="n">
        <v>0.0785778045554433</v>
      </c>
      <c r="F70" s="11" t="n">
        <v>0.0253670116119014</v>
      </c>
      <c r="G70" s="11" t="n">
        <v>0.563388669651963</v>
      </c>
      <c r="H70" s="11" t="n">
        <v>0.0520533729152807</v>
      </c>
      <c r="I70" s="11" t="n">
        <v>0.105102236195606</v>
      </c>
    </row>
    <row r="71" customFormat="false" ht="12.75" hidden="false" customHeight="false" outlineLevel="0" collapsed="false">
      <c r="A71" s="10" t="n">
        <v>21</v>
      </c>
      <c r="B71" s="10" t="n">
        <v>667.970901024192</v>
      </c>
      <c r="C71" s="10" t="n">
        <v>9549353</v>
      </c>
      <c r="D71" s="10" t="n">
        <v>0.00738787711371125</v>
      </c>
      <c r="E71" s="11" t="n">
        <v>0.00758501374730176</v>
      </c>
      <c r="F71" s="11" t="n">
        <v>-0.000197136633590509</v>
      </c>
      <c r="G71" s="11" t="n">
        <v>-0.0252814109532846</v>
      </c>
      <c r="H71" s="11" t="n">
        <v>-0.0189313668413826</v>
      </c>
      <c r="I71" s="11" t="n">
        <v>0.0341013943359861</v>
      </c>
    </row>
    <row r="72" customFormat="false" ht="12.75" hidden="false" customHeight="false" outlineLevel="0" collapsed="false">
      <c r="A72" s="10" t="n">
        <v>22</v>
      </c>
      <c r="B72" s="10" t="n">
        <v>360.254873782766</v>
      </c>
      <c r="C72" s="10" t="n">
        <v>4609548</v>
      </c>
      <c r="D72" s="10" t="n">
        <v>0</v>
      </c>
      <c r="E72" s="11" t="n">
        <v>0.00327148285177355</v>
      </c>
      <c r="F72" s="11" t="n">
        <v>-0.00327148285177355</v>
      </c>
      <c r="G72" s="11" t="n">
        <v>-0.0960749151485746</v>
      </c>
      <c r="H72" s="11" t="n">
        <v>-0.0232397108284189</v>
      </c>
      <c r="I72" s="11" t="n">
        <v>0.029782676531966</v>
      </c>
    </row>
    <row r="73" customFormat="false" ht="12.75" hidden="false" customHeight="false" outlineLevel="0" collapsed="false">
      <c r="A73" s="10" t="n">
        <v>23</v>
      </c>
      <c r="B73" s="10" t="n">
        <v>588.832128768164</v>
      </c>
      <c r="C73" s="10" t="n">
        <v>2697243</v>
      </c>
      <c r="D73" s="10" t="n">
        <v>0</v>
      </c>
      <c r="E73" s="11" t="n">
        <v>0.00252506405174338</v>
      </c>
      <c r="F73" s="11" t="n">
        <v>-0.00252506405174338</v>
      </c>
      <c r="G73" s="11" t="n">
        <v>-0.0788869998321894</v>
      </c>
      <c r="H73" s="11" t="n">
        <v>-0.0239864085264626</v>
      </c>
      <c r="I73" s="11" t="n">
        <v>0.0290365366299493</v>
      </c>
    </row>
    <row r="74" customFormat="false" ht="12.75" hidden="false" customHeight="false" outlineLevel="0" collapsed="false">
      <c r="A74" s="10" t="n">
        <v>24</v>
      </c>
      <c r="B74" s="10" t="n">
        <v>21.518365147657</v>
      </c>
      <c r="C74" s="10" t="n">
        <v>5323523</v>
      </c>
      <c r="D74" s="10" t="n">
        <v>0.000759685797103275</v>
      </c>
      <c r="E74" s="11" t="n">
        <v>0.0351481682862063</v>
      </c>
      <c r="F74" s="11" t="n">
        <v>-0.034388482489103</v>
      </c>
      <c r="G74" s="11" t="n">
        <v>-0.81261146895026</v>
      </c>
      <c r="H74" s="11" t="n">
        <v>0.00861772547815567</v>
      </c>
      <c r="I74" s="11" t="n">
        <v>0.0616786110942569</v>
      </c>
    </row>
    <row r="75" customFormat="false" ht="12.75" hidden="false" customHeight="false" outlineLevel="0" collapsed="false">
      <c r="A75" s="10" t="n">
        <v>25</v>
      </c>
      <c r="B75" s="10" t="n">
        <v>41.0416947780182</v>
      </c>
      <c r="C75" s="10" t="n">
        <v>870281</v>
      </c>
      <c r="D75" s="10" t="n">
        <v>0</v>
      </c>
      <c r="E75" s="11" t="n">
        <v>-0.0161426352726468</v>
      </c>
      <c r="F75" s="11" t="n">
        <v>0.0161426352726468</v>
      </c>
      <c r="G75" s="11" t="n">
        <v>0.350977353968104</v>
      </c>
      <c r="H75" s="11" t="n">
        <v>-0.0426636157384678</v>
      </c>
      <c r="I75" s="11" t="n">
        <v>0.0103783451931742</v>
      </c>
    </row>
    <row r="76" customFormat="false" ht="12.75" hidden="false" customHeight="false" outlineLevel="0" collapsed="false">
      <c r="A76" s="10" t="n">
        <v>26</v>
      </c>
      <c r="B76" s="10" t="n">
        <v>172.573780514154</v>
      </c>
      <c r="C76" s="10" t="n">
        <v>1637112</v>
      </c>
      <c r="D76" s="10" t="n">
        <v>0.00199508308555689</v>
      </c>
      <c r="E76" s="11" t="n">
        <v>0.00690828488663054</v>
      </c>
      <c r="F76" s="11" t="n">
        <v>-0.00491320180107365</v>
      </c>
      <c r="G76" s="11" t="n">
        <v>-0.133879062462032</v>
      </c>
      <c r="H76" s="11" t="n">
        <v>-0.0196042666761753</v>
      </c>
      <c r="I76" s="11" t="n">
        <v>0.0334208364494364</v>
      </c>
    </row>
    <row r="77" customFormat="false" ht="12.75" hidden="false" customHeight="false" outlineLevel="0" collapsed="false">
      <c r="A77" s="10" t="n">
        <v>27</v>
      </c>
      <c r="B77" s="10" t="n">
        <v>123.546864892237</v>
      </c>
      <c r="C77" s="10" t="n">
        <v>1530108</v>
      </c>
      <c r="D77" s="10" t="n">
        <v>0</v>
      </c>
      <c r="E77" s="11" t="n">
        <v>0.00712806269245857</v>
      </c>
      <c r="F77" s="11" t="n">
        <v>-0.00712806269245857</v>
      </c>
      <c r="G77" s="11" t="n">
        <v>-0.18488104879619</v>
      </c>
      <c r="H77" s="11" t="n">
        <v>-0.0193846506046035</v>
      </c>
      <c r="I77" s="11" t="n">
        <v>0.0336407759895206</v>
      </c>
    </row>
    <row r="78" customFormat="false" ht="12.75" hidden="false" customHeight="false" outlineLevel="0" collapsed="false">
      <c r="A78" s="10" t="n">
        <v>28</v>
      </c>
      <c r="B78" s="10" t="n">
        <v>56.070097201965</v>
      </c>
      <c r="C78" s="10" t="n">
        <v>1148253</v>
      </c>
      <c r="D78" s="10" t="n">
        <v>0.117777368981519</v>
      </c>
      <c r="E78" s="11" t="n">
        <v>0.135830018713366</v>
      </c>
      <c r="F78" s="11" t="n">
        <v>-0.018052649731847</v>
      </c>
      <c r="G78" s="11" t="n">
        <v>-0.436443411496457</v>
      </c>
      <c r="H78" s="11" t="n">
        <v>0.109273913295162</v>
      </c>
      <c r="I78" s="11" t="n">
        <v>0.16238612413157</v>
      </c>
    </row>
    <row r="79" customFormat="false" ht="12.75" hidden="false" customHeight="false" outlineLevel="0" collapsed="false">
      <c r="A79" s="10" t="n">
        <v>29</v>
      </c>
      <c r="B79" s="10" t="n">
        <v>384.271731995382</v>
      </c>
      <c r="C79" s="10" t="n">
        <v>7945298</v>
      </c>
      <c r="D79" s="10" t="n">
        <v>0.273303356469306</v>
      </c>
      <c r="E79" s="11" t="n">
        <v>0.273240300896555</v>
      </c>
      <c r="F79" s="11" t="n">
        <v>6.30555727512694E-005</v>
      </c>
      <c r="G79" s="11" t="n">
        <v>-0.0192899198381021</v>
      </c>
      <c r="H79" s="11" t="n">
        <v>0.246697284865395</v>
      </c>
      <c r="I79" s="11" t="n">
        <v>0.299783316927715</v>
      </c>
    </row>
    <row r="80" customFormat="false" ht="12.75" hidden="false" customHeight="false" outlineLevel="0" collapsed="false">
      <c r="A80" s="10" t="n">
        <v>30</v>
      </c>
      <c r="B80" s="10" t="n">
        <v>84.5544633347873</v>
      </c>
      <c r="C80" s="10" t="n">
        <v>1685401</v>
      </c>
      <c r="D80" s="10" t="n">
        <v>0</v>
      </c>
      <c r="E80" s="11" t="n">
        <v>-0.00716103995735501</v>
      </c>
      <c r="F80" s="11" t="n">
        <v>0.00716103995735501</v>
      </c>
      <c r="G80" s="11" t="n">
        <v>0.144156599079511</v>
      </c>
      <c r="H80" s="11" t="n">
        <v>-0.033675645616748</v>
      </c>
      <c r="I80" s="11" t="n">
        <v>0.019353565702038</v>
      </c>
    </row>
    <row r="81" customFormat="false" ht="12.75" hidden="false" customHeight="false" outlineLevel="0" collapsed="false">
      <c r="A81" s="10" t="n">
        <v>31</v>
      </c>
      <c r="B81" s="10" t="n">
        <v>5.78916827484587</v>
      </c>
      <c r="C81" s="10" t="n">
        <v>18136081</v>
      </c>
      <c r="D81" s="10" t="n">
        <v>0.331822037089797</v>
      </c>
      <c r="E81" s="11" t="n">
        <v>0.147987566935604</v>
      </c>
      <c r="F81" s="11" t="n">
        <v>0.183834470154193</v>
      </c>
      <c r="G81" s="11" t="n">
        <v>4.21244635377996</v>
      </c>
      <c r="H81" s="11" t="n">
        <v>0.121408815289631</v>
      </c>
      <c r="I81" s="11" t="n">
        <v>0.174566318581576</v>
      </c>
    </row>
    <row r="82" customFormat="false" ht="12.75" hidden="false" customHeight="false" outlineLevel="0" collapsed="false">
      <c r="A82" s="10" t="n">
        <v>32</v>
      </c>
      <c r="B82" s="10" t="n">
        <v>90.0319786928818</v>
      </c>
      <c r="C82" s="10" t="n">
        <v>7195138</v>
      </c>
      <c r="D82" s="10" t="n">
        <v>0.000738443042039357</v>
      </c>
      <c r="E82" s="11" t="n">
        <v>0.00974076959131427</v>
      </c>
      <c r="F82" s="11" t="n">
        <v>-0.00900232654927492</v>
      </c>
      <c r="G82" s="11" t="n">
        <v>-0.228040048074101</v>
      </c>
      <c r="H82" s="11" t="n">
        <v>-0.0167719190768777</v>
      </c>
      <c r="I82" s="11" t="n">
        <v>0.0362534582595063</v>
      </c>
    </row>
    <row r="83" customFormat="false" ht="12.75" hidden="false" customHeight="false" outlineLevel="0" collapsed="false">
      <c r="A83" s="10" t="n">
        <v>33</v>
      </c>
      <c r="B83" s="10" t="n">
        <v>56.9019118230838</v>
      </c>
      <c r="C83" s="10" t="n">
        <v>641367</v>
      </c>
      <c r="D83" s="10" t="n">
        <v>0</v>
      </c>
      <c r="E83" s="11" t="n">
        <v>0.0139392730731585</v>
      </c>
      <c r="F83" s="11" t="n">
        <v>-0.0139392730731585</v>
      </c>
      <c r="G83" s="11" t="n">
        <v>-0.3417239729305</v>
      </c>
      <c r="H83" s="11" t="n">
        <v>-0.0125773095433225</v>
      </c>
      <c r="I83" s="11" t="n">
        <v>0.0404558556896396</v>
      </c>
    </row>
    <row r="84" customFormat="false" ht="12.75" hidden="false" customHeight="false" outlineLevel="0" collapsed="false">
      <c r="A84" s="10" t="n">
        <v>34</v>
      </c>
      <c r="B84" s="10" t="n">
        <v>27.3500037969847</v>
      </c>
      <c r="C84" s="10" t="n">
        <v>11150506</v>
      </c>
      <c r="D84" s="10" t="n">
        <v>0.0328757643019831</v>
      </c>
      <c r="E84" s="11" t="n">
        <v>0.0660921169956253</v>
      </c>
      <c r="F84" s="11" t="n">
        <v>-0.0332163526936422</v>
      </c>
      <c r="G84" s="11" t="n">
        <v>-0.785620632621677</v>
      </c>
      <c r="H84" s="11" t="n">
        <v>0.0395687654581986</v>
      </c>
      <c r="I84" s="11" t="n">
        <v>0.092615468533052</v>
      </c>
    </row>
    <row r="85" customFormat="false" ht="12.75" hidden="false" customHeight="false" outlineLevel="0" collapsed="false">
      <c r="A85" s="10" t="n">
        <v>35</v>
      </c>
      <c r="B85" s="10" t="n">
        <v>25.2235276566846</v>
      </c>
      <c r="C85" s="10" t="n">
        <v>3277687</v>
      </c>
      <c r="D85" s="10" t="n">
        <v>0.0759782565467173</v>
      </c>
      <c r="E85" s="11" t="n">
        <v>0.0472382200144472</v>
      </c>
      <c r="F85" s="11" t="n">
        <v>0.0287400365322701</v>
      </c>
      <c r="G85" s="11" t="n">
        <v>0.641059900185024</v>
      </c>
      <c r="H85" s="11" t="n">
        <v>0.0206976584720891</v>
      </c>
      <c r="I85" s="11" t="n">
        <v>0.0737787815568054</v>
      </c>
    </row>
    <row r="86" customFormat="false" ht="12.75" hidden="false" customHeight="false" outlineLevel="0" collapsed="false">
      <c r="A86" s="10" t="n">
        <v>36</v>
      </c>
      <c r="B86" s="10" t="n">
        <v>263.225073012355</v>
      </c>
      <c r="C86" s="10" t="n">
        <v>3140585</v>
      </c>
      <c r="D86" s="10" t="n">
        <v>0.00529904028492617</v>
      </c>
      <c r="E86" s="11" t="n">
        <v>0.00782600750328562</v>
      </c>
      <c r="F86" s="11" t="n">
        <v>-0.00252696721835944</v>
      </c>
      <c r="G86" s="11" t="n">
        <v>-0.0789308243803232</v>
      </c>
      <c r="H86" s="11" t="n">
        <v>-0.018685475865278</v>
      </c>
      <c r="I86" s="11" t="n">
        <v>0.0343374908718492</v>
      </c>
    </row>
    <row r="87" customFormat="false" ht="12.75" hidden="false" customHeight="false" outlineLevel="0" collapsed="false">
      <c r="A87" s="10" t="n">
        <v>37</v>
      </c>
      <c r="B87" s="10" t="n">
        <v>120.846522463871</v>
      </c>
      <c r="C87" s="10" t="n">
        <v>12071842</v>
      </c>
      <c r="D87" s="10" t="n">
        <v>0.116977230877519</v>
      </c>
      <c r="E87" s="11" t="n">
        <v>0.106629482370461</v>
      </c>
      <c r="F87" s="11" t="n">
        <v>0.0103477485070585</v>
      </c>
      <c r="G87" s="11" t="n">
        <v>0.217537490193307</v>
      </c>
      <c r="H87" s="11" t="n">
        <v>0.0800876230913973</v>
      </c>
      <c r="I87" s="11" t="n">
        <v>0.133171341649524</v>
      </c>
    </row>
    <row r="88" customFormat="false" ht="12.75" hidden="false" customHeight="false" outlineLevel="0" collapsed="false">
      <c r="A88" s="10" t="n">
        <v>38</v>
      </c>
      <c r="B88" s="10" t="n">
        <v>363.69830733066</v>
      </c>
      <c r="C88" s="10" t="n">
        <v>989794</v>
      </c>
      <c r="D88" s="10" t="n">
        <v>0.0373661178404778</v>
      </c>
      <c r="E88" s="11" t="n">
        <v>0.0265080530221288</v>
      </c>
      <c r="F88" s="11" t="n">
        <v>0.010858064818349</v>
      </c>
      <c r="G88" s="11" t="n">
        <v>0.22928863250467</v>
      </c>
      <c r="H88" s="11" t="n">
        <v>-1.71658988063414E-005</v>
      </c>
      <c r="I88" s="11" t="n">
        <v>0.0530332719430639</v>
      </c>
    </row>
    <row r="89" customFormat="false" ht="12.75" hidden="false" customHeight="false" outlineLevel="0" collapsed="false">
      <c r="A89" s="10" t="n">
        <v>39</v>
      </c>
      <c r="B89" s="10" t="n">
        <v>413.383237492027</v>
      </c>
      <c r="C89" s="10" t="n">
        <v>3673287</v>
      </c>
      <c r="D89" s="10" t="n">
        <v>0</v>
      </c>
      <c r="E89" s="11" t="n">
        <v>-0.000441371826655566</v>
      </c>
      <c r="F89" s="11" t="n">
        <v>0.000441371826655566</v>
      </c>
      <c r="G89" s="11" t="n">
        <v>-0.010578365768649</v>
      </c>
      <c r="H89" s="11" t="n">
        <v>-0.0269531104402053</v>
      </c>
      <c r="I89" s="11" t="n">
        <v>0.0260703667868941</v>
      </c>
    </row>
    <row r="90" customFormat="false" ht="12.75" hidden="false" customHeight="false" outlineLevel="0" collapsed="false">
      <c r="A90" s="10" t="n">
        <v>40</v>
      </c>
      <c r="B90" s="10" t="n">
        <v>150.953827346466</v>
      </c>
      <c r="C90" s="10" t="n">
        <v>729034</v>
      </c>
      <c r="D90" s="10" t="n">
        <v>0</v>
      </c>
      <c r="E90" s="11" t="n">
        <v>-0.00341680056975347</v>
      </c>
      <c r="F90" s="11" t="n">
        <v>0.00341680056975347</v>
      </c>
      <c r="G90" s="11" t="n">
        <v>0.0579373485518344</v>
      </c>
      <c r="H90" s="11" t="n">
        <v>-0.0299307233351572</v>
      </c>
      <c r="I90" s="11" t="n">
        <v>0.0230971221956503</v>
      </c>
    </row>
    <row r="91" customFormat="false" ht="12.75" hidden="false" customHeight="false" outlineLevel="0" collapsed="false">
      <c r="A91" s="10" t="n">
        <v>41</v>
      </c>
      <c r="B91" s="10" t="n">
        <v>40.9254916815395</v>
      </c>
      <c r="C91" s="10" t="n">
        <v>5256051</v>
      </c>
      <c r="D91" s="10" t="n">
        <v>5.80051647196015E-005</v>
      </c>
      <c r="E91" s="11" t="n">
        <v>0.0188377650287942</v>
      </c>
      <c r="F91" s="11" t="n">
        <v>-0.0187797598640746</v>
      </c>
      <c r="G91" s="11" t="n">
        <v>-0.453186702766597</v>
      </c>
      <c r="H91" s="11" t="n">
        <v>-0.00767705640650463</v>
      </c>
      <c r="I91" s="11" t="n">
        <v>0.045352586464093</v>
      </c>
    </row>
    <row r="92" customFormat="false" ht="12.75" hidden="false" customHeight="false" outlineLevel="0" collapsed="false">
      <c r="A92" s="10" t="n">
        <v>42</v>
      </c>
      <c r="B92" s="10" t="n">
        <v>44.9297145171426</v>
      </c>
      <c r="C92" s="10" t="n">
        <v>18723991</v>
      </c>
      <c r="D92" s="10" t="n">
        <v>0.0247474685546935</v>
      </c>
      <c r="E92" s="11" t="n">
        <v>0.0356144617214597</v>
      </c>
      <c r="F92" s="11" t="n">
        <v>-0.0108669931667662</v>
      </c>
      <c r="G92" s="11" t="n">
        <v>-0.27097805005561</v>
      </c>
      <c r="H92" s="11" t="n">
        <v>0.00906144165092911</v>
      </c>
      <c r="I92" s="11" t="n">
        <v>0.0621674817919903</v>
      </c>
    </row>
    <row r="93" customFormat="false" ht="12.75" hidden="false" customHeight="false" outlineLevel="0" collapsed="false">
      <c r="A93" s="10" t="n">
        <v>43</v>
      </c>
      <c r="B93" s="10" t="n">
        <v>52.0883465109502</v>
      </c>
      <c r="C93" s="10" t="n">
        <v>1951408</v>
      </c>
      <c r="D93" s="10" t="n">
        <v>0.000622986197117817</v>
      </c>
      <c r="E93" s="11" t="n">
        <v>-0.0120047284804048</v>
      </c>
      <c r="F93" s="11" t="n">
        <v>0.0126277146775226</v>
      </c>
      <c r="G93" s="11" t="n">
        <v>0.270038667093697</v>
      </c>
      <c r="H93" s="11" t="n">
        <v>-0.0385221498993266</v>
      </c>
      <c r="I93" s="11" t="n">
        <v>0.0145126929385171</v>
      </c>
    </row>
    <row r="94" customFormat="false" ht="12.75" hidden="false" customHeight="false" outlineLevel="0" collapsed="false">
      <c r="A94" s="10" t="n">
        <v>44</v>
      </c>
      <c r="B94" s="10" t="n">
        <v>98.5543300843423</v>
      </c>
      <c r="C94" s="10" t="n">
        <v>584771</v>
      </c>
      <c r="D94" s="10" t="n">
        <v>0</v>
      </c>
      <c r="E94" s="11" t="n">
        <v>0.0087553162141003</v>
      </c>
      <c r="F94" s="11" t="n">
        <v>-0.0087553162141003</v>
      </c>
      <c r="G94" s="11" t="n">
        <v>-0.222352098195184</v>
      </c>
      <c r="H94" s="11" t="n">
        <v>-0.0177589917321507</v>
      </c>
      <c r="I94" s="11" t="n">
        <v>0.0352696241603513</v>
      </c>
    </row>
    <row r="95" customFormat="false" ht="12.75" hidden="false" customHeight="false" outlineLevel="0" collapsed="false">
      <c r="A95" s="10" t="n">
        <v>45</v>
      </c>
      <c r="B95" s="10" t="n">
        <v>33.7650965559608</v>
      </c>
      <c r="C95" s="10" t="n">
        <v>6618358</v>
      </c>
      <c r="D95" s="10" t="n">
        <v>0.0465283677535952</v>
      </c>
      <c r="E95" s="11" t="n">
        <v>0.068256556422083</v>
      </c>
      <c r="F95" s="11" t="n">
        <v>-0.0217281886684878</v>
      </c>
      <c r="G95" s="11" t="n">
        <v>-0.521080684810722</v>
      </c>
      <c r="H95" s="11" t="n">
        <v>0.0417333452756917</v>
      </c>
      <c r="I95" s="11" t="n">
        <v>0.0947797675684743</v>
      </c>
    </row>
    <row r="96" customFormat="false" ht="12.75" hidden="false" customHeight="false" outlineLevel="0" collapsed="false">
      <c r="A96" s="10" t="n">
        <v>46</v>
      </c>
      <c r="B96" s="10" t="n">
        <v>23.7286032136066</v>
      </c>
      <c r="C96" s="10" t="n">
        <v>5430940</v>
      </c>
      <c r="D96" s="10" t="n">
        <v>0.0414276298865866</v>
      </c>
      <c r="E96" s="11" t="n">
        <v>0.000756296667271644</v>
      </c>
      <c r="F96" s="11" t="n">
        <v>0.0406713332193149</v>
      </c>
      <c r="G96" s="11" t="n">
        <v>0.915803940746843</v>
      </c>
      <c r="H96" s="11" t="n">
        <v>-0.02575578422273</v>
      </c>
      <c r="I96" s="11" t="n">
        <v>0.0272683775572733</v>
      </c>
    </row>
    <row r="97" customFormat="false" ht="12.75" hidden="false" customHeight="false" outlineLevel="0" collapsed="false">
      <c r="A97" s="10" t="n">
        <v>47</v>
      </c>
      <c r="B97" s="10" t="n">
        <v>42.3176302121898</v>
      </c>
      <c r="C97" s="10" t="n">
        <v>1828140</v>
      </c>
      <c r="D97" s="10" t="n">
        <v>0.0657245663242686</v>
      </c>
      <c r="E97" s="11" t="n">
        <v>0.0841257252839521</v>
      </c>
      <c r="F97" s="11" t="n">
        <v>-0.0184011589596836</v>
      </c>
      <c r="G97" s="11" t="n">
        <v>-0.44446859400096</v>
      </c>
      <c r="H97" s="11" t="n">
        <v>0.0575932558028189</v>
      </c>
      <c r="I97" s="11" t="n">
        <v>0.110658194765085</v>
      </c>
    </row>
    <row r="98" customFormat="false" ht="12.75" hidden="false" customHeight="false" outlineLevel="0" collapsed="false">
      <c r="A98" s="10" t="n">
        <v>48</v>
      </c>
      <c r="B98" s="10" t="n">
        <v>309.814794811077</v>
      </c>
      <c r="C98" s="10" t="n">
        <v>5122871</v>
      </c>
      <c r="D98" s="10" t="n">
        <v>1.13332512302244E-005</v>
      </c>
      <c r="E98" s="11" t="n">
        <v>-0.00103298237474503</v>
      </c>
      <c r="F98" s="11" t="n">
        <v>0.00104431562597525</v>
      </c>
      <c r="G98" s="11" t="n">
        <v>0.00330572579339017</v>
      </c>
      <c r="H98" s="11" t="n">
        <v>-0.0275454049985962</v>
      </c>
      <c r="I98" s="11" t="n">
        <v>0.0254794402491061</v>
      </c>
    </row>
    <row r="99" customFormat="false" ht="13.5" hidden="false" customHeight="false" outlineLevel="0" collapsed="false">
      <c r="A99" s="12" t="n">
        <v>49</v>
      </c>
      <c r="B99" s="12" t="n">
        <v>91.540481672619</v>
      </c>
      <c r="C99" s="12" t="n">
        <v>480184</v>
      </c>
      <c r="D99" s="12" t="n">
        <v>0</v>
      </c>
      <c r="E99" s="13" t="n">
        <v>-0.00649723518108127</v>
      </c>
      <c r="F99" s="13" t="n">
        <v>0.00649723518108127</v>
      </c>
      <c r="G99" s="13" t="n">
        <v>0.128871051233257</v>
      </c>
      <c r="H99" s="13" t="n">
        <v>-0.0330124161377553</v>
      </c>
      <c r="I99" s="13" t="n">
        <v>0.0200179457755928</v>
      </c>
    </row>
    <row r="101" customFormat="false" ht="12.75" hidden="false" customHeight="false" outlineLevel="0" collapsed="false">
      <c r="A101" s="0" t="s">
        <v>154</v>
      </c>
    </row>
    <row r="103" customFormat="false" ht="12.75" hidden="false" customHeight="false" outlineLevel="0" collapsed="false">
      <c r="A103" s="0" t="s">
        <v>155</v>
      </c>
    </row>
    <row r="105" customFormat="false" ht="12.75" hidden="false" customHeight="false" outlineLevel="0" collapsed="false">
      <c r="A105" s="0" t="s">
        <v>156</v>
      </c>
    </row>
    <row r="106" customFormat="false" ht="12.75" hidden="false" customHeight="false" outlineLevel="0" collapsed="false">
      <c r="A106" s="0" t="s">
        <v>157</v>
      </c>
    </row>
    <row r="108" customFormat="false" ht="12.75" hidden="false" customHeight="false" outlineLevel="0" collapsed="false">
      <c r="A108" s="0" t="s">
        <v>158</v>
      </c>
    </row>
    <row r="109" customFormat="false" ht="12.75" hidden="false" customHeight="false" outlineLevel="0" collapsed="false">
      <c r="A109" s="0" t="s">
        <v>159</v>
      </c>
    </row>
    <row r="111" customFormat="false" ht="12.75" hidden="false" customHeight="false" outlineLevel="0" collapsed="false">
      <c r="A111" s="0" t="s">
        <v>160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F21" activeCellId="0" sqref="F2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3" style="0" width="10.56"/>
    <col collapsed="false" customWidth="true" hidden="false" outlineLevel="0" max="5" min="4" style="0" width="9.28"/>
    <col collapsed="false" customWidth="true" hidden="false" outlineLevel="0" max="6" min="6" style="0" width="11.13"/>
    <col collapsed="false" customWidth="true" hidden="false" outlineLevel="0" max="7" min="7" style="0" width="11.56"/>
  </cols>
  <sheetData>
    <row r="1" customFormat="false" ht="12.75" hidden="false" customHeight="false" outlineLevel="0" collapsed="false">
      <c r="A1" s="0" t="s">
        <v>161</v>
      </c>
    </row>
    <row r="2" customFormat="false" ht="12.75" hidden="false" customHeight="false" outlineLevel="0" collapsed="false">
      <c r="A2" s="0" t="s">
        <v>109</v>
      </c>
    </row>
    <row r="3" customFormat="false" ht="12.75" hidden="false" customHeight="false" outlineLevel="0" collapsed="false">
      <c r="A3" s="0" t="s">
        <v>110</v>
      </c>
    </row>
    <row r="4" customFormat="false" ht="12.75" hidden="false" customHeight="false" outlineLevel="0" collapsed="false">
      <c r="A4" s="0" t="s">
        <v>111</v>
      </c>
    </row>
    <row r="5" customFormat="false" ht="12.75" hidden="false" customHeight="false" outlineLevel="0" collapsed="false">
      <c r="A5" s="0" t="s">
        <v>112</v>
      </c>
    </row>
    <row r="7" customFormat="false" ht="13.5" hidden="false" customHeight="false" outlineLevel="0" collapsed="false"/>
    <row r="8" customFormat="false" ht="12.75" hidden="false" customHeight="false" outlineLevel="0" collapsed="false">
      <c r="A8" s="8"/>
      <c r="B8" s="8" t="s">
        <v>113</v>
      </c>
      <c r="C8" s="8" t="s">
        <v>114</v>
      </c>
      <c r="D8" s="8" t="s">
        <v>115</v>
      </c>
      <c r="E8" s="8" t="s">
        <v>116</v>
      </c>
    </row>
    <row r="9" customFormat="false" ht="12.75" hidden="false" customHeight="false" outlineLevel="0" collapsed="false">
      <c r="A9" s="6" t="s">
        <v>117</v>
      </c>
      <c r="B9" s="6" t="n">
        <v>0.0420042833674684</v>
      </c>
      <c r="C9" s="6" t="n">
        <v>0.0729789206014218</v>
      </c>
      <c r="D9" s="6" t="n">
        <v>0</v>
      </c>
      <c r="E9" s="6" t="n">
        <v>0.331822037089797</v>
      </c>
    </row>
    <row r="10" customFormat="false" ht="12.75" hidden="false" customHeight="false" outlineLevel="0" collapsed="false">
      <c r="A10" s="6" t="s">
        <v>84</v>
      </c>
      <c r="B10" s="6" t="n">
        <v>5338722.3877551</v>
      </c>
      <c r="C10" s="6" t="n">
        <v>5779174.66837188</v>
      </c>
      <c r="D10" s="6" t="n">
        <v>480184</v>
      </c>
      <c r="E10" s="6" t="n">
        <v>31589153</v>
      </c>
    </row>
    <row r="11" customFormat="false" ht="12.75" hidden="false" customHeight="false" outlineLevel="0" collapsed="false">
      <c r="A11" s="6" t="s">
        <v>105</v>
      </c>
      <c r="B11" s="6" t="n">
        <v>0.0748801382019185</v>
      </c>
      <c r="C11" s="6" t="n">
        <v>0.114610023517382</v>
      </c>
      <c r="D11" s="6" t="n">
        <v>0</v>
      </c>
      <c r="E11" s="6" t="n">
        <v>0.424725274725275</v>
      </c>
    </row>
    <row r="12" customFormat="false" ht="12.75" hidden="false" customHeight="false" outlineLevel="0" collapsed="false">
      <c r="A12" s="6" t="s">
        <v>100</v>
      </c>
      <c r="B12" s="6" t="n">
        <v>0.0372393142980251</v>
      </c>
      <c r="C12" s="6" t="n">
        <v>0.0269260351740362</v>
      </c>
      <c r="D12" s="6" t="n">
        <v>0.004523030247648</v>
      </c>
      <c r="E12" s="6" t="n">
        <v>0.138328875404208</v>
      </c>
    </row>
    <row r="13" customFormat="false" ht="13.5" hidden="false" customHeight="false" outlineLevel="0" collapsed="false">
      <c r="A13" s="7" t="s">
        <v>143</v>
      </c>
      <c r="B13" s="7" t="n">
        <v>2.30500166681722E-008</v>
      </c>
      <c r="C13" s="7" t="n">
        <v>1.3983591544212E-007</v>
      </c>
      <c r="D13" s="7" t="n">
        <v>2.57625046539453E-014</v>
      </c>
      <c r="E13" s="7" t="n">
        <v>9.78574048714857E-007</v>
      </c>
    </row>
    <row r="16" customFormat="false" ht="12.75" hidden="false" customHeight="false" outlineLevel="0" collapsed="false">
      <c r="A16" s="0" t="s">
        <v>118</v>
      </c>
    </row>
    <row r="17" customFormat="false" ht="12.75" hidden="false" customHeight="false" outlineLevel="0" collapsed="false">
      <c r="A17" s="0" t="s">
        <v>119</v>
      </c>
    </row>
    <row r="18" customFormat="false" ht="12.75" hidden="false" customHeight="false" outlineLevel="0" collapsed="false">
      <c r="A18" s="0" t="s">
        <v>120</v>
      </c>
    </row>
    <row r="21" customFormat="false" ht="12.75" hidden="false" customHeight="false" outlineLevel="0" collapsed="false">
      <c r="A21" s="0" t="s">
        <v>121</v>
      </c>
    </row>
    <row r="22" customFormat="false" ht="13.5" hidden="false" customHeight="false" outlineLevel="0" collapsed="false"/>
    <row r="23" customFormat="false" ht="12.75" hidden="false" customHeight="false" outlineLevel="0" collapsed="false">
      <c r="A23" s="9"/>
      <c r="B23" s="9" t="s">
        <v>122</v>
      </c>
      <c r="C23" s="9" t="s">
        <v>123</v>
      </c>
      <c r="D23" s="9" t="s">
        <v>124</v>
      </c>
      <c r="E23" s="9" t="s">
        <v>125</v>
      </c>
      <c r="F23" s="9" t="s">
        <v>126</v>
      </c>
    </row>
    <row r="24" customFormat="false" ht="12.75" hidden="false" customHeight="false" outlineLevel="0" collapsed="false">
      <c r="A24" s="10" t="s">
        <v>127</v>
      </c>
      <c r="B24" s="10" t="n">
        <v>4</v>
      </c>
      <c r="C24" s="11" t="n">
        <v>0.167419389272787</v>
      </c>
      <c r="D24" s="11" t="n">
        <v>0.0418548473181968</v>
      </c>
      <c r="E24" s="11" t="n">
        <v>20.8740743568338</v>
      </c>
      <c r="F24" s="11" t="n">
        <v>0.0001</v>
      </c>
    </row>
    <row r="25" customFormat="false" ht="12.75" hidden="false" customHeight="false" outlineLevel="0" collapsed="false">
      <c r="A25" s="10" t="s">
        <v>128</v>
      </c>
      <c r="B25" s="10" t="n">
        <v>44</v>
      </c>
      <c r="C25" s="11" t="n">
        <v>0.088224907630347</v>
      </c>
      <c r="D25" s="11" t="n">
        <v>0.00200511153705334</v>
      </c>
      <c r="E25" s="11"/>
      <c r="F25" s="11"/>
    </row>
    <row r="26" customFormat="false" ht="13.5" hidden="false" customHeight="false" outlineLevel="0" collapsed="false">
      <c r="A26" s="12" t="s">
        <v>72</v>
      </c>
      <c r="B26" s="12" t="n">
        <v>48</v>
      </c>
      <c r="C26" s="13" t="n">
        <v>0.255644296903134</v>
      </c>
      <c r="D26" s="13"/>
      <c r="E26" s="13"/>
      <c r="F26" s="13"/>
    </row>
    <row r="29" customFormat="false" ht="12.75" hidden="false" customHeight="false" outlineLevel="0" collapsed="false">
      <c r="A29" s="0" t="s">
        <v>129</v>
      </c>
    </row>
    <row r="30" customFormat="false" ht="13.5" hidden="false" customHeight="false" outlineLevel="0" collapsed="false"/>
    <row r="31" customFormat="false" ht="12.75" hidden="false" customHeight="false" outlineLevel="0" collapsed="false">
      <c r="A31" s="8" t="s">
        <v>130</v>
      </c>
      <c r="B31" s="8" t="s">
        <v>122</v>
      </c>
      <c r="C31" s="14" t="s">
        <v>131</v>
      </c>
      <c r="D31" s="14" t="s">
        <v>132</v>
      </c>
      <c r="E31" s="14" t="s">
        <v>125</v>
      </c>
      <c r="F31" s="14" t="s">
        <v>133</v>
      </c>
    </row>
    <row r="32" customFormat="false" ht="12.75" hidden="false" customHeight="false" outlineLevel="0" collapsed="false">
      <c r="A32" s="6" t="s">
        <v>84</v>
      </c>
      <c r="B32" s="6" t="n">
        <v>1</v>
      </c>
      <c r="C32" s="15" t="n">
        <v>0.0181823416089512</v>
      </c>
      <c r="D32" s="15" t="n">
        <v>0.0181823416089512</v>
      </c>
      <c r="E32" s="15" t="n">
        <v>9.06799510797864</v>
      </c>
      <c r="F32" s="15" t="n">
        <v>0.00429847469822777</v>
      </c>
    </row>
    <row r="33" customFormat="false" ht="12.75" hidden="false" customHeight="false" outlineLevel="0" collapsed="false">
      <c r="A33" s="6" t="s">
        <v>105</v>
      </c>
      <c r="B33" s="6" t="n">
        <v>1</v>
      </c>
      <c r="C33" s="15" t="n">
        <v>0.126322833398973</v>
      </c>
      <c r="D33" s="15" t="n">
        <v>0.126322833398973</v>
      </c>
      <c r="E33" s="15" t="n">
        <v>63.0004022542377</v>
      </c>
      <c r="F33" s="15" t="n">
        <v>0.0001</v>
      </c>
    </row>
    <row r="34" customFormat="false" ht="12.75" hidden="false" customHeight="false" outlineLevel="0" collapsed="false">
      <c r="A34" s="6" t="s">
        <v>100</v>
      </c>
      <c r="B34" s="6" t="n">
        <v>1</v>
      </c>
      <c r="C34" s="15" t="n">
        <v>0.0170784127429364</v>
      </c>
      <c r="D34" s="15" t="n">
        <v>0.0170784127429364</v>
      </c>
      <c r="E34" s="15" t="n">
        <v>8.51743777208244</v>
      </c>
      <c r="F34" s="15" t="n">
        <v>0.0055239736718071</v>
      </c>
    </row>
    <row r="35" customFormat="false" ht="13.5" hidden="false" customHeight="false" outlineLevel="0" collapsed="false">
      <c r="A35" s="7" t="s">
        <v>143</v>
      </c>
      <c r="B35" s="7" t="n">
        <v>1</v>
      </c>
      <c r="C35" s="16" t="n">
        <v>0.00583580152192625</v>
      </c>
      <c r="D35" s="16" t="n">
        <v>0.00583580152192625</v>
      </c>
      <c r="E35" s="16" t="n">
        <v>2.91046229303652</v>
      </c>
      <c r="F35" s="16" t="n">
        <v>0.095057047300429</v>
      </c>
    </row>
    <row r="38" customFormat="false" ht="12.75" hidden="false" customHeight="false" outlineLevel="0" collapsed="false">
      <c r="A38" s="0" t="s">
        <v>134</v>
      </c>
    </row>
    <row r="39" customFormat="false" ht="13.5" hidden="false" customHeight="false" outlineLevel="0" collapsed="false"/>
    <row r="40" customFormat="false" ht="12.75" hidden="false" customHeight="false" outlineLevel="0" collapsed="false">
      <c r="A40" s="8"/>
      <c r="B40" s="8" t="s">
        <v>135</v>
      </c>
      <c r="C40" s="14" t="s">
        <v>136</v>
      </c>
      <c r="D40" s="14" t="s">
        <v>137</v>
      </c>
      <c r="E40" s="14" t="s">
        <v>138</v>
      </c>
      <c r="F40" s="14" t="s">
        <v>139</v>
      </c>
      <c r="G40" s="14" t="s">
        <v>140</v>
      </c>
    </row>
    <row r="41" customFormat="false" ht="12.75" hidden="false" customHeight="false" outlineLevel="0" collapsed="false">
      <c r="A41" s="6" t="s">
        <v>80</v>
      </c>
      <c r="B41" s="6" t="n">
        <v>-0.0344358295568345</v>
      </c>
      <c r="C41" s="15" t="n">
        <v>0.0142330362596571</v>
      </c>
      <c r="D41" s="15" t="n">
        <v>-2.41942962335038</v>
      </c>
      <c r="E41" s="15" t="n">
        <v>0.0197456815362717</v>
      </c>
      <c r="F41" s="15" t="n">
        <v>-0.0631206282545021</v>
      </c>
      <c r="G41" s="15" t="n">
        <v>-0.00575103085916689</v>
      </c>
    </row>
    <row r="42" customFormat="false" ht="12.75" hidden="false" customHeight="false" outlineLevel="0" collapsed="false">
      <c r="A42" s="6" t="s">
        <v>84</v>
      </c>
      <c r="B42" s="6" t="n">
        <v>3.83059002571643E-009</v>
      </c>
      <c r="C42" s="15" t="n">
        <v>1.19814970438945E-009</v>
      </c>
      <c r="D42" s="15" t="n">
        <v>3.19708798632005</v>
      </c>
      <c r="E42" s="15" t="n">
        <v>0.00257160425113343</v>
      </c>
      <c r="F42" s="15" t="n">
        <v>1.4158780518913E-009</v>
      </c>
      <c r="G42" s="15" t="n">
        <v>6.24530199954157E-009</v>
      </c>
    </row>
    <row r="43" customFormat="false" ht="12.75" hidden="false" customHeight="false" outlineLevel="0" collapsed="false">
      <c r="A43" s="6" t="s">
        <v>105</v>
      </c>
      <c r="B43" s="6" t="n">
        <v>0.299385051156733</v>
      </c>
      <c r="C43" s="15" t="n">
        <v>0.0725375355430764</v>
      </c>
      <c r="D43" s="15" t="n">
        <v>4.12731214143528</v>
      </c>
      <c r="E43" s="15" t="n">
        <v>0.000160836493855478</v>
      </c>
      <c r="F43" s="15" t="n">
        <v>0.15319525952557</v>
      </c>
      <c r="G43" s="15" t="n">
        <v>0.445574842787895</v>
      </c>
    </row>
    <row r="44" customFormat="false" ht="12.75" hidden="false" customHeight="false" outlineLevel="0" collapsed="false">
      <c r="A44" s="6" t="s">
        <v>100</v>
      </c>
      <c r="B44" s="6" t="n">
        <v>0.845880266142697</v>
      </c>
      <c r="C44" s="15" t="n">
        <v>0.289259025317561</v>
      </c>
      <c r="D44" s="15" t="n">
        <v>2.92430034020219</v>
      </c>
      <c r="E44" s="15" t="n">
        <v>0.00543822434582071</v>
      </c>
      <c r="F44" s="15" t="n">
        <v>0.262917027565402</v>
      </c>
      <c r="G44" s="15" t="n">
        <v>1.42884350471999</v>
      </c>
    </row>
    <row r="45" customFormat="false" ht="13.5" hidden="false" customHeight="false" outlineLevel="0" collapsed="false">
      <c r="A45" s="7" t="s">
        <v>143</v>
      </c>
      <c r="B45" s="7" t="n">
        <v>89876.7723222606</v>
      </c>
      <c r="C45" s="16" t="n">
        <v>52682.5125141829</v>
      </c>
      <c r="D45" s="16" t="n">
        <v>1.70600770603081</v>
      </c>
      <c r="E45" s="16" t="n">
        <v>0.09505704730043</v>
      </c>
      <c r="F45" s="16" t="n">
        <v>-16297.8511936002</v>
      </c>
      <c r="G45" s="16" t="n">
        <v>196051.395838121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F30" activeCellId="0" sqref="F30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21.42"/>
  </cols>
  <sheetData>
    <row r="1" customFormat="false" ht="12.75" hidden="false" customHeight="false" outlineLevel="0" collapsed="false">
      <c r="A1" s="0" t="s">
        <v>96</v>
      </c>
      <c r="C1" s="0" t="s">
        <v>162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0.528369651781594</v>
      </c>
    </row>
    <row r="5" customFormat="false" ht="12.75" hidden="false" customHeight="false" outlineLevel="0" collapsed="false">
      <c r="A5" s="6" t="s">
        <v>60</v>
      </c>
      <c r="B5" s="6" t="n">
        <v>0.279174488923803</v>
      </c>
    </row>
    <row r="6" customFormat="false" ht="12.75" hidden="false" customHeight="false" outlineLevel="0" collapsed="false">
      <c r="A6" s="6" t="s">
        <v>61</v>
      </c>
      <c r="B6" s="6" t="n">
        <v>0.247834249311794</v>
      </c>
    </row>
    <row r="7" customFormat="false" ht="12.75" hidden="false" customHeight="false" outlineLevel="0" collapsed="false">
      <c r="A7" s="6" t="s">
        <v>62</v>
      </c>
      <c r="B7" s="6" t="n">
        <v>0.0233522744399562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2</v>
      </c>
      <c r="C12" s="6" t="n">
        <v>0.00971542457940954</v>
      </c>
      <c r="D12" s="6" t="n">
        <v>0.00485771228970477</v>
      </c>
      <c r="E12" s="6" t="n">
        <v>8.90786070495874</v>
      </c>
      <c r="F12" s="6" t="n">
        <v>0.000537147324645966</v>
      </c>
    </row>
    <row r="13" customFormat="false" ht="12.75" hidden="false" customHeight="false" outlineLevel="0" collapsed="false">
      <c r="A13" s="6" t="s">
        <v>71</v>
      </c>
      <c r="B13" s="6" t="n">
        <v>46</v>
      </c>
      <c r="C13" s="6" t="n">
        <v>0.0250851211898755</v>
      </c>
      <c r="D13" s="6" t="n">
        <v>0.000545328721519032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0.034800545769285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0.0477928617939736</v>
      </c>
      <c r="C17" s="6" t="n">
        <v>0.00754657187810601</v>
      </c>
      <c r="D17" s="6" t="n">
        <v>6.33305593134672</v>
      </c>
      <c r="E17" s="6" t="n">
        <v>9.15676878731865E-008</v>
      </c>
      <c r="F17" s="6" t="n">
        <v>0.0326024150004206</v>
      </c>
      <c r="G17" s="6" t="n">
        <v>0.0629833085875266</v>
      </c>
      <c r="H17" s="6" t="n">
        <v>0.0326024150004206</v>
      </c>
      <c r="I17" s="6" t="n">
        <v>0.0629833085875266</v>
      </c>
    </row>
    <row r="18" customFormat="false" ht="12.75" hidden="false" customHeight="false" outlineLevel="0" collapsed="false">
      <c r="A18" s="6" t="s">
        <v>81</v>
      </c>
      <c r="B18" s="6" t="n">
        <v>-2.35843760331073E-007</v>
      </c>
      <c r="C18" s="6" t="n">
        <v>8.17346533252776E-008</v>
      </c>
      <c r="D18" s="6" t="n">
        <v>-2.88548064665412</v>
      </c>
      <c r="E18" s="6" t="n">
        <v>0.00593129547054078</v>
      </c>
      <c r="F18" s="6" t="n">
        <v>-4.00366926953152E-007</v>
      </c>
      <c r="G18" s="6" t="n">
        <v>-7.13205937089933E-008</v>
      </c>
      <c r="H18" s="6" t="n">
        <v>-4.00366926953152E-007</v>
      </c>
      <c r="I18" s="6" t="n">
        <v>-7.13205937089933E-008</v>
      </c>
    </row>
    <row r="19" customFormat="false" ht="13.5" hidden="false" customHeight="false" outlineLevel="0" collapsed="false">
      <c r="A19" s="7" t="s">
        <v>102</v>
      </c>
      <c r="B19" s="7" t="n">
        <v>2.12386431950167E-005</v>
      </c>
      <c r="C19" s="7" t="n">
        <v>1.6098767592132E-005</v>
      </c>
      <c r="D19" s="7" t="n">
        <v>1.319271371145</v>
      </c>
      <c r="E19" s="7" t="n">
        <v>0.193607793159471</v>
      </c>
      <c r="F19" s="7" t="n">
        <v>-1.11664642497999E-005</v>
      </c>
      <c r="G19" s="7" t="n">
        <v>5.36437506398332E-005</v>
      </c>
      <c r="H19" s="7" t="n">
        <v>-1.11664642497999E-005</v>
      </c>
      <c r="I19" s="7" t="n">
        <v>5.36437506398332E-005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0.765903371456073</v>
      </c>
    </row>
    <row r="5" customFormat="false" ht="12.75" hidden="false" customHeight="false" outlineLevel="0" collapsed="false">
      <c r="A5" s="6" t="s">
        <v>60</v>
      </c>
      <c r="B5" s="6" t="n">
        <v>0.58660797440778</v>
      </c>
    </row>
    <row r="6" customFormat="false" ht="12.75" hidden="false" customHeight="false" outlineLevel="0" collapsed="false">
      <c r="A6" s="6" t="s">
        <v>61</v>
      </c>
      <c r="B6" s="6" t="n">
        <v>0.549026881172123</v>
      </c>
    </row>
    <row r="7" customFormat="false" ht="12.75" hidden="false" customHeight="false" outlineLevel="0" collapsed="false">
      <c r="A7" s="6" t="s">
        <v>62</v>
      </c>
      <c r="B7" s="6" t="n">
        <v>0.043614470008222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0.118768082007056</v>
      </c>
      <c r="D12" s="6" t="n">
        <v>0.0296920205017639</v>
      </c>
      <c r="E12" s="6" t="n">
        <v>15.6091247992545</v>
      </c>
      <c r="F12" s="6" t="n">
        <v>5.04834240825078E-008</v>
      </c>
    </row>
    <row r="13" customFormat="false" ht="12.75" hidden="false" customHeight="false" outlineLevel="0" collapsed="false">
      <c r="A13" s="6" t="s">
        <v>71</v>
      </c>
      <c r="B13" s="6" t="n">
        <v>44</v>
      </c>
      <c r="C13" s="6" t="n">
        <v>0.0836977677403161</v>
      </c>
      <c r="D13" s="6" t="n">
        <v>0.00190222199409809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-0.0606225988170336</v>
      </c>
      <c r="C17" s="6" t="n">
        <v>0.10496975347492</v>
      </c>
      <c r="D17" s="6" t="n">
        <v>-0.577524446901918</v>
      </c>
      <c r="E17" s="6" t="n">
        <v>0.566528981979473</v>
      </c>
      <c r="F17" s="6" t="n">
        <v>-0.272175228406442</v>
      </c>
      <c r="G17" s="6" t="n">
        <v>0.150930030772375</v>
      </c>
      <c r="H17" s="6" t="n">
        <v>-0.272175228406442</v>
      </c>
      <c r="I17" s="6" t="n">
        <v>0.150930030772375</v>
      </c>
    </row>
    <row r="18" customFormat="false" ht="12.75" hidden="false" customHeight="false" outlineLevel="0" collapsed="false">
      <c r="A18" s="6" t="s">
        <v>163</v>
      </c>
      <c r="B18" s="6" t="n">
        <v>0.0116268305798743</v>
      </c>
      <c r="C18" s="6" t="n">
        <v>0.00693745501752882</v>
      </c>
      <c r="D18" s="6" t="n">
        <v>1.67595040984004</v>
      </c>
      <c r="E18" s="6" t="n">
        <v>0.100840793355513</v>
      </c>
      <c r="F18" s="6" t="n">
        <v>-0.00235469079206187</v>
      </c>
      <c r="G18" s="6" t="n">
        <v>0.0256083519518105</v>
      </c>
      <c r="H18" s="6" t="n">
        <v>-0.00235469079206187</v>
      </c>
      <c r="I18" s="6" t="n">
        <v>0.0256083519518105</v>
      </c>
    </row>
    <row r="19" customFormat="false" ht="12.75" hidden="false" customHeight="false" outlineLevel="0" collapsed="false">
      <c r="A19" s="6" t="s">
        <v>164</v>
      </c>
      <c r="B19" s="6" t="n">
        <v>0.356946868991686</v>
      </c>
      <c r="C19" s="6" t="n">
        <v>0.0864812623112338</v>
      </c>
      <c r="D19" s="6" t="n">
        <v>4.12744748922703</v>
      </c>
      <c r="E19" s="6" t="n">
        <v>0.000160768410578961</v>
      </c>
      <c r="F19" s="6" t="n">
        <v>0.182655343609337</v>
      </c>
      <c r="G19" s="6" t="n">
        <v>0.531238394374036</v>
      </c>
      <c r="H19" s="6" t="n">
        <v>0.182655343609337</v>
      </c>
      <c r="I19" s="6" t="n">
        <v>0.531238394374036</v>
      </c>
    </row>
    <row r="20" customFormat="false" ht="12.75" hidden="false" customHeight="false" outlineLevel="0" collapsed="false">
      <c r="A20" s="6" t="s">
        <v>165</v>
      </c>
      <c r="B20" s="6" t="n">
        <v>0.00779262124208234</v>
      </c>
      <c r="C20" s="6" t="n">
        <v>0.0100656170244136</v>
      </c>
      <c r="D20" s="6" t="n">
        <v>0.774182171165639</v>
      </c>
      <c r="E20" s="6" t="n">
        <v>0.442963268559839</v>
      </c>
      <c r="F20" s="6" t="n">
        <v>-0.0124932961718648</v>
      </c>
      <c r="G20" s="6" t="n">
        <v>0.0280785386560295</v>
      </c>
      <c r="H20" s="6" t="n">
        <v>-0.0124932961718648</v>
      </c>
      <c r="I20" s="6" t="n">
        <v>0.0280785386560295</v>
      </c>
    </row>
    <row r="21" customFormat="false" ht="13.5" hidden="false" customHeight="false" outlineLevel="0" collapsed="false">
      <c r="A21" s="7" t="s">
        <v>166</v>
      </c>
      <c r="B21" s="7" t="n">
        <v>0.00281601771959389</v>
      </c>
      <c r="C21" s="7" t="n">
        <v>0.00208521397350078</v>
      </c>
      <c r="D21" s="7" t="n">
        <v>1.35046942682155</v>
      </c>
      <c r="E21" s="7" t="n">
        <v>0.183770845314299</v>
      </c>
      <c r="F21" s="7" t="n">
        <v>-0.00138645475221267</v>
      </c>
      <c r="G21" s="7" t="n">
        <v>0.00701849019140044</v>
      </c>
      <c r="H21" s="7" t="n">
        <v>-0.00138645475221267</v>
      </c>
      <c r="I21" s="7" t="n">
        <v>0.00701849019140044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A1" activeCellId="0" sqref="A1:I24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0.755906108699707</v>
      </c>
    </row>
    <row r="5" customFormat="false" ht="12.75" hidden="false" customHeight="false" outlineLevel="0" collapsed="false">
      <c r="A5" s="6" t="s">
        <v>60</v>
      </c>
      <c r="B5" s="6" t="n">
        <v>0.571394045169533</v>
      </c>
    </row>
    <row r="6" customFormat="false" ht="12.75" hidden="false" customHeight="false" outlineLevel="0" collapsed="false">
      <c r="A6" s="6" t="s">
        <v>61</v>
      </c>
      <c r="B6" s="6" t="n">
        <v>0.532429867457673</v>
      </c>
    </row>
    <row r="7" customFormat="false" ht="12.75" hidden="false" customHeight="false" outlineLevel="0" collapsed="false">
      <c r="A7" s="6" t="s">
        <v>62</v>
      </c>
      <c r="B7" s="6" t="n">
        <v>0.0499023291429302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0.146073628932003</v>
      </c>
      <c r="D12" s="6" t="n">
        <v>0.0365184072330007</v>
      </c>
      <c r="E12" s="6" t="n">
        <v>14.6645990939417</v>
      </c>
      <c r="F12" s="6" t="n">
        <v>1.09114300057739E-007</v>
      </c>
    </row>
    <row r="13" customFormat="false" ht="12.75" hidden="false" customHeight="false" outlineLevel="0" collapsed="false">
      <c r="A13" s="6" t="s">
        <v>71</v>
      </c>
      <c r="B13" s="6" t="n">
        <v>44</v>
      </c>
      <c r="C13" s="6" t="n">
        <v>0.109570667971131</v>
      </c>
      <c r="D13" s="6" t="n">
        <v>0.00249024245388934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0.255644296903134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-0.0665414979943401</v>
      </c>
      <c r="C17" s="6" t="n">
        <v>0.120103148954239</v>
      </c>
      <c r="D17" s="6" t="n">
        <v>-0.55403624778975</v>
      </c>
      <c r="E17" s="6" t="n">
        <v>0.582359052272608</v>
      </c>
      <c r="F17" s="6" t="n">
        <v>-0.308593480990647</v>
      </c>
      <c r="G17" s="6" t="n">
        <v>0.175510485001966</v>
      </c>
      <c r="H17" s="6" t="n">
        <v>-0.308593480990647</v>
      </c>
      <c r="I17" s="6" t="n">
        <v>0.175510485001966</v>
      </c>
    </row>
    <row r="18" customFormat="false" ht="12.75" hidden="false" customHeight="false" outlineLevel="0" collapsed="false">
      <c r="A18" s="6" t="s">
        <v>163</v>
      </c>
      <c r="B18" s="6" t="n">
        <v>0.0129564627737286</v>
      </c>
      <c r="C18" s="6" t="n">
        <v>0.00793762170292871</v>
      </c>
      <c r="D18" s="6" t="n">
        <v>1.63228524344366</v>
      </c>
      <c r="E18" s="6" t="n">
        <v>0.109756780850432</v>
      </c>
      <c r="F18" s="6" t="n">
        <v>-0.00304076203009778</v>
      </c>
      <c r="G18" s="6" t="n">
        <v>0.0289536875775551</v>
      </c>
      <c r="H18" s="6" t="n">
        <v>-0.00304076203009778</v>
      </c>
      <c r="I18" s="6" t="n">
        <v>0.0289536875775551</v>
      </c>
    </row>
    <row r="19" customFormat="false" ht="12.75" hidden="false" customHeight="false" outlineLevel="0" collapsed="false">
      <c r="A19" s="6" t="s">
        <v>164</v>
      </c>
      <c r="B19" s="6" t="n">
        <v>0.39248128063801</v>
      </c>
      <c r="C19" s="6" t="n">
        <v>0.0989491885545719</v>
      </c>
      <c r="D19" s="6" t="n">
        <v>3.96649317059887</v>
      </c>
      <c r="E19" s="6" t="n">
        <v>0.000265045625289613</v>
      </c>
      <c r="F19" s="6" t="n">
        <v>0.193062301918017</v>
      </c>
      <c r="G19" s="6" t="n">
        <v>0.591900259358003</v>
      </c>
      <c r="H19" s="6" t="n">
        <v>0.193062301918017</v>
      </c>
      <c r="I19" s="6" t="n">
        <v>0.591900259358003</v>
      </c>
    </row>
    <row r="20" customFormat="false" ht="12.75" hidden="false" customHeight="false" outlineLevel="0" collapsed="false">
      <c r="A20" s="6" t="s">
        <v>165</v>
      </c>
      <c r="B20" s="6" t="n">
        <v>0.00902304539009915</v>
      </c>
      <c r="C20" s="6" t="n">
        <v>0.0115167680286905</v>
      </c>
      <c r="D20" s="6" t="n">
        <v>0.783470272876994</v>
      </c>
      <c r="E20" s="6" t="n">
        <v>0.437548117491181</v>
      </c>
      <c r="F20" s="6" t="n">
        <v>-0.0141874745948108</v>
      </c>
      <c r="G20" s="6" t="n">
        <v>0.0322335653750091</v>
      </c>
      <c r="H20" s="6" t="n">
        <v>-0.0141874745948108</v>
      </c>
      <c r="I20" s="6" t="n">
        <v>0.0322335653750091</v>
      </c>
    </row>
    <row r="21" customFormat="false" ht="13.5" hidden="false" customHeight="false" outlineLevel="0" collapsed="false">
      <c r="A21" s="7" t="s">
        <v>166</v>
      </c>
      <c r="B21" s="7" t="n">
        <v>0.00317273357109178</v>
      </c>
      <c r="C21" s="7" t="n">
        <v>0.00238583740715999</v>
      </c>
      <c r="D21" s="7" t="n">
        <v>1.32981969415447</v>
      </c>
      <c r="E21" s="7" t="n">
        <v>0.190430651949641</v>
      </c>
      <c r="F21" s="7" t="n">
        <v>-0.00163560559851547</v>
      </c>
      <c r="G21" s="7" t="n">
        <v>0.00798107274069903</v>
      </c>
      <c r="H21" s="7" t="n">
        <v>-0.00163560559851547</v>
      </c>
      <c r="I21" s="7" t="n">
        <v>0.00798107274069903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0.13"/>
    <col collapsed="false" customWidth="true" hidden="false" outlineLevel="0" max="3" min="2" style="0" width="13.56"/>
    <col collapsed="false" customWidth="true" hidden="false" outlineLevel="0" max="4" min="4" style="0" width="10.13"/>
    <col collapsed="false" customWidth="true" hidden="false" outlineLevel="0" max="5" min="5" style="0" width="9.28"/>
    <col collapsed="false" customWidth="true" hidden="false" outlineLevel="0" max="6" min="6" style="0" width="12.42"/>
    <col collapsed="false" customWidth="true" hidden="false" outlineLevel="0" max="7" min="7" style="0" width="11.42"/>
    <col collapsed="false" customWidth="true" hidden="false" outlineLevel="0" max="8" min="8" style="0" width="12.42"/>
    <col collapsed="false" customWidth="true" hidden="false" outlineLevel="0" max="9" min="9" style="0" width="11.42"/>
  </cols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19" t="n">
        <v>0.809253939700147</v>
      </c>
    </row>
    <row r="5" customFormat="false" ht="12.75" hidden="false" customHeight="false" outlineLevel="0" collapsed="false">
      <c r="A5" s="6" t="s">
        <v>60</v>
      </c>
      <c r="B5" s="19" t="n">
        <v>0.654891938920209</v>
      </c>
    </row>
    <row r="6" customFormat="false" ht="12.75" hidden="false" customHeight="false" outlineLevel="0" collapsed="false">
      <c r="A6" s="6" t="s">
        <v>61</v>
      </c>
      <c r="B6" s="19" t="n">
        <v>0.623518478822047</v>
      </c>
    </row>
    <row r="7" customFormat="false" ht="12.75" hidden="false" customHeight="false" outlineLevel="0" collapsed="false">
      <c r="A7" s="6" t="s">
        <v>62</v>
      </c>
      <c r="B7" s="19" t="n">
        <v>0.0447784718034609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0.167419389272787</v>
      </c>
      <c r="D12" s="6" t="n">
        <v>0.0418548473181968</v>
      </c>
      <c r="E12" s="6" t="n">
        <v>20.8740743568338</v>
      </c>
      <c r="F12" s="6" t="n">
        <v>1.05377505945679E-009</v>
      </c>
    </row>
    <row r="13" customFormat="false" ht="12.75" hidden="false" customHeight="false" outlineLevel="0" collapsed="false">
      <c r="A13" s="6" t="s">
        <v>71</v>
      </c>
      <c r="B13" s="6" t="n">
        <v>44</v>
      </c>
      <c r="C13" s="6" t="n">
        <v>0.088224907630347</v>
      </c>
      <c r="D13" s="6" t="n">
        <v>0.00200511153705334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0.255644296903134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19" t="n">
        <v>-0.0344358295568345</v>
      </c>
      <c r="C17" s="19" t="n">
        <v>0.0142330362596571</v>
      </c>
      <c r="D17" s="19" t="n">
        <v>-2.41942962335038</v>
      </c>
      <c r="E17" s="6" t="n">
        <v>0.0197456815362715</v>
      </c>
      <c r="F17" s="6" t="n">
        <v>-0.0631206282545022</v>
      </c>
      <c r="G17" s="6" t="n">
        <v>-0.00575103085916693</v>
      </c>
      <c r="H17" s="6" t="n">
        <v>-0.0631206282545022</v>
      </c>
      <c r="I17" s="6" t="n">
        <v>-0.00575103085916693</v>
      </c>
    </row>
    <row r="18" customFormat="false" ht="12.75" hidden="false" customHeight="false" outlineLevel="0" collapsed="false">
      <c r="A18" s="6" t="s">
        <v>84</v>
      </c>
      <c r="B18" s="20" t="n">
        <v>3.83059002571643E-009</v>
      </c>
      <c r="C18" s="20" t="n">
        <v>1.19814970438945E-009</v>
      </c>
      <c r="D18" s="19" t="n">
        <v>3.19708798632005</v>
      </c>
      <c r="E18" s="6" t="n">
        <v>0.00257160425113343</v>
      </c>
      <c r="F18" s="6" t="n">
        <v>1.41587805189129E-009</v>
      </c>
      <c r="G18" s="6" t="n">
        <v>6.24530199954157E-009</v>
      </c>
      <c r="H18" s="6" t="n">
        <v>1.41587805189129E-009</v>
      </c>
      <c r="I18" s="6" t="n">
        <v>6.24530199954157E-009</v>
      </c>
    </row>
    <row r="19" customFormat="false" ht="12.75" hidden="false" customHeight="false" outlineLevel="0" collapsed="false">
      <c r="A19" s="6" t="s">
        <v>105</v>
      </c>
      <c r="B19" s="19" t="n">
        <v>0.299385051156733</v>
      </c>
      <c r="C19" s="19" t="n">
        <v>0.0725375355430765</v>
      </c>
      <c r="D19" s="19" t="n">
        <v>4.12731214143528</v>
      </c>
      <c r="E19" s="6" t="n">
        <v>0.000160836493855479</v>
      </c>
      <c r="F19" s="6" t="n">
        <v>0.15319525952557</v>
      </c>
      <c r="G19" s="6" t="n">
        <v>0.445574842787895</v>
      </c>
      <c r="H19" s="6" t="n">
        <v>0.15319525952557</v>
      </c>
      <c r="I19" s="6" t="n">
        <v>0.445574842787895</v>
      </c>
    </row>
    <row r="20" customFormat="false" ht="12.75" hidden="false" customHeight="false" outlineLevel="0" collapsed="false">
      <c r="A20" s="6" t="s">
        <v>100</v>
      </c>
      <c r="B20" s="19" t="n">
        <v>0.845880266142698</v>
      </c>
      <c r="C20" s="19" t="n">
        <v>0.289259025317561</v>
      </c>
      <c r="D20" s="19" t="n">
        <v>2.92430034020219</v>
      </c>
      <c r="E20" s="6" t="n">
        <v>0.0054382243458207</v>
      </c>
      <c r="F20" s="6" t="n">
        <v>0.262917027565403</v>
      </c>
      <c r="G20" s="6" t="n">
        <v>1.42884350471999</v>
      </c>
      <c r="H20" s="6" t="n">
        <v>0.262917027565403</v>
      </c>
      <c r="I20" s="6" t="n">
        <v>1.42884350471999</v>
      </c>
    </row>
    <row r="21" customFormat="false" ht="13.5" hidden="false" customHeight="false" outlineLevel="0" collapsed="false">
      <c r="A21" s="7" t="s">
        <v>143</v>
      </c>
      <c r="B21" s="21" t="n">
        <v>89876.7723222606</v>
      </c>
      <c r="C21" s="21" t="n">
        <v>52682.5125141829</v>
      </c>
      <c r="D21" s="22" t="n">
        <v>1.70600770603081</v>
      </c>
      <c r="E21" s="7" t="n">
        <v>0.0950570473004304</v>
      </c>
      <c r="F21" s="7" t="n">
        <v>-16297.8511936003</v>
      </c>
      <c r="G21" s="7" t="n">
        <v>196051.395838121</v>
      </c>
      <c r="H21" s="7" t="n">
        <v>-16297.8511936003</v>
      </c>
      <c r="I21" s="7" t="n">
        <v>196051.395838121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0.815134660113196</v>
      </c>
    </row>
    <row r="5" customFormat="false" ht="12.75" hidden="false" customHeight="false" outlineLevel="0" collapsed="false">
      <c r="A5" s="6" t="s">
        <v>60</v>
      </c>
      <c r="B5" s="6" t="n">
        <v>0.664444514117856</v>
      </c>
    </row>
    <row r="6" customFormat="false" ht="12.75" hidden="false" customHeight="false" outlineLevel="0" collapsed="false">
      <c r="A6" s="6" t="s">
        <v>61</v>
      </c>
      <c r="B6" s="6" t="n">
        <v>0.633939469946752</v>
      </c>
    </row>
    <row r="7" customFormat="false" ht="12.75" hidden="false" customHeight="false" outlineLevel="0" collapsed="false">
      <c r="A7" s="6" t="s">
        <v>62</v>
      </c>
      <c r="B7" s="6" t="n">
        <v>0.0392944960830511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0.134527323160851</v>
      </c>
      <c r="D12" s="6" t="n">
        <v>0.0336318307902128</v>
      </c>
      <c r="E12" s="6" t="n">
        <v>21.7814637602542</v>
      </c>
      <c r="F12" s="6" t="n">
        <v>5.76016382323891E-010</v>
      </c>
    </row>
    <row r="13" customFormat="false" ht="12.75" hidden="false" customHeight="false" outlineLevel="0" collapsed="false">
      <c r="A13" s="6" t="s">
        <v>71</v>
      </c>
      <c r="B13" s="6" t="n">
        <v>44</v>
      </c>
      <c r="C13" s="6" t="n">
        <v>0.0679385265865205</v>
      </c>
      <c r="D13" s="6" t="n">
        <v>0.00154405742242092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0.202465849747372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-0.0294676115006839</v>
      </c>
      <c r="C17" s="6" t="n">
        <v>0.0124899302059655</v>
      </c>
      <c r="D17" s="6" t="n">
        <v>-2.35930954094598</v>
      </c>
      <c r="E17" s="6" t="n">
        <v>0.0228121081526374</v>
      </c>
      <c r="F17" s="6" t="n">
        <v>-0.0546394109094679</v>
      </c>
      <c r="G17" s="6" t="n">
        <v>-0.00429581209189982</v>
      </c>
      <c r="H17" s="6" t="n">
        <v>-0.0546394109094679</v>
      </c>
      <c r="I17" s="6" t="n">
        <v>-0.00429581209189982</v>
      </c>
    </row>
    <row r="18" customFormat="false" ht="12.75" hidden="false" customHeight="false" outlineLevel="0" collapsed="false">
      <c r="A18" s="6" t="s">
        <v>84</v>
      </c>
      <c r="B18" s="6" t="n">
        <v>3.40710932183707E-009</v>
      </c>
      <c r="C18" s="6" t="n">
        <v>1.05141347995716E-009</v>
      </c>
      <c r="D18" s="6" t="n">
        <v>3.24050374737055</v>
      </c>
      <c r="E18" s="6" t="n">
        <v>0.00227571708972536</v>
      </c>
      <c r="F18" s="6" t="n">
        <v>1.28812476573985E-009</v>
      </c>
      <c r="G18" s="6" t="n">
        <v>5.52609387793429E-009</v>
      </c>
      <c r="H18" s="6" t="n">
        <v>1.28812476573985E-009</v>
      </c>
      <c r="I18" s="6" t="n">
        <v>5.52609387793429E-009</v>
      </c>
    </row>
    <row r="19" customFormat="false" ht="12.75" hidden="false" customHeight="false" outlineLevel="0" collapsed="false">
      <c r="A19" s="6" t="s">
        <v>105</v>
      </c>
      <c r="B19" s="6" t="n">
        <v>0.276081331414849</v>
      </c>
      <c r="C19" s="6" t="n">
        <v>0.0636539343902152</v>
      </c>
      <c r="D19" s="6" t="n">
        <v>4.3372233634829</v>
      </c>
      <c r="E19" s="6" t="n">
        <v>8.2940325539223E-005</v>
      </c>
      <c r="F19" s="6" t="n">
        <v>0.147795260826151</v>
      </c>
      <c r="G19" s="6" t="n">
        <v>0.404367402003546</v>
      </c>
      <c r="H19" s="6" t="n">
        <v>0.147795260826151</v>
      </c>
      <c r="I19" s="6" t="n">
        <v>0.404367402003546</v>
      </c>
    </row>
    <row r="20" customFormat="false" ht="12.75" hidden="false" customHeight="false" outlineLevel="0" collapsed="false">
      <c r="A20" s="6" t="s">
        <v>100</v>
      </c>
      <c r="B20" s="6" t="n">
        <v>0.748883583435292</v>
      </c>
      <c r="C20" s="6" t="n">
        <v>0.253833754917237</v>
      </c>
      <c r="D20" s="6" t="n">
        <v>2.9502915547204</v>
      </c>
      <c r="E20" s="6" t="n">
        <v>0.00507117067385439</v>
      </c>
      <c r="F20" s="6" t="n">
        <v>0.237315283485675</v>
      </c>
      <c r="G20" s="6" t="n">
        <v>1.26045188338491</v>
      </c>
      <c r="H20" s="6" t="n">
        <v>0.237315283485675</v>
      </c>
      <c r="I20" s="6" t="n">
        <v>1.26045188338491</v>
      </c>
    </row>
    <row r="21" customFormat="false" ht="13.5" hidden="false" customHeight="false" outlineLevel="0" collapsed="false">
      <c r="A21" s="7" t="s">
        <v>143</v>
      </c>
      <c r="B21" s="7" t="n">
        <v>73400.2494533942</v>
      </c>
      <c r="C21" s="7" t="n">
        <v>46230.5366453764</v>
      </c>
      <c r="D21" s="7" t="n">
        <v>1.58770057151684</v>
      </c>
      <c r="E21" s="7" t="n">
        <v>0.119515165787788</v>
      </c>
      <c r="F21" s="7" t="n">
        <v>-19771.271588576</v>
      </c>
      <c r="G21" s="7" t="n">
        <v>166571.770495364</v>
      </c>
      <c r="H21" s="7" t="n">
        <v>-19771.271588576</v>
      </c>
      <c r="I21" s="7" t="n">
        <v>166571.770495364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0</v>
      </c>
      <c r="B1" s="0" t="n">
        <v>0</v>
      </c>
    </row>
    <row r="2" customFormat="false" ht="12.75" hidden="false" customHeight="false" outlineLevel="0" collapsed="false">
      <c r="A2" s="0" t="n">
        <v>3.56932652067474</v>
      </c>
      <c r="B2" s="0" t="n">
        <v>1.36813196464336</v>
      </c>
    </row>
    <row r="3" customFormat="false" ht="12.75" hidden="false" customHeight="false" outlineLevel="0" collapsed="false">
      <c r="A3" s="0" t="n">
        <v>0</v>
      </c>
      <c r="B3" s="0" t="n">
        <v>0</v>
      </c>
    </row>
    <row r="4" customFormat="false" ht="12.75" hidden="false" customHeight="false" outlineLevel="0" collapsed="false">
      <c r="A4" s="0" t="n">
        <v>-0.127847688902425</v>
      </c>
      <c r="B4" s="0" t="n">
        <v>2.75961260908235</v>
      </c>
    </row>
    <row r="5" customFormat="false" ht="12.75" hidden="false" customHeight="false" outlineLevel="0" collapsed="false">
      <c r="A5" s="0" t="n">
        <v>0</v>
      </c>
      <c r="B5" s="0" t="n">
        <v>0</v>
      </c>
    </row>
    <row r="6" customFormat="false" ht="12.75" hidden="false" customHeight="false" outlineLevel="0" collapsed="false">
      <c r="A6" s="0" t="n">
        <v>2.52889757120796</v>
      </c>
      <c r="B6" s="0" t="n">
        <v>2.08084060078353</v>
      </c>
    </row>
    <row r="7" customFormat="false" ht="12.75" hidden="false" customHeight="false" outlineLevel="0" collapsed="false">
      <c r="A7" s="0" t="n">
        <v>0</v>
      </c>
      <c r="B7" s="0" t="n">
        <v>0</v>
      </c>
    </row>
    <row r="8" customFormat="false" ht="12.75" hidden="false" customHeight="false" outlineLevel="0" collapsed="false">
      <c r="A8" s="0" t="n">
        <v>3.52940839825211</v>
      </c>
      <c r="B8" s="0" t="n">
        <v>-1.19160397150087</v>
      </c>
    </row>
    <row r="9" customFormat="false" ht="12.75" hidden="false" customHeight="false" outlineLevel="0" collapsed="false">
      <c r="A9" s="0" t="n">
        <v>0</v>
      </c>
      <c r="B9" s="0" t="n">
        <v>0</v>
      </c>
    </row>
    <row r="10" customFormat="false" ht="12.75" hidden="false" customHeight="false" outlineLevel="0" collapsed="false">
      <c r="A10" s="0" t="n">
        <v>-3.57797894058245</v>
      </c>
      <c r="B10" s="0" t="n">
        <v>1.27796552744254</v>
      </c>
    </row>
    <row r="11" customFormat="false" ht="12.75" hidden="false" customHeight="false" outlineLevel="0" collapsed="false">
      <c r="A11" s="0" t="n">
        <v>0</v>
      </c>
      <c r="B11" s="0" t="n">
        <v>0</v>
      </c>
    </row>
    <row r="12" customFormat="false" ht="12.75" hidden="false" customHeight="false" outlineLevel="0" collapsed="false">
      <c r="A12" s="0" t="n">
        <v>3.89742236308751</v>
      </c>
      <c r="B12" s="0" t="n">
        <v>-0.014484166045198</v>
      </c>
    </row>
    <row r="13" customFormat="false" ht="12.75" hidden="false" customHeight="false" outlineLevel="0" collapsed="false">
      <c r="A13" s="0" t="n">
        <v>0</v>
      </c>
      <c r="B13" s="0" t="n">
        <v>0</v>
      </c>
    </row>
    <row r="14" customFormat="false" ht="12.75" hidden="false" customHeight="false" outlineLevel="0" collapsed="false">
      <c r="A14" s="0" t="n">
        <v>-3.27176625144799</v>
      </c>
      <c r="B14" s="0" t="n">
        <v>1.12559682977747</v>
      </c>
    </row>
    <row r="15" customFormat="false" ht="12.75" hidden="false" customHeight="false" outlineLevel="0" collapsed="false">
      <c r="A15" s="0" t="n">
        <v>0</v>
      </c>
      <c r="B15" s="0" t="n">
        <v>0</v>
      </c>
    </row>
    <row r="16" customFormat="false" ht="12.75" hidden="false" customHeight="false" outlineLevel="0" collapsed="false">
      <c r="A16" s="0" t="n">
        <v>3.58167338896085</v>
      </c>
      <c r="B16" s="0" t="n">
        <v>0.609819881117382</v>
      </c>
    </row>
    <row r="17" customFormat="false" ht="12.75" hidden="false" customHeight="false" outlineLevel="0" collapsed="false">
      <c r="A17" s="0" t="n">
        <v>0</v>
      </c>
      <c r="B17" s="0" t="n">
        <v>0</v>
      </c>
    </row>
    <row r="18" customFormat="false" ht="12.75" hidden="false" customHeight="false" outlineLevel="0" collapsed="false">
      <c r="A18" s="0" t="n">
        <v>-2.41454279426582</v>
      </c>
      <c r="B18" s="0" t="n">
        <v>-0.223820199099364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0</v>
      </c>
      <c r="B1" s="0" t="n">
        <v>0</v>
      </c>
    </row>
    <row r="2" customFormat="false" ht="12.75" hidden="false" customHeight="false" outlineLevel="0" collapsed="false">
      <c r="A2" s="0" t="n">
        <v>3.56932652067474</v>
      </c>
      <c r="B2" s="0" t="n">
        <v>1.36813196464336</v>
      </c>
    </row>
    <row r="3" customFormat="false" ht="12.75" hidden="false" customHeight="false" outlineLevel="0" collapsed="false">
      <c r="A3" s="0" t="n">
        <v>0</v>
      </c>
      <c r="B3" s="0" t="n">
        <v>0</v>
      </c>
    </row>
    <row r="4" customFormat="false" ht="12.75" hidden="false" customHeight="false" outlineLevel="0" collapsed="false">
      <c r="A4" s="0" t="n">
        <v>-0.127847688902425</v>
      </c>
      <c r="B4" s="0" t="n">
        <v>2.75961260908235</v>
      </c>
    </row>
    <row r="5" customFormat="false" ht="12.75" hidden="false" customHeight="false" outlineLevel="0" collapsed="false">
      <c r="A5" s="0" t="n">
        <v>0</v>
      </c>
      <c r="B5" s="0" t="n">
        <v>0</v>
      </c>
    </row>
    <row r="6" customFormat="false" ht="12.75" hidden="false" customHeight="false" outlineLevel="0" collapsed="false">
      <c r="A6" s="0" t="n">
        <v>2.52889757120796</v>
      </c>
      <c r="B6" s="0" t="n">
        <v>2.08084060078353</v>
      </c>
    </row>
    <row r="7" customFormat="false" ht="12.75" hidden="false" customHeight="false" outlineLevel="0" collapsed="false">
      <c r="A7" s="0" t="n">
        <v>0</v>
      </c>
      <c r="B7" s="0" t="n">
        <v>0</v>
      </c>
    </row>
    <row r="8" customFormat="false" ht="12.75" hidden="false" customHeight="false" outlineLevel="0" collapsed="false">
      <c r="A8" s="0" t="n">
        <v>3.52940839825211</v>
      </c>
      <c r="B8" s="0" t="n">
        <v>-1.19160397150087</v>
      </c>
    </row>
    <row r="9" customFormat="false" ht="12.75" hidden="false" customHeight="false" outlineLevel="0" collapsed="false">
      <c r="A9" s="0" t="n">
        <v>0</v>
      </c>
      <c r="B9" s="0" t="n">
        <v>0</v>
      </c>
    </row>
    <row r="10" customFormat="false" ht="12.75" hidden="false" customHeight="false" outlineLevel="0" collapsed="false">
      <c r="A10" s="0" t="n">
        <v>-3.57797894058245</v>
      </c>
      <c r="B10" s="0" t="n">
        <v>1.27796552744254</v>
      </c>
    </row>
    <row r="11" customFormat="false" ht="12.75" hidden="false" customHeight="false" outlineLevel="0" collapsed="false">
      <c r="A11" s="0" t="n">
        <v>0</v>
      </c>
      <c r="B11" s="0" t="n">
        <v>0</v>
      </c>
    </row>
    <row r="12" customFormat="false" ht="12.75" hidden="false" customHeight="false" outlineLevel="0" collapsed="false">
      <c r="A12" s="0" t="n">
        <v>3.89742236308751</v>
      </c>
      <c r="B12" s="0" t="n">
        <v>-0.014484166045198</v>
      </c>
    </row>
    <row r="13" customFormat="false" ht="12.75" hidden="false" customHeight="false" outlineLevel="0" collapsed="false">
      <c r="A13" s="0" t="n">
        <v>0</v>
      </c>
      <c r="B13" s="0" t="n">
        <v>0</v>
      </c>
    </row>
    <row r="14" customFormat="false" ht="12.75" hidden="false" customHeight="false" outlineLevel="0" collapsed="false">
      <c r="A14" s="0" t="n">
        <v>-3.27176625144799</v>
      </c>
      <c r="B14" s="0" t="n">
        <v>1.12559682977747</v>
      </c>
    </row>
    <row r="15" customFormat="false" ht="12.75" hidden="false" customHeight="false" outlineLevel="0" collapsed="false">
      <c r="A15" s="0" t="n">
        <v>0</v>
      </c>
      <c r="B15" s="0" t="n">
        <v>0</v>
      </c>
    </row>
    <row r="16" customFormat="false" ht="12.75" hidden="false" customHeight="false" outlineLevel="0" collapsed="false">
      <c r="A16" s="0" t="n">
        <v>3.58167338896085</v>
      </c>
      <c r="B16" s="0" t="n">
        <v>0.609819881117382</v>
      </c>
    </row>
    <row r="17" customFormat="false" ht="12.75" hidden="false" customHeight="false" outlineLevel="0" collapsed="false">
      <c r="A17" s="0" t="n">
        <v>0</v>
      </c>
      <c r="B17" s="0" t="n">
        <v>0</v>
      </c>
    </row>
    <row r="18" customFormat="false" ht="12.75" hidden="false" customHeight="false" outlineLevel="0" collapsed="false">
      <c r="A18" s="0" t="n">
        <v>-2.41454279426582</v>
      </c>
      <c r="B18" s="0" t="n">
        <v>-0.223820199099364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1.13"/>
  </cols>
  <sheetData>
    <row r="1" customFormat="false" ht="12.75" hidden="false" customHeight="false" outlineLevel="0" collapsed="false">
      <c r="A1" s="5"/>
      <c r="B1" s="5" t="s">
        <v>117</v>
      </c>
      <c r="C1" s="5" t="s">
        <v>84</v>
      </c>
      <c r="D1" s="5" t="s">
        <v>6</v>
      </c>
      <c r="E1" s="5" t="s">
        <v>167</v>
      </c>
      <c r="F1" s="5" t="s">
        <v>168</v>
      </c>
      <c r="G1" s="5" t="s">
        <v>169</v>
      </c>
      <c r="H1" s="5" t="s">
        <v>81</v>
      </c>
      <c r="I1" s="5" t="s">
        <v>102</v>
      </c>
      <c r="J1" s="5" t="s">
        <v>170</v>
      </c>
    </row>
    <row r="2" customFormat="false" ht="12.75" hidden="false" customHeight="false" outlineLevel="0" collapsed="false">
      <c r="A2" s="6" t="s">
        <v>117</v>
      </c>
      <c r="B2" s="23" t="n">
        <v>1</v>
      </c>
      <c r="C2" s="19"/>
      <c r="D2" s="19"/>
      <c r="E2" s="19"/>
      <c r="F2" s="19"/>
      <c r="G2" s="19"/>
      <c r="H2" s="19"/>
      <c r="I2" s="19"/>
      <c r="J2" s="19"/>
    </row>
    <row r="3" customFormat="false" ht="12.75" hidden="false" customHeight="false" outlineLevel="0" collapsed="false">
      <c r="A3" s="6" t="s">
        <v>84</v>
      </c>
      <c r="B3" s="19" t="n">
        <v>0.266690074192172</v>
      </c>
      <c r="C3" s="23" t="n">
        <v>1</v>
      </c>
      <c r="D3" s="19"/>
      <c r="E3" s="19"/>
      <c r="F3" s="19"/>
      <c r="G3" s="19"/>
      <c r="H3" s="19"/>
      <c r="I3" s="19"/>
      <c r="J3" s="19"/>
    </row>
    <row r="4" customFormat="false" ht="12.75" hidden="false" customHeight="false" outlineLevel="0" collapsed="false">
      <c r="A4" s="6" t="s">
        <v>6</v>
      </c>
      <c r="B4" s="19" t="n">
        <v>0.70652168576565</v>
      </c>
      <c r="C4" s="19" t="n">
        <v>0.389113536836959</v>
      </c>
      <c r="D4" s="23" t="n">
        <v>1</v>
      </c>
      <c r="E4" s="19"/>
      <c r="F4" s="19"/>
      <c r="G4" s="19"/>
      <c r="H4" s="19"/>
      <c r="I4" s="19"/>
      <c r="J4" s="19"/>
    </row>
    <row r="5" customFormat="false" ht="12.75" hidden="false" customHeight="false" outlineLevel="0" collapsed="false">
      <c r="A5" s="6" t="s">
        <v>167</v>
      </c>
      <c r="B5" s="19" t="n">
        <v>0.485135585056583</v>
      </c>
      <c r="C5" s="19" t="n">
        <v>-0.2709432472202</v>
      </c>
      <c r="D5" s="19" t="n">
        <v>0.156744369370647</v>
      </c>
      <c r="E5" s="23" t="n">
        <v>1</v>
      </c>
      <c r="F5" s="19"/>
      <c r="G5" s="19"/>
      <c r="H5" s="19"/>
      <c r="I5" s="19"/>
      <c r="J5" s="19"/>
    </row>
    <row r="6" customFormat="false" ht="12.75" hidden="false" customHeight="false" outlineLevel="0" collapsed="false">
      <c r="A6" s="6" t="s">
        <v>168</v>
      </c>
      <c r="B6" s="19" t="n">
        <v>-0.380054332720569</v>
      </c>
      <c r="C6" s="19" t="n">
        <v>0.244624570489047</v>
      </c>
      <c r="D6" s="19" t="n">
        <v>-0.113619419329892</v>
      </c>
      <c r="E6" s="19" t="n">
        <v>-0.764879764813811</v>
      </c>
      <c r="F6" s="23" t="n">
        <v>1</v>
      </c>
      <c r="G6" s="19"/>
      <c r="H6" s="19"/>
      <c r="I6" s="19"/>
      <c r="J6" s="19"/>
    </row>
    <row r="7" customFormat="false" ht="12.75" hidden="false" customHeight="false" outlineLevel="0" collapsed="false">
      <c r="A7" s="6" t="s">
        <v>169</v>
      </c>
      <c r="B7" s="19" t="n">
        <v>0.612804709793472</v>
      </c>
      <c r="C7" s="19" t="n">
        <v>-0.0335923102390252</v>
      </c>
      <c r="D7" s="19" t="n">
        <v>0.35833907414419</v>
      </c>
      <c r="E7" s="19" t="n">
        <v>0.543769818009617</v>
      </c>
      <c r="F7" s="19" t="n">
        <v>-0.643535768857315</v>
      </c>
      <c r="G7" s="23" t="n">
        <v>1</v>
      </c>
      <c r="H7" s="19"/>
      <c r="I7" s="19"/>
      <c r="J7" s="19"/>
    </row>
    <row r="8" customFormat="false" ht="12.75" hidden="false" customHeight="false" outlineLevel="0" collapsed="false">
      <c r="A8" s="6" t="s">
        <v>81</v>
      </c>
      <c r="B8" s="19" t="n">
        <v>-0.32298980396755</v>
      </c>
      <c r="C8" s="19" t="n">
        <v>0.355931986425549</v>
      </c>
      <c r="D8" s="19" t="n">
        <v>-0.220502291579245</v>
      </c>
      <c r="E8" s="19" t="n">
        <v>-0.501897406435207</v>
      </c>
      <c r="F8" s="19" t="n">
        <v>0.516496228744313</v>
      </c>
      <c r="G8" s="19" t="n">
        <v>-0.454003816207663</v>
      </c>
      <c r="H8" s="23" t="n">
        <v>1</v>
      </c>
      <c r="I8" s="19"/>
      <c r="J8" s="19"/>
    </row>
    <row r="9" customFormat="false" ht="12.75" hidden="false" customHeight="false" outlineLevel="0" collapsed="false">
      <c r="A9" s="6" t="s">
        <v>102</v>
      </c>
      <c r="B9" s="19" t="n">
        <v>0.532591284227808</v>
      </c>
      <c r="C9" s="19" t="n">
        <v>0.179952428780721</v>
      </c>
      <c r="D9" s="19" t="n">
        <v>0.386108965735958</v>
      </c>
      <c r="E9" s="19" t="n">
        <v>0.385622994580545</v>
      </c>
      <c r="F9" s="19" t="n">
        <v>-0.449496736535699</v>
      </c>
      <c r="G9" s="19" t="n">
        <v>0.701456048143426</v>
      </c>
      <c r="H9" s="19" t="n">
        <v>-0.479596952807448</v>
      </c>
      <c r="I9" s="23" t="n">
        <v>1</v>
      </c>
      <c r="J9" s="19"/>
    </row>
    <row r="10" customFormat="false" ht="13.5" hidden="false" customHeight="false" outlineLevel="0" collapsed="false">
      <c r="A10" s="7" t="s">
        <v>170</v>
      </c>
      <c r="B10" s="22" t="n">
        <v>-0.282284667232169</v>
      </c>
      <c r="C10" s="22" t="n">
        <v>-0.0652573914935086</v>
      </c>
      <c r="D10" s="22" t="n">
        <v>-0.31513689727548</v>
      </c>
      <c r="E10" s="22" t="n">
        <v>-0.288081294437887</v>
      </c>
      <c r="F10" s="22" t="n">
        <v>0.290997166800098</v>
      </c>
      <c r="G10" s="22" t="n">
        <v>-0.223561740255015</v>
      </c>
      <c r="H10" s="22" t="n">
        <v>0.451879287277962</v>
      </c>
      <c r="I10" s="22" t="n">
        <v>-0.318814917564079</v>
      </c>
      <c r="J10" s="21" t="n">
        <v>1</v>
      </c>
    </row>
    <row r="14" customFormat="false" ht="12.75" hidden="false" customHeight="false" outlineLevel="0" collapsed="false">
      <c r="A14" s="0" t="s">
        <v>171</v>
      </c>
    </row>
    <row r="15" customFormat="false" ht="12.75" hidden="false" customHeight="false" outlineLevel="0" collapsed="false">
      <c r="A15" s="0" t="s">
        <v>172</v>
      </c>
    </row>
    <row r="16" customFormat="false" ht="12.75" hidden="false" customHeight="false" outlineLevel="0" collapsed="false">
      <c r="A16" s="0" t="s">
        <v>173</v>
      </c>
    </row>
    <row r="18" customFormat="false" ht="12.75" hidden="false" customHeight="false" outlineLevel="0" collapsed="false">
      <c r="A18" s="0" t="s">
        <v>174</v>
      </c>
    </row>
    <row r="19" customFormat="false" ht="13.5" hidden="false" customHeight="false" outlineLevel="0" collapsed="false"/>
    <row r="20" customFormat="false" ht="12.75" hidden="false" customHeight="false" outlineLevel="0" collapsed="false">
      <c r="A20" s="14"/>
      <c r="B20" s="14" t="s">
        <v>117</v>
      </c>
      <c r="C20" s="14" t="s">
        <v>84</v>
      </c>
      <c r="D20" s="14" t="s">
        <v>6</v>
      </c>
      <c r="E20" s="14" t="s">
        <v>100</v>
      </c>
      <c r="F20" s="14" t="s">
        <v>168</v>
      </c>
      <c r="G20" s="14" t="s">
        <v>175</v>
      </c>
      <c r="H20" s="14" t="s">
        <v>81</v>
      </c>
      <c r="I20" s="14" t="s">
        <v>102</v>
      </c>
      <c r="J20" s="14" t="s">
        <v>176</v>
      </c>
    </row>
    <row r="21" customFormat="false" ht="12.75" hidden="false" customHeight="false" outlineLevel="0" collapsed="false">
      <c r="A21" s="15" t="s">
        <v>117</v>
      </c>
      <c r="B21" s="24" t="n">
        <v>1</v>
      </c>
      <c r="C21" s="25" t="n">
        <v>0.266690074192172</v>
      </c>
      <c r="D21" s="25" t="n">
        <v>0.70652168576565</v>
      </c>
      <c r="E21" s="25" t="n">
        <v>0.485135585056583</v>
      </c>
      <c r="F21" s="25" t="n">
        <v>-0.380054332720569</v>
      </c>
      <c r="G21" s="25" t="n">
        <v>0.612804709793472</v>
      </c>
      <c r="H21" s="25" t="n">
        <v>-0.32298980396755</v>
      </c>
      <c r="I21" s="25" t="n">
        <v>0.532591284227808</v>
      </c>
      <c r="J21" s="25" t="n">
        <v>-0.282284667232169</v>
      </c>
    </row>
    <row r="22" customFormat="false" ht="12.75" hidden="false" customHeight="false" outlineLevel="0" collapsed="false">
      <c r="A22" s="15" t="s">
        <v>84</v>
      </c>
      <c r="B22" s="25" t="n">
        <v>0.266690074192172</v>
      </c>
      <c r="C22" s="24" t="n">
        <v>1</v>
      </c>
      <c r="D22" s="25" t="n">
        <v>0.389113536836959</v>
      </c>
      <c r="E22" s="25" t="n">
        <v>-0.2709432472202</v>
      </c>
      <c r="F22" s="25" t="n">
        <v>0.244624570489047</v>
      </c>
      <c r="G22" s="15" t="n">
        <v>-0.0335923102390252</v>
      </c>
      <c r="H22" s="25" t="n">
        <v>0.355931986425549</v>
      </c>
      <c r="I22" s="25" t="n">
        <v>0.179952428780721</v>
      </c>
      <c r="J22" s="15" t="n">
        <v>-0.0652573914935086</v>
      </c>
    </row>
    <row r="23" customFormat="false" ht="12.75" hidden="false" customHeight="false" outlineLevel="0" collapsed="false">
      <c r="A23" s="15" t="s">
        <v>6</v>
      </c>
      <c r="B23" s="25" t="n">
        <v>0.70652168576565</v>
      </c>
      <c r="C23" s="25" t="n">
        <v>0.389113536836959</v>
      </c>
      <c r="D23" s="24" t="n">
        <v>1</v>
      </c>
      <c r="E23" s="25" t="n">
        <v>0.156744369370647</v>
      </c>
      <c r="F23" s="15" t="n">
        <v>-0.113619419329892</v>
      </c>
      <c r="G23" s="25" t="n">
        <v>0.35833907414419</v>
      </c>
      <c r="H23" s="25" t="n">
        <v>-0.220502291579245</v>
      </c>
      <c r="I23" s="25" t="n">
        <v>0.386108965735958</v>
      </c>
      <c r="J23" s="25" t="n">
        <v>-0.31513689727548</v>
      </c>
    </row>
    <row r="24" customFormat="false" ht="12.75" hidden="false" customHeight="false" outlineLevel="0" collapsed="false">
      <c r="A24" s="15" t="s">
        <v>100</v>
      </c>
      <c r="B24" s="25" t="n">
        <v>0.485135585056583</v>
      </c>
      <c r="C24" s="25" t="n">
        <v>-0.2709432472202</v>
      </c>
      <c r="D24" s="25" t="n">
        <v>0.156744369370647</v>
      </c>
      <c r="E24" s="24" t="n">
        <v>1</v>
      </c>
      <c r="F24" s="25" t="n">
        <v>-0.76487976481381</v>
      </c>
      <c r="G24" s="25" t="n">
        <v>0.543769818009616</v>
      </c>
      <c r="H24" s="25" t="n">
        <v>-0.501897406435207</v>
      </c>
      <c r="I24" s="25" t="n">
        <v>0.385622994580545</v>
      </c>
      <c r="J24" s="25" t="n">
        <v>-0.288081294437887</v>
      </c>
    </row>
    <row r="25" customFormat="false" ht="12.75" hidden="false" customHeight="false" outlineLevel="0" collapsed="false">
      <c r="A25" s="15" t="s">
        <v>168</v>
      </c>
      <c r="B25" s="25" t="n">
        <v>-0.380054332720569</v>
      </c>
      <c r="C25" s="25" t="n">
        <v>0.244624570489047</v>
      </c>
      <c r="D25" s="15" t="n">
        <v>-0.113619419329892</v>
      </c>
      <c r="E25" s="25" t="n">
        <v>-0.76487976481381</v>
      </c>
      <c r="F25" s="24" t="n">
        <v>1</v>
      </c>
      <c r="G25" s="25" t="n">
        <v>-0.643535768857315</v>
      </c>
      <c r="H25" s="25" t="n">
        <v>0.516496228744313</v>
      </c>
      <c r="I25" s="25" t="n">
        <v>-0.449496736535699</v>
      </c>
      <c r="J25" s="25" t="n">
        <v>0.290997166800098</v>
      </c>
    </row>
    <row r="26" customFormat="false" ht="12.75" hidden="false" customHeight="false" outlineLevel="0" collapsed="false">
      <c r="A26" s="15" t="s">
        <v>175</v>
      </c>
      <c r="B26" s="25" t="n">
        <v>0.612804709793472</v>
      </c>
      <c r="C26" s="15" t="n">
        <v>-0.0335923102390252</v>
      </c>
      <c r="D26" s="25" t="n">
        <v>0.35833907414419</v>
      </c>
      <c r="E26" s="25" t="n">
        <v>0.543769818009616</v>
      </c>
      <c r="F26" s="25" t="n">
        <v>-0.643535768857315</v>
      </c>
      <c r="G26" s="24" t="n">
        <v>1</v>
      </c>
      <c r="H26" s="25" t="n">
        <v>-0.454003816207663</v>
      </c>
      <c r="I26" s="25" t="n">
        <v>0.701456048143426</v>
      </c>
      <c r="J26" s="25" t="n">
        <v>-0.223561740255015</v>
      </c>
    </row>
    <row r="27" customFormat="false" ht="12.75" hidden="false" customHeight="false" outlineLevel="0" collapsed="false">
      <c r="A27" s="15" t="s">
        <v>81</v>
      </c>
      <c r="B27" s="25" t="n">
        <v>-0.32298980396755</v>
      </c>
      <c r="C27" s="25" t="n">
        <v>0.355931986425549</v>
      </c>
      <c r="D27" s="25" t="n">
        <v>-0.220502291579245</v>
      </c>
      <c r="E27" s="25" t="n">
        <v>-0.501897406435207</v>
      </c>
      <c r="F27" s="25" t="n">
        <v>0.516496228744313</v>
      </c>
      <c r="G27" s="25" t="n">
        <v>-0.454003816207663</v>
      </c>
      <c r="H27" s="24" t="n">
        <v>1</v>
      </c>
      <c r="I27" s="25" t="n">
        <v>-0.479596952807448</v>
      </c>
      <c r="J27" s="25" t="n">
        <v>0.451879287277962</v>
      </c>
    </row>
    <row r="28" customFormat="false" ht="12.75" hidden="false" customHeight="false" outlineLevel="0" collapsed="false">
      <c r="A28" s="15" t="s">
        <v>102</v>
      </c>
      <c r="B28" s="25" t="n">
        <v>0.532591284227808</v>
      </c>
      <c r="C28" s="25" t="n">
        <v>0.179952428780721</v>
      </c>
      <c r="D28" s="25" t="n">
        <v>0.386108965735958</v>
      </c>
      <c r="E28" s="25" t="n">
        <v>0.385622994580545</v>
      </c>
      <c r="F28" s="25" t="n">
        <v>-0.449496736535699</v>
      </c>
      <c r="G28" s="25" t="n">
        <v>0.701456048143426</v>
      </c>
      <c r="H28" s="25" t="n">
        <v>-0.479596952807448</v>
      </c>
      <c r="I28" s="24" t="n">
        <v>1</v>
      </c>
      <c r="J28" s="25" t="n">
        <v>-0.318814917564079</v>
      </c>
    </row>
    <row r="29" customFormat="false" ht="13.5" hidden="false" customHeight="false" outlineLevel="0" collapsed="false">
      <c r="A29" s="16" t="s">
        <v>176</v>
      </c>
      <c r="B29" s="26" t="n">
        <v>-0.282284667232169</v>
      </c>
      <c r="C29" s="16" t="n">
        <v>-0.0652573914935086</v>
      </c>
      <c r="D29" s="26" t="n">
        <v>-0.31513689727548</v>
      </c>
      <c r="E29" s="26" t="n">
        <v>-0.288081294437887</v>
      </c>
      <c r="F29" s="26" t="n">
        <v>0.290997166800098</v>
      </c>
      <c r="G29" s="26" t="n">
        <v>-0.223561740255015</v>
      </c>
      <c r="H29" s="26" t="n">
        <v>0.451879287277962</v>
      </c>
      <c r="I29" s="26" t="n">
        <v>-0.318814917564079</v>
      </c>
      <c r="J29" s="27" t="n">
        <v>1</v>
      </c>
    </row>
    <row r="32" customFormat="false" ht="12.75" hidden="false" customHeight="false" outlineLevel="0" collapsed="false">
      <c r="A32" s="0" t="s">
        <v>177</v>
      </c>
    </row>
    <row r="33" customFormat="false" ht="13.5" hidden="false" customHeight="false" outlineLevel="0" collapsed="false"/>
    <row r="34" customFormat="false" ht="12.75" hidden="false" customHeight="false" outlineLevel="0" collapsed="false">
      <c r="A34" s="28" t="s">
        <v>178</v>
      </c>
      <c r="B34" s="28" t="n">
        <v>1</v>
      </c>
      <c r="C34" s="28" t="n">
        <v>2</v>
      </c>
      <c r="D34" s="28" t="n">
        <v>3</v>
      </c>
      <c r="E34" s="28" t="n">
        <v>4</v>
      </c>
      <c r="F34" s="28" t="n">
        <v>5</v>
      </c>
      <c r="G34" s="28" t="n">
        <v>6</v>
      </c>
      <c r="H34" s="28" t="n">
        <v>7</v>
      </c>
      <c r="I34" s="28" t="n">
        <v>8</v>
      </c>
      <c r="J34" s="28" t="n">
        <v>9</v>
      </c>
    </row>
    <row r="35" customFormat="false" ht="12.75" hidden="false" customHeight="false" outlineLevel="0" collapsed="false">
      <c r="A35" s="6" t="s">
        <v>135</v>
      </c>
      <c r="B35" s="15" t="n">
        <v>4.04229819518828</v>
      </c>
      <c r="C35" s="15" t="n">
        <v>1.84631307819875</v>
      </c>
      <c r="D35" s="15" t="n">
        <v>0.940773559994607</v>
      </c>
      <c r="E35" s="15" t="n">
        <v>0.65134237427228</v>
      </c>
      <c r="F35" s="15" t="n">
        <v>0.595076204321902</v>
      </c>
      <c r="G35" s="15" t="n">
        <v>0.315105065217434</v>
      </c>
      <c r="H35" s="15" t="n">
        <v>0.261047462989076</v>
      </c>
      <c r="I35" s="15" t="n">
        <v>0.205865871565541</v>
      </c>
      <c r="J35" s="15" t="n">
        <v>0.142178188252127</v>
      </c>
    </row>
    <row r="36" customFormat="false" ht="12.75" hidden="false" customHeight="false" outlineLevel="0" collapsed="false">
      <c r="A36" s="6" t="s">
        <v>179</v>
      </c>
      <c r="B36" s="15" t="n">
        <v>0.449144243909809</v>
      </c>
      <c r="C36" s="15" t="n">
        <v>0.205145897577639</v>
      </c>
      <c r="D36" s="15" t="n">
        <v>0.104530395554956</v>
      </c>
      <c r="E36" s="15" t="n">
        <v>0.0723713749191422</v>
      </c>
      <c r="F36" s="15" t="n">
        <v>0.0661195782579891</v>
      </c>
      <c r="G36" s="15" t="n">
        <v>0.0350116739130482</v>
      </c>
      <c r="H36" s="15" t="n">
        <v>0.0290052736654529</v>
      </c>
      <c r="I36" s="15" t="n">
        <v>0.0228739857295046</v>
      </c>
      <c r="J36" s="15" t="n">
        <v>0.0157975764724585</v>
      </c>
    </row>
    <row r="37" customFormat="false" ht="13.5" hidden="false" customHeight="false" outlineLevel="0" collapsed="false">
      <c r="A37" s="7" t="s">
        <v>180</v>
      </c>
      <c r="B37" s="16" t="n">
        <v>0.449144243909809</v>
      </c>
      <c r="C37" s="16" t="n">
        <v>0.654290141487448</v>
      </c>
      <c r="D37" s="16" t="n">
        <v>0.758820537042405</v>
      </c>
      <c r="E37" s="16" t="n">
        <v>0.831191911961547</v>
      </c>
      <c r="F37" s="16" t="n">
        <v>0.897311490219536</v>
      </c>
      <c r="G37" s="16" t="n">
        <v>0.932323164132584</v>
      </c>
      <c r="H37" s="16" t="n">
        <v>0.961328437798037</v>
      </c>
      <c r="I37" s="16" t="n">
        <v>0.984202423527542</v>
      </c>
      <c r="J37" s="16" t="n">
        <v>1</v>
      </c>
    </row>
    <row r="38" customFormat="false" ht="12.75" hidden="false" customHeight="false" outlineLevel="0" collapsed="false">
      <c r="A38" s="28" t="s">
        <v>181</v>
      </c>
      <c r="B38" s="28" t="n">
        <v>1</v>
      </c>
      <c r="C38" s="28" t="n">
        <v>2</v>
      </c>
      <c r="D38" s="28" t="n">
        <v>3</v>
      </c>
      <c r="E38" s="28" t="n">
        <v>4</v>
      </c>
      <c r="F38" s="28" t="n">
        <v>5</v>
      </c>
      <c r="G38" s="28" t="n">
        <v>6</v>
      </c>
      <c r="H38" s="28" t="n">
        <v>7</v>
      </c>
      <c r="I38" s="28" t="n">
        <v>8</v>
      </c>
      <c r="J38" s="28" t="n">
        <v>9</v>
      </c>
    </row>
    <row r="39" customFormat="false" ht="12.75" hidden="false" customHeight="false" outlineLevel="0" collapsed="false">
      <c r="A39" s="6" t="s">
        <v>117</v>
      </c>
      <c r="B39" s="15" t="n">
        <v>0.378426155651838</v>
      </c>
      <c r="C39" s="15" t="n">
        <v>0.317574672185862</v>
      </c>
      <c r="D39" s="15" t="n">
        <v>0.158961709400667</v>
      </c>
      <c r="E39" s="15" t="n">
        <v>-0.364859969672644</v>
      </c>
      <c r="F39" s="15" t="n">
        <v>-0.144075880875314</v>
      </c>
      <c r="G39" s="15" t="n">
        <v>0.0221588688200916</v>
      </c>
      <c r="H39" s="15" t="n">
        <v>0.417626734863381</v>
      </c>
      <c r="I39" s="15" t="n">
        <v>-0.381151244716375</v>
      </c>
      <c r="J39" s="15" t="n">
        <v>0.506567975537966</v>
      </c>
    </row>
    <row r="40" customFormat="false" ht="12.75" hidden="false" customHeight="false" outlineLevel="0" collapsed="false">
      <c r="A40" s="6" t="s">
        <v>84</v>
      </c>
      <c r="B40" s="15" t="n">
        <v>-0.0135546325448452</v>
      </c>
      <c r="C40" s="15" t="n">
        <v>0.640569106151797</v>
      </c>
      <c r="D40" s="15" t="n">
        <v>0.0566075571625551</v>
      </c>
      <c r="E40" s="15" t="n">
        <v>0.179178308846176</v>
      </c>
      <c r="F40" s="15" t="n">
        <v>0.470900769775976</v>
      </c>
      <c r="G40" s="15" t="n">
        <v>-0.409428332035121</v>
      </c>
      <c r="H40" s="15" t="n">
        <v>-0.178548473800121</v>
      </c>
      <c r="I40" s="15" t="n">
        <v>-0.300145694936196</v>
      </c>
      <c r="J40" s="15" t="n">
        <v>-0.20695922438447</v>
      </c>
    </row>
    <row r="41" customFormat="false" ht="12.75" hidden="false" customHeight="false" outlineLevel="0" collapsed="false">
      <c r="A41" s="6" t="s">
        <v>6</v>
      </c>
      <c r="B41" s="15" t="n">
        <v>0.268118083444097</v>
      </c>
      <c r="C41" s="15" t="n">
        <v>0.483010622324815</v>
      </c>
      <c r="D41" s="15" t="n">
        <v>-0.122536633044813</v>
      </c>
      <c r="E41" s="15" t="n">
        <v>-0.38430479027465</v>
      </c>
      <c r="F41" s="15" t="n">
        <v>-0.364805914287661</v>
      </c>
      <c r="G41" s="15" t="n">
        <v>0.0743669976539165</v>
      </c>
      <c r="H41" s="15" t="n">
        <v>-0.393413819260149</v>
      </c>
      <c r="I41" s="15" t="n">
        <v>0.452876587293622</v>
      </c>
      <c r="J41" s="15" t="n">
        <v>-0.183364641746354</v>
      </c>
    </row>
    <row r="42" customFormat="false" ht="12.75" hidden="false" customHeight="false" outlineLevel="0" collapsed="false">
      <c r="A42" s="6" t="s">
        <v>100</v>
      </c>
      <c r="B42" s="15" t="n">
        <v>0.374193967444417</v>
      </c>
      <c r="C42" s="15" t="n">
        <v>-0.276598493715777</v>
      </c>
      <c r="D42" s="15" t="n">
        <v>0.154973320556179</v>
      </c>
      <c r="E42" s="15" t="n">
        <v>-0.390450739004171</v>
      </c>
      <c r="F42" s="15" t="n">
        <v>0.3234428026489</v>
      </c>
      <c r="G42" s="15" t="n">
        <v>-0.319669157391295</v>
      </c>
      <c r="H42" s="15" t="n">
        <v>0.368067902889391</v>
      </c>
      <c r="I42" s="15" t="n">
        <v>0.230622985948615</v>
      </c>
      <c r="J42" s="15" t="n">
        <v>-0.45993377650633</v>
      </c>
    </row>
    <row r="43" customFormat="false" ht="12.75" hidden="false" customHeight="false" outlineLevel="0" collapsed="false">
      <c r="A43" s="6" t="s">
        <v>168</v>
      </c>
      <c r="B43" s="15" t="n">
        <v>-0.379343500137917</v>
      </c>
      <c r="C43" s="15" t="n">
        <v>0.296644983035823</v>
      </c>
      <c r="D43" s="15" t="n">
        <v>-0.186880617636384</v>
      </c>
      <c r="E43" s="15" t="n">
        <v>0.0773916393153023</v>
      </c>
      <c r="F43" s="15" t="n">
        <v>-0.395980935059413</v>
      </c>
      <c r="G43" s="15" t="n">
        <v>0.0183536353577052</v>
      </c>
      <c r="H43" s="15" t="n">
        <v>0.611732837715119</v>
      </c>
      <c r="I43" s="15" t="n">
        <v>-0.0454929687568778</v>
      </c>
      <c r="J43" s="15" t="n">
        <v>-0.440184052473562</v>
      </c>
    </row>
    <row r="44" customFormat="false" ht="12.75" hidden="false" customHeight="false" outlineLevel="0" collapsed="false">
      <c r="A44" s="6" t="s">
        <v>175</v>
      </c>
      <c r="B44" s="15" t="n">
        <v>0.413211442907133</v>
      </c>
      <c r="C44" s="15" t="n">
        <v>-0.00336210570512356</v>
      </c>
      <c r="D44" s="15" t="n">
        <v>0.337312682362209</v>
      </c>
      <c r="E44" s="15" t="n">
        <v>0.262714602556079</v>
      </c>
      <c r="F44" s="15" t="n">
        <v>-0.0714198142017197</v>
      </c>
      <c r="G44" s="15" t="n">
        <v>0.567587310364</v>
      </c>
      <c r="H44" s="15" t="n">
        <v>-0.0836001001149296</v>
      </c>
      <c r="I44" s="15" t="n">
        <v>-0.332129013388635</v>
      </c>
      <c r="J44" s="15" t="n">
        <v>-0.449323256238383</v>
      </c>
    </row>
    <row r="45" customFormat="false" ht="12.75" hidden="false" customHeight="false" outlineLevel="0" collapsed="false">
      <c r="A45" s="6" t="s">
        <v>81</v>
      </c>
      <c r="B45" s="15" t="n">
        <v>-0.346878302546788</v>
      </c>
      <c r="C45" s="15" t="n">
        <v>0.26127672875709</v>
      </c>
      <c r="D45" s="15" t="n">
        <v>0.376973868202484</v>
      </c>
      <c r="E45" s="15" t="n">
        <v>-0.147668905909635</v>
      </c>
      <c r="F45" s="15" t="n">
        <v>0.447807197608703</v>
      </c>
      <c r="G45" s="15" t="n">
        <v>0.501001025864662</v>
      </c>
      <c r="H45" s="15" t="n">
        <v>0.180590281372642</v>
      </c>
      <c r="I45" s="15" t="n">
        <v>0.386530911977787</v>
      </c>
      <c r="J45" s="15" t="n">
        <v>0.118077099235741</v>
      </c>
    </row>
    <row r="46" customFormat="false" ht="12.75" hidden="false" customHeight="false" outlineLevel="0" collapsed="false">
      <c r="A46" s="6" t="s">
        <v>102</v>
      </c>
      <c r="B46" s="15" t="n">
        <v>0.37973519192879</v>
      </c>
      <c r="C46" s="15" t="n">
        <v>0.141553120490652</v>
      </c>
      <c r="D46" s="15" t="n">
        <v>0.103522824340254</v>
      </c>
      <c r="E46" s="15" t="n">
        <v>0.660889373662268</v>
      </c>
      <c r="F46" s="15" t="n">
        <v>-0.0724768392843538</v>
      </c>
      <c r="G46" s="15" t="n">
        <v>-0.155571787836907</v>
      </c>
      <c r="H46" s="15" t="n">
        <v>0.26257770104064</v>
      </c>
      <c r="I46" s="15" t="n">
        <v>0.494511753783037</v>
      </c>
      <c r="J46" s="15" t="n">
        <v>0.212903174223147</v>
      </c>
    </row>
    <row r="47" customFormat="false" ht="13.5" hidden="false" customHeight="false" outlineLevel="0" collapsed="false">
      <c r="A47" s="7" t="s">
        <v>176</v>
      </c>
      <c r="B47" s="16" t="n">
        <v>-0.255993992703736</v>
      </c>
      <c r="C47" s="16" t="n">
        <v>-0.0519537794558319</v>
      </c>
      <c r="D47" s="16" t="n">
        <v>0.794332625225016</v>
      </c>
      <c r="E47" s="16" t="n">
        <v>-0.0322658725001133</v>
      </c>
      <c r="F47" s="16" t="n">
        <v>-0.390012992906415</v>
      </c>
      <c r="G47" s="16" t="n">
        <v>-0.355614658059726</v>
      </c>
      <c r="H47" s="16" t="n">
        <v>-0.143854086561666</v>
      </c>
      <c r="I47" s="16" t="n">
        <v>0.00498128608653467</v>
      </c>
      <c r="J47" s="16" t="n">
        <v>-0.0217196542438428</v>
      </c>
    </row>
    <row r="50" customFormat="false" ht="12.75" hidden="false" customHeight="false" outlineLevel="0" collapsed="false">
      <c r="A50" s="0" t="s">
        <v>182</v>
      </c>
    </row>
    <row r="51" customFormat="false" ht="13.5" hidden="false" customHeight="false" outlineLevel="0" collapsed="false"/>
    <row r="52" customFormat="false" ht="12.75" hidden="false" customHeight="false" outlineLevel="0" collapsed="false">
      <c r="A52" s="28"/>
      <c r="B52" s="28" t="s">
        <v>183</v>
      </c>
      <c r="C52" s="28" t="s">
        <v>184</v>
      </c>
      <c r="D52" s="28" t="s">
        <v>185</v>
      </c>
      <c r="E52" s="28" t="s">
        <v>186</v>
      </c>
      <c r="F52" s="28" t="s">
        <v>187</v>
      </c>
      <c r="G52" s="28" t="s">
        <v>188</v>
      </c>
      <c r="H52" s="28" t="s">
        <v>189</v>
      </c>
      <c r="I52" s="28" t="s">
        <v>190</v>
      </c>
      <c r="J52" s="28" t="s">
        <v>191</v>
      </c>
    </row>
    <row r="53" customFormat="false" ht="12.75" hidden="false" customHeight="false" outlineLevel="0" collapsed="false">
      <c r="A53" s="6" t="s">
        <v>117</v>
      </c>
      <c r="B53" s="15" t="n">
        <v>0.760843473714279</v>
      </c>
      <c r="C53" s="15" t="n">
        <v>0.431517617673095</v>
      </c>
      <c r="D53" s="15" t="n">
        <v>0.154182497399741</v>
      </c>
      <c r="E53" s="15" t="n">
        <v>-0.294463102906912</v>
      </c>
      <c r="F53" s="15" t="n">
        <v>-0.111141838257931</v>
      </c>
      <c r="G53" s="15" t="n">
        <v>0.0124387081673879</v>
      </c>
      <c r="H53" s="15" t="n">
        <v>0.213377209475774</v>
      </c>
      <c r="I53" s="15" t="n">
        <v>-0.172937636791479</v>
      </c>
      <c r="J53" s="15" t="n">
        <v>0.191009170594559</v>
      </c>
    </row>
    <row r="54" customFormat="false" ht="12.75" hidden="false" customHeight="false" outlineLevel="0" collapsed="false">
      <c r="A54" s="6" t="s">
        <v>84</v>
      </c>
      <c r="B54" s="15" t="n">
        <v>-0.0272522222798702</v>
      </c>
      <c r="C54" s="15" t="n">
        <v>0.870399559067585</v>
      </c>
      <c r="D54" s="15" t="n">
        <v>0.0549056409114375</v>
      </c>
      <c r="E54" s="15" t="n">
        <v>0.144607260817886</v>
      </c>
      <c r="F54" s="15" t="n">
        <v>0.363258422381398</v>
      </c>
      <c r="G54" s="15" t="n">
        <v>-0.229829400543571</v>
      </c>
      <c r="H54" s="15" t="n">
        <v>-0.0912254219263314</v>
      </c>
      <c r="I54" s="15" t="n">
        <v>-0.136183438713487</v>
      </c>
      <c r="J54" s="15" t="n">
        <v>-0.0780371277015482</v>
      </c>
    </row>
    <row r="55" customFormat="false" ht="12.75" hidden="false" customHeight="false" outlineLevel="0" collapsed="false">
      <c r="A55" s="6" t="s">
        <v>6</v>
      </c>
      <c r="B55" s="15" t="n">
        <v>0.53906393870117</v>
      </c>
      <c r="C55" s="15" t="n">
        <v>0.656310503673983</v>
      </c>
      <c r="D55" s="15" t="n">
        <v>-0.118852547428164</v>
      </c>
      <c r="E55" s="15" t="n">
        <v>-0.310156198027958</v>
      </c>
      <c r="F55" s="15" t="n">
        <v>-0.281415596246706</v>
      </c>
      <c r="G55" s="15" t="n">
        <v>0.0417453340516714</v>
      </c>
      <c r="H55" s="15" t="n">
        <v>-0.201006151941873</v>
      </c>
      <c r="I55" s="15" t="n">
        <v>0.205481178011181</v>
      </c>
      <c r="J55" s="15" t="n">
        <v>-0.0691404309542948</v>
      </c>
    </row>
    <row r="56" customFormat="false" ht="12.75" hidden="false" customHeight="false" outlineLevel="0" collapsed="false">
      <c r="A56" s="6" t="s">
        <v>100</v>
      </c>
      <c r="B56" s="15" t="n">
        <v>0.752334461509242</v>
      </c>
      <c r="C56" s="15" t="n">
        <v>-0.375839553698237</v>
      </c>
      <c r="D56" s="15" t="n">
        <v>0.150314020173603</v>
      </c>
      <c r="E56" s="15" t="n">
        <v>-0.315116334199721</v>
      </c>
      <c r="F56" s="15" t="n">
        <v>0.249507602794434</v>
      </c>
      <c r="G56" s="15" t="n">
        <v>-0.179443788001479</v>
      </c>
      <c r="H56" s="15" t="n">
        <v>0.188056212545469</v>
      </c>
      <c r="I56" s="15" t="n">
        <v>0.104639286195762</v>
      </c>
      <c r="J56" s="15" t="n">
        <v>-0.173425035575138</v>
      </c>
    </row>
    <row r="57" customFormat="false" ht="12.75" hidden="false" customHeight="false" outlineLevel="0" collapsed="false">
      <c r="A57" s="6" t="s">
        <v>168</v>
      </c>
      <c r="B57" s="15" t="n">
        <v>-0.762687837680558</v>
      </c>
      <c r="C57" s="15" t="n">
        <v>0.403078543679884</v>
      </c>
      <c r="D57" s="15" t="n">
        <v>-0.181262018705133</v>
      </c>
      <c r="E57" s="15" t="n">
        <v>0.0624595300829603</v>
      </c>
      <c r="F57" s="15" t="n">
        <v>-0.305464375926216</v>
      </c>
      <c r="G57" s="15" t="n">
        <v>0.0103026700450589</v>
      </c>
      <c r="H57" s="15" t="n">
        <v>0.312551460334667</v>
      </c>
      <c r="I57" s="15" t="n">
        <v>-0.0206412719793094</v>
      </c>
      <c r="J57" s="15" t="n">
        <v>-0.16597810132517</v>
      </c>
    </row>
    <row r="58" customFormat="false" ht="12.75" hidden="false" customHeight="false" outlineLevel="0" collapsed="false">
      <c r="A58" s="6" t="s">
        <v>175</v>
      </c>
      <c r="B58" s="15" t="n">
        <v>0.830780919618038</v>
      </c>
      <c r="C58" s="15" t="n">
        <v>-0.00456839909257923</v>
      </c>
      <c r="D58" s="15" t="n">
        <v>0.327171316710768</v>
      </c>
      <c r="E58" s="15" t="n">
        <v>0.21202588246945</v>
      </c>
      <c r="F58" s="15" t="n">
        <v>-0.0550940892409916</v>
      </c>
      <c r="G58" s="15" t="n">
        <v>0.318610709348531</v>
      </c>
      <c r="H58" s="15" t="n">
        <v>-0.0427136353716782</v>
      </c>
      <c r="I58" s="15" t="n">
        <v>-0.150695052112599</v>
      </c>
      <c r="J58" s="15" t="n">
        <v>-0.169424177301765</v>
      </c>
    </row>
    <row r="59" customFormat="false" ht="12.75" hidden="false" customHeight="false" outlineLevel="0" collapsed="false">
      <c r="A59" s="6" t="s">
        <v>81</v>
      </c>
      <c r="B59" s="15" t="n">
        <v>-0.69741504048844</v>
      </c>
      <c r="C59" s="15" t="n">
        <v>0.35502047682409</v>
      </c>
      <c r="D59" s="15" t="n">
        <v>0.365640081960868</v>
      </c>
      <c r="E59" s="15" t="n">
        <v>-0.119177349809116</v>
      </c>
      <c r="F59" s="15" t="n">
        <v>0.34544376772151</v>
      </c>
      <c r="G59" s="15" t="n">
        <v>0.281233017934656</v>
      </c>
      <c r="H59" s="15" t="n">
        <v>0.0922686386692766</v>
      </c>
      <c r="I59" s="15" t="n">
        <v>0.175378523331428</v>
      </c>
      <c r="J59" s="15" t="n">
        <v>0.0445227686714277</v>
      </c>
    </row>
    <row r="60" customFormat="false" ht="12.75" hidden="false" customHeight="false" outlineLevel="0" collapsed="false">
      <c r="A60" s="6" t="s">
        <v>102</v>
      </c>
      <c r="B60" s="15" t="n">
        <v>0.763475352333924</v>
      </c>
      <c r="C60" s="15" t="n">
        <v>0.19234111117202</v>
      </c>
      <c r="D60" s="15" t="n">
        <v>0.100410392256313</v>
      </c>
      <c r="E60" s="15" t="n">
        <v>0.533375957415665</v>
      </c>
      <c r="F60" s="15" t="n">
        <v>-0.0559094908894491</v>
      </c>
      <c r="G60" s="15" t="n">
        <v>-0.0873290096030306</v>
      </c>
      <c r="H60" s="15" t="n">
        <v>0.134158310379589</v>
      </c>
      <c r="I60" s="15" t="n">
        <v>0.224372070799573</v>
      </c>
      <c r="J60" s="15" t="n">
        <v>0.0802783845191264</v>
      </c>
    </row>
    <row r="61" customFormat="false" ht="13.5" hidden="false" customHeight="false" outlineLevel="0" collapsed="false">
      <c r="A61" s="7" t="s">
        <v>176</v>
      </c>
      <c r="B61" s="16" t="n">
        <v>-0.514687887583259</v>
      </c>
      <c r="C61" s="16" t="n">
        <v>-0.0705943297857618</v>
      </c>
      <c r="D61" s="16" t="n">
        <v>0.7704508738931</v>
      </c>
      <c r="E61" s="16" t="n">
        <v>-0.0260404257088182</v>
      </c>
      <c r="F61" s="16" t="n">
        <v>-0.300860634776265</v>
      </c>
      <c r="G61" s="16" t="n">
        <v>-0.199621514417724</v>
      </c>
      <c r="H61" s="16" t="n">
        <v>-0.0734990866239826</v>
      </c>
      <c r="I61" s="16" t="n">
        <v>0.00226013126266611</v>
      </c>
      <c r="J61" s="16" t="n">
        <v>-0.0081897264395982</v>
      </c>
    </row>
    <row r="64" customFormat="false" ht="12.75" hidden="false" customHeight="false" outlineLevel="0" collapsed="false">
      <c r="A64" s="0" t="s">
        <v>192</v>
      </c>
    </row>
    <row r="65" customFormat="false" ht="13.5" hidden="false" customHeight="false" outlineLevel="0" collapsed="false"/>
    <row r="66" customFormat="false" ht="12.75" hidden="false" customHeight="false" outlineLevel="0" collapsed="false">
      <c r="A66" s="28"/>
      <c r="B66" s="28" t="s">
        <v>193</v>
      </c>
      <c r="C66" s="28" t="s">
        <v>194</v>
      </c>
      <c r="D66" s="28" t="s">
        <v>195</v>
      </c>
      <c r="E66" s="28" t="s">
        <v>196</v>
      </c>
      <c r="F66" s="28" t="s">
        <v>197</v>
      </c>
      <c r="G66" s="28" t="s">
        <v>198</v>
      </c>
      <c r="H66" s="28" t="s">
        <v>199</v>
      </c>
      <c r="I66" s="28" t="s">
        <v>200</v>
      </c>
      <c r="J66" s="28" t="s">
        <v>201</v>
      </c>
    </row>
    <row r="67" customFormat="false" ht="12.75" hidden="false" customHeight="false" outlineLevel="0" collapsed="false">
      <c r="A67" s="6" t="s">
        <v>202</v>
      </c>
      <c r="B67" s="15" t="n">
        <v>-0.745842345532513</v>
      </c>
      <c r="C67" s="15" t="n">
        <v>-0.466916870471119</v>
      </c>
      <c r="D67" s="15" t="n">
        <v>-0.834281794639243</v>
      </c>
      <c r="E67" s="15" t="n">
        <v>0.276630236220385</v>
      </c>
      <c r="F67" s="15" t="n">
        <v>0.138915963785082</v>
      </c>
      <c r="G67" s="15" t="n">
        <v>0.0742240261698952</v>
      </c>
      <c r="H67" s="15" t="n">
        <v>-0.0944559117913193</v>
      </c>
      <c r="I67" s="15" t="n">
        <v>-0.22436322002226</v>
      </c>
      <c r="J67" s="15" t="n">
        <v>0.108270101897746</v>
      </c>
    </row>
    <row r="68" customFormat="false" ht="12.75" hidden="false" customHeight="false" outlineLevel="0" collapsed="false">
      <c r="A68" s="6" t="s">
        <v>203</v>
      </c>
      <c r="B68" s="15" t="n">
        <v>-2.17057203202375</v>
      </c>
      <c r="C68" s="15" t="n">
        <v>0.0393371122264504</v>
      </c>
      <c r="D68" s="15" t="n">
        <v>1.06239055421232</v>
      </c>
      <c r="E68" s="15" t="n">
        <v>0.110629970826243</v>
      </c>
      <c r="F68" s="15" t="n">
        <v>-0.381504296079027</v>
      </c>
      <c r="G68" s="15" t="n">
        <v>0.247842095083672</v>
      </c>
      <c r="H68" s="15" t="n">
        <v>-0.0388964390369585</v>
      </c>
      <c r="I68" s="15" t="n">
        <v>0.0746263070232809</v>
      </c>
      <c r="J68" s="15" t="n">
        <v>0.164030292313409</v>
      </c>
    </row>
    <row r="69" customFormat="false" ht="12.75" hidden="false" customHeight="false" outlineLevel="0" collapsed="false">
      <c r="A69" s="6" t="s">
        <v>204</v>
      </c>
      <c r="B69" s="15" t="n">
        <v>-0.686966842986111</v>
      </c>
      <c r="C69" s="15" t="n">
        <v>-0.834554575923412</v>
      </c>
      <c r="D69" s="15" t="n">
        <v>-0.578346076246403</v>
      </c>
      <c r="E69" s="15" t="n">
        <v>-0.129163594818225</v>
      </c>
      <c r="F69" s="15" t="n">
        <v>0.0783812366542608</v>
      </c>
      <c r="G69" s="15" t="n">
        <v>-0.0557635353457498</v>
      </c>
      <c r="H69" s="15" t="n">
        <v>0.17600486032324</v>
      </c>
      <c r="I69" s="15" t="n">
        <v>-0.0526836144618898</v>
      </c>
      <c r="J69" s="15" t="n">
        <v>-0.18315471813039</v>
      </c>
    </row>
    <row r="70" customFormat="false" ht="12.75" hidden="false" customHeight="false" outlineLevel="0" collapsed="false">
      <c r="A70" s="6" t="s">
        <v>205</v>
      </c>
      <c r="B70" s="15" t="n">
        <v>-2.43433544461525</v>
      </c>
      <c r="C70" s="15" t="n">
        <v>3.68971369699197</v>
      </c>
      <c r="D70" s="15" t="n">
        <v>1.81927110602669</v>
      </c>
      <c r="E70" s="15" t="n">
        <v>1.30382800354843</v>
      </c>
      <c r="F70" s="15" t="n">
        <v>1.91874091464957</v>
      </c>
      <c r="G70" s="15" t="n">
        <v>-1.33553698038677</v>
      </c>
      <c r="H70" s="15" t="n">
        <v>-0.342987538082131</v>
      </c>
      <c r="I70" s="15" t="n">
        <v>-0.842376682920543</v>
      </c>
      <c r="J70" s="15" t="n">
        <v>-0.443481259302891</v>
      </c>
    </row>
    <row r="71" customFormat="false" ht="12.75" hidden="false" customHeight="false" outlineLevel="0" collapsed="false">
      <c r="A71" s="6" t="s">
        <v>206</v>
      </c>
      <c r="B71" s="15" t="n">
        <v>-2.08840254876133</v>
      </c>
      <c r="C71" s="15" t="n">
        <v>0.0997596025474251</v>
      </c>
      <c r="D71" s="15" t="n">
        <v>0.678393099852486</v>
      </c>
      <c r="E71" s="15" t="n">
        <v>0.116870397917558</v>
      </c>
      <c r="F71" s="15" t="n">
        <v>-0.551510526165445</v>
      </c>
      <c r="G71" s="15" t="n">
        <v>0.30956239555442</v>
      </c>
      <c r="H71" s="15" t="n">
        <v>-0.0104419976139557</v>
      </c>
      <c r="I71" s="15" t="n">
        <v>0.0358809238855118</v>
      </c>
      <c r="J71" s="15" t="n">
        <v>0.166933382491114</v>
      </c>
    </row>
    <row r="72" customFormat="false" ht="12.75" hidden="false" customHeight="false" outlineLevel="0" collapsed="false">
      <c r="A72" s="6" t="s">
        <v>207</v>
      </c>
      <c r="B72" s="15" t="n">
        <v>2.30976458897838</v>
      </c>
      <c r="C72" s="15" t="n">
        <v>-0.0709726019929381</v>
      </c>
      <c r="D72" s="15" t="n">
        <v>-0.348891545672138</v>
      </c>
      <c r="E72" s="15" t="n">
        <v>1.70742149226622</v>
      </c>
      <c r="F72" s="15" t="n">
        <v>-0.821343999284436</v>
      </c>
      <c r="G72" s="15" t="n">
        <v>0.393499035054881</v>
      </c>
      <c r="H72" s="15" t="n">
        <v>-0.211282267007972</v>
      </c>
      <c r="I72" s="15" t="n">
        <v>0.839740941114894</v>
      </c>
      <c r="J72" s="15" t="n">
        <v>-0.927397604126429</v>
      </c>
    </row>
    <row r="73" customFormat="false" ht="12.75" hidden="false" customHeight="false" outlineLevel="0" collapsed="false">
      <c r="A73" s="6" t="s">
        <v>208</v>
      </c>
      <c r="B73" s="15" t="n">
        <v>4.46903090626507</v>
      </c>
      <c r="C73" s="15" t="n">
        <v>-1.46553992292979</v>
      </c>
      <c r="D73" s="15" t="n">
        <v>0.995662018966925</v>
      </c>
      <c r="E73" s="15" t="n">
        <v>-1.46134017522612</v>
      </c>
      <c r="F73" s="15" t="n">
        <v>0.634573319173656</v>
      </c>
      <c r="G73" s="15" t="n">
        <v>-0.538069695009553</v>
      </c>
      <c r="H73" s="15" t="n">
        <v>2.0428685034198</v>
      </c>
      <c r="I73" s="15" t="n">
        <v>-0.754578136914866</v>
      </c>
      <c r="J73" s="15" t="n">
        <v>-0.07734176160967</v>
      </c>
    </row>
    <row r="74" customFormat="false" ht="12.75" hidden="false" customHeight="false" outlineLevel="0" collapsed="false">
      <c r="A74" s="6" t="s">
        <v>209</v>
      </c>
      <c r="B74" s="15" t="n">
        <v>-0.183533401173084</v>
      </c>
      <c r="C74" s="15" t="n">
        <v>2.23377836128988</v>
      </c>
      <c r="D74" s="15" t="n">
        <v>-0.676801669076216</v>
      </c>
      <c r="E74" s="15" t="n">
        <v>0.366563422639191</v>
      </c>
      <c r="F74" s="15" t="n">
        <v>-0.357265713852828</v>
      </c>
      <c r="G74" s="15" t="n">
        <v>-0.415851591644066</v>
      </c>
      <c r="H74" s="15" t="n">
        <v>-0.208460710968611</v>
      </c>
      <c r="I74" s="15" t="n">
        <v>-0.222218677015078</v>
      </c>
      <c r="J74" s="15" t="n">
        <v>0.113578022470647</v>
      </c>
    </row>
    <row r="75" customFormat="false" ht="12.75" hidden="false" customHeight="false" outlineLevel="0" collapsed="false">
      <c r="A75" s="6" t="s">
        <v>210</v>
      </c>
      <c r="B75" s="15" t="n">
        <v>-0.767363609375186</v>
      </c>
      <c r="C75" s="15" t="n">
        <v>0.035339826177211</v>
      </c>
      <c r="D75" s="15" t="n">
        <v>-0.742036558545226</v>
      </c>
      <c r="E75" s="15" t="n">
        <v>0.364451096315217</v>
      </c>
      <c r="F75" s="15" t="n">
        <v>0.313377045365322</v>
      </c>
      <c r="G75" s="15" t="n">
        <v>-0.139561935491399</v>
      </c>
      <c r="H75" s="15" t="n">
        <v>0.126038445456219</v>
      </c>
      <c r="I75" s="15" t="n">
        <v>-0.192782193964122</v>
      </c>
      <c r="J75" s="15" t="n">
        <v>-0.140865604587797</v>
      </c>
    </row>
    <row r="76" customFormat="false" ht="12.75" hidden="false" customHeight="false" outlineLevel="0" collapsed="false">
      <c r="A76" s="6" t="s">
        <v>211</v>
      </c>
      <c r="B76" s="15" t="n">
        <v>-0.713512219540402</v>
      </c>
      <c r="C76" s="15" t="n">
        <v>-0.622023595724622</v>
      </c>
      <c r="D76" s="15" t="n">
        <v>-1.10593152237886</v>
      </c>
      <c r="E76" s="15" t="n">
        <v>0.941016390753758</v>
      </c>
      <c r="F76" s="15" t="n">
        <v>-1.19599117817154</v>
      </c>
      <c r="G76" s="15" t="n">
        <v>-0.00366497951975439</v>
      </c>
      <c r="H76" s="15" t="n">
        <v>0.182570782486685</v>
      </c>
      <c r="I76" s="15" t="n">
        <v>-0.472076752054583</v>
      </c>
      <c r="J76" s="15" t="n">
        <v>-0.0459023869596025</v>
      </c>
    </row>
    <row r="77" customFormat="false" ht="12.75" hidden="false" customHeight="false" outlineLevel="0" collapsed="false">
      <c r="A77" s="6" t="s">
        <v>212</v>
      </c>
      <c r="B77" s="15" t="n">
        <v>-1.77219504932077</v>
      </c>
      <c r="C77" s="15" t="n">
        <v>-0.882671073200801</v>
      </c>
      <c r="D77" s="15" t="n">
        <v>1.76323171030327</v>
      </c>
      <c r="E77" s="15" t="n">
        <v>-0.248967725394611</v>
      </c>
      <c r="F77" s="15" t="n">
        <v>-0.879425946688911</v>
      </c>
      <c r="G77" s="15" t="n">
        <v>-0.389077184615093</v>
      </c>
      <c r="H77" s="15" t="n">
        <v>-0.40935707331827</v>
      </c>
      <c r="I77" s="15" t="n">
        <v>0.0902872136135864</v>
      </c>
      <c r="J77" s="15" t="n">
        <v>0.168963122748443</v>
      </c>
    </row>
    <row r="78" customFormat="false" ht="12.75" hidden="false" customHeight="false" outlineLevel="0" collapsed="false">
      <c r="A78" s="6" t="s">
        <v>213</v>
      </c>
      <c r="B78" s="15" t="n">
        <v>0.261875249923079</v>
      </c>
      <c r="C78" s="15" t="n">
        <v>1.59937573620778</v>
      </c>
      <c r="D78" s="15" t="n">
        <v>-0.751073270555954</v>
      </c>
      <c r="E78" s="15" t="n">
        <v>-0.219148651567474</v>
      </c>
      <c r="F78" s="15" t="n">
        <v>0.0872076438714556</v>
      </c>
      <c r="G78" s="15" t="n">
        <v>-0.416202314125287</v>
      </c>
      <c r="H78" s="15" t="n">
        <v>0.00252363608444264</v>
      </c>
      <c r="I78" s="15" t="n">
        <v>-0.102788751623966</v>
      </c>
      <c r="J78" s="15" t="n">
        <v>0.223241756619582</v>
      </c>
    </row>
    <row r="79" customFormat="false" ht="12.75" hidden="false" customHeight="false" outlineLevel="0" collapsed="false">
      <c r="A79" s="6" t="s">
        <v>214</v>
      </c>
      <c r="B79" s="15" t="n">
        <v>0.423488539543374</v>
      </c>
      <c r="C79" s="15" t="n">
        <v>0.255426513500499</v>
      </c>
      <c r="D79" s="15" t="n">
        <v>-0.812625307962722</v>
      </c>
      <c r="E79" s="15" t="n">
        <v>-0.165059528288749</v>
      </c>
      <c r="F79" s="15" t="n">
        <v>-0.179686775034323</v>
      </c>
      <c r="G79" s="15" t="n">
        <v>-0.0636058072390981</v>
      </c>
      <c r="H79" s="15" t="n">
        <v>-0.429026271414297</v>
      </c>
      <c r="I79" s="15" t="n">
        <v>0.0506891213607407</v>
      </c>
      <c r="J79" s="15" t="n">
        <v>0.0186816497844149</v>
      </c>
    </row>
    <row r="80" customFormat="false" ht="12.75" hidden="false" customHeight="false" outlineLevel="0" collapsed="false">
      <c r="A80" s="6" t="s">
        <v>215</v>
      </c>
      <c r="B80" s="15" t="n">
        <v>-0.479776578549944</v>
      </c>
      <c r="C80" s="15" t="n">
        <v>-0.793154320305162</v>
      </c>
      <c r="D80" s="15" t="n">
        <v>-0.791699765748644</v>
      </c>
      <c r="E80" s="15" t="n">
        <v>-0.0472915877847227</v>
      </c>
      <c r="F80" s="15" t="n">
        <v>0.364204608299047</v>
      </c>
      <c r="G80" s="15" t="n">
        <v>0.224156025799612</v>
      </c>
      <c r="H80" s="15" t="n">
        <v>0.0197766444844604</v>
      </c>
      <c r="I80" s="15" t="n">
        <v>-0.105495814288554</v>
      </c>
      <c r="J80" s="15" t="n">
        <v>-0.0505244081182419</v>
      </c>
    </row>
    <row r="81" customFormat="false" ht="12.75" hidden="false" customHeight="false" outlineLevel="0" collapsed="false">
      <c r="A81" s="6" t="s">
        <v>216</v>
      </c>
      <c r="B81" s="15" t="n">
        <v>0.827054562555286</v>
      </c>
      <c r="C81" s="15" t="n">
        <v>-0.119163757880513</v>
      </c>
      <c r="D81" s="15" t="n">
        <v>-0.385166989645259</v>
      </c>
      <c r="E81" s="15" t="n">
        <v>-1.84605487219909</v>
      </c>
      <c r="F81" s="15" t="n">
        <v>0.551152529146653</v>
      </c>
      <c r="G81" s="15" t="n">
        <v>0.140052749178059</v>
      </c>
      <c r="H81" s="15" t="n">
        <v>-0.297637921944222</v>
      </c>
      <c r="I81" s="15" t="n">
        <v>0.993933494646913</v>
      </c>
      <c r="J81" s="15" t="n">
        <v>0.00851764648374458</v>
      </c>
    </row>
    <row r="82" customFormat="false" ht="12.75" hidden="false" customHeight="false" outlineLevel="0" collapsed="false">
      <c r="A82" s="6" t="s">
        <v>217</v>
      </c>
      <c r="B82" s="15" t="n">
        <v>0.785497264396407</v>
      </c>
      <c r="C82" s="15" t="n">
        <v>-0.413077618621984</v>
      </c>
      <c r="D82" s="15" t="n">
        <v>-0.582995072004795</v>
      </c>
      <c r="E82" s="15" t="n">
        <v>-0.867271367962588</v>
      </c>
      <c r="F82" s="15" t="n">
        <v>0.157353067908523</v>
      </c>
      <c r="G82" s="15" t="n">
        <v>-0.237103570005334</v>
      </c>
      <c r="H82" s="15" t="n">
        <v>-0.675942921037465</v>
      </c>
      <c r="I82" s="15" t="n">
        <v>0.677820322163016</v>
      </c>
      <c r="J82" s="15" t="n">
        <v>-0.564108957009399</v>
      </c>
    </row>
    <row r="83" customFormat="false" ht="12.75" hidden="false" customHeight="false" outlineLevel="0" collapsed="false">
      <c r="A83" s="6" t="s">
        <v>218</v>
      </c>
      <c r="B83" s="15" t="n">
        <v>-0.69388168658811</v>
      </c>
      <c r="C83" s="15" t="n">
        <v>-0.198435740701435</v>
      </c>
      <c r="D83" s="15" t="n">
        <v>-0.925459441034245</v>
      </c>
      <c r="E83" s="15" t="n">
        <v>0.284305547215376</v>
      </c>
      <c r="F83" s="15" t="n">
        <v>-0.186130528245432</v>
      </c>
      <c r="G83" s="15" t="n">
        <v>0.0635012816236328</v>
      </c>
      <c r="H83" s="15" t="n">
        <v>0.293984240161734</v>
      </c>
      <c r="I83" s="15" t="n">
        <v>-0.468401373322873</v>
      </c>
      <c r="J83" s="15" t="n">
        <v>0.142509786506386</v>
      </c>
    </row>
    <row r="84" customFormat="false" ht="12.75" hidden="false" customHeight="false" outlineLevel="0" collapsed="false">
      <c r="A84" s="6" t="s">
        <v>219</v>
      </c>
      <c r="B84" s="15" t="n">
        <v>0.2901205387802</v>
      </c>
      <c r="C84" s="15" t="n">
        <v>0.0115228445655278</v>
      </c>
      <c r="D84" s="15" t="n">
        <v>-0.86991613083169</v>
      </c>
      <c r="E84" s="15" t="n">
        <v>-0.532951284649026</v>
      </c>
      <c r="F84" s="15" t="n">
        <v>-0.89170822910515</v>
      </c>
      <c r="G84" s="15" t="n">
        <v>0.599682682616055</v>
      </c>
      <c r="H84" s="15" t="n">
        <v>0.142511596099435</v>
      </c>
      <c r="I84" s="15" t="n">
        <v>-0.704425533052374</v>
      </c>
      <c r="J84" s="15" t="n">
        <v>0.461899144710584</v>
      </c>
    </row>
    <row r="85" customFormat="false" ht="12.75" hidden="false" customHeight="false" outlineLevel="0" collapsed="false">
      <c r="A85" s="6" t="s">
        <v>220</v>
      </c>
      <c r="B85" s="15" t="n">
        <v>3.0370377327409</v>
      </c>
      <c r="C85" s="15" t="n">
        <v>-1.4287264064624</v>
      </c>
      <c r="D85" s="15" t="n">
        <v>0.338672788300479</v>
      </c>
      <c r="E85" s="15" t="n">
        <v>0.412207100015535</v>
      </c>
      <c r="F85" s="15" t="n">
        <v>1.3465256251264</v>
      </c>
      <c r="G85" s="15" t="n">
        <v>-0.839065188902022</v>
      </c>
      <c r="H85" s="15" t="n">
        <v>-1.14780080210245</v>
      </c>
      <c r="I85" s="15" t="n">
        <v>0.380023282831703</v>
      </c>
      <c r="J85" s="15" t="n">
        <v>1.24158614616448</v>
      </c>
    </row>
    <row r="86" customFormat="false" ht="12.75" hidden="false" customHeight="false" outlineLevel="0" collapsed="false">
      <c r="A86" s="6" t="s">
        <v>221</v>
      </c>
      <c r="B86" s="15" t="n">
        <v>1.92349138334354</v>
      </c>
      <c r="C86" s="15" t="n">
        <v>0.6001707722543</v>
      </c>
      <c r="D86" s="15" t="n">
        <v>-0.630690394195284</v>
      </c>
      <c r="E86" s="15" t="n">
        <v>1.19751911385879</v>
      </c>
      <c r="F86" s="15" t="n">
        <v>-0.599446360692906</v>
      </c>
      <c r="G86" s="15" t="n">
        <v>-1.01777636978235</v>
      </c>
      <c r="H86" s="15" t="n">
        <v>1.11586848476295</v>
      </c>
      <c r="I86" s="15" t="n">
        <v>0.802578383004807</v>
      </c>
      <c r="J86" s="15" t="n">
        <v>0.498056022113272</v>
      </c>
    </row>
    <row r="87" customFormat="false" ht="12.75" hidden="false" customHeight="false" outlineLevel="0" collapsed="false">
      <c r="A87" s="6" t="s">
        <v>222</v>
      </c>
      <c r="B87" s="15" t="n">
        <v>-1.15635448640458</v>
      </c>
      <c r="C87" s="15" t="n">
        <v>0.55347422535108</v>
      </c>
      <c r="D87" s="15" t="n">
        <v>-0.598305963878196</v>
      </c>
      <c r="E87" s="15" t="n">
        <v>0.883100951672348</v>
      </c>
      <c r="F87" s="15" t="n">
        <v>0.0445810707102734</v>
      </c>
      <c r="G87" s="15" t="n">
        <v>-0.223773160817892</v>
      </c>
      <c r="H87" s="15" t="n">
        <v>-0.0315519340947593</v>
      </c>
      <c r="I87" s="15" t="n">
        <v>-0.471661694706038</v>
      </c>
      <c r="J87" s="15" t="n">
        <v>0.0881926886768505</v>
      </c>
    </row>
    <row r="88" customFormat="false" ht="12.75" hidden="false" customHeight="false" outlineLevel="0" collapsed="false">
      <c r="A88" s="6" t="s">
        <v>223</v>
      </c>
      <c r="B88" s="15" t="n">
        <v>-1.23778138103485</v>
      </c>
      <c r="C88" s="15" t="n">
        <v>-0.129774687619584</v>
      </c>
      <c r="D88" s="15" t="n">
        <v>-0.748147797977733</v>
      </c>
      <c r="E88" s="15" t="n">
        <v>0.143053738176566</v>
      </c>
      <c r="F88" s="15" t="n">
        <v>0.268084162798444</v>
      </c>
      <c r="G88" s="15" t="n">
        <v>0.336265225995419</v>
      </c>
      <c r="H88" s="15" t="n">
        <v>0.271182008900184</v>
      </c>
      <c r="I88" s="15" t="n">
        <v>-0.0492343527777607</v>
      </c>
      <c r="J88" s="15" t="n">
        <v>-0.00322538739774946</v>
      </c>
    </row>
    <row r="89" customFormat="false" ht="12.75" hidden="false" customHeight="false" outlineLevel="0" collapsed="false">
      <c r="A89" s="6" t="s">
        <v>224</v>
      </c>
      <c r="B89" s="15" t="n">
        <v>-0.426643963554672</v>
      </c>
      <c r="C89" s="15" t="n">
        <v>-0.926624439713426</v>
      </c>
      <c r="D89" s="15" t="n">
        <v>-0.681768038387357</v>
      </c>
      <c r="E89" s="15" t="n">
        <v>0.0364776578162475</v>
      </c>
      <c r="F89" s="15" t="n">
        <v>0.273505123124531</v>
      </c>
      <c r="G89" s="15" t="n">
        <v>0.0850762769083502</v>
      </c>
      <c r="H89" s="15" t="n">
        <v>-0.373914008281539</v>
      </c>
      <c r="I89" s="15" t="n">
        <v>-0.163986949364144</v>
      </c>
      <c r="J89" s="15" t="n">
        <v>0.250807330468087</v>
      </c>
    </row>
    <row r="90" customFormat="false" ht="12.75" hidden="false" customHeight="false" outlineLevel="0" collapsed="false">
      <c r="A90" s="6" t="s">
        <v>225</v>
      </c>
      <c r="B90" s="15" t="n">
        <v>0.0748551580891017</v>
      </c>
      <c r="C90" s="15" t="n">
        <v>-0.845541737717345</v>
      </c>
      <c r="D90" s="15" t="n">
        <v>-0.175297249703962</v>
      </c>
      <c r="E90" s="15" t="n">
        <v>-0.397504436979058</v>
      </c>
      <c r="F90" s="15" t="n">
        <v>1.07555743200262</v>
      </c>
      <c r="G90" s="15" t="n">
        <v>-0.165305870962096</v>
      </c>
      <c r="H90" s="15" t="n">
        <v>0.380443590372935</v>
      </c>
      <c r="I90" s="15" t="n">
        <v>0.149677708070997</v>
      </c>
      <c r="J90" s="15" t="n">
        <v>-0.77224681228697</v>
      </c>
    </row>
    <row r="91" customFormat="false" ht="12.75" hidden="false" customHeight="false" outlineLevel="0" collapsed="false">
      <c r="A91" s="6" t="s">
        <v>226</v>
      </c>
      <c r="B91" s="15" t="n">
        <v>-2.39587275330388</v>
      </c>
      <c r="C91" s="15" t="n">
        <v>-0.0766204480058588</v>
      </c>
      <c r="D91" s="15" t="n">
        <v>0.620275531000483</v>
      </c>
      <c r="E91" s="15" t="n">
        <v>-0.137528771288701</v>
      </c>
      <c r="F91" s="15" t="n">
        <v>-0.123219211371708</v>
      </c>
      <c r="G91" s="15" t="n">
        <v>1.07968603681289</v>
      </c>
      <c r="H91" s="15" t="n">
        <v>0.279667425305512</v>
      </c>
      <c r="I91" s="15" t="n">
        <v>0.455874688281896</v>
      </c>
      <c r="J91" s="15" t="n">
        <v>0.426331669420373</v>
      </c>
    </row>
    <row r="92" customFormat="false" ht="12.75" hidden="false" customHeight="false" outlineLevel="0" collapsed="false">
      <c r="A92" s="6" t="s">
        <v>227</v>
      </c>
      <c r="B92" s="15" t="n">
        <v>-0.894140442269148</v>
      </c>
      <c r="C92" s="15" t="n">
        <v>-0.731191664983733</v>
      </c>
      <c r="D92" s="15" t="n">
        <v>-0.738521193908946</v>
      </c>
      <c r="E92" s="15" t="n">
        <v>-0.338774050786455</v>
      </c>
      <c r="F92" s="15" t="n">
        <v>0.333628090903619</v>
      </c>
      <c r="G92" s="15" t="n">
        <v>0.359473164439377</v>
      </c>
      <c r="H92" s="15" t="n">
        <v>0.513418598417607</v>
      </c>
      <c r="I92" s="15" t="n">
        <v>0.161413125635047</v>
      </c>
      <c r="J92" s="15" t="n">
        <v>-0.202021301110032</v>
      </c>
    </row>
    <row r="93" customFormat="false" ht="12.75" hidden="false" customHeight="false" outlineLevel="0" collapsed="false">
      <c r="A93" s="6" t="s">
        <v>228</v>
      </c>
      <c r="B93" s="15" t="n">
        <v>-2.2623233738936</v>
      </c>
      <c r="C93" s="15" t="n">
        <v>-0.699680028282357</v>
      </c>
      <c r="D93" s="15" t="n">
        <v>2.60057873295696</v>
      </c>
      <c r="E93" s="15" t="n">
        <v>-0.571947208041928</v>
      </c>
      <c r="F93" s="15" t="n">
        <v>-0.990863746932227</v>
      </c>
      <c r="G93" s="15" t="n">
        <v>-0.673256793853368</v>
      </c>
      <c r="H93" s="15" t="n">
        <v>0.244853506664805</v>
      </c>
      <c r="I93" s="15" t="n">
        <v>0.446582720439247</v>
      </c>
      <c r="J93" s="15" t="n">
        <v>-0.365528017489458</v>
      </c>
    </row>
    <row r="94" customFormat="false" ht="12.75" hidden="false" customHeight="false" outlineLevel="0" collapsed="false">
      <c r="A94" s="6" t="s">
        <v>229</v>
      </c>
      <c r="B94" s="15" t="n">
        <v>3.6499505914684</v>
      </c>
      <c r="C94" s="15" t="n">
        <v>-1.91358848511107</v>
      </c>
      <c r="D94" s="15" t="n">
        <v>1.36128257320791</v>
      </c>
      <c r="E94" s="15" t="n">
        <v>-0.815506650003571</v>
      </c>
      <c r="F94" s="15" t="n">
        <v>0.730650665483017</v>
      </c>
      <c r="G94" s="15" t="n">
        <v>0.551438584888001</v>
      </c>
      <c r="H94" s="15" t="n">
        <v>-1.24010892260992</v>
      </c>
      <c r="I94" s="15" t="n">
        <v>-0.930535178758221</v>
      </c>
      <c r="J94" s="15" t="n">
        <v>0.0352526042459148</v>
      </c>
    </row>
    <row r="95" customFormat="false" ht="12.75" hidden="false" customHeight="false" outlineLevel="0" collapsed="false">
      <c r="A95" s="6" t="s">
        <v>230</v>
      </c>
      <c r="B95" s="15" t="n">
        <v>7.00678803021319</v>
      </c>
      <c r="C95" s="15" t="n">
        <v>1.51435636971254</v>
      </c>
      <c r="D95" s="15" t="n">
        <v>2.15881763494269</v>
      </c>
      <c r="E95" s="15" t="n">
        <v>1.62629437087895</v>
      </c>
      <c r="F95" s="15" t="n">
        <v>-0.687556204534061</v>
      </c>
      <c r="G95" s="15" t="n">
        <v>1.54473004944354</v>
      </c>
      <c r="H95" s="15" t="n">
        <v>0.238672490721761</v>
      </c>
      <c r="I95" s="15" t="n">
        <v>-0.441822534939508</v>
      </c>
      <c r="J95" s="15" t="n">
        <v>-0.160688544331915</v>
      </c>
    </row>
    <row r="96" customFormat="false" ht="12.75" hidden="false" customHeight="false" outlineLevel="0" collapsed="false">
      <c r="A96" s="6" t="s">
        <v>231</v>
      </c>
      <c r="B96" s="15" t="n">
        <v>-1.93559075335751</v>
      </c>
      <c r="C96" s="15" t="n">
        <v>-0.34881116836066</v>
      </c>
      <c r="D96" s="15" t="n">
        <v>0.879872596939347</v>
      </c>
      <c r="E96" s="15" t="n">
        <v>-0.168292923977042</v>
      </c>
      <c r="F96" s="15" t="n">
        <v>-0.163580937868417</v>
      </c>
      <c r="G96" s="15" t="n">
        <v>0.595242063900695</v>
      </c>
      <c r="H96" s="15" t="n">
        <v>0.0570374536283081</v>
      </c>
      <c r="I96" s="15" t="n">
        <v>0.285795309448801</v>
      </c>
      <c r="J96" s="15" t="n">
        <v>0.214785272971595</v>
      </c>
    </row>
    <row r="97" customFormat="false" ht="12.75" hidden="false" customHeight="false" outlineLevel="0" collapsed="false">
      <c r="A97" s="6" t="s">
        <v>232</v>
      </c>
      <c r="B97" s="15" t="n">
        <v>3.36763378104173</v>
      </c>
      <c r="C97" s="15" t="n">
        <v>4.8588053038657</v>
      </c>
      <c r="D97" s="15" t="n">
        <v>-0.217346202006569</v>
      </c>
      <c r="E97" s="15" t="n">
        <v>-2.15223230794919</v>
      </c>
      <c r="F97" s="15" t="n">
        <v>-1.06321547510252</v>
      </c>
      <c r="G97" s="15" t="n">
        <v>-0.552251867756021</v>
      </c>
      <c r="H97" s="15" t="n">
        <v>0.32582041782334</v>
      </c>
      <c r="I97" s="15" t="n">
        <v>0.0667172570423928</v>
      </c>
      <c r="J97" s="15" t="n">
        <v>0.380345106301002</v>
      </c>
    </row>
    <row r="98" customFormat="false" ht="12.75" hidden="false" customHeight="false" outlineLevel="0" collapsed="false">
      <c r="A98" s="6" t="s">
        <v>233</v>
      </c>
      <c r="B98" s="15" t="n">
        <v>-0.876076752160622</v>
      </c>
      <c r="C98" s="15" t="n">
        <v>0.0428068858791602</v>
      </c>
      <c r="D98" s="15" t="n">
        <v>-0.73677643024926</v>
      </c>
      <c r="E98" s="15" t="n">
        <v>0.611879500255367</v>
      </c>
      <c r="F98" s="15" t="n">
        <v>0.056037872815291</v>
      </c>
      <c r="G98" s="15" t="n">
        <v>-0.225391108863003</v>
      </c>
      <c r="H98" s="15" t="n">
        <v>0.121656228466472</v>
      </c>
      <c r="I98" s="15" t="n">
        <v>-0.308218204261115</v>
      </c>
      <c r="J98" s="15" t="n">
        <v>-0.134669918283261</v>
      </c>
    </row>
    <row r="99" customFormat="false" ht="12.75" hidden="false" customHeight="false" outlineLevel="0" collapsed="false">
      <c r="A99" s="6" t="s">
        <v>234</v>
      </c>
      <c r="B99" s="15" t="n">
        <v>-0.556226542278111</v>
      </c>
      <c r="C99" s="15" t="n">
        <v>-1.18105102607228</v>
      </c>
      <c r="D99" s="15" t="n">
        <v>-0.557805241755863</v>
      </c>
      <c r="E99" s="15" t="n">
        <v>-0.644797771975164</v>
      </c>
      <c r="F99" s="15" t="n">
        <v>0.46203488845695</v>
      </c>
      <c r="G99" s="15" t="n">
        <v>0.0820623236544823</v>
      </c>
      <c r="H99" s="15" t="n">
        <v>0.478883018017665</v>
      </c>
      <c r="I99" s="15" t="n">
        <v>0.300709656898428</v>
      </c>
      <c r="J99" s="15" t="n">
        <v>-0.322147095698678</v>
      </c>
    </row>
    <row r="100" customFormat="false" ht="12.75" hidden="false" customHeight="false" outlineLevel="0" collapsed="false">
      <c r="A100" s="6" t="s">
        <v>235</v>
      </c>
      <c r="B100" s="15" t="n">
        <v>0.266582324679837</v>
      </c>
      <c r="C100" s="15" t="n">
        <v>1.47076146142728</v>
      </c>
      <c r="D100" s="15" t="n">
        <v>-1.02770360335401</v>
      </c>
      <c r="E100" s="15" t="n">
        <v>0.156474304044647</v>
      </c>
      <c r="F100" s="15" t="n">
        <v>-0.236626241967859</v>
      </c>
      <c r="G100" s="15" t="n">
        <v>-0.468589868776081</v>
      </c>
      <c r="H100" s="15" t="n">
        <v>-0.386587054064273</v>
      </c>
      <c r="I100" s="15" t="n">
        <v>0.392857651927558</v>
      </c>
      <c r="J100" s="15" t="n">
        <v>-0.367973504823357</v>
      </c>
    </row>
    <row r="101" customFormat="false" ht="12.75" hidden="false" customHeight="false" outlineLevel="0" collapsed="false">
      <c r="A101" s="6" t="s">
        <v>236</v>
      </c>
      <c r="B101" s="15" t="n">
        <v>-0.409443574348003</v>
      </c>
      <c r="C101" s="15" t="n">
        <v>0.677675378020682</v>
      </c>
      <c r="D101" s="15" t="n">
        <v>-0.901042382467101</v>
      </c>
      <c r="E101" s="15" t="n">
        <v>-0.608201885612116</v>
      </c>
      <c r="F101" s="15" t="n">
        <v>-0.588630519459539</v>
      </c>
      <c r="G101" s="15" t="n">
        <v>0.667955479818798</v>
      </c>
      <c r="H101" s="15" t="n">
        <v>-0.179884779254214</v>
      </c>
      <c r="I101" s="15" t="n">
        <v>-0.00866680308549294</v>
      </c>
      <c r="J101" s="15" t="n">
        <v>0.599372030598657</v>
      </c>
    </row>
    <row r="102" customFormat="false" ht="12.75" hidden="false" customHeight="false" outlineLevel="0" collapsed="false">
      <c r="A102" s="6" t="s">
        <v>237</v>
      </c>
      <c r="B102" s="15" t="n">
        <v>-1.72945670607826</v>
      </c>
      <c r="C102" s="15" t="n">
        <v>-0.499387846227495</v>
      </c>
      <c r="D102" s="15" t="n">
        <v>1.5240952484001</v>
      </c>
      <c r="E102" s="15" t="n">
        <v>-0.313024238479782</v>
      </c>
      <c r="F102" s="15" t="n">
        <v>-0.486819780589361</v>
      </c>
      <c r="G102" s="15" t="n">
        <v>-0.359477502057896</v>
      </c>
      <c r="H102" s="15" t="n">
        <v>0.148007582721971</v>
      </c>
      <c r="I102" s="15" t="n">
        <v>0.178286582876617</v>
      </c>
      <c r="J102" s="15" t="n">
        <v>-0.212445860104243</v>
      </c>
    </row>
    <row r="103" customFormat="false" ht="12.75" hidden="false" customHeight="false" outlineLevel="0" collapsed="false">
      <c r="A103" s="6" t="s">
        <v>238</v>
      </c>
      <c r="B103" s="15" t="n">
        <v>2.01570867446558</v>
      </c>
      <c r="C103" s="15" t="n">
        <v>2.58447234135425</v>
      </c>
      <c r="D103" s="15" t="n">
        <v>-0.346367715490981</v>
      </c>
      <c r="E103" s="15" t="n">
        <v>-0.682864540436865</v>
      </c>
      <c r="F103" s="15" t="n">
        <v>-0.774693443237565</v>
      </c>
      <c r="G103" s="15" t="n">
        <v>0.390507974277242</v>
      </c>
      <c r="H103" s="15" t="n">
        <v>-0.98551925793885</v>
      </c>
      <c r="I103" s="15" t="n">
        <v>0.314931258281478</v>
      </c>
      <c r="J103" s="15" t="n">
        <v>-0.648152595118338</v>
      </c>
    </row>
    <row r="104" customFormat="false" ht="12.75" hidden="false" customHeight="false" outlineLevel="0" collapsed="false">
      <c r="A104" s="6" t="s">
        <v>239</v>
      </c>
      <c r="B104" s="15" t="n">
        <v>3.53923443718456</v>
      </c>
      <c r="C104" s="15" t="n">
        <v>-1.61066877360444</v>
      </c>
      <c r="D104" s="15" t="n">
        <v>0.3926630237279</v>
      </c>
      <c r="E104" s="15" t="n">
        <v>2.10404915353646</v>
      </c>
      <c r="F104" s="15" t="n">
        <v>0.466001399484386</v>
      </c>
      <c r="G104" s="15" t="n">
        <v>-0.387376372030242</v>
      </c>
      <c r="H104" s="15" t="n">
        <v>0.251565327543578</v>
      </c>
      <c r="I104" s="15" t="n">
        <v>1.09954993485642</v>
      </c>
      <c r="J104" s="15" t="n">
        <v>0.400692466533009</v>
      </c>
    </row>
    <row r="105" customFormat="false" ht="12.75" hidden="false" customHeight="false" outlineLevel="0" collapsed="false">
      <c r="A105" s="6" t="s">
        <v>240</v>
      </c>
      <c r="B105" s="15" t="n">
        <v>-0.797797101267565</v>
      </c>
      <c r="C105" s="15" t="n">
        <v>-0.460578449683721</v>
      </c>
      <c r="D105" s="15" t="n">
        <v>-1.11182217814257</v>
      </c>
      <c r="E105" s="15" t="n">
        <v>0.473696593827033</v>
      </c>
      <c r="F105" s="15" t="n">
        <v>-0.337016750744214</v>
      </c>
      <c r="G105" s="15" t="n">
        <v>-0.167653662309832</v>
      </c>
      <c r="H105" s="15" t="n">
        <v>0.140025011950613</v>
      </c>
      <c r="I105" s="15" t="n">
        <v>-0.290213609239911</v>
      </c>
      <c r="J105" s="15" t="n">
        <v>0.0044990061882046</v>
      </c>
    </row>
    <row r="106" customFormat="false" ht="12.75" hidden="false" customHeight="false" outlineLevel="0" collapsed="false">
      <c r="A106" s="6" t="s">
        <v>241</v>
      </c>
      <c r="B106" s="15" t="n">
        <v>-0.900802841276417</v>
      </c>
      <c r="C106" s="15" t="n">
        <v>-0.862827805222505</v>
      </c>
      <c r="D106" s="15" t="n">
        <v>-0.511595528846027</v>
      </c>
      <c r="E106" s="15" t="n">
        <v>-0.184685623576968</v>
      </c>
      <c r="F106" s="15" t="n">
        <v>0.172778512583598</v>
      </c>
      <c r="G106" s="15" t="n">
        <v>0.605159899670086</v>
      </c>
      <c r="H106" s="15" t="n">
        <v>0.0163665421510871</v>
      </c>
      <c r="I106" s="15" t="n">
        <v>0.0280876043973369</v>
      </c>
      <c r="J106" s="15" t="n">
        <v>0.123698048183548</v>
      </c>
    </row>
    <row r="107" customFormat="false" ht="12.75" hidden="false" customHeight="false" outlineLevel="0" collapsed="false">
      <c r="A107" s="6" t="s">
        <v>242</v>
      </c>
      <c r="B107" s="15" t="n">
        <v>-0.382943732188759</v>
      </c>
      <c r="C107" s="15" t="n">
        <v>-0.593263912727283</v>
      </c>
      <c r="D107" s="15" t="n">
        <v>-0.68641102444464</v>
      </c>
      <c r="E107" s="15" t="n">
        <v>0.12518441490256</v>
      </c>
      <c r="F107" s="15" t="n">
        <v>0.306486972884823</v>
      </c>
      <c r="G107" s="15" t="n">
        <v>-0.468549153996361</v>
      </c>
      <c r="H107" s="15" t="n">
        <v>0.224502154620307</v>
      </c>
      <c r="I107" s="15" t="n">
        <v>-0.0589385044136709</v>
      </c>
      <c r="J107" s="15" t="n">
        <v>-0.304603128352176</v>
      </c>
    </row>
    <row r="108" customFormat="false" ht="12.75" hidden="false" customHeight="false" outlineLevel="0" collapsed="false">
      <c r="A108" s="6" t="s">
        <v>243</v>
      </c>
      <c r="B108" s="15" t="n">
        <v>-2.6272986621321</v>
      </c>
      <c r="C108" s="15" t="n">
        <v>2.92862271480495</v>
      </c>
      <c r="D108" s="15" t="n">
        <v>0.753335957919481</v>
      </c>
      <c r="E108" s="15" t="n">
        <v>0.0968940182431391</v>
      </c>
      <c r="F108" s="15" t="n">
        <v>2.79933947110942</v>
      </c>
      <c r="G108" s="15" t="n">
        <v>1.59238549045705</v>
      </c>
      <c r="H108" s="15" t="n">
        <v>0.56746645262337</v>
      </c>
      <c r="I108" s="15" t="n">
        <v>0.545629012804996</v>
      </c>
      <c r="J108" s="15" t="n">
        <v>0.157688021578854</v>
      </c>
    </row>
    <row r="109" customFormat="false" ht="12.75" hidden="false" customHeight="false" outlineLevel="0" collapsed="false">
      <c r="A109" s="6" t="s">
        <v>244</v>
      </c>
      <c r="B109" s="15" t="n">
        <v>-2.30123804604142</v>
      </c>
      <c r="C109" s="15" t="n">
        <v>-0.421656825281553</v>
      </c>
      <c r="D109" s="15" t="n">
        <v>1.63074235809697</v>
      </c>
      <c r="E109" s="15" t="n">
        <v>0.0722638716858709</v>
      </c>
      <c r="F109" s="15" t="n">
        <v>-1.34236122497865</v>
      </c>
      <c r="G109" s="15" t="n">
        <v>-0.332814990894716</v>
      </c>
      <c r="H109" s="15" t="n">
        <v>-0.235733580023602</v>
      </c>
      <c r="I109" s="15" t="n">
        <v>-0.0893502508069772</v>
      </c>
      <c r="J109" s="15" t="n">
        <v>0.152705007214051</v>
      </c>
    </row>
    <row r="110" customFormat="false" ht="12.75" hidden="false" customHeight="false" outlineLevel="0" collapsed="false">
      <c r="A110" s="6" t="s">
        <v>245</v>
      </c>
      <c r="B110" s="15" t="n">
        <v>0.651522473397714</v>
      </c>
      <c r="C110" s="15" t="n">
        <v>-1.5759151936054</v>
      </c>
      <c r="D110" s="15" t="n">
        <v>-0.361955999100021</v>
      </c>
      <c r="E110" s="15" t="n">
        <v>0.173234499376343</v>
      </c>
      <c r="F110" s="15" t="n">
        <v>-0.175520162879312</v>
      </c>
      <c r="G110" s="15" t="n">
        <v>0.312800539603361</v>
      </c>
      <c r="H110" s="15" t="n">
        <v>-0.306611517524808</v>
      </c>
      <c r="I110" s="15" t="n">
        <v>-0.630118083243259</v>
      </c>
      <c r="J110" s="15" t="n">
        <v>-0.693315636386751</v>
      </c>
    </row>
    <row r="111" customFormat="false" ht="12.75" hidden="false" customHeight="false" outlineLevel="0" collapsed="false">
      <c r="A111" s="6" t="s">
        <v>246</v>
      </c>
      <c r="B111" s="15" t="n">
        <v>1.05109157124946</v>
      </c>
      <c r="C111" s="15" t="n">
        <v>-0.764651946561607</v>
      </c>
      <c r="D111" s="15" t="n">
        <v>0.146676049638484</v>
      </c>
      <c r="E111" s="15" t="n">
        <v>-0.30480457411415</v>
      </c>
      <c r="F111" s="15" t="n">
        <v>0.934826377664315</v>
      </c>
      <c r="G111" s="15" t="n">
        <v>-0.57124253587235</v>
      </c>
      <c r="H111" s="15" t="n">
        <v>-0.392049099169637</v>
      </c>
      <c r="I111" s="15" t="n">
        <v>-0.141306585751325</v>
      </c>
      <c r="J111" s="15" t="n">
        <v>0.0600033765693717</v>
      </c>
    </row>
    <row r="112" customFormat="false" ht="12.75" hidden="false" customHeight="false" outlineLevel="0" collapsed="false">
      <c r="A112" s="6" t="s">
        <v>247</v>
      </c>
      <c r="B112" s="15" t="n">
        <v>-1.10551751633033</v>
      </c>
      <c r="C112" s="15" t="n">
        <v>0.0371150290665199</v>
      </c>
      <c r="D112" s="15" t="n">
        <v>0.185196041277337</v>
      </c>
      <c r="E112" s="15" t="n">
        <v>0.177893447469591</v>
      </c>
      <c r="F112" s="15" t="n">
        <v>-0.316681139505008</v>
      </c>
      <c r="G112" s="15" t="n">
        <v>-0.0559492356818907</v>
      </c>
      <c r="H112" s="15" t="n">
        <v>0.0304723977983657</v>
      </c>
      <c r="I112" s="15" t="n">
        <v>-0.484053552959898</v>
      </c>
      <c r="J112" s="15" t="n">
        <v>0.379896686842687</v>
      </c>
    </row>
    <row r="113" customFormat="false" ht="12.75" hidden="false" customHeight="false" outlineLevel="0" collapsed="false">
      <c r="A113" s="6" t="s">
        <v>248</v>
      </c>
      <c r="B113" s="15" t="n">
        <v>1.67456068910075</v>
      </c>
      <c r="C113" s="15" t="n">
        <v>-1.38907238208438</v>
      </c>
      <c r="D113" s="15" t="n">
        <v>0.0388193369588509</v>
      </c>
      <c r="E113" s="15" t="n">
        <v>-1.12949851753953</v>
      </c>
      <c r="F113" s="15" t="n">
        <v>0.539541683600006</v>
      </c>
      <c r="G113" s="15" t="n">
        <v>-0.349858351437766</v>
      </c>
      <c r="H113" s="15" t="n">
        <v>-0.259408805240367</v>
      </c>
      <c r="I113" s="15" t="n">
        <v>-0.0418849051067036</v>
      </c>
      <c r="J113" s="15" t="n">
        <v>-0.206460853746346</v>
      </c>
    </row>
    <row r="114" customFormat="false" ht="12.75" hidden="false" customHeight="false" outlineLevel="0" collapsed="false">
      <c r="A114" s="6" t="s">
        <v>249</v>
      </c>
      <c r="B114" s="15" t="n">
        <v>-0.923173672044708</v>
      </c>
      <c r="C114" s="15" t="n">
        <v>-0.213932122602659</v>
      </c>
      <c r="D114" s="15" t="n">
        <v>-0.753239752028491</v>
      </c>
      <c r="E114" s="15" t="n">
        <v>0.501248642219132</v>
      </c>
      <c r="F114" s="15" t="n">
        <v>0.0310746482316839</v>
      </c>
      <c r="G114" s="15" t="n">
        <v>0.186712819615953</v>
      </c>
      <c r="H114" s="15" t="n">
        <v>-0.198316430115778</v>
      </c>
      <c r="I114" s="15" t="n">
        <v>-0.343509261061929</v>
      </c>
      <c r="J114" s="15" t="n">
        <v>0.179190813892534</v>
      </c>
    </row>
    <row r="115" customFormat="false" ht="13.5" hidden="false" customHeight="false" outlineLevel="0" collapsed="false">
      <c r="A115" s="7" t="s">
        <v>250</v>
      </c>
      <c r="B115" s="16" t="n">
        <v>-1.97022443898572</v>
      </c>
      <c r="C115" s="16" t="n">
        <v>-0.692438747561586</v>
      </c>
      <c r="D115" s="16" t="n">
        <v>1.24004547754965</v>
      </c>
      <c r="E115" s="16" t="n">
        <v>-0.296275647029807</v>
      </c>
      <c r="F115" s="16" t="n">
        <v>-0.753761933342645</v>
      </c>
      <c r="G115" s="16" t="n">
        <v>0.0107534068105313</v>
      </c>
      <c r="H115" s="16" t="n">
        <v>0.0637878416287285</v>
      </c>
      <c r="I115" s="16" t="n">
        <v>0.22399871951138</v>
      </c>
      <c r="J115" s="16" t="n">
        <v>0.0565281509849988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4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4.7"/>
  </cols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0.569302539784437</v>
      </c>
    </row>
    <row r="5" customFormat="false" ht="12.75" hidden="false" customHeight="false" outlineLevel="0" collapsed="false">
      <c r="A5" s="6" t="s">
        <v>60</v>
      </c>
      <c r="B5" s="6" t="n">
        <v>0.324105381805011</v>
      </c>
    </row>
    <row r="6" customFormat="false" ht="12.75" hidden="false" customHeight="false" outlineLevel="0" collapsed="false">
      <c r="A6" s="6" t="s">
        <v>61</v>
      </c>
      <c r="B6" s="6" t="n">
        <v>0.262660416514557</v>
      </c>
    </row>
    <row r="7" customFormat="false" ht="12.75" hidden="false" customHeight="false" outlineLevel="0" collapsed="false">
      <c r="A7" s="6" t="s">
        <v>62</v>
      </c>
      <c r="B7" s="6" t="n">
        <v>0.0231209770926888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0.0112790441735769</v>
      </c>
      <c r="D12" s="6" t="n">
        <v>0.00281976104339422</v>
      </c>
      <c r="E12" s="6" t="n">
        <v>5.27472642018671</v>
      </c>
      <c r="F12" s="6" t="n">
        <v>0.00147043319527491</v>
      </c>
    </row>
    <row r="13" customFormat="false" ht="12.75" hidden="false" customHeight="false" outlineLevel="0" collapsed="false">
      <c r="A13" s="6" t="s">
        <v>71</v>
      </c>
      <c r="B13" s="6" t="n">
        <v>44</v>
      </c>
      <c r="C13" s="6" t="n">
        <v>0.0235215015957081</v>
      </c>
      <c r="D13" s="6" t="n">
        <v>0.000534579581720639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0.034800545769285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0.044899735844667</v>
      </c>
      <c r="C17" s="6" t="n">
        <v>0.00789984238376624</v>
      </c>
      <c r="D17" s="6" t="n">
        <v>5.68362426279967</v>
      </c>
      <c r="E17" s="6" t="n">
        <v>9.82440376437736E-007</v>
      </c>
      <c r="F17" s="6" t="n">
        <v>0.0289786502528358</v>
      </c>
      <c r="G17" s="6" t="n">
        <v>0.0608208214364981</v>
      </c>
      <c r="H17" s="6" t="n">
        <v>0.0289786502528358</v>
      </c>
      <c r="I17" s="6" t="n">
        <v>0.0608208214364981</v>
      </c>
    </row>
    <row r="18" customFormat="false" ht="12.75" hidden="false" customHeight="false" outlineLevel="0" collapsed="false">
      <c r="A18" s="6" t="s">
        <v>106</v>
      </c>
      <c r="B18" s="6" t="n">
        <v>0.0574836797632503</v>
      </c>
      <c r="C18" s="6" t="n">
        <v>0.0719057421462321</v>
      </c>
      <c r="D18" s="6" t="n">
        <v>0.799431005751221</v>
      </c>
      <c r="E18" s="6" t="n">
        <v>0.428335273071928</v>
      </c>
      <c r="F18" s="6" t="n">
        <v>-0.0874328159894804</v>
      </c>
      <c r="G18" s="6" t="n">
        <v>0.202400175515981</v>
      </c>
      <c r="H18" s="6" t="n">
        <v>-0.0874328159894804</v>
      </c>
      <c r="I18" s="6" t="n">
        <v>0.202400175515981</v>
      </c>
    </row>
    <row r="19" customFormat="false" ht="12.75" hidden="false" customHeight="false" outlineLevel="0" collapsed="false">
      <c r="A19" s="6" t="s">
        <v>84</v>
      </c>
      <c r="B19" s="6" t="n">
        <v>-1.12162842090354E-009</v>
      </c>
      <c r="C19" s="6" t="n">
        <v>6.92406196124244E-010</v>
      </c>
      <c r="D19" s="6" t="n">
        <v>-1.61989945668002</v>
      </c>
      <c r="E19" s="6" t="n">
        <v>0.112400064853448</v>
      </c>
      <c r="F19" s="6" t="n">
        <v>-2.51708136506124E-009</v>
      </c>
      <c r="G19" s="6" t="n">
        <v>2.73824523254147E-010</v>
      </c>
      <c r="H19" s="6" t="n">
        <v>-2.51708136506124E-009</v>
      </c>
      <c r="I19" s="6" t="n">
        <v>2.73824523254147E-010</v>
      </c>
    </row>
    <row r="20" customFormat="false" ht="12.75" hidden="false" customHeight="false" outlineLevel="0" collapsed="false">
      <c r="A20" s="6" t="s">
        <v>81</v>
      </c>
      <c r="B20" s="6" t="n">
        <v>-1.49424625817495E-007</v>
      </c>
      <c r="C20" s="6" t="n">
        <v>9.57172521546303E-008</v>
      </c>
      <c r="D20" s="6" t="n">
        <v>-1.56110442426932</v>
      </c>
      <c r="E20" s="6" t="n">
        <v>0.125663703526524</v>
      </c>
      <c r="F20" s="6" t="n">
        <v>-3.42330064956425E-007</v>
      </c>
      <c r="G20" s="6" t="n">
        <v>4.34808133214341E-008</v>
      </c>
      <c r="H20" s="6" t="n">
        <v>-3.42330064956425E-007</v>
      </c>
      <c r="I20" s="6" t="n">
        <v>4.34808133214341E-008</v>
      </c>
    </row>
    <row r="21" customFormat="false" ht="13.5" hidden="false" customHeight="false" outlineLevel="0" collapsed="false">
      <c r="A21" s="7" t="s">
        <v>102</v>
      </c>
      <c r="B21" s="7" t="n">
        <v>2.46356468343301E-005</v>
      </c>
      <c r="C21" s="7" t="n">
        <v>2.027632058594E-005</v>
      </c>
      <c r="D21" s="7" t="n">
        <v>1.21499592245612</v>
      </c>
      <c r="E21" s="7" t="n">
        <v>0.23084750389467</v>
      </c>
      <c r="F21" s="7" t="n">
        <v>-1.6228590685084E-005</v>
      </c>
      <c r="G21" s="7" t="n">
        <v>6.54998843537442E-005</v>
      </c>
      <c r="H21" s="7" t="n">
        <v>-1.6228590685084E-005</v>
      </c>
      <c r="I21" s="7" t="n">
        <v>6.54998843537442E-005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3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0.549025396078442</v>
      </c>
    </row>
    <row r="5" customFormat="false" ht="12.75" hidden="false" customHeight="false" outlineLevel="0" collapsed="false">
      <c r="A5" s="6" t="s">
        <v>60</v>
      </c>
      <c r="B5" s="6" t="n">
        <v>0.30142888553909</v>
      </c>
    </row>
    <row r="6" customFormat="false" ht="12.75" hidden="false" customHeight="false" outlineLevel="0" collapsed="false">
      <c r="A6" s="6" t="s">
        <v>61</v>
      </c>
      <c r="B6" s="6" t="n">
        <v>0.254857477908362</v>
      </c>
    </row>
    <row r="7" customFormat="false" ht="12.75" hidden="false" customHeight="false" outlineLevel="0" collapsed="false">
      <c r="A7" s="6" t="s">
        <v>62</v>
      </c>
      <c r="B7" s="6" t="n">
        <v>0.0232429946635766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3</v>
      </c>
      <c r="C12" s="6" t="n">
        <v>0.0104898897273877</v>
      </c>
      <c r="D12" s="6" t="n">
        <v>0.00349662990912922</v>
      </c>
      <c r="E12" s="6" t="n">
        <v>6.4724022930372</v>
      </c>
      <c r="F12" s="6" t="n">
        <v>0.000977365606124536</v>
      </c>
    </row>
    <row r="13" customFormat="false" ht="12.75" hidden="false" customHeight="false" outlineLevel="0" collapsed="false">
      <c r="A13" s="6" t="s">
        <v>71</v>
      </c>
      <c r="B13" s="6" t="n">
        <v>45</v>
      </c>
      <c r="C13" s="6" t="n">
        <v>0.0243106560418973</v>
      </c>
      <c r="D13" s="6" t="n">
        <v>0.000540236800931052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0.034800545769285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0.048582927520519</v>
      </c>
      <c r="C17" s="6" t="n">
        <v>0.00733355576334124</v>
      </c>
      <c r="D17" s="6" t="n">
        <v>6.62474372437091</v>
      </c>
      <c r="E17" s="6" t="n">
        <v>3.67740797815129E-008</v>
      </c>
      <c r="F17" s="6" t="n">
        <v>0.0338123886427795</v>
      </c>
      <c r="G17" s="6" t="n">
        <v>0.0633534663982585</v>
      </c>
      <c r="H17" s="6" t="n">
        <v>0.0338123886427795</v>
      </c>
      <c r="I17" s="6" t="n">
        <v>0.0633534663982585</v>
      </c>
    </row>
    <row r="18" customFormat="false" ht="12.75" hidden="false" customHeight="false" outlineLevel="0" collapsed="false">
      <c r="A18" s="6" t="s">
        <v>106</v>
      </c>
      <c r="B18" s="6" t="n">
        <v>0.100617206407353</v>
      </c>
      <c r="C18" s="6" t="n">
        <v>0.0628609285801541</v>
      </c>
      <c r="D18" s="6" t="n">
        <v>1.60063188183827</v>
      </c>
      <c r="E18" s="6" t="n">
        <v>0.116456471907483</v>
      </c>
      <c r="F18" s="6" t="n">
        <v>-0.0259911974075166</v>
      </c>
      <c r="G18" s="6" t="n">
        <v>0.227225610222223</v>
      </c>
      <c r="H18" s="6" t="n">
        <v>-0.0259911974075166</v>
      </c>
      <c r="I18" s="6" t="n">
        <v>0.227225610222223</v>
      </c>
    </row>
    <row r="19" customFormat="false" ht="12.75" hidden="false" customHeight="false" outlineLevel="0" collapsed="false">
      <c r="A19" s="6" t="s">
        <v>84</v>
      </c>
      <c r="B19" s="6" t="n">
        <v>-8.78906387626764E-010</v>
      </c>
      <c r="C19" s="6" t="n">
        <v>6.66459864879748E-010</v>
      </c>
      <c r="D19" s="6" t="n">
        <v>-1.31876866701545</v>
      </c>
      <c r="E19" s="6" t="n">
        <v>0.193918737961703</v>
      </c>
      <c r="F19" s="6" t="n">
        <v>-2.22122540207636E-009</v>
      </c>
      <c r="G19" s="6" t="n">
        <v>4.6341262682283E-010</v>
      </c>
      <c r="H19" s="6" t="n">
        <v>-2.22122540207636E-009</v>
      </c>
      <c r="I19" s="6" t="n">
        <v>4.6341262682283E-010</v>
      </c>
    </row>
    <row r="20" customFormat="false" ht="13.5" hidden="false" customHeight="false" outlineLevel="0" collapsed="false">
      <c r="A20" s="7" t="s">
        <v>81</v>
      </c>
      <c r="B20" s="7" t="n">
        <v>-1.98233708986428E-007</v>
      </c>
      <c r="C20" s="7" t="n">
        <v>8.73376328347673E-008</v>
      </c>
      <c r="D20" s="7" t="n">
        <v>-2.26973988820448</v>
      </c>
      <c r="E20" s="7" t="n">
        <v>0.0280634992222988</v>
      </c>
      <c r="F20" s="7" t="n">
        <v>-3.74140723660565E-007</v>
      </c>
      <c r="G20" s="7" t="n">
        <v>-2.23266943122912E-008</v>
      </c>
      <c r="H20" s="7" t="n">
        <v>-3.74140723660565E-007</v>
      </c>
      <c r="I20" s="7" t="n">
        <v>-2.23266943122912E-008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0.511523758354226</v>
      </c>
    </row>
    <row r="5" customFormat="false" ht="12.75" hidden="false" customHeight="false" outlineLevel="0" collapsed="false">
      <c r="A5" s="6" t="s">
        <v>60</v>
      </c>
      <c r="B5" s="6" t="n">
        <v>0.261656555360832</v>
      </c>
    </row>
    <row r="6" customFormat="false" ht="12.75" hidden="false" customHeight="false" outlineLevel="0" collapsed="false">
      <c r="A6" s="6" t="s">
        <v>61</v>
      </c>
      <c r="B6" s="6" t="n">
        <v>0.229554666463477</v>
      </c>
    </row>
    <row r="7" customFormat="false" ht="12.75" hidden="false" customHeight="false" outlineLevel="0" collapsed="false">
      <c r="A7" s="6" t="s">
        <v>62</v>
      </c>
      <c r="B7" s="6" t="n">
        <v>0.0236343315311953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2</v>
      </c>
      <c r="C12" s="6" t="n">
        <v>0.0091057909306681</v>
      </c>
      <c r="D12" s="6" t="n">
        <v>0.00455289546533405</v>
      </c>
      <c r="E12" s="6" t="n">
        <v>8.15081493171545</v>
      </c>
      <c r="F12" s="6" t="n">
        <v>0.000933133405958764</v>
      </c>
    </row>
    <row r="13" customFormat="false" ht="12.75" hidden="false" customHeight="false" outlineLevel="0" collapsed="false">
      <c r="A13" s="6" t="s">
        <v>71</v>
      </c>
      <c r="B13" s="6" t="n">
        <v>46</v>
      </c>
      <c r="C13" s="6" t="n">
        <v>0.0256947548386169</v>
      </c>
      <c r="D13" s="6" t="n">
        <v>0.000558581626926454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0.034800545769285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0.0559692488831101</v>
      </c>
      <c r="C17" s="6" t="n">
        <v>0.00579563460225053</v>
      </c>
      <c r="D17" s="6" t="n">
        <v>9.65713898895152</v>
      </c>
      <c r="E17" s="6" t="n">
        <v>1.21985191109394E-012</v>
      </c>
      <c r="F17" s="6" t="n">
        <v>0.0443032526556341</v>
      </c>
      <c r="G17" s="6" t="n">
        <v>0.0676352451105862</v>
      </c>
      <c r="H17" s="6" t="n">
        <v>0.0443032526556341</v>
      </c>
      <c r="I17" s="6" t="n">
        <v>0.0676352451105862</v>
      </c>
    </row>
    <row r="18" customFormat="false" ht="12.75" hidden="false" customHeight="false" outlineLevel="0" collapsed="false">
      <c r="A18" s="6" t="s">
        <v>84</v>
      </c>
      <c r="B18" s="6" t="n">
        <v>-4.92433535989452E-010</v>
      </c>
      <c r="C18" s="6" t="n">
        <v>6.31643549510697E-010</v>
      </c>
      <c r="D18" s="6" t="n">
        <v>-0.779606688568126</v>
      </c>
      <c r="E18" s="6" t="n">
        <v>0.439615241488689</v>
      </c>
      <c r="F18" s="6" t="n">
        <v>-1.7638648409996E-009</v>
      </c>
      <c r="G18" s="6" t="n">
        <v>7.78997769020699E-010</v>
      </c>
      <c r="H18" s="6" t="n">
        <v>-1.7638648409996E-009</v>
      </c>
      <c r="I18" s="6" t="n">
        <v>7.78997769020699E-010</v>
      </c>
    </row>
    <row r="19" customFormat="false" ht="13.5" hidden="false" customHeight="false" outlineLevel="0" collapsed="false">
      <c r="A19" s="7" t="s">
        <v>81</v>
      </c>
      <c r="B19" s="7" t="n">
        <v>-2.66005193501765E-007</v>
      </c>
      <c r="C19" s="7" t="n">
        <v>7.76742687403544E-008</v>
      </c>
      <c r="D19" s="7" t="n">
        <v>-3.4246243680897</v>
      </c>
      <c r="E19" s="7" t="n">
        <v>0.00130467212052297</v>
      </c>
      <c r="F19" s="7" t="n">
        <v>-4.22355237678992E-007</v>
      </c>
      <c r="G19" s="7" t="n">
        <v>-1.09655149324538E-007</v>
      </c>
      <c r="H19" s="7" t="n">
        <v>-4.22355237678992E-007</v>
      </c>
      <c r="I19" s="7" t="n">
        <v>-1.09655149324538E-007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:B50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251</v>
      </c>
      <c r="B1" s="0" t="s">
        <v>106</v>
      </c>
      <c r="C1" s="1" t="s">
        <v>84</v>
      </c>
      <c r="D1" s="1" t="s">
        <v>81</v>
      </c>
      <c r="E1" s="1" t="s">
        <v>102</v>
      </c>
      <c r="F1" s="2" t="s">
        <v>100</v>
      </c>
    </row>
    <row r="2" customFormat="false" ht="12.75" hidden="false" customHeight="false" outlineLevel="0" collapsed="false">
      <c r="A2" s="0" t="s">
        <v>8</v>
      </c>
      <c r="B2" s="0" t="n">
        <v>0.0166414648812586</v>
      </c>
      <c r="C2" s="1" t="n">
        <v>4252982</v>
      </c>
      <c r="D2" s="1" t="n">
        <v>50750</v>
      </c>
      <c r="E2" s="1" t="n">
        <v>83.8026009852217</v>
      </c>
      <c r="F2" s="2" t="n">
        <v>0.0238518767065552</v>
      </c>
    </row>
    <row r="3" customFormat="false" ht="12.75" hidden="false" customHeight="false" outlineLevel="0" collapsed="false">
      <c r="A3" s="0" t="s">
        <v>9</v>
      </c>
      <c r="B3" s="0" t="n">
        <v>0.0217355561541323</v>
      </c>
      <c r="C3" s="1" t="n">
        <v>4217940</v>
      </c>
      <c r="D3" s="1" t="n">
        <v>113642</v>
      </c>
      <c r="E3" s="1" t="n">
        <v>37.1160310448602</v>
      </c>
      <c r="F3" s="2" t="n">
        <v>0.0112071877535429</v>
      </c>
    </row>
    <row r="4" customFormat="false" ht="12.75" hidden="false" customHeight="false" outlineLevel="0" collapsed="false">
      <c r="A4" s="0" t="s">
        <v>10</v>
      </c>
      <c r="B4" s="0" t="n">
        <v>0.0202684321941504</v>
      </c>
      <c r="C4" s="1" t="n">
        <v>2483769</v>
      </c>
      <c r="D4" s="1" t="n">
        <v>52075</v>
      </c>
      <c r="E4" s="1" t="n">
        <v>47.6959961593855</v>
      </c>
      <c r="F4" s="2" t="n">
        <v>0.0402941869973762</v>
      </c>
    </row>
    <row r="5" customFormat="false" ht="12.75" hidden="false" customHeight="false" outlineLevel="0" collapsed="false">
      <c r="A5" s="0" t="s">
        <v>11</v>
      </c>
      <c r="B5" s="0" t="n">
        <v>0.0462867458685396</v>
      </c>
      <c r="C5" s="1" t="n">
        <v>31589153</v>
      </c>
      <c r="D5" s="1" t="n">
        <v>155973</v>
      </c>
      <c r="E5" s="1" t="n">
        <v>202.529623716925</v>
      </c>
      <c r="F5" s="2" t="n">
        <v>0.004523030247648</v>
      </c>
    </row>
    <row r="6" customFormat="false" ht="12.75" hidden="false" customHeight="false" outlineLevel="0" collapsed="false">
      <c r="A6" s="0" t="s">
        <v>12</v>
      </c>
      <c r="B6" s="0" t="n">
        <v>0.0385571760941081</v>
      </c>
      <c r="C6" s="1" t="n">
        <v>3746585</v>
      </c>
      <c r="D6" s="1" t="n">
        <v>103730</v>
      </c>
      <c r="E6" s="1" t="n">
        <v>36.1186252771619</v>
      </c>
      <c r="F6" s="2" t="n">
        <v>0.00794454114516863</v>
      </c>
    </row>
    <row r="7" customFormat="false" ht="12.75" hidden="false" customHeight="false" outlineLevel="0" collapsed="false">
      <c r="A7" s="0" t="s">
        <v>13</v>
      </c>
      <c r="B7" s="0" t="n">
        <v>0.260230429297339</v>
      </c>
      <c r="C7" s="1" t="n">
        <v>3274662</v>
      </c>
      <c r="D7" s="1" t="n">
        <v>4845</v>
      </c>
      <c r="E7" s="1" t="n">
        <v>675.884829721362</v>
      </c>
      <c r="F7" s="2" t="n">
        <v>0.0456124226267046</v>
      </c>
    </row>
    <row r="8" customFormat="false" ht="12.75" hidden="false" customHeight="false" outlineLevel="0" collapsed="false">
      <c r="A8" s="0" t="s">
        <v>14</v>
      </c>
      <c r="B8" s="0" t="n">
        <v>0.118726708029446</v>
      </c>
      <c r="C8" s="1" t="n">
        <v>717197</v>
      </c>
      <c r="D8" s="1" t="n">
        <v>1955</v>
      </c>
      <c r="E8" s="1" t="n">
        <v>366.852685421995</v>
      </c>
      <c r="F8" s="2" t="n">
        <v>0.138328875404208</v>
      </c>
    </row>
    <row r="9" customFormat="false" ht="12.75" hidden="false" customHeight="false" outlineLevel="0" collapsed="false">
      <c r="A9" s="0" t="s">
        <v>15</v>
      </c>
      <c r="B9" s="0" t="n">
        <v>0.0626719688727428</v>
      </c>
      <c r="C9" s="1" t="n">
        <v>14165570</v>
      </c>
      <c r="D9" s="1" t="n">
        <v>53997</v>
      </c>
      <c r="E9" s="1" t="n">
        <v>262.339944811749</v>
      </c>
      <c r="F9" s="2" t="n">
        <v>0.00799421046196813</v>
      </c>
    </row>
    <row r="10" customFormat="false" ht="12.75" hidden="false" customHeight="false" outlineLevel="0" collapsed="false">
      <c r="A10" s="0" t="s">
        <v>16</v>
      </c>
      <c r="B10" s="0" t="n">
        <v>0.0206160900363821</v>
      </c>
      <c r="C10" s="1" t="n">
        <v>7200882</v>
      </c>
      <c r="D10" s="1" t="n">
        <v>57919</v>
      </c>
      <c r="E10" s="1" t="n">
        <v>124.326766691414</v>
      </c>
      <c r="F10" s="2" t="n">
        <v>0.0281378236648974</v>
      </c>
    </row>
    <row r="11" customFormat="false" ht="12.75" hidden="false" customHeight="false" outlineLevel="0" collapsed="false">
      <c r="A11" s="0" t="s">
        <v>17</v>
      </c>
      <c r="B11" s="0" t="n">
        <v>0.0353682242605231</v>
      </c>
      <c r="C11" s="1" t="n">
        <v>1186815</v>
      </c>
      <c r="D11" s="1" t="n">
        <v>6423</v>
      </c>
      <c r="E11" s="1" t="n">
        <v>184.775805698272</v>
      </c>
      <c r="F11" s="2" t="n">
        <v>0.00952409571468726</v>
      </c>
    </row>
    <row r="12" customFormat="false" ht="12.75" hidden="false" customHeight="false" outlineLevel="0" collapsed="false">
      <c r="A12" s="0" t="s">
        <v>18</v>
      </c>
      <c r="B12" s="0" t="n">
        <v>0.0255232505281166</v>
      </c>
      <c r="C12" s="1" t="n">
        <v>1163261</v>
      </c>
      <c r="D12" s="1" t="n">
        <v>82751</v>
      </c>
      <c r="E12" s="1" t="n">
        <v>14.0573648656814</v>
      </c>
      <c r="F12" s="2" t="n">
        <v>0.0261485883128481</v>
      </c>
    </row>
    <row r="13" customFormat="false" ht="12.75" hidden="false" customHeight="false" outlineLevel="0" collapsed="false">
      <c r="A13" s="0" t="s">
        <v>19</v>
      </c>
      <c r="B13" s="0" t="n">
        <v>0.0139671691446418</v>
      </c>
      <c r="C13" s="1" t="n">
        <v>11829940</v>
      </c>
      <c r="D13" s="1" t="n">
        <v>55593</v>
      </c>
      <c r="E13" s="1" t="n">
        <v>212.795495835807</v>
      </c>
      <c r="F13" s="2" t="n">
        <v>0.0281937744250442</v>
      </c>
    </row>
    <row r="14" customFormat="false" ht="12.75" hidden="false" customHeight="false" outlineLevel="0" collapsed="false">
      <c r="A14" s="0" t="s">
        <v>20</v>
      </c>
      <c r="B14" s="0" t="n">
        <v>0.0504285786346856</v>
      </c>
      <c r="C14" s="1" t="n">
        <v>5803471</v>
      </c>
      <c r="D14" s="1" t="n">
        <v>35870</v>
      </c>
      <c r="E14" s="1" t="n">
        <v>161.791775857262</v>
      </c>
      <c r="F14" s="2" t="n">
        <v>0.03280824193038</v>
      </c>
    </row>
    <row r="15" customFormat="false" ht="12.75" hidden="false" customHeight="false" outlineLevel="0" collapsed="false">
      <c r="A15" s="0" t="s">
        <v>21</v>
      </c>
      <c r="B15" s="0" t="n">
        <v>0.0371121032485432</v>
      </c>
      <c r="C15" s="1" t="n">
        <v>2841764</v>
      </c>
      <c r="D15" s="1" t="n">
        <v>55875</v>
      </c>
      <c r="E15" s="1" t="n">
        <v>50.8593109619687</v>
      </c>
      <c r="F15" s="2" t="n">
        <v>0.0369184324665151</v>
      </c>
    </row>
    <row r="16" customFormat="false" ht="12.75" hidden="false" customHeight="false" outlineLevel="0" collapsed="false">
      <c r="A16" s="0" t="s">
        <v>22</v>
      </c>
      <c r="B16" s="0" t="n">
        <v>0.0047015824577715</v>
      </c>
      <c r="C16" s="1" t="n">
        <v>2565328</v>
      </c>
      <c r="D16" s="1" t="n">
        <v>81823</v>
      </c>
      <c r="E16" s="1" t="n">
        <v>31.3521625948694</v>
      </c>
      <c r="F16" s="2" t="n">
        <v>0.0706260870607761</v>
      </c>
    </row>
    <row r="17" customFormat="false" ht="12.75" hidden="false" customHeight="false" outlineLevel="0" collapsed="false">
      <c r="A17" s="0" t="s">
        <v>23</v>
      </c>
      <c r="B17" s="0" t="n">
        <v>0.0342163256066311</v>
      </c>
      <c r="C17" s="1" t="n">
        <v>3860219</v>
      </c>
      <c r="D17" s="1" t="n">
        <v>39732</v>
      </c>
      <c r="E17" s="1" t="n">
        <v>97.15642303433</v>
      </c>
      <c r="F17" s="2" t="n">
        <v>0.0625602364619358</v>
      </c>
    </row>
    <row r="18" customFormat="false" ht="12.75" hidden="false" customHeight="false" outlineLevel="0" collapsed="false">
      <c r="A18" s="0" t="s">
        <v>24</v>
      </c>
      <c r="B18" s="0" t="n">
        <v>0.0243662758193366</v>
      </c>
      <c r="C18" s="1" t="n">
        <v>4342334</v>
      </c>
      <c r="D18" s="1" t="n">
        <v>43566</v>
      </c>
      <c r="E18" s="1" t="n">
        <v>99.6725428086122</v>
      </c>
      <c r="F18" s="2" t="n">
        <v>0.0211147303966919</v>
      </c>
    </row>
    <row r="19" customFormat="false" ht="12.75" hidden="false" customHeight="false" outlineLevel="0" collapsed="false">
      <c r="A19" s="0" t="s">
        <v>25</v>
      </c>
      <c r="B19" s="0" t="n">
        <v>0.11374675564763</v>
      </c>
      <c r="C19" s="1" t="n">
        <v>1241382</v>
      </c>
      <c r="D19" s="1" t="n">
        <v>30865</v>
      </c>
      <c r="E19" s="1" t="n">
        <v>40.2197310869917</v>
      </c>
      <c r="F19" s="2" t="n">
        <v>0.0206121747105353</v>
      </c>
    </row>
    <row r="20" customFormat="false" ht="12.75" hidden="false" customHeight="false" outlineLevel="0" collapsed="false">
      <c r="A20" s="0" t="s">
        <v>26</v>
      </c>
      <c r="B20" s="0" t="n">
        <v>0.0274781962774974</v>
      </c>
      <c r="C20" s="1" t="n">
        <v>5042438</v>
      </c>
      <c r="D20" s="1" t="n">
        <v>9775</v>
      </c>
      <c r="E20" s="1" t="n">
        <v>515.850434782609</v>
      </c>
      <c r="F20" s="2" t="n">
        <v>0.0697797782145526</v>
      </c>
    </row>
    <row r="21" customFormat="false" ht="12.75" hidden="false" customHeight="false" outlineLevel="0" collapsed="false">
      <c r="A21" s="0" t="s">
        <v>27</v>
      </c>
      <c r="B21" s="0" t="n">
        <v>0.0613123203667421</v>
      </c>
      <c r="C21" s="1" t="n">
        <v>6073550</v>
      </c>
      <c r="D21" s="1" t="n">
        <v>7838</v>
      </c>
      <c r="E21" s="1" t="n">
        <v>774.885174789487</v>
      </c>
      <c r="F21" s="2" t="n">
        <v>0.0502082263621112</v>
      </c>
    </row>
    <row r="22" customFormat="false" ht="12.75" hidden="false" customHeight="false" outlineLevel="0" collapsed="false">
      <c r="A22" s="0" t="s">
        <v>28</v>
      </c>
      <c r="B22" s="0" t="n">
        <v>0.0419633136501008</v>
      </c>
      <c r="C22" s="1" t="n">
        <v>9549353</v>
      </c>
      <c r="D22" s="1" t="n">
        <v>56809</v>
      </c>
      <c r="E22" s="1" t="n">
        <v>168.095777077576</v>
      </c>
      <c r="F22" s="2" t="n">
        <v>0.00796925854450259</v>
      </c>
    </row>
    <row r="23" customFormat="false" ht="12.75" hidden="false" customHeight="false" outlineLevel="0" collapsed="false">
      <c r="A23" s="0" t="s">
        <v>29</v>
      </c>
      <c r="B23" s="0" t="n">
        <v>0.0124292221309667</v>
      </c>
      <c r="C23" s="1" t="n">
        <v>4609548</v>
      </c>
      <c r="D23" s="1" t="n">
        <v>79617</v>
      </c>
      <c r="E23" s="1" t="n">
        <v>57.8965296356306</v>
      </c>
      <c r="F23" s="2" t="n">
        <v>0.0231171606433715</v>
      </c>
    </row>
    <row r="24" customFormat="false" ht="12.75" hidden="false" customHeight="false" outlineLevel="0" collapsed="false">
      <c r="A24" s="0" t="s">
        <v>30</v>
      </c>
      <c r="B24" s="0" t="n">
        <v>0.0117861455165629</v>
      </c>
      <c r="C24" s="1" t="n">
        <v>2697243</v>
      </c>
      <c r="D24" s="1" t="n">
        <v>46914</v>
      </c>
      <c r="E24" s="1" t="n">
        <v>57.4933495331884</v>
      </c>
      <c r="F24" s="2" t="n">
        <v>0.0305028704492417</v>
      </c>
    </row>
    <row r="25" customFormat="false" ht="12.75" hidden="false" customHeight="false" outlineLevel="0" collapsed="false">
      <c r="A25" s="0" t="s">
        <v>31</v>
      </c>
      <c r="B25" s="0" t="n">
        <v>0.0608954144235067</v>
      </c>
      <c r="C25" s="1" t="n">
        <v>5323523</v>
      </c>
      <c r="D25" s="1" t="n">
        <v>68898</v>
      </c>
      <c r="E25" s="1" t="n">
        <v>77.2667276263462</v>
      </c>
      <c r="F25" s="2" t="n">
        <v>0.0724272745344907</v>
      </c>
    </row>
    <row r="26" customFormat="false" ht="12.75" hidden="false" customHeight="false" outlineLevel="0" collapsed="false">
      <c r="A26" s="0" t="s">
        <v>32</v>
      </c>
      <c r="B26" s="0" t="n">
        <v>0.0198386177748442</v>
      </c>
      <c r="C26" s="1" t="n">
        <v>870281</v>
      </c>
      <c r="D26" s="1" t="n">
        <v>145556</v>
      </c>
      <c r="E26" s="1" t="n">
        <v>5.97901151446866</v>
      </c>
      <c r="F26" s="2" t="n">
        <v>0.00796409544263987</v>
      </c>
    </row>
    <row r="27" customFormat="false" ht="12.75" hidden="false" customHeight="false" outlineLevel="0" collapsed="false">
      <c r="A27" s="0" t="s">
        <v>33</v>
      </c>
      <c r="B27" s="0" t="n">
        <v>0.011502118639517</v>
      </c>
      <c r="C27" s="1" t="n">
        <v>1637112</v>
      </c>
      <c r="D27" s="1" t="n">
        <v>76878</v>
      </c>
      <c r="E27" s="1" t="n">
        <v>21.2949348318114</v>
      </c>
      <c r="F27" s="2" t="n">
        <v>0.0425053293156057</v>
      </c>
    </row>
    <row r="28" customFormat="false" ht="12.75" hidden="false" customHeight="false" outlineLevel="0" collapsed="false">
      <c r="A28" s="0" t="s">
        <v>34</v>
      </c>
      <c r="B28" s="0" t="n">
        <v>0.0289080720529774</v>
      </c>
      <c r="C28" s="1" t="n">
        <v>1530108</v>
      </c>
      <c r="D28" s="1" t="n">
        <v>109806</v>
      </c>
      <c r="E28" s="1" t="n">
        <v>13.93464837987</v>
      </c>
      <c r="F28" s="2" t="n">
        <v>0.0433497425670366</v>
      </c>
    </row>
    <row r="29" customFormat="false" ht="12.75" hidden="false" customHeight="false" outlineLevel="0" collapsed="false">
      <c r="A29" s="0" t="s">
        <v>35</v>
      </c>
      <c r="B29" s="0" t="n">
        <v>0.0956898865432891</v>
      </c>
      <c r="C29" s="1" t="n">
        <v>1148253</v>
      </c>
      <c r="D29" s="1" t="n">
        <v>8969</v>
      </c>
      <c r="E29" s="1" t="n">
        <v>128.024640428141</v>
      </c>
      <c r="F29" s="2" t="n">
        <v>0.0851357193769645</v>
      </c>
    </row>
    <row r="30" customFormat="false" ht="12.75" hidden="false" customHeight="false" outlineLevel="0" collapsed="false">
      <c r="A30" s="0" t="s">
        <v>36</v>
      </c>
      <c r="B30" s="0" t="n">
        <v>0.264967672481142</v>
      </c>
      <c r="C30" s="1" t="n">
        <v>7945298</v>
      </c>
      <c r="D30" s="1" t="n">
        <v>7419</v>
      </c>
      <c r="E30" s="1" t="n">
        <v>1070.93921013614</v>
      </c>
      <c r="F30" s="2" t="n">
        <v>0.0704522955482905</v>
      </c>
    </row>
    <row r="31" customFormat="false" ht="12.75" hidden="false" customHeight="false" outlineLevel="0" collapsed="false">
      <c r="A31" s="0" t="s">
        <v>37</v>
      </c>
      <c r="B31" s="0" t="n">
        <v>0.0243108794619173</v>
      </c>
      <c r="C31" s="1" t="n">
        <v>1685401</v>
      </c>
      <c r="D31" s="1" t="n">
        <v>121365</v>
      </c>
      <c r="E31" s="1" t="n">
        <v>13.8870432167429</v>
      </c>
      <c r="F31" s="2" t="n">
        <v>0.0190957981584029</v>
      </c>
    </row>
    <row r="32" customFormat="false" ht="12.75" hidden="false" customHeight="false" outlineLevel="0" collapsed="false">
      <c r="A32" s="0" t="s">
        <v>38</v>
      </c>
      <c r="B32" s="0" t="n">
        <v>0.185769873927339</v>
      </c>
      <c r="C32" s="1" t="n">
        <v>18136081</v>
      </c>
      <c r="D32" s="1" t="n">
        <v>47224</v>
      </c>
      <c r="E32" s="1" t="n">
        <v>384.043727765543</v>
      </c>
      <c r="F32" s="2" t="n">
        <v>0.0509878017590525</v>
      </c>
    </row>
    <row r="33" customFormat="false" ht="12.75" hidden="false" customHeight="false" outlineLevel="0" collapsed="false">
      <c r="A33" s="0" t="s">
        <v>39</v>
      </c>
      <c r="B33" s="0" t="n">
        <v>0.0363048002647108</v>
      </c>
      <c r="C33" s="1" t="n">
        <v>7195138</v>
      </c>
      <c r="D33" s="1" t="n">
        <v>48718</v>
      </c>
      <c r="E33" s="1" t="n">
        <v>147.68951927419</v>
      </c>
      <c r="F33" s="2" t="n">
        <v>0.0221303868527105</v>
      </c>
    </row>
    <row r="34" customFormat="false" ht="12.75" hidden="false" customHeight="false" outlineLevel="0" collapsed="false">
      <c r="A34" s="0" t="s">
        <v>40</v>
      </c>
      <c r="B34" s="0" t="n">
        <v>0.00521176899171673</v>
      </c>
      <c r="C34" s="1" t="n">
        <v>641367</v>
      </c>
      <c r="D34" s="1" t="n">
        <v>68994</v>
      </c>
      <c r="E34" s="1" t="n">
        <v>9.2959822593269</v>
      </c>
      <c r="F34" s="2" t="n">
        <v>0.0585817128891722</v>
      </c>
    </row>
    <row r="35" customFormat="false" ht="12.75" hidden="false" customHeight="false" outlineLevel="0" collapsed="false">
      <c r="A35" s="0" t="s">
        <v>41</v>
      </c>
      <c r="B35" s="0" t="n">
        <v>0.0513408485554598</v>
      </c>
      <c r="C35" s="1" t="n">
        <v>11150506</v>
      </c>
      <c r="D35" s="1" t="n">
        <v>40953</v>
      </c>
      <c r="E35" s="1" t="n">
        <v>272.275681879227</v>
      </c>
      <c r="F35" s="2" t="n">
        <v>0.0282688311910131</v>
      </c>
    </row>
    <row r="36" customFormat="false" ht="12.75" hidden="false" customHeight="false" outlineLevel="0" collapsed="false">
      <c r="A36" s="0" t="s">
        <v>42</v>
      </c>
      <c r="B36" s="0" t="n">
        <v>0.0183732361717298</v>
      </c>
      <c r="C36" s="1" t="n">
        <v>3277687</v>
      </c>
      <c r="D36" s="1" t="n">
        <v>68679</v>
      </c>
      <c r="E36" s="1" t="n">
        <v>47.7247339070167</v>
      </c>
      <c r="F36" s="2" t="n">
        <v>0.0108396118772474</v>
      </c>
    </row>
    <row r="37" customFormat="false" ht="12.75" hidden="false" customHeight="false" outlineLevel="0" collapsed="false">
      <c r="A37" s="0" t="s">
        <v>43</v>
      </c>
      <c r="B37" s="0" t="n">
        <v>0.0359708061626984</v>
      </c>
      <c r="C37" s="1" t="n">
        <v>3140585</v>
      </c>
      <c r="D37" s="1" t="n">
        <v>96003</v>
      </c>
      <c r="E37" s="1" t="n">
        <v>32.7134047894337</v>
      </c>
      <c r="F37" s="2" t="n">
        <v>0.0372433830337473</v>
      </c>
    </row>
    <row r="38" customFormat="false" ht="12.75" hidden="false" customHeight="false" outlineLevel="0" collapsed="false">
      <c r="A38" s="0" t="s">
        <v>44</v>
      </c>
      <c r="B38" s="0" t="n">
        <v>0.210983235947242</v>
      </c>
      <c r="C38" s="1" t="n">
        <v>12071842</v>
      </c>
      <c r="D38" s="1" t="n">
        <v>44820</v>
      </c>
      <c r="E38" s="1" t="n">
        <v>269.34051762606</v>
      </c>
      <c r="F38" s="2" t="n">
        <v>0.0341732303708947</v>
      </c>
    </row>
    <row r="39" customFormat="false" ht="12.75" hidden="false" customHeight="false" outlineLevel="0" collapsed="false">
      <c r="A39" s="0" t="s">
        <v>45</v>
      </c>
      <c r="B39" s="0" t="n">
        <v>0.0883295351941335</v>
      </c>
      <c r="C39" s="1" t="n">
        <v>989794</v>
      </c>
      <c r="D39" s="1" t="n">
        <v>1045</v>
      </c>
      <c r="E39" s="1" t="n">
        <v>947.171291866029</v>
      </c>
      <c r="F39" s="2" t="n">
        <v>0.0757652407576525</v>
      </c>
    </row>
    <row r="40" customFormat="false" ht="12.75" hidden="false" customHeight="false" outlineLevel="0" collapsed="false">
      <c r="A40" s="0" t="s">
        <v>46</v>
      </c>
      <c r="B40" s="0" t="n">
        <v>0.0059124840684687</v>
      </c>
      <c r="C40" s="1" t="n">
        <v>3673287</v>
      </c>
      <c r="D40" s="1" t="n">
        <v>30111</v>
      </c>
      <c r="E40" s="1" t="n">
        <v>121.991531334064</v>
      </c>
      <c r="F40" s="2" t="n">
        <v>0.0212156597627681</v>
      </c>
    </row>
    <row r="41" customFormat="false" ht="12.75" hidden="false" customHeight="false" outlineLevel="0" collapsed="false">
      <c r="A41" s="0" t="s">
        <v>47</v>
      </c>
      <c r="B41" s="0" t="n">
        <v>0.0109357214220361</v>
      </c>
      <c r="C41" s="1" t="n">
        <v>729034</v>
      </c>
      <c r="D41" s="1" t="n">
        <v>75898</v>
      </c>
      <c r="E41" s="1" t="n">
        <v>9.60544414872592</v>
      </c>
      <c r="F41" s="2" t="n">
        <v>0.0295761623107812</v>
      </c>
    </row>
    <row r="42" customFormat="false" ht="12.75" hidden="false" customHeight="false" outlineLevel="0" collapsed="false">
      <c r="A42" s="0" t="s">
        <v>48</v>
      </c>
      <c r="B42" s="0" t="n">
        <v>0.0166026291755834</v>
      </c>
      <c r="C42" s="1" t="n">
        <v>5256051</v>
      </c>
      <c r="D42" s="1" t="n">
        <v>41220</v>
      </c>
      <c r="E42" s="1" t="n">
        <v>127.512154294032</v>
      </c>
      <c r="F42" s="2" t="n">
        <v>0.0458630868796215</v>
      </c>
    </row>
    <row r="43" customFormat="false" ht="12.75" hidden="false" customHeight="false" outlineLevel="0" collapsed="false">
      <c r="A43" s="0" t="s">
        <v>49</v>
      </c>
      <c r="B43" s="0" t="n">
        <v>0.0366459653194965</v>
      </c>
      <c r="C43" s="1" t="n">
        <v>18723991</v>
      </c>
      <c r="D43" s="1" t="n">
        <v>261914</v>
      </c>
      <c r="E43" s="1" t="n">
        <v>71.4890803851646</v>
      </c>
      <c r="F43" s="2" t="n">
        <v>0.00910524272123237</v>
      </c>
    </row>
    <row r="44" customFormat="false" ht="12.75" hidden="false" customHeight="false" outlineLevel="0" collapsed="false">
      <c r="A44" s="0" t="s">
        <v>50</v>
      </c>
      <c r="B44" s="0" t="n">
        <v>0.0153031212711886</v>
      </c>
      <c r="C44" s="1" t="n">
        <v>1951408</v>
      </c>
      <c r="D44" s="1" t="n">
        <v>82168</v>
      </c>
      <c r="E44" s="1" t="n">
        <v>23.7490020445916</v>
      </c>
      <c r="F44" s="2" t="n">
        <v>0.00991343868813166</v>
      </c>
    </row>
    <row r="45" customFormat="false" ht="12.75" hidden="false" customHeight="false" outlineLevel="0" collapsed="false">
      <c r="A45" s="0" t="s">
        <v>51</v>
      </c>
      <c r="B45" s="0" t="n">
        <v>0.141040500339582</v>
      </c>
      <c r="C45" s="1" t="n">
        <v>584771</v>
      </c>
      <c r="D45" s="1" t="n">
        <v>9249</v>
      </c>
      <c r="E45" s="1" t="n">
        <v>63.2253216563953</v>
      </c>
      <c r="F45" s="2" t="n">
        <v>0.0494956071368481</v>
      </c>
    </row>
    <row r="46" customFormat="false" ht="12.75" hidden="false" customHeight="false" outlineLevel="0" collapsed="false">
      <c r="A46" s="0" t="s">
        <v>52</v>
      </c>
      <c r="B46" s="0" t="n">
        <v>0.020499083028995</v>
      </c>
      <c r="C46" s="1" t="n">
        <v>6618358</v>
      </c>
      <c r="D46" s="1" t="n">
        <v>39598</v>
      </c>
      <c r="E46" s="1" t="n">
        <v>167.138693873428</v>
      </c>
      <c r="F46" s="2" t="n">
        <v>0.0646098010772455</v>
      </c>
    </row>
    <row r="47" customFormat="false" ht="12.75" hidden="false" customHeight="false" outlineLevel="0" collapsed="false">
      <c r="A47" s="0" t="s">
        <v>53</v>
      </c>
      <c r="B47" s="0" t="n">
        <v>0.0124407469527925</v>
      </c>
      <c r="C47" s="1" t="n">
        <v>5430940</v>
      </c>
      <c r="D47" s="1" t="n">
        <v>66582</v>
      </c>
      <c r="E47" s="1" t="n">
        <v>81.5676909675288</v>
      </c>
      <c r="F47" s="2" t="n">
        <v>0.0152694227003708</v>
      </c>
    </row>
    <row r="48" customFormat="false" ht="12.75" hidden="false" customHeight="false" outlineLevel="0" collapsed="false">
      <c r="A48" s="0" t="s">
        <v>54</v>
      </c>
      <c r="B48" s="0" t="n">
        <v>0.051171165724616</v>
      </c>
      <c r="C48" s="1" t="n">
        <v>1828140</v>
      </c>
      <c r="D48" s="1" t="n">
        <v>24087</v>
      </c>
      <c r="E48" s="1" t="n">
        <v>75.8973720264043</v>
      </c>
      <c r="F48" s="2" t="n">
        <v>0.083450810945235</v>
      </c>
    </row>
    <row r="49" customFormat="false" ht="12.75" hidden="false" customHeight="false" outlineLevel="0" collapsed="false">
      <c r="A49" s="0" t="s">
        <v>55</v>
      </c>
      <c r="B49" s="0" t="n">
        <v>0.0435898383333731</v>
      </c>
      <c r="C49" s="1" t="n">
        <v>5122871</v>
      </c>
      <c r="D49" s="1" t="n">
        <v>54314</v>
      </c>
      <c r="E49" s="1" t="n">
        <v>94.3195308760172</v>
      </c>
      <c r="F49" s="2" t="n">
        <v>0.0137079087829872</v>
      </c>
    </row>
    <row r="50" customFormat="false" ht="12.75" hidden="false" customHeight="false" outlineLevel="0" collapsed="false">
      <c r="A50" s="0" t="s">
        <v>56</v>
      </c>
      <c r="B50" s="0" t="n">
        <v>0.0115138917944774</v>
      </c>
      <c r="C50" s="1" t="n">
        <v>480184</v>
      </c>
      <c r="D50" s="1" t="n">
        <v>97105</v>
      </c>
      <c r="E50" s="1" t="n">
        <v>4.94499768292055</v>
      </c>
      <c r="F50" s="2" t="n">
        <v>0.0256209952218234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0.796954860145079</v>
      </c>
    </row>
    <row r="5" customFormat="false" ht="12.75" hidden="false" customHeight="false" outlineLevel="0" collapsed="false">
      <c r="A5" s="6" t="s">
        <v>60</v>
      </c>
      <c r="B5" s="6" t="n">
        <v>0.635137049108862</v>
      </c>
    </row>
    <row r="6" customFormat="false" ht="12.75" hidden="false" customHeight="false" outlineLevel="0" collapsed="false">
      <c r="A6" s="6" t="s">
        <v>61</v>
      </c>
      <c r="B6" s="6" t="n">
        <v>0.60196768993694</v>
      </c>
    </row>
    <row r="7" customFormat="false" ht="12.75" hidden="false" customHeight="false" outlineLevel="0" collapsed="false">
      <c r="A7" s="6" t="s">
        <v>62</v>
      </c>
      <c r="B7" s="6" t="n">
        <v>0.0460422564179728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0.162369164356566</v>
      </c>
      <c r="D12" s="6" t="n">
        <v>0.0405922910891416</v>
      </c>
      <c r="E12" s="6" t="n">
        <v>19.1483062972925</v>
      </c>
      <c r="F12" s="6" t="n">
        <v>3.48468976142254E-009</v>
      </c>
    </row>
    <row r="13" customFormat="false" ht="12.75" hidden="false" customHeight="false" outlineLevel="0" collapsed="false">
      <c r="A13" s="6" t="s">
        <v>71</v>
      </c>
      <c r="B13" s="6" t="n">
        <v>44</v>
      </c>
      <c r="C13" s="6" t="n">
        <v>0.0932751325465677</v>
      </c>
      <c r="D13" s="6" t="n">
        <v>0.00211988937605836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0.255644296903134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-0.0354976342971903</v>
      </c>
      <c r="C17" s="6" t="n">
        <v>0.0146607736828172</v>
      </c>
      <c r="D17" s="6" t="n">
        <v>-2.42126609858213</v>
      </c>
      <c r="E17" s="6" t="n">
        <v>0.0196581645012977</v>
      </c>
      <c r="F17" s="6" t="n">
        <v>-0.0650444810958371</v>
      </c>
      <c r="G17" s="6" t="n">
        <v>-0.00595078749854349</v>
      </c>
      <c r="H17" s="6" t="n">
        <v>-0.0650444810958371</v>
      </c>
      <c r="I17" s="6" t="n">
        <v>-0.00595078749854349</v>
      </c>
    </row>
    <row r="18" customFormat="false" ht="12.75" hidden="false" customHeight="false" outlineLevel="0" collapsed="false">
      <c r="A18" s="6" t="s">
        <v>84</v>
      </c>
      <c r="B18" s="6" t="n">
        <v>3.77629535527164E-009</v>
      </c>
      <c r="C18" s="6" t="n">
        <v>1.23910319780002E-009</v>
      </c>
      <c r="D18" s="6" t="n">
        <v>3.04760359102963</v>
      </c>
      <c r="E18" s="6" t="n">
        <v>0.00389276233875674</v>
      </c>
      <c r="F18" s="6" t="n">
        <v>1.2790470418337E-009</v>
      </c>
      <c r="G18" s="6" t="n">
        <v>6.27354366870959E-009</v>
      </c>
      <c r="H18" s="6" t="n">
        <v>1.2790470418337E-009</v>
      </c>
      <c r="I18" s="6" t="n">
        <v>6.27354366870959E-009</v>
      </c>
    </row>
    <row r="19" customFormat="false" ht="12.75" hidden="false" customHeight="false" outlineLevel="0" collapsed="false">
      <c r="A19" s="6" t="s">
        <v>105</v>
      </c>
      <c r="B19" s="6" t="n">
        <v>0.360289017048438</v>
      </c>
      <c r="C19" s="6" t="n">
        <v>0.0688321279672046</v>
      </c>
      <c r="D19" s="6" t="n">
        <v>5.23431466800067</v>
      </c>
      <c r="E19" s="6" t="n">
        <v>4.43119432615933E-006</v>
      </c>
      <c r="F19" s="6" t="n">
        <v>0.221566983418284</v>
      </c>
      <c r="G19" s="6" t="n">
        <v>0.499011050678592</v>
      </c>
      <c r="H19" s="6" t="n">
        <v>0.221566983418284</v>
      </c>
      <c r="I19" s="6" t="n">
        <v>0.499011050678592</v>
      </c>
    </row>
    <row r="20" customFormat="false" ht="12.75" hidden="false" customHeight="false" outlineLevel="0" collapsed="false">
      <c r="A20" s="6" t="s">
        <v>100</v>
      </c>
      <c r="B20" s="6" t="n">
        <v>1.00547593191059</v>
      </c>
      <c r="C20" s="6" t="n">
        <v>0.39831949853869</v>
      </c>
      <c r="D20" s="6" t="n">
        <v>2.52429503350795</v>
      </c>
      <c r="E20" s="6" t="n">
        <v>0.0152755975946731</v>
      </c>
      <c r="F20" s="6" t="n">
        <v>0.202715760117599</v>
      </c>
      <c r="G20" s="6" t="n">
        <v>1.80823610370358</v>
      </c>
      <c r="H20" s="6" t="n">
        <v>0.202715760117599</v>
      </c>
      <c r="I20" s="6" t="n">
        <v>1.80823610370358</v>
      </c>
    </row>
    <row r="21" customFormat="false" ht="13.5" hidden="false" customHeight="false" outlineLevel="0" collapsed="false">
      <c r="A21" s="7" t="s">
        <v>252</v>
      </c>
      <c r="B21" s="7" t="n">
        <v>-0.166189724163539</v>
      </c>
      <c r="C21" s="7" t="n">
        <v>0.273002419045437</v>
      </c>
      <c r="D21" s="7" t="n">
        <v>-0.608748174263906</v>
      </c>
      <c r="E21" s="7" t="n">
        <v>0.545821564027644</v>
      </c>
      <c r="F21" s="7" t="n">
        <v>-0.716389926806971</v>
      </c>
      <c r="G21" s="7" t="n">
        <v>0.384010478479892</v>
      </c>
      <c r="H21" s="7" t="n">
        <v>-0.716389926806971</v>
      </c>
      <c r="I21" s="7" t="n">
        <v>0.384010478479892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6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I1" activeCellId="0" sqref="I1:I50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3" style="0" width="9.99"/>
    <col collapsed="false" customWidth="true" hidden="false" outlineLevel="0" max="16" min="11" style="0" width="16.28"/>
  </cols>
  <sheetData>
    <row r="1" customFormat="false" ht="12.75" hidden="false" customHeight="false" outlineLevel="0" collapsed="false">
      <c r="A1" s="0" t="s">
        <v>0</v>
      </c>
      <c r="B1" s="0" t="s">
        <v>251</v>
      </c>
      <c r="C1" s="0" t="s">
        <v>117</v>
      </c>
      <c r="D1" s="0" t="s">
        <v>253</v>
      </c>
      <c r="E1" s="0" t="s">
        <v>6</v>
      </c>
      <c r="F1" s="1" t="s">
        <v>84</v>
      </c>
      <c r="G1" s="2" t="s">
        <v>105</v>
      </c>
      <c r="H1" s="2" t="s">
        <v>100</v>
      </c>
      <c r="I1" s="2" t="s">
        <v>252</v>
      </c>
      <c r="J1" s="0" t="s">
        <v>168</v>
      </c>
      <c r="K1" s="0" t="s">
        <v>175</v>
      </c>
      <c r="L1" s="1" t="s">
        <v>81</v>
      </c>
      <c r="M1" s="1" t="s">
        <v>102</v>
      </c>
      <c r="N1" s="0" t="s">
        <v>176</v>
      </c>
      <c r="O1" s="2"/>
      <c r="P1" s="2"/>
      <c r="Q1" s="0" t="s">
        <v>254</v>
      </c>
      <c r="T1" s="0" t="s">
        <v>255</v>
      </c>
      <c r="U1" s="0" t="s">
        <v>256</v>
      </c>
      <c r="V1" s="0" t="s">
        <v>257</v>
      </c>
    </row>
    <row r="2" customFormat="false" ht="12.75" hidden="false" customHeight="false" outlineLevel="0" collapsed="false">
      <c r="A2" s="0" t="s">
        <v>258</v>
      </c>
      <c r="B2" s="0" t="s">
        <v>8</v>
      </c>
      <c r="C2" s="0" t="n">
        <v>0</v>
      </c>
      <c r="D2" s="0" t="e">
        <f aca="false">LN(C2/(1-C2))</f>
        <v>#VALUE!</v>
      </c>
      <c r="E2" s="0" t="n">
        <v>0</v>
      </c>
      <c r="F2" s="1" t="n">
        <v>4252982</v>
      </c>
      <c r="G2" s="2" t="n">
        <v>0</v>
      </c>
      <c r="H2" s="2" t="n">
        <v>0.0238518767065552</v>
      </c>
      <c r="I2" s="2" t="n">
        <f aca="false">1-J2</f>
        <v>0.0359985175247282</v>
      </c>
      <c r="J2" s="0" t="n">
        <v>0.964001482475272</v>
      </c>
      <c r="K2" s="0" t="n">
        <v>0.00103780685279132</v>
      </c>
      <c r="L2" s="1" t="n">
        <v>50750</v>
      </c>
      <c r="M2" s="1" t="n">
        <v>83.8026009852217</v>
      </c>
      <c r="N2" s="29" t="n">
        <v>0.03281</v>
      </c>
      <c r="O2" s="30"/>
      <c r="P2" s="30"/>
      <c r="Q2" s="0" t="n">
        <v>0.00203153694747244</v>
      </c>
      <c r="R2" s="0" t="str">
        <f aca="false">B2</f>
        <v>ALABAMA</v>
      </c>
      <c r="S2" s="31" t="s">
        <v>259</v>
      </c>
      <c r="T2" s="32" t="n">
        <v>1001737</v>
      </c>
      <c r="U2" s="31" t="n">
        <v>436663</v>
      </c>
      <c r="V2" s="31" t="n">
        <v>565074</v>
      </c>
      <c r="W2" s="31" t="s">
        <v>260</v>
      </c>
      <c r="X2" s="32" t="n">
        <v>438198</v>
      </c>
      <c r="Y2" s="31" t="n">
        <v>254068</v>
      </c>
    </row>
    <row r="3" customFormat="false" ht="12.75" hidden="false" customHeight="false" outlineLevel="0" collapsed="false">
      <c r="A3" s="0" t="s">
        <v>261</v>
      </c>
      <c r="B3" s="0" t="s">
        <v>9</v>
      </c>
      <c r="C3" s="0" t="n">
        <v>0</v>
      </c>
      <c r="D3" s="0" t="e">
        <f aca="false">LN(C3/(1-C3))</f>
        <v>#VALUE!</v>
      </c>
      <c r="E3" s="0" t="n">
        <v>0</v>
      </c>
      <c r="F3" s="1" t="n">
        <v>4217940</v>
      </c>
      <c r="G3" s="2" t="n">
        <v>0</v>
      </c>
      <c r="H3" s="2" t="n">
        <v>0.0112071877535429</v>
      </c>
      <c r="I3" s="2" t="n">
        <f aca="false">1-J3</f>
        <v>0.0158043945367121</v>
      </c>
      <c r="J3" s="0" t="n">
        <v>0.984195605463288</v>
      </c>
      <c r="K3" s="0" t="n">
        <v>0.00110520515997275</v>
      </c>
      <c r="L3" s="1" t="n">
        <v>113642</v>
      </c>
      <c r="M3" s="1" t="n">
        <v>37.1160310448602</v>
      </c>
      <c r="N3" s="0" t="n">
        <v>0.41534</v>
      </c>
      <c r="O3" s="30"/>
      <c r="P3" s="30"/>
      <c r="Q3" s="0" t="n">
        <v>-0.00879855760707958</v>
      </c>
      <c r="R3" s="0" t="str">
        <f aca="false">B3</f>
        <v>ARIZONA</v>
      </c>
      <c r="S3" s="31" t="s">
        <v>262</v>
      </c>
      <c r="T3" s="32" t="n">
        <v>1199273</v>
      </c>
      <c r="U3" s="31" t="n">
        <v>454795</v>
      </c>
      <c r="V3" s="31" t="n">
        <v>744478</v>
      </c>
      <c r="W3" s="33" t="s">
        <v>263</v>
      </c>
      <c r="X3" s="34" t="n">
        <v>139758</v>
      </c>
      <c r="Y3" s="33" t="n">
        <v>78060</v>
      </c>
    </row>
    <row r="4" customFormat="false" ht="12.75" hidden="false" customHeight="false" outlineLevel="0" collapsed="false">
      <c r="A4" s="0" t="s">
        <v>264</v>
      </c>
      <c r="B4" s="0" t="s">
        <v>10</v>
      </c>
      <c r="C4" s="0" t="n">
        <v>0</v>
      </c>
      <c r="D4" s="0" t="e">
        <f aca="false">LN(C4/(1-C4))</f>
        <v>#VALUE!</v>
      </c>
      <c r="E4" s="0" t="n">
        <v>0</v>
      </c>
      <c r="F4" s="1" t="n">
        <v>2483769</v>
      </c>
      <c r="G4" s="2" t="n">
        <v>0</v>
      </c>
      <c r="H4" s="2" t="n">
        <v>0.0402941869973762</v>
      </c>
      <c r="I4" s="2" t="n">
        <f aca="false">1-J4</f>
        <v>0.0322963796327023</v>
      </c>
      <c r="J4" s="0" t="n">
        <v>0.967703620367298</v>
      </c>
      <c r="K4" s="0" t="n">
        <v>0.000968232645326292</v>
      </c>
      <c r="L4" s="1" t="n">
        <v>52075</v>
      </c>
      <c r="M4" s="1" t="n">
        <v>47.6959961593855</v>
      </c>
      <c r="N4" s="0" t="n">
        <v>0.08266</v>
      </c>
      <c r="O4" s="30"/>
      <c r="P4" s="30"/>
      <c r="Q4" s="0" t="n">
        <v>0.00916260781104561</v>
      </c>
      <c r="R4" s="0" t="str">
        <f aca="false">B4</f>
        <v>ARKANSAS</v>
      </c>
      <c r="S4" s="31" t="s">
        <v>265</v>
      </c>
      <c r="T4" s="32" t="n">
        <v>665735</v>
      </c>
      <c r="U4" s="31" t="n">
        <v>370697</v>
      </c>
      <c r="V4" s="31" t="n">
        <v>295038</v>
      </c>
    </row>
    <row r="5" customFormat="false" ht="12.75" hidden="false" customHeight="false" outlineLevel="0" collapsed="false">
      <c r="A5" s="0" t="s">
        <v>266</v>
      </c>
      <c r="B5" s="0" t="s">
        <v>11</v>
      </c>
      <c r="C5" s="0" t="n">
        <v>0.0211415213324095</v>
      </c>
      <c r="D5" s="0" t="n">
        <f aca="false">LN(C5/(1-C5))</f>
        <v>-3.83514813256212</v>
      </c>
      <c r="E5" s="0" t="n">
        <v>0</v>
      </c>
      <c r="F5" s="1" t="n">
        <v>31589153</v>
      </c>
      <c r="G5" s="2" t="n">
        <v>0</v>
      </c>
      <c r="H5" s="2" t="n">
        <v>0.004523030247648</v>
      </c>
      <c r="I5" s="2" t="n">
        <f aca="false">1-J5</f>
        <v>0.00368981200149532</v>
      </c>
      <c r="J5" s="0" t="n">
        <v>0.996310187998505</v>
      </c>
      <c r="K5" s="0" t="n">
        <v>0.00103743972283934</v>
      </c>
      <c r="L5" s="1" t="n">
        <v>155973</v>
      </c>
      <c r="M5" s="1" t="n">
        <v>202.529623716925</v>
      </c>
      <c r="N5" s="0" t="n">
        <v>0.44598</v>
      </c>
      <c r="O5" s="30"/>
      <c r="P5" s="30"/>
      <c r="Q5" s="0" t="n">
        <v>0.0903953109870089</v>
      </c>
      <c r="R5" s="0" t="str">
        <f aca="false">B5</f>
        <v>CALIFORNIA</v>
      </c>
      <c r="S5" s="33" t="s">
        <v>267</v>
      </c>
      <c r="T5" s="34" t="n">
        <v>5966475</v>
      </c>
      <c r="U5" s="33" t="n">
        <v>2348070</v>
      </c>
      <c r="V5" s="31" t="n">
        <v>3618405</v>
      </c>
    </row>
    <row r="6" customFormat="false" ht="12.75" hidden="false" customHeight="false" outlineLevel="0" collapsed="false">
      <c r="A6" s="0" t="s">
        <v>268</v>
      </c>
      <c r="B6" s="0" t="s">
        <v>12</v>
      </c>
      <c r="C6" s="0" t="n">
        <v>0.00295777769394722</v>
      </c>
      <c r="D6" s="0" t="n">
        <f aca="false">LN(C6/(1-C6))</f>
        <v>-5.82035491113091</v>
      </c>
      <c r="E6" s="0" t="n">
        <v>17.3</v>
      </c>
      <c r="F6" s="1" t="n">
        <v>3746585</v>
      </c>
      <c r="G6" s="2" t="n">
        <v>0.0147863247863248</v>
      </c>
      <c r="H6" s="2" t="n">
        <v>0.00794454114516863</v>
      </c>
      <c r="I6" s="2" t="n">
        <f aca="false">1-J6</f>
        <v>0.0102502826364698</v>
      </c>
      <c r="J6" s="0" t="n">
        <v>0.98974971736353</v>
      </c>
      <c r="K6" s="0" t="n">
        <v>0.00090075059772006</v>
      </c>
      <c r="L6" s="1" t="n">
        <v>103730</v>
      </c>
      <c r="M6" s="1" t="n">
        <v>36.1186252771619</v>
      </c>
      <c r="N6" s="0" t="n">
        <v>0.35954</v>
      </c>
      <c r="O6" s="30"/>
      <c r="P6" s="30"/>
      <c r="Q6" s="0" t="n">
        <v>-0.00893720407939124</v>
      </c>
      <c r="R6" s="0" t="str">
        <f aca="false">B6</f>
        <v>COLORADO</v>
      </c>
      <c r="S6" s="31" t="s">
        <v>269</v>
      </c>
      <c r="T6" s="32" t="n">
        <v>922112</v>
      </c>
      <c r="U6" s="31" t="n">
        <v>378603</v>
      </c>
      <c r="V6" s="31" t="n">
        <v>543509</v>
      </c>
    </row>
    <row r="7" customFormat="false" ht="12.75" hidden="false" customHeight="false" outlineLevel="0" collapsed="false">
      <c r="A7" s="0" t="s">
        <v>270</v>
      </c>
      <c r="B7" s="0" t="s">
        <v>13</v>
      </c>
      <c r="C7" s="0" t="n">
        <v>0.000259885785260088</v>
      </c>
      <c r="D7" s="0" t="n">
        <f aca="false">LN(C7/(1-C7))</f>
        <v>-8.25500839136353</v>
      </c>
      <c r="E7" s="0" t="n">
        <v>193.9</v>
      </c>
      <c r="F7" s="1" t="n">
        <v>3274662</v>
      </c>
      <c r="G7" s="2" t="n">
        <v>0.357749077490775</v>
      </c>
      <c r="H7" s="2" t="n">
        <v>0.0456124226267046</v>
      </c>
      <c r="I7" s="2" t="n">
        <f aca="false">1-J7</f>
        <v>0.0474450284948841</v>
      </c>
      <c r="J7" s="0" t="n">
        <v>0.952554971505116</v>
      </c>
      <c r="K7" s="0" t="n">
        <v>0.0127945450267138</v>
      </c>
      <c r="L7" s="1" t="n">
        <v>4845</v>
      </c>
      <c r="M7" s="1" t="n">
        <v>675.884829721362</v>
      </c>
      <c r="N7" s="0" t="n">
        <v>0.00238</v>
      </c>
      <c r="O7" s="30"/>
      <c r="P7" s="30"/>
      <c r="Q7" s="0" t="n">
        <v>0.126203933231169</v>
      </c>
      <c r="R7" s="0" t="str">
        <f aca="false">B7</f>
        <v>CONNECTICUT</v>
      </c>
      <c r="S7" s="31" t="s">
        <v>271</v>
      </c>
      <c r="T7" s="32" t="n">
        <v>1153096</v>
      </c>
      <c r="U7" s="31" t="n">
        <v>596585</v>
      </c>
      <c r="V7" s="31" t="n">
        <v>556511</v>
      </c>
    </row>
    <row r="8" customFormat="false" ht="12.75" hidden="false" customHeight="false" outlineLevel="0" collapsed="false">
      <c r="A8" s="0" t="s">
        <v>272</v>
      </c>
      <c r="B8" s="0" t="s">
        <v>14</v>
      </c>
      <c r="C8" s="0" t="n">
        <v>0.252590047672857</v>
      </c>
      <c r="D8" s="0" t="n">
        <f aca="false">LN(C8/(1-C8))</f>
        <v>-1.08484602330716</v>
      </c>
      <c r="E8" s="0" t="n">
        <v>11.2</v>
      </c>
      <c r="F8" s="1" t="n">
        <v>717197</v>
      </c>
      <c r="G8" s="2" t="n">
        <v>0.219607843137255</v>
      </c>
      <c r="H8" s="2" t="n">
        <v>0.138328875404208</v>
      </c>
      <c r="I8" s="2" t="n">
        <f aca="false">1-J8</f>
        <v>0.0950457155007443</v>
      </c>
      <c r="J8" s="0" t="n">
        <v>0.904954284499256</v>
      </c>
      <c r="K8" s="0" t="n">
        <v>0.0119523035423315</v>
      </c>
      <c r="L8" s="1" t="n">
        <v>1955</v>
      </c>
      <c r="M8" s="1" t="n">
        <v>366.852685421995</v>
      </c>
      <c r="N8" s="0" t="n">
        <v>0.02219</v>
      </c>
      <c r="O8" s="30"/>
      <c r="P8" s="30"/>
      <c r="Q8" s="0" t="n">
        <v>0.152902659966387</v>
      </c>
      <c r="R8" s="0" t="str">
        <f aca="false">B8</f>
        <v>DELAWARE</v>
      </c>
      <c r="S8" s="31" t="s">
        <v>273</v>
      </c>
      <c r="T8" s="32" t="n">
        <v>441222</v>
      </c>
      <c r="U8" s="31" t="n">
        <v>240412</v>
      </c>
      <c r="V8" s="31" t="n">
        <v>200810</v>
      </c>
    </row>
    <row r="9" customFormat="false" ht="12.75" hidden="false" customHeight="false" outlineLevel="0" collapsed="false">
      <c r="A9" s="0" t="s">
        <v>274</v>
      </c>
      <c r="B9" s="0" t="s">
        <v>15</v>
      </c>
      <c r="C9" s="0" t="n">
        <v>0.0778335546482334</v>
      </c>
      <c r="D9" s="0" t="n">
        <f aca="false">LN(C9/(1-C9))</f>
        <v>-2.4721531017925</v>
      </c>
      <c r="E9" s="0" t="n">
        <v>206.6</v>
      </c>
      <c r="F9" s="1" t="n">
        <v>14165570</v>
      </c>
      <c r="G9" s="2" t="n">
        <v>0.111015583019882</v>
      </c>
      <c r="H9" s="2" t="n">
        <v>0.00799421046196813</v>
      </c>
      <c r="I9" s="2" t="n">
        <f aca="false">1-J9</f>
        <v>0.00998690499789412</v>
      </c>
      <c r="J9" s="0" t="n">
        <v>0.990013095002106</v>
      </c>
      <c r="K9" s="0" t="n">
        <v>0.00138270267108668</v>
      </c>
      <c r="L9" s="1" t="n">
        <v>53997</v>
      </c>
      <c r="M9" s="1" t="n">
        <v>262.339944811749</v>
      </c>
      <c r="N9" s="0" t="n">
        <v>0.07562</v>
      </c>
      <c r="O9" s="30"/>
      <c r="P9" s="30"/>
      <c r="Q9" s="0" t="n">
        <v>0.0598255409891766</v>
      </c>
      <c r="R9" s="0" t="str">
        <f aca="false">B9</f>
        <v>FLORIDA</v>
      </c>
      <c r="S9" s="31" t="s">
        <v>275</v>
      </c>
      <c r="T9" s="32" t="n">
        <v>3421260</v>
      </c>
      <c r="U9" s="31" t="n">
        <v>2103664</v>
      </c>
      <c r="V9" s="31" t="n">
        <v>1317596</v>
      </c>
    </row>
    <row r="10" customFormat="false" ht="12.75" hidden="false" customHeight="false" outlineLevel="0" collapsed="false">
      <c r="A10" s="0" t="s">
        <v>276</v>
      </c>
      <c r="B10" s="0" t="s">
        <v>16</v>
      </c>
      <c r="C10" s="0" t="n">
        <v>0.0041858290740556</v>
      </c>
      <c r="D10" s="0" t="n">
        <f aca="false">LN(C10/(1-C10))</f>
        <v>-5.4718558743742</v>
      </c>
      <c r="E10" s="0" t="n">
        <v>11.1</v>
      </c>
      <c r="F10" s="1" t="n">
        <v>7200882</v>
      </c>
      <c r="G10" s="2" t="n">
        <v>0.00785562632696391</v>
      </c>
      <c r="H10" s="2" t="n">
        <v>0.0281378236648974</v>
      </c>
      <c r="I10" s="2" t="n">
        <f aca="false">1-J10</f>
        <v>0.0238915218027792</v>
      </c>
      <c r="J10" s="0" t="n">
        <v>0.976108478197221</v>
      </c>
      <c r="K10" s="0" t="n">
        <v>0.000998970106345577</v>
      </c>
      <c r="L10" s="1" t="n">
        <v>57919</v>
      </c>
      <c r="M10" s="1" t="n">
        <v>124.326766691414</v>
      </c>
      <c r="N10" s="0" t="n">
        <v>0.03892</v>
      </c>
      <c r="O10" s="30"/>
      <c r="P10" s="30"/>
      <c r="Q10" s="0" t="n">
        <v>0.0193009735759223</v>
      </c>
      <c r="R10" s="0" t="str">
        <f aca="false">B10</f>
        <v>GEORGIA</v>
      </c>
      <c r="S10" s="31" t="s">
        <v>277</v>
      </c>
      <c r="T10" s="32" t="n">
        <v>1436829</v>
      </c>
      <c r="U10" s="31" t="n">
        <v>881477</v>
      </c>
      <c r="V10" s="31" t="n">
        <v>555352</v>
      </c>
    </row>
    <row r="11" customFormat="false" ht="12.75" hidden="false" customHeight="false" outlineLevel="0" collapsed="false">
      <c r="A11" s="0" t="s">
        <v>278</v>
      </c>
      <c r="B11" s="0" t="s">
        <v>17</v>
      </c>
      <c r="C11" s="0" t="n">
        <v>0</v>
      </c>
      <c r="D11" s="0" t="e">
        <f aca="false">LN(C11/(1-C11))</f>
        <v>#VALUE!</v>
      </c>
      <c r="E11" s="0" t="n">
        <v>0</v>
      </c>
      <c r="F11" s="1" t="n">
        <v>1186815</v>
      </c>
      <c r="G11" s="2" t="n">
        <v>0</v>
      </c>
      <c r="H11" s="2" t="n">
        <v>0.00952409571468726</v>
      </c>
      <c r="I11" s="2" t="n">
        <f aca="false">1-J11</f>
        <v>0.00467522963157696</v>
      </c>
      <c r="J11" s="0" t="n">
        <v>0.995324770368423</v>
      </c>
      <c r="K11" s="0" t="n">
        <v>0.00253316653774324</v>
      </c>
      <c r="L11" s="1" t="n">
        <v>6423</v>
      </c>
      <c r="M11" s="1" t="n">
        <v>184.775805698272</v>
      </c>
      <c r="N11" s="0" t="n">
        <v>0.08548</v>
      </c>
      <c r="O11" s="30"/>
      <c r="P11" s="30"/>
      <c r="Q11" s="0" t="n">
        <v>-0.0218296823794208</v>
      </c>
      <c r="R11" s="0" t="str">
        <f aca="false">B11</f>
        <v>HAWAII</v>
      </c>
      <c r="S11" s="31" t="s">
        <v>279</v>
      </c>
      <c r="T11" s="32" t="n">
        <v>359706</v>
      </c>
      <c r="U11" s="31" t="n">
        <v>214054</v>
      </c>
      <c r="V11" s="31" t="n">
        <v>145652</v>
      </c>
    </row>
    <row r="12" customFormat="false" ht="12.75" hidden="false" customHeight="false" outlineLevel="0" collapsed="false">
      <c r="A12" s="0" t="s">
        <v>280</v>
      </c>
      <c r="B12" s="0" t="s">
        <v>18</v>
      </c>
      <c r="C12" s="0" t="n">
        <v>0</v>
      </c>
      <c r="D12" s="0" t="e">
        <f aca="false">LN(C12/(1-C12))</f>
        <v>#VALUE!</v>
      </c>
      <c r="E12" s="0" t="n">
        <v>0</v>
      </c>
      <c r="F12" s="1" t="n">
        <v>1163261</v>
      </c>
      <c r="G12" s="2" t="n">
        <v>0</v>
      </c>
      <c r="H12" s="2" t="n">
        <v>0.0261485883128481</v>
      </c>
      <c r="I12" s="2" t="n">
        <f aca="false">1-J12</f>
        <v>0.0397824182916148</v>
      </c>
      <c r="J12" s="0" t="n">
        <v>0.960217581708385</v>
      </c>
      <c r="K12" s="0" t="n">
        <v>0.00114445052347599</v>
      </c>
      <c r="L12" s="1" t="n">
        <v>82751</v>
      </c>
      <c r="M12" s="1" t="n">
        <v>14.0573648656814</v>
      </c>
      <c r="N12" s="0" t="n">
        <v>0.60588</v>
      </c>
      <c r="O12" s="30"/>
      <c r="P12" s="30"/>
      <c r="Q12" s="0" t="n">
        <v>-0.00786112454893399</v>
      </c>
      <c r="R12" s="0" t="str">
        <f aca="false">B12</f>
        <v>IDAHO</v>
      </c>
      <c r="S12" s="33" t="s">
        <v>281</v>
      </c>
      <c r="T12" s="34" t="n">
        <v>349964</v>
      </c>
      <c r="U12" s="33" t="n">
        <v>165509</v>
      </c>
      <c r="V12" s="31" t="n">
        <v>184455</v>
      </c>
    </row>
    <row r="13" customFormat="false" ht="12.75" hidden="false" customHeight="false" outlineLevel="0" collapsed="false">
      <c r="A13" s="0" t="s">
        <v>282</v>
      </c>
      <c r="B13" s="0" t="s">
        <v>19</v>
      </c>
      <c r="C13" s="0" t="n">
        <v>0.0925020274991467</v>
      </c>
      <c r="D13" s="0" t="n">
        <f aca="false">LN(C13/(1-C13))</f>
        <v>-2.28346076878981</v>
      </c>
      <c r="E13" s="0" t="n">
        <v>185.3</v>
      </c>
      <c r="F13" s="1" t="n">
        <v>11829940</v>
      </c>
      <c r="G13" s="2" t="n">
        <v>0.0825389755011136</v>
      </c>
      <c r="H13" s="2" t="n">
        <v>0.0281937744250442</v>
      </c>
      <c r="I13" s="2" t="n">
        <f aca="false">1-J13</f>
        <v>0.0286833403546032</v>
      </c>
      <c r="J13" s="0" t="n">
        <v>0.971316659645397</v>
      </c>
      <c r="K13" s="0" t="n">
        <v>0.000672289152317663</v>
      </c>
      <c r="L13" s="1" t="n">
        <v>55593</v>
      </c>
      <c r="M13" s="1" t="n">
        <v>212.795495835807</v>
      </c>
      <c r="N13" s="0" t="n">
        <v>0.01266</v>
      </c>
      <c r="O13" s="30"/>
      <c r="P13" s="30"/>
      <c r="Q13" s="0" t="n">
        <v>0.0594393317890046</v>
      </c>
      <c r="R13" s="0" t="str">
        <f aca="false">B13</f>
        <v>ILLINOIS</v>
      </c>
      <c r="S13" s="31" t="s">
        <v>283</v>
      </c>
      <c r="T13" s="32" t="n">
        <v>3006384</v>
      </c>
      <c r="U13" s="31" t="n">
        <v>1575878</v>
      </c>
      <c r="V13" s="31" t="n">
        <v>1430506</v>
      </c>
    </row>
    <row r="14" customFormat="false" ht="12.75" hidden="false" customHeight="false" outlineLevel="0" collapsed="false">
      <c r="A14" s="0" t="s">
        <v>284</v>
      </c>
      <c r="B14" s="0" t="s">
        <v>20</v>
      </c>
      <c r="C14" s="0" t="n">
        <v>0.0425729531743058</v>
      </c>
      <c r="D14" s="0" t="n">
        <f aca="false">LN(C14/(1-C14))</f>
        <v>-3.11303037721925</v>
      </c>
      <c r="E14" s="0" t="n">
        <v>156.9</v>
      </c>
      <c r="F14" s="1" t="n">
        <v>5803471</v>
      </c>
      <c r="G14" s="2" t="n">
        <v>0.120414428242517</v>
      </c>
      <c r="H14" s="2" t="n">
        <v>0.03280824193038</v>
      </c>
      <c r="I14" s="2" t="n">
        <f aca="false">1-J14</f>
        <v>0.0482898576543466</v>
      </c>
      <c r="J14" s="0" t="n">
        <v>0.951710142345653</v>
      </c>
      <c r="K14" s="0" t="n">
        <v>0.00262573183456856</v>
      </c>
      <c r="L14" s="1" t="n">
        <v>35870</v>
      </c>
      <c r="M14" s="1" t="n">
        <v>161.791775857262</v>
      </c>
      <c r="N14" s="0" t="n">
        <v>0.01725</v>
      </c>
      <c r="O14" s="30"/>
      <c r="P14" s="30"/>
      <c r="Q14" s="0" t="n">
        <v>0.0516012849195702</v>
      </c>
      <c r="R14" s="0" t="str">
        <f aca="false">B14</f>
        <v>INDIANA</v>
      </c>
      <c r="S14" s="31" t="s">
        <v>285</v>
      </c>
      <c r="T14" s="32" t="n">
        <v>1433178</v>
      </c>
      <c r="U14" s="31" t="n">
        <v>650052</v>
      </c>
      <c r="V14" s="31" t="n">
        <v>783126</v>
      </c>
    </row>
    <row r="15" customFormat="false" ht="12.75" hidden="false" customHeight="false" outlineLevel="0" collapsed="false">
      <c r="A15" s="0" t="s">
        <v>286</v>
      </c>
      <c r="B15" s="0" t="s">
        <v>21</v>
      </c>
      <c r="C15" s="0" t="n">
        <v>0.00107334901207605</v>
      </c>
      <c r="D15" s="0" t="n">
        <f aca="false">LN(C15/(1-C15))</f>
        <v>-6.8358976752127</v>
      </c>
      <c r="E15" s="0" t="n">
        <v>0</v>
      </c>
      <c r="F15" s="1" t="n">
        <v>2841764</v>
      </c>
      <c r="G15" s="2" t="n">
        <v>0</v>
      </c>
      <c r="H15" s="2" t="n">
        <v>0.0369184324665151</v>
      </c>
      <c r="I15" s="2" t="n">
        <f aca="false">1-J15</f>
        <v>0.0429848737657769</v>
      </c>
      <c r="J15" s="0" t="n">
        <v>0.957015126234223</v>
      </c>
      <c r="K15" s="0" t="n">
        <v>0.00175018962418276</v>
      </c>
      <c r="L15" s="1" t="n">
        <v>55875</v>
      </c>
      <c r="M15" s="1" t="n">
        <v>50.8593109619687</v>
      </c>
      <c r="N15" s="0" t="n">
        <v>0.00187</v>
      </c>
      <c r="O15" s="30"/>
      <c r="P15" s="30"/>
      <c r="Q15" s="0" t="n">
        <v>0.00767922006858876</v>
      </c>
      <c r="R15" s="0" t="str">
        <f aca="false">B15</f>
        <v>IOWA</v>
      </c>
      <c r="S15" s="31" t="s">
        <v>287</v>
      </c>
      <c r="T15" s="32" t="n">
        <v>1077704</v>
      </c>
      <c r="U15" s="31" t="n">
        <v>459382</v>
      </c>
      <c r="V15" s="31" t="n">
        <v>618322</v>
      </c>
    </row>
    <row r="16" customFormat="false" ht="12.75" hidden="false" customHeight="false" outlineLevel="0" collapsed="false">
      <c r="A16" s="0" t="s">
        <v>288</v>
      </c>
      <c r="B16" s="0" t="s">
        <v>22</v>
      </c>
      <c r="C16" s="0" t="n">
        <v>0.0645640225441334</v>
      </c>
      <c r="D16" s="0" t="n">
        <f aca="false">LN(C16/(1-C16))</f>
        <v>-2.67335537757423</v>
      </c>
      <c r="E16" s="0" t="n">
        <v>240.9</v>
      </c>
      <c r="F16" s="1" t="n">
        <v>2565328</v>
      </c>
      <c r="G16" s="2" t="n">
        <v>0.238988095238095</v>
      </c>
      <c r="H16" s="2" t="n">
        <v>0.0706260870607761</v>
      </c>
      <c r="I16" s="2" t="n">
        <f aca="false">1-J16</f>
        <v>0.0757243087363327</v>
      </c>
      <c r="J16" s="0" t="n">
        <v>0.924275691263667</v>
      </c>
      <c r="K16" s="0" t="n">
        <v>0.000538282967553983</v>
      </c>
      <c r="L16" s="1" t="n">
        <v>81823</v>
      </c>
      <c r="M16" s="1" t="n">
        <v>31.3521625948694</v>
      </c>
      <c r="N16" s="0" t="n">
        <v>0.00539</v>
      </c>
      <c r="O16" s="30"/>
      <c r="P16" s="30"/>
      <c r="Q16" s="0" t="n">
        <v>0.106681574276485</v>
      </c>
      <c r="R16" s="0" t="str">
        <f aca="false">B16</f>
        <v>KANSAS</v>
      </c>
      <c r="S16" s="33" t="s">
        <v>289</v>
      </c>
      <c r="T16" s="34" t="n">
        <v>1019160</v>
      </c>
      <c r="U16" s="33" t="n">
        <v>635892</v>
      </c>
      <c r="V16" s="31" t="n">
        <v>383268</v>
      </c>
    </row>
    <row r="17" customFormat="false" ht="12.75" hidden="false" customHeight="false" outlineLevel="0" collapsed="false">
      <c r="A17" s="0" t="s">
        <v>290</v>
      </c>
      <c r="B17" s="0" t="s">
        <v>23</v>
      </c>
      <c r="C17" s="0" t="n">
        <v>0.00845328299918051</v>
      </c>
      <c r="D17" s="0" t="n">
        <f aca="false">LN(C17/(1-C17))</f>
        <v>-4.76471117782185</v>
      </c>
      <c r="E17" s="0" t="n">
        <v>204.7</v>
      </c>
      <c r="F17" s="1" t="n">
        <v>3860219</v>
      </c>
      <c r="G17" s="2" t="n">
        <v>0.239415204678363</v>
      </c>
      <c r="H17" s="2" t="n">
        <v>0.0625602364619358</v>
      </c>
      <c r="I17" s="2" t="n">
        <f aca="false">1-J17</f>
        <v>0.0671134356375722</v>
      </c>
      <c r="J17" s="0" t="n">
        <v>0.932886564362428</v>
      </c>
      <c r="K17" s="0" t="n">
        <v>0.00260667294964903</v>
      </c>
      <c r="L17" s="1" t="n">
        <v>39732</v>
      </c>
      <c r="M17" s="1" t="n">
        <v>97.15642303433</v>
      </c>
      <c r="N17" s="0" t="n">
        <v>0.04206</v>
      </c>
      <c r="O17" s="30"/>
      <c r="P17" s="30"/>
      <c r="Q17" s="0" t="n">
        <v>0.104951039090086</v>
      </c>
      <c r="R17" s="0" t="str">
        <f aca="false">B17</f>
        <v>KENTUCKY</v>
      </c>
      <c r="S17" s="31" t="s">
        <v>291</v>
      </c>
      <c r="T17" s="32" t="n">
        <v>1396789</v>
      </c>
      <c r="U17" s="31" t="n">
        <v>666794</v>
      </c>
      <c r="V17" s="31" t="n">
        <v>729995</v>
      </c>
    </row>
    <row r="18" customFormat="false" ht="12.75" hidden="false" customHeight="false" outlineLevel="0" collapsed="false">
      <c r="A18" s="0" t="s">
        <v>292</v>
      </c>
      <c r="B18" s="0" t="s">
        <v>24</v>
      </c>
      <c r="C18" s="0" t="n">
        <v>0.0293839643250748</v>
      </c>
      <c r="D18" s="0" t="n">
        <f aca="false">LN(C18/(1-C18))</f>
        <v>-3.49748186381578</v>
      </c>
      <c r="E18" s="0" t="n">
        <v>0</v>
      </c>
      <c r="F18" s="1" t="n">
        <v>4342334</v>
      </c>
      <c r="G18" s="2" t="n">
        <v>0</v>
      </c>
      <c r="H18" s="2" t="n">
        <v>0.0211147303966919</v>
      </c>
      <c r="I18" s="2" t="n">
        <f aca="false">1-J18</f>
        <v>0.0191944537858603</v>
      </c>
      <c r="J18" s="0" t="n">
        <v>0.98080554621414</v>
      </c>
      <c r="K18" s="0" t="n">
        <v>0.00126592646907651</v>
      </c>
      <c r="L18" s="1" t="n">
        <v>43566</v>
      </c>
      <c r="M18" s="1" t="n">
        <v>99.6725428086122</v>
      </c>
      <c r="N18" s="0" t="n">
        <v>0.02757</v>
      </c>
      <c r="O18" s="30"/>
      <c r="P18" s="30"/>
      <c r="Q18" s="0" t="n">
        <v>5.86363436068266E-005</v>
      </c>
      <c r="R18" s="0" t="str">
        <f aca="false">B18</f>
        <v>LOUISIANA</v>
      </c>
      <c r="S18" s="31" t="s">
        <v>293</v>
      </c>
      <c r="T18" s="32" t="n">
        <v>1197890</v>
      </c>
      <c r="U18" s="31" t="n">
        <v>552283</v>
      </c>
      <c r="V18" s="31" t="n">
        <v>645607</v>
      </c>
    </row>
    <row r="19" customFormat="false" ht="12.75" hidden="false" customHeight="false" outlineLevel="0" collapsed="false">
      <c r="A19" s="0" t="s">
        <v>294</v>
      </c>
      <c r="B19" s="0" t="s">
        <v>25</v>
      </c>
      <c r="C19" s="0" t="n">
        <v>0.105088318367691</v>
      </c>
      <c r="D19" s="0" t="n">
        <f aca="false">LN(C19/(1-C19))</f>
        <v>-2.14192390974572</v>
      </c>
      <c r="E19" s="0" t="n">
        <v>112.2</v>
      </c>
      <c r="F19" s="1" t="n">
        <v>1241382</v>
      </c>
      <c r="G19" s="2" t="n">
        <v>0.292950391644909</v>
      </c>
      <c r="H19" s="2" t="n">
        <v>0.0206121747105353</v>
      </c>
      <c r="I19" s="2" t="n">
        <f aca="false">1-J19</f>
        <v>0.031342669150636</v>
      </c>
      <c r="J19" s="0" t="n">
        <v>0.968657330849364</v>
      </c>
      <c r="K19" s="0" t="n">
        <v>0.00403784861999563</v>
      </c>
      <c r="L19" s="1" t="n">
        <v>30865</v>
      </c>
      <c r="M19" s="1" t="n">
        <v>40.2197310869917</v>
      </c>
      <c r="N19" s="0" t="n">
        <v>0.00942</v>
      </c>
      <c r="O19" s="30"/>
      <c r="P19" s="30"/>
      <c r="Q19" s="0" t="n">
        <v>0.0754836874994905</v>
      </c>
      <c r="R19" s="0" t="str">
        <f aca="false">B19</f>
        <v>MAINE</v>
      </c>
      <c r="S19" s="31" t="s">
        <v>295</v>
      </c>
      <c r="T19" s="32" t="n">
        <v>379282</v>
      </c>
      <c r="U19" s="31" t="n">
        <v>161258</v>
      </c>
      <c r="V19" s="31" t="n">
        <v>218024</v>
      </c>
    </row>
    <row r="20" customFormat="false" ht="12.75" hidden="false" customHeight="false" outlineLevel="0" collapsed="false">
      <c r="A20" s="0" t="s">
        <v>296</v>
      </c>
      <c r="B20" s="0" t="s">
        <v>26</v>
      </c>
      <c r="C20" s="0" t="n">
        <v>0.0702579161473665</v>
      </c>
      <c r="D20" s="0" t="n">
        <f aca="false">LN(C20/(1-C20))</f>
        <v>-2.58273423125663</v>
      </c>
      <c r="E20" s="0" t="n">
        <v>42.3</v>
      </c>
      <c r="F20" s="1" t="n">
        <v>5042438</v>
      </c>
      <c r="G20" s="2" t="n">
        <v>0.059493670886076</v>
      </c>
      <c r="H20" s="2" t="n">
        <v>0.0697797782145526</v>
      </c>
      <c r="I20" s="2" t="n">
        <f aca="false">1-J20</f>
        <v>0.173367872424564</v>
      </c>
      <c r="J20" s="0" t="n">
        <v>0.826632127575436</v>
      </c>
      <c r="K20" s="0" t="n">
        <v>0.00521099189986518</v>
      </c>
      <c r="L20" s="1" t="n">
        <v>9775</v>
      </c>
      <c r="M20" s="1" t="n">
        <v>515.850434782609</v>
      </c>
      <c r="N20" s="0" t="n">
        <v>0.03139</v>
      </c>
      <c r="O20" s="30"/>
      <c r="P20" s="30"/>
      <c r="Q20" s="0" t="n">
        <v>0.0617828080652504</v>
      </c>
      <c r="R20" s="0" t="str">
        <f aca="false">B20</f>
        <v>MARYLAND</v>
      </c>
      <c r="S20" s="33" t="s">
        <v>297</v>
      </c>
      <c r="T20" s="34" t="n">
        <v>1289354</v>
      </c>
      <c r="U20" s="33" t="n">
        <v>544898</v>
      </c>
      <c r="V20" s="31" t="n">
        <v>744456</v>
      </c>
    </row>
    <row r="21" customFormat="false" ht="12.75" hidden="false" customHeight="false" outlineLevel="0" collapsed="false">
      <c r="A21" s="0" t="s">
        <v>298</v>
      </c>
      <c r="B21" s="0" t="s">
        <v>27</v>
      </c>
      <c r="C21" s="0" t="n">
        <v>0.103944816167345</v>
      </c>
      <c r="D21" s="0" t="n">
        <f aca="false">LN(C21/(1-C21))</f>
        <v>-2.15414185563681</v>
      </c>
      <c r="E21" s="0" t="n">
        <v>124.4</v>
      </c>
      <c r="F21" s="1" t="n">
        <v>6073550</v>
      </c>
      <c r="G21" s="2" t="n">
        <v>0.163254593175853</v>
      </c>
      <c r="H21" s="2" t="n">
        <v>0.0502082263621112</v>
      </c>
      <c r="I21" s="2" t="n">
        <f aca="false">1-J21</f>
        <v>0.0309692261748951</v>
      </c>
      <c r="J21" s="0" t="n">
        <v>0.969030773825105</v>
      </c>
      <c r="K21" s="0" t="n">
        <v>0.00225842693152515</v>
      </c>
      <c r="L21" s="1" t="n">
        <v>7838</v>
      </c>
      <c r="M21" s="1" t="n">
        <v>774.885174789487</v>
      </c>
      <c r="N21" s="0" t="n">
        <v>0.012</v>
      </c>
      <c r="O21" s="30"/>
      <c r="P21" s="30"/>
      <c r="Q21" s="0" t="n">
        <v>0.0801779212472107</v>
      </c>
      <c r="R21" s="0" t="str">
        <f aca="false">B21</f>
        <v>MASSACHUSETTS</v>
      </c>
      <c r="S21" s="31" t="s">
        <v>299</v>
      </c>
      <c r="T21" s="32" t="n">
        <v>2500788</v>
      </c>
      <c r="U21" s="31" t="n">
        <v>1480228</v>
      </c>
      <c r="V21" s="31" t="n">
        <v>1020560</v>
      </c>
    </row>
    <row r="22" customFormat="false" ht="12.75" hidden="false" customHeight="false" outlineLevel="0" collapsed="false">
      <c r="A22" s="0" t="s">
        <v>300</v>
      </c>
      <c r="B22" s="0" t="s">
        <v>28</v>
      </c>
      <c r="C22" s="0" t="n">
        <v>0.00738787711371125</v>
      </c>
      <c r="D22" s="0" t="n">
        <f aca="false">LN(C22/(1-C22))</f>
        <v>-4.90049954737258</v>
      </c>
      <c r="E22" s="0" t="n">
        <v>0</v>
      </c>
      <c r="F22" s="1" t="n">
        <v>9549353</v>
      </c>
      <c r="G22" s="2" t="n">
        <v>0</v>
      </c>
      <c r="H22" s="2" t="n">
        <v>0.00796925854450259</v>
      </c>
      <c r="I22" s="2" t="n">
        <f aca="false">1-J22</f>
        <v>0.0149153692098973</v>
      </c>
      <c r="J22" s="0" t="n">
        <v>0.985084630790103</v>
      </c>
      <c r="K22" s="0" t="n">
        <v>0.000980239584198947</v>
      </c>
      <c r="L22" s="1" t="n">
        <v>56809</v>
      </c>
      <c r="M22" s="1" t="n">
        <v>168.095777077576</v>
      </c>
      <c r="N22" s="0" t="n">
        <v>0.10085</v>
      </c>
      <c r="O22" s="30"/>
      <c r="P22" s="30"/>
      <c r="Q22" s="0" t="n">
        <v>0.0088849483161644</v>
      </c>
      <c r="R22" s="0" t="str">
        <f aca="false">B22</f>
        <v>MICHIGAN</v>
      </c>
      <c r="S22" s="31" t="s">
        <v>301</v>
      </c>
      <c r="T22" s="32" t="n">
        <v>1973894</v>
      </c>
      <c r="U22" s="31" t="n">
        <v>739443</v>
      </c>
      <c r="V22" s="31" t="n">
        <v>1234451</v>
      </c>
    </row>
    <row r="23" customFormat="false" ht="12.75" hidden="false" customHeight="false" outlineLevel="0" collapsed="false">
      <c r="A23" s="0" t="s">
        <v>302</v>
      </c>
      <c r="B23" s="0" t="s">
        <v>29</v>
      </c>
      <c r="C23" s="0" t="n">
        <v>0</v>
      </c>
      <c r="D23" s="0" t="e">
        <f aca="false">LN(C23/(1-C23))</f>
        <v>#VALUE!</v>
      </c>
      <c r="E23" s="0" t="n">
        <v>0</v>
      </c>
      <c r="F23" s="1" t="n">
        <v>4609548</v>
      </c>
      <c r="G23" s="2" t="n">
        <v>0</v>
      </c>
      <c r="H23" s="2" t="n">
        <v>0.0231171606433715</v>
      </c>
      <c r="I23" s="2" t="n">
        <f aca="false">1-J23</f>
        <v>0.0177078029509453</v>
      </c>
      <c r="J23" s="0" t="n">
        <v>0.982292197049055</v>
      </c>
      <c r="K23" s="0" t="n">
        <v>0.000444794889550436</v>
      </c>
      <c r="L23" s="1" t="n">
        <v>79617</v>
      </c>
      <c r="M23" s="1" t="n">
        <v>57.8965296356306</v>
      </c>
      <c r="N23" s="0" t="n">
        <v>0.03055</v>
      </c>
      <c r="O23" s="30"/>
      <c r="P23" s="30"/>
      <c r="Q23" s="0" t="n">
        <v>0.00277581255043061</v>
      </c>
      <c r="R23" s="0" t="str">
        <f aca="false">B23</f>
        <v>MINNESOTA</v>
      </c>
      <c r="S23" s="31" t="s">
        <v>303</v>
      </c>
      <c r="T23" s="32" t="n">
        <v>1210014</v>
      </c>
      <c r="U23" s="31" t="n">
        <v>510421</v>
      </c>
      <c r="V23" s="31" t="n">
        <v>699593</v>
      </c>
    </row>
    <row r="24" customFormat="false" ht="12.75" hidden="false" customHeight="false" outlineLevel="0" collapsed="false">
      <c r="A24" s="0" t="s">
        <v>67</v>
      </c>
      <c r="B24" s="0" t="s">
        <v>30</v>
      </c>
      <c r="C24" s="0" t="n">
        <v>0</v>
      </c>
      <c r="D24" s="0" t="e">
        <f aca="false">LN(C24/(1-C24))</f>
        <v>#VALUE!</v>
      </c>
      <c r="E24" s="0" t="n">
        <v>0</v>
      </c>
      <c r="F24" s="1" t="n">
        <v>2697243</v>
      </c>
      <c r="G24" s="2" t="n">
        <v>0</v>
      </c>
      <c r="H24" s="2" t="n">
        <v>0.0305028704492417</v>
      </c>
      <c r="I24" s="2" t="n">
        <f aca="false">1-J24</f>
        <v>0.0587008990703929</v>
      </c>
      <c r="J24" s="0" t="n">
        <v>0.941299100929607</v>
      </c>
      <c r="K24" s="0" t="n">
        <v>0.00134957049324707</v>
      </c>
      <c r="L24" s="1" t="n">
        <v>46914</v>
      </c>
      <c r="M24" s="1" t="n">
        <v>57.4933495331884</v>
      </c>
      <c r="N24" s="0" t="n">
        <v>0.04286</v>
      </c>
      <c r="O24" s="30"/>
      <c r="P24" s="30"/>
      <c r="Q24" s="0" t="n">
        <v>0.00169827689615375</v>
      </c>
      <c r="R24" s="0" t="str">
        <f aca="false">B24</f>
        <v>MISSISSIPPI</v>
      </c>
      <c r="S24" s="33" t="s">
        <v>304</v>
      </c>
      <c r="T24" s="34" t="n">
        <v>661610</v>
      </c>
      <c r="U24" s="33" t="n">
        <v>402619</v>
      </c>
      <c r="V24" s="31" t="n">
        <v>258991</v>
      </c>
    </row>
    <row r="25" customFormat="false" ht="12.75" hidden="false" customHeight="false" outlineLevel="0" collapsed="false">
      <c r="A25" s="0" t="s">
        <v>305</v>
      </c>
      <c r="B25" s="0" t="s">
        <v>31</v>
      </c>
      <c r="C25" s="0" t="n">
        <v>0.000759685797103275</v>
      </c>
      <c r="D25" s="0" t="n">
        <f aca="false">LN(C25/(1-C25))</f>
        <v>-7.18184566052705</v>
      </c>
      <c r="E25" s="0" t="n">
        <v>0</v>
      </c>
      <c r="F25" s="1" t="n">
        <v>5323523</v>
      </c>
      <c r="G25" s="2" t="n">
        <v>0</v>
      </c>
      <c r="H25" s="2" t="n">
        <v>0.0724272745344907</v>
      </c>
      <c r="I25" s="2" t="n">
        <f aca="false">1-J25</f>
        <v>0.0479660948799265</v>
      </c>
      <c r="J25" s="0" t="n">
        <v>0.952033905120074</v>
      </c>
      <c r="K25" s="0" t="n">
        <v>0.00328065238260393</v>
      </c>
      <c r="L25" s="1" t="n">
        <v>68898</v>
      </c>
      <c r="M25" s="1" t="n">
        <v>77.2667276263462</v>
      </c>
      <c r="N25" s="0" t="n">
        <v>0.03808</v>
      </c>
      <c r="O25" s="30"/>
      <c r="P25" s="30"/>
      <c r="Q25" s="0" t="n">
        <v>0.0472316177091278</v>
      </c>
      <c r="R25" s="0" t="str">
        <f aca="false">B25</f>
        <v>MISSOURI</v>
      </c>
      <c r="S25" s="31" t="s">
        <v>306</v>
      </c>
      <c r="T25" s="32" t="n">
        <v>1313107</v>
      </c>
      <c r="U25" s="31" t="n">
        <v>665559</v>
      </c>
      <c r="V25" s="31" t="n">
        <v>647548</v>
      </c>
    </row>
    <row r="26" customFormat="false" ht="12.75" hidden="false" customHeight="false" outlineLevel="0" collapsed="false">
      <c r="A26" s="0" t="s">
        <v>307</v>
      </c>
      <c r="B26" s="0" t="s">
        <v>32</v>
      </c>
      <c r="C26" s="0" t="n">
        <v>0</v>
      </c>
      <c r="D26" s="0" t="e">
        <f aca="false">LN(C26/(1-C26))</f>
        <v>#VALUE!</v>
      </c>
      <c r="E26" s="0" t="n">
        <v>0</v>
      </c>
      <c r="F26" s="1" t="n">
        <v>870281</v>
      </c>
      <c r="G26" s="2" t="n">
        <v>0</v>
      </c>
      <c r="H26" s="2" t="n">
        <v>0.00796409544263987</v>
      </c>
      <c r="I26" s="2" t="n">
        <f aca="false">1-J26</f>
        <v>0.0123823944448102</v>
      </c>
      <c r="J26" s="0" t="n">
        <v>0.98761760555519</v>
      </c>
      <c r="K26" s="0" t="n">
        <v>0.000431700362352415</v>
      </c>
      <c r="L26" s="1" t="n">
        <v>145556</v>
      </c>
      <c r="M26" s="1" t="n">
        <v>5.97901151446866</v>
      </c>
      <c r="N26" s="0" t="n">
        <v>0.27542</v>
      </c>
      <c r="O26" s="30"/>
      <c r="P26" s="30"/>
      <c r="Q26" s="0" t="n">
        <v>-0.0243654655444589</v>
      </c>
      <c r="R26" s="0" t="str">
        <f aca="false">B26</f>
        <v>MONTANA</v>
      </c>
      <c r="S26" s="31" t="s">
        <v>308</v>
      </c>
      <c r="T26" s="32" t="n">
        <v>388416</v>
      </c>
      <c r="U26" s="31" t="n">
        <v>183346</v>
      </c>
      <c r="V26" s="31" t="n">
        <v>205070</v>
      </c>
    </row>
    <row r="27" customFormat="false" ht="12.75" hidden="false" customHeight="false" outlineLevel="0" collapsed="false">
      <c r="A27" s="0" t="s">
        <v>309</v>
      </c>
      <c r="B27" s="0" t="s">
        <v>33</v>
      </c>
      <c r="C27" s="0" t="n">
        <v>0.00199508308555689</v>
      </c>
      <c r="D27" s="0" t="n">
        <f aca="false">LN(C27/(1-C27))</f>
        <v>-6.21507250669701</v>
      </c>
      <c r="E27" s="0" t="n">
        <v>0</v>
      </c>
      <c r="F27" s="1" t="n">
        <v>1637112</v>
      </c>
      <c r="G27" s="2" t="n">
        <v>0</v>
      </c>
      <c r="H27" s="2" t="n">
        <v>0.0425053293156057</v>
      </c>
      <c r="I27" s="2" t="n">
        <f aca="false">1-J27</f>
        <v>0.0233357665648155</v>
      </c>
      <c r="J27" s="0" t="n">
        <v>0.976664233435185</v>
      </c>
      <c r="K27" s="0" t="n">
        <v>0.000597865991649868</v>
      </c>
      <c r="L27" s="1" t="n">
        <v>76878</v>
      </c>
      <c r="M27" s="1" t="n">
        <v>21.2949348318114</v>
      </c>
      <c r="N27" s="0" t="n">
        <v>0.01188</v>
      </c>
      <c r="O27" s="30"/>
      <c r="P27" s="30"/>
      <c r="Q27" s="0" t="n">
        <v>0.00778970609851211</v>
      </c>
      <c r="R27" s="0" t="str">
        <f aca="false">B27</f>
        <v>NEBRASKA</v>
      </c>
      <c r="S27" s="31" t="s">
        <v>310</v>
      </c>
      <c r="T27" s="32" t="n">
        <v>578157</v>
      </c>
      <c r="U27" s="31" t="n">
        <v>285384</v>
      </c>
      <c r="V27" s="31" t="n">
        <v>292773</v>
      </c>
    </row>
    <row r="28" customFormat="false" ht="12.75" hidden="false" customHeight="false" outlineLevel="0" collapsed="false">
      <c r="A28" s="0" t="s">
        <v>311</v>
      </c>
      <c r="B28" s="0" t="s">
        <v>34</v>
      </c>
      <c r="C28" s="0" t="n">
        <v>0</v>
      </c>
      <c r="D28" s="0" t="e">
        <f aca="false">LN(C28/(1-C28))</f>
        <v>#VALUE!</v>
      </c>
      <c r="E28" s="0" t="n">
        <v>0</v>
      </c>
      <c r="F28" s="1" t="n">
        <v>1530108</v>
      </c>
      <c r="G28" s="2" t="n">
        <v>0</v>
      </c>
      <c r="H28" s="2" t="n">
        <v>0.0433497425670366</v>
      </c>
      <c r="I28" s="2" t="n">
        <f aca="false">1-J28</f>
        <v>0.0123862731576335</v>
      </c>
      <c r="J28" s="0" t="n">
        <v>0.987613726842367</v>
      </c>
      <c r="K28" s="0" t="n">
        <v>0.000647898071076054</v>
      </c>
      <c r="L28" s="1" t="n">
        <v>109806</v>
      </c>
      <c r="M28" s="1" t="n">
        <v>13.93464837987</v>
      </c>
      <c r="N28" s="0" t="n">
        <v>0.7708</v>
      </c>
      <c r="O28" s="30"/>
      <c r="P28" s="30"/>
      <c r="Q28" s="0" t="n">
        <v>0.00809409450310411</v>
      </c>
      <c r="R28" s="0" t="str">
        <f aca="false">B28</f>
        <v>NEVADA</v>
      </c>
      <c r="S28" s="33" t="s">
        <v>312</v>
      </c>
      <c r="T28" s="34" t="n">
        <v>484112</v>
      </c>
      <c r="U28" s="33" t="n">
        <v>292805</v>
      </c>
      <c r="V28" s="31" t="n">
        <v>191307</v>
      </c>
    </row>
    <row r="29" customFormat="false" ht="12.75" hidden="false" customHeight="false" outlineLevel="0" collapsed="false">
      <c r="A29" s="0" t="s">
        <v>313</v>
      </c>
      <c r="B29" s="0" t="s">
        <v>35</v>
      </c>
      <c r="C29" s="0" t="n">
        <v>0.117777368981519</v>
      </c>
      <c r="D29" s="0" t="n">
        <f aca="false">LN(C29/(1-C29))</f>
        <v>-2.01364830142369</v>
      </c>
      <c r="E29" s="0" t="n">
        <v>77.2</v>
      </c>
      <c r="F29" s="1" t="n">
        <v>1148253</v>
      </c>
      <c r="G29" s="2" t="n">
        <v>0.290225563909774</v>
      </c>
      <c r="H29" s="2" t="n">
        <v>0.0851357193769645</v>
      </c>
      <c r="I29" s="2" t="n">
        <f aca="false">1-J29</f>
        <v>0.167975827605201</v>
      </c>
      <c r="J29" s="0" t="n">
        <v>0.832024172394799</v>
      </c>
      <c r="K29" s="0" t="n">
        <v>0.0165517932340179</v>
      </c>
      <c r="L29" s="1" t="n">
        <v>8969</v>
      </c>
      <c r="M29" s="1" t="n">
        <v>128.024640428141</v>
      </c>
      <c r="N29" s="0" t="n">
        <v>0.12758</v>
      </c>
      <c r="O29" s="30"/>
      <c r="P29" s="30"/>
      <c r="Q29" s="0" t="n">
        <v>0.135612187358915</v>
      </c>
      <c r="R29" s="0" t="str">
        <f aca="false">B29</f>
        <v>NEW-HAMPSHIRE</v>
      </c>
      <c r="S29" s="31" t="s">
        <v>314</v>
      </c>
      <c r="T29" s="32" t="n">
        <v>328027</v>
      </c>
      <c r="U29" s="31" t="n">
        <v>138938</v>
      </c>
      <c r="V29" s="31" t="n">
        <v>189089</v>
      </c>
    </row>
    <row r="30" customFormat="false" ht="12.75" hidden="false" customHeight="false" outlineLevel="0" collapsed="false">
      <c r="A30" s="0" t="s">
        <v>315</v>
      </c>
      <c r="B30" s="0" t="s">
        <v>36</v>
      </c>
      <c r="C30" s="0" t="n">
        <v>0.273303356469306</v>
      </c>
      <c r="D30" s="0" t="n">
        <f aca="false">LN(C30/(1-C30))</f>
        <v>-0.977926744707258</v>
      </c>
      <c r="E30" s="0" t="n">
        <v>309.2</v>
      </c>
      <c r="F30" s="1" t="n">
        <v>7945298</v>
      </c>
      <c r="G30" s="2" t="n">
        <v>0.424725274725275</v>
      </c>
      <c r="H30" s="2" t="n">
        <v>0.0704522955482905</v>
      </c>
      <c r="I30" s="2" t="n">
        <f aca="false">1-J30</f>
        <v>0.117079489030126</v>
      </c>
      <c r="J30" s="0" t="n">
        <v>0.882920510969874</v>
      </c>
      <c r="K30" s="0" t="n">
        <v>0.0314520113398733</v>
      </c>
      <c r="L30" s="1" t="n">
        <v>7419</v>
      </c>
      <c r="M30" s="1" t="n">
        <v>1070.93921013614</v>
      </c>
      <c r="N30" s="0" t="n">
        <v>0.03332</v>
      </c>
      <c r="O30" s="30"/>
      <c r="P30" s="30"/>
      <c r="Q30" s="0" t="n">
        <v>0.270701031300064</v>
      </c>
      <c r="R30" s="0" t="str">
        <f aca="false">B30</f>
        <v>NEW-JERSEY</v>
      </c>
      <c r="S30" s="31" t="s">
        <v>316</v>
      </c>
      <c r="T30" s="32" t="n">
        <v>2101667</v>
      </c>
      <c r="U30" s="31" t="n">
        <v>811965</v>
      </c>
      <c r="V30" s="31" t="n">
        <v>1289702</v>
      </c>
    </row>
    <row r="31" customFormat="false" ht="12.75" hidden="false" customHeight="false" outlineLevel="0" collapsed="false">
      <c r="A31" s="0" t="s">
        <v>317</v>
      </c>
      <c r="B31" s="0" t="s">
        <v>37</v>
      </c>
      <c r="C31" s="0" t="n">
        <v>0</v>
      </c>
      <c r="D31" s="0" t="e">
        <f aca="false">LN(C31/(1-C31))</f>
        <v>#VALUE!</v>
      </c>
      <c r="E31" s="0" t="n">
        <v>0</v>
      </c>
      <c r="F31" s="1" t="n">
        <v>1685401</v>
      </c>
      <c r="G31" s="2" t="n">
        <v>0</v>
      </c>
      <c r="H31" s="2" t="n">
        <v>0.0190957981584029</v>
      </c>
      <c r="I31" s="2" t="n">
        <f aca="false">1-J31</f>
        <v>0.0251645042035998</v>
      </c>
      <c r="J31" s="0" t="n">
        <v>0.9748354957964</v>
      </c>
      <c r="K31" s="0" t="n">
        <v>0.00134448698703512</v>
      </c>
      <c r="L31" s="1" t="n">
        <v>121365</v>
      </c>
      <c r="M31" s="1" t="n">
        <v>13.8870432167429</v>
      </c>
      <c r="N31" s="0" t="n">
        <v>0.33853</v>
      </c>
      <c r="O31" s="30"/>
      <c r="P31" s="30"/>
      <c r="Q31" s="0" t="n">
        <v>-0.0118266967887972</v>
      </c>
      <c r="R31" s="0" t="str">
        <f aca="false">B31</f>
        <v>NEW-MEXICO</v>
      </c>
      <c r="S31" s="31" t="s">
        <v>318</v>
      </c>
      <c r="T31" s="32" t="n">
        <v>534803</v>
      </c>
      <c r="U31" s="31" t="n">
        <v>336610</v>
      </c>
      <c r="V31" s="31" t="n">
        <v>198193</v>
      </c>
    </row>
    <row r="32" customFormat="false" ht="12.75" hidden="false" customHeight="false" outlineLevel="0" collapsed="false">
      <c r="A32" s="0" t="s">
        <v>319</v>
      </c>
      <c r="B32" s="0" t="s">
        <v>38</v>
      </c>
      <c r="C32" s="0" t="n">
        <v>0.331822037089797</v>
      </c>
      <c r="D32" s="0" t="n">
        <f aca="false">LN(C32/(1-C32))</f>
        <v>-0.699955757260157</v>
      </c>
      <c r="E32" s="0" t="n">
        <v>628.8</v>
      </c>
      <c r="F32" s="1" t="n">
        <v>18136081</v>
      </c>
      <c r="G32" s="2" t="n">
        <v>0.270103092783505</v>
      </c>
      <c r="H32" s="2" t="n">
        <v>0.0509878017590525</v>
      </c>
      <c r="I32" s="2" t="n">
        <f aca="false">1-J32</f>
        <v>0.0243517386556935</v>
      </c>
      <c r="J32" s="0" t="n">
        <v>0.975648261344307</v>
      </c>
      <c r="K32" s="0" t="n">
        <v>0.00497791516216072</v>
      </c>
      <c r="L32" s="1" t="n">
        <v>47224</v>
      </c>
      <c r="M32" s="1" t="n">
        <v>384.043727765543</v>
      </c>
      <c r="N32" s="0" t="n">
        <v>0.00686</v>
      </c>
      <c r="O32" s="30"/>
      <c r="P32" s="30"/>
      <c r="Q32" s="0" t="n">
        <v>0.159085652081775</v>
      </c>
      <c r="R32" s="0" t="str">
        <f aca="false">B32</f>
        <v>NEW-YORK</v>
      </c>
      <c r="S32" s="33" t="s">
        <v>320</v>
      </c>
      <c r="T32" s="34" t="n">
        <v>4584271</v>
      </c>
      <c r="U32" s="33" t="n">
        <v>2132192</v>
      </c>
      <c r="V32" s="31" t="n">
        <v>2452079</v>
      </c>
    </row>
    <row r="33" customFormat="false" ht="12.75" hidden="false" customHeight="false" outlineLevel="0" collapsed="false">
      <c r="A33" s="0" t="s">
        <v>321</v>
      </c>
      <c r="B33" s="0" t="s">
        <v>39</v>
      </c>
      <c r="C33" s="0" t="n">
        <v>0.000738443042039357</v>
      </c>
      <c r="D33" s="0" t="n">
        <f aca="false">LN(C33/(1-C33))</f>
        <v>-7.21022786969654</v>
      </c>
      <c r="E33" s="0" t="n">
        <v>0</v>
      </c>
      <c r="F33" s="1" t="n">
        <v>7195138</v>
      </c>
      <c r="G33" s="2" t="n">
        <v>0</v>
      </c>
      <c r="H33" s="2" t="n">
        <v>0.0221303868527105</v>
      </c>
      <c r="I33" s="2" t="n">
        <f aca="false">1-J33</f>
        <v>0.0177088340756862</v>
      </c>
      <c r="J33" s="0" t="n">
        <v>0.982291165924314</v>
      </c>
      <c r="K33" s="0" t="n">
        <v>0.00114734471689408</v>
      </c>
      <c r="L33" s="1" t="n">
        <v>48718</v>
      </c>
      <c r="M33" s="1" t="n">
        <v>147.68951927419</v>
      </c>
      <c r="N33" s="0" t="n">
        <v>0.0687</v>
      </c>
      <c r="O33" s="30"/>
      <c r="P33" s="30"/>
      <c r="Q33" s="0" t="n">
        <v>0.0118456075686706</v>
      </c>
      <c r="R33" s="0" t="str">
        <f aca="false">B33</f>
        <v>NORTH-CAROLINA</v>
      </c>
      <c r="S33" s="31" t="s">
        <v>322</v>
      </c>
      <c r="T33" s="32" t="n">
        <v>1871498</v>
      </c>
      <c r="U33" s="31" t="n">
        <v>1010399</v>
      </c>
      <c r="V33" s="31" t="n">
        <v>861099</v>
      </c>
    </row>
    <row r="34" customFormat="false" ht="12.75" hidden="false" customHeight="false" outlineLevel="0" collapsed="false">
      <c r="A34" s="0" t="s">
        <v>323</v>
      </c>
      <c r="B34" s="0" t="s">
        <v>40</v>
      </c>
      <c r="C34" s="0" t="n">
        <v>0</v>
      </c>
      <c r="D34" s="0" t="e">
        <f aca="false">LN(C34/(1-C34))</f>
        <v>#VALUE!</v>
      </c>
      <c r="E34" s="0" t="n">
        <v>0</v>
      </c>
      <c r="F34" s="1" t="n">
        <v>641367</v>
      </c>
      <c r="G34" s="2" t="n">
        <v>0</v>
      </c>
      <c r="H34" s="2" t="n">
        <v>0.0585817128891722</v>
      </c>
      <c r="I34" s="2" t="n">
        <f aca="false">1-J34</f>
        <v>0.0366960008154666</v>
      </c>
      <c r="J34" s="0" t="n">
        <v>0.963303999184533</v>
      </c>
      <c r="K34" s="0" t="n">
        <v>0.000412106639633518</v>
      </c>
      <c r="L34" s="1" t="n">
        <v>68994</v>
      </c>
      <c r="M34" s="1" t="n">
        <v>9.2959822593269</v>
      </c>
      <c r="N34" s="0" t="n">
        <v>0.04025</v>
      </c>
      <c r="O34" s="30"/>
      <c r="P34" s="30"/>
      <c r="Q34" s="0" t="n">
        <v>0.0175741019582812</v>
      </c>
      <c r="R34" s="0" t="str">
        <f aca="false">B34</f>
        <v>NORTH-DAKOTA</v>
      </c>
      <c r="S34" s="31" t="s">
        <v>324</v>
      </c>
      <c r="T34" s="32" t="n">
        <v>270095</v>
      </c>
      <c r="U34" s="31" t="n">
        <v>154641</v>
      </c>
      <c r="V34" s="31" t="n">
        <v>115454</v>
      </c>
    </row>
    <row r="35" customFormat="false" ht="12.75" hidden="false" customHeight="false" outlineLevel="0" collapsed="false">
      <c r="A35" s="0" t="s">
        <v>325</v>
      </c>
      <c r="B35" s="0" t="s">
        <v>41</v>
      </c>
      <c r="C35" s="0" t="n">
        <v>0.0328757643019831</v>
      </c>
      <c r="D35" s="0" t="n">
        <f aca="false">LN(C35/(1-C35))</f>
        <v>-3.38159122362958</v>
      </c>
      <c r="E35" s="0" t="n">
        <v>241</v>
      </c>
      <c r="F35" s="1" t="n">
        <v>11150506</v>
      </c>
      <c r="G35" s="2" t="n">
        <v>0.124419204956118</v>
      </c>
      <c r="H35" s="2" t="n">
        <v>0.0282688311910131</v>
      </c>
      <c r="I35" s="2" t="n">
        <f aca="false">1-J35</f>
        <v>0.0222724306202026</v>
      </c>
      <c r="J35" s="0" t="n">
        <v>0.977727569379797</v>
      </c>
      <c r="K35" s="0" t="n">
        <v>0.0014012682492417</v>
      </c>
      <c r="L35" s="1" t="n">
        <v>40953</v>
      </c>
      <c r="M35" s="1" t="n">
        <v>272.275681879227</v>
      </c>
      <c r="N35" s="0" t="n">
        <v>0.0107</v>
      </c>
      <c r="O35" s="30"/>
      <c r="P35" s="30"/>
      <c r="Q35" s="0" t="n">
        <v>0.0694388305239428</v>
      </c>
      <c r="R35" s="0" t="str">
        <f aca="false">B35</f>
        <v>OHIO</v>
      </c>
      <c r="S35" s="31" t="s">
        <v>326</v>
      </c>
      <c r="T35" s="32" t="n">
        <v>2636791</v>
      </c>
      <c r="U35" s="31" t="n">
        <v>1029082</v>
      </c>
      <c r="V35" s="31" t="n">
        <v>1607709</v>
      </c>
    </row>
    <row r="36" customFormat="false" ht="12.75" hidden="false" customHeight="false" outlineLevel="0" collapsed="false">
      <c r="A36" s="0" t="s">
        <v>327</v>
      </c>
      <c r="B36" s="0" t="s">
        <v>42</v>
      </c>
      <c r="C36" s="0" t="n">
        <v>0.0759782565467173</v>
      </c>
      <c r="D36" s="0" t="n">
        <f aca="false">LN(C36/(1-C36))</f>
        <v>-2.4982884019577</v>
      </c>
      <c r="E36" s="0" t="n">
        <v>174.3</v>
      </c>
      <c r="F36" s="1" t="n">
        <v>3277687</v>
      </c>
      <c r="G36" s="2" t="n">
        <v>0.163815789473684</v>
      </c>
      <c r="H36" s="2" t="n">
        <v>0.0108396118772474</v>
      </c>
      <c r="I36" s="2" t="n">
        <f aca="false">1-J36</f>
        <v>0.0292472634139496</v>
      </c>
      <c r="J36" s="0" t="n">
        <v>0.97075273658605</v>
      </c>
      <c r="K36" s="0" t="n">
        <v>0.000951070858995355</v>
      </c>
      <c r="L36" s="1" t="n">
        <v>68679</v>
      </c>
      <c r="M36" s="1" t="n">
        <v>47.7247339070167</v>
      </c>
      <c r="N36" s="0" t="n">
        <v>0.01454</v>
      </c>
      <c r="O36" s="30"/>
      <c r="P36" s="30"/>
      <c r="Q36" s="0" t="n">
        <v>0.0363327314000797</v>
      </c>
      <c r="R36" s="0" t="str">
        <f aca="false">B36</f>
        <v>OKLAHOMA</v>
      </c>
      <c r="S36" s="33" t="s">
        <v>328</v>
      </c>
      <c r="T36" s="34" t="n">
        <v>828008</v>
      </c>
      <c r="U36" s="33" t="n">
        <v>375426</v>
      </c>
      <c r="V36" s="31" t="n">
        <v>452582</v>
      </c>
    </row>
    <row r="37" customFormat="false" ht="12.75" hidden="false" customHeight="false" outlineLevel="0" collapsed="false">
      <c r="A37" s="0" t="s">
        <v>329</v>
      </c>
      <c r="B37" s="0" t="s">
        <v>43</v>
      </c>
      <c r="C37" s="0" t="n">
        <v>0.00529904028492617</v>
      </c>
      <c r="D37" s="0" t="n">
        <f aca="false">LN(C37/(1-C37))</f>
        <v>-5.23491642314097</v>
      </c>
      <c r="E37" s="0" t="n">
        <v>0</v>
      </c>
      <c r="F37" s="1" t="n">
        <v>3140585</v>
      </c>
      <c r="G37" s="2" t="n">
        <v>0</v>
      </c>
      <c r="H37" s="2" t="n">
        <v>0.0372433830337473</v>
      </c>
      <c r="I37" s="2" t="n">
        <f aca="false">1-J37</f>
        <v>0.0211666342060599</v>
      </c>
      <c r="J37" s="0" t="n">
        <v>0.97883336579394</v>
      </c>
      <c r="K37" s="0" t="n">
        <v>0.00116172837920931</v>
      </c>
      <c r="L37" s="1" t="n">
        <v>96003</v>
      </c>
      <c r="M37" s="1" t="n">
        <v>32.7134047894337</v>
      </c>
      <c r="N37" s="0" t="n">
        <v>0.51837</v>
      </c>
      <c r="O37" s="30"/>
      <c r="P37" s="30"/>
      <c r="Q37" s="0" t="n">
        <v>0.00909807047819755</v>
      </c>
      <c r="R37" s="0" t="str">
        <f aca="false">B37</f>
        <v>OREGON</v>
      </c>
      <c r="S37" s="31" t="s">
        <v>330</v>
      </c>
      <c r="T37" s="32" t="n">
        <v>887786</v>
      </c>
      <c r="U37" s="31" t="n">
        <v>315752</v>
      </c>
      <c r="V37" s="31" t="n">
        <v>572034</v>
      </c>
    </row>
    <row r="38" customFormat="false" ht="12.75" hidden="false" customHeight="false" outlineLevel="0" collapsed="false">
      <c r="A38" s="0" t="s">
        <v>331</v>
      </c>
      <c r="B38" s="0" t="s">
        <v>44</v>
      </c>
      <c r="C38" s="0" t="n">
        <v>0.116977230877519</v>
      </c>
      <c r="D38" s="0" t="n">
        <f aca="false">LN(C38/(1-C38))</f>
        <v>-2.02137167839244</v>
      </c>
      <c r="E38" s="0" t="n">
        <v>469.3</v>
      </c>
      <c r="F38" s="1" t="n">
        <v>12071842</v>
      </c>
      <c r="G38" s="2" t="n">
        <v>0.224868231911835</v>
      </c>
      <c r="H38" s="2" t="n">
        <v>0.0341732303708947</v>
      </c>
      <c r="I38" s="2" t="n">
        <f aca="false">1-J38</f>
        <v>0.0427593939304231</v>
      </c>
      <c r="J38" s="0" t="n">
        <v>0.957240606069577</v>
      </c>
      <c r="K38" s="0" t="n">
        <v>0.00928214162993721</v>
      </c>
      <c r="L38" s="1" t="n">
        <v>44820</v>
      </c>
      <c r="M38" s="1" t="n">
        <v>269.34051762606</v>
      </c>
      <c r="N38" s="0" t="n">
        <v>0.02205</v>
      </c>
      <c r="O38" s="30"/>
      <c r="P38" s="30"/>
      <c r="Q38" s="0" t="n">
        <v>0.108702272032105</v>
      </c>
      <c r="R38" s="0" t="str">
        <f aca="false">B38</f>
        <v>PENNSYLVANIA</v>
      </c>
      <c r="S38" s="31" t="s">
        <v>332</v>
      </c>
      <c r="T38" s="32" t="n">
        <v>3153335</v>
      </c>
      <c r="U38" s="31" t="n">
        <v>1443354</v>
      </c>
      <c r="V38" s="31" t="n">
        <v>1709981</v>
      </c>
    </row>
    <row r="39" customFormat="false" ht="12.75" hidden="false" customHeight="false" outlineLevel="0" collapsed="false">
      <c r="A39" s="0" t="s">
        <v>333</v>
      </c>
      <c r="B39" s="0" t="s">
        <v>45</v>
      </c>
      <c r="C39" s="0" t="n">
        <v>0.0373661178404778</v>
      </c>
      <c r="D39" s="0" t="n">
        <f aca="false">LN(C39/(1-C39))</f>
        <v>-3.24890880112165</v>
      </c>
      <c r="E39" s="0" t="n">
        <v>0</v>
      </c>
      <c r="F39" s="1" t="n">
        <v>989794</v>
      </c>
      <c r="G39" s="2" t="n">
        <v>0</v>
      </c>
      <c r="H39" s="2" t="n">
        <v>0.0757652407576525</v>
      </c>
      <c r="I39" s="2" t="n">
        <f aca="false">1-J39</f>
        <v>0.118844543736755</v>
      </c>
      <c r="J39" s="0" t="n">
        <v>0.881155456263245</v>
      </c>
      <c r="K39" s="0" t="n">
        <v>0.0106874842481915</v>
      </c>
      <c r="L39" s="1" t="n">
        <v>1045</v>
      </c>
      <c r="M39" s="1" t="n">
        <v>947.171291866029</v>
      </c>
      <c r="N39" s="0" t="n">
        <v>0.00681</v>
      </c>
      <c r="O39" s="30"/>
      <c r="P39" s="30"/>
      <c r="Q39" s="0" t="n">
        <v>0.0346165862098814</v>
      </c>
      <c r="R39" s="0" t="str">
        <f aca="false">B39</f>
        <v>RHODE-ISLAND</v>
      </c>
      <c r="S39" s="31" t="s">
        <v>334</v>
      </c>
      <c r="T39" s="32" t="n">
        <v>290143</v>
      </c>
      <c r="U39" s="31" t="n">
        <v>200683</v>
      </c>
      <c r="V39" s="31" t="n">
        <v>89460</v>
      </c>
    </row>
    <row r="40" customFormat="false" ht="12.75" hidden="false" customHeight="false" outlineLevel="0" collapsed="false">
      <c r="A40" s="0" t="s">
        <v>335</v>
      </c>
      <c r="B40" s="0" t="s">
        <v>46</v>
      </c>
      <c r="C40" s="0" t="n">
        <v>0</v>
      </c>
      <c r="D40" s="0" t="e">
        <f aca="false">LN(C40/(1-C40))</f>
        <v>#VALUE!</v>
      </c>
      <c r="E40" s="0" t="n">
        <v>0</v>
      </c>
      <c r="F40" s="1" t="n">
        <v>3673287</v>
      </c>
      <c r="G40" s="2" t="n">
        <v>0</v>
      </c>
      <c r="H40" s="2" t="n">
        <v>0.0212156597627681</v>
      </c>
      <c r="I40" s="2" t="n">
        <f aca="false">1-J40</f>
        <v>0.0182349459979287</v>
      </c>
      <c r="J40" s="0" t="n">
        <v>0.981765054002071</v>
      </c>
      <c r="K40" s="0" t="n">
        <v>0.000400633278311205</v>
      </c>
      <c r="L40" s="1" t="n">
        <v>30111</v>
      </c>
      <c r="M40" s="1" t="n">
        <v>121.991531334064</v>
      </c>
      <c r="N40" s="0" t="n">
        <v>0.03782</v>
      </c>
      <c r="O40" s="30"/>
      <c r="P40" s="30"/>
      <c r="Q40" s="0" t="n">
        <v>-0.00241906277106673</v>
      </c>
      <c r="R40" s="0" t="str">
        <f aca="false">B40</f>
        <v>SOUTH-CAROLINA</v>
      </c>
      <c r="S40" s="33" t="s">
        <v>336</v>
      </c>
      <c r="T40" s="34" t="n">
        <v>668381</v>
      </c>
      <c r="U40" s="33" t="n">
        <v>380460</v>
      </c>
      <c r="V40" s="31" t="n">
        <v>287921</v>
      </c>
    </row>
    <row r="41" customFormat="false" ht="12.75" hidden="false" customHeight="false" outlineLevel="0" collapsed="false">
      <c r="A41" s="0" t="s">
        <v>337</v>
      </c>
      <c r="B41" s="0" t="s">
        <v>47</v>
      </c>
      <c r="C41" s="0" t="n">
        <v>0</v>
      </c>
      <c r="D41" s="0" t="e">
        <f aca="false">LN(C41/(1-C41))</f>
        <v>#VALUE!</v>
      </c>
      <c r="E41" s="0" t="n">
        <v>0</v>
      </c>
      <c r="F41" s="1" t="n">
        <v>729034</v>
      </c>
      <c r="G41" s="2" t="n">
        <v>0</v>
      </c>
      <c r="H41" s="2" t="n">
        <v>0.0295761623107812</v>
      </c>
      <c r="I41" s="2" t="n">
        <f aca="false">1-J41</f>
        <v>0.0401567596137732</v>
      </c>
      <c r="J41" s="0" t="n">
        <v>0.959843240386227</v>
      </c>
      <c r="K41" s="0" t="n">
        <v>0.00170802675817269</v>
      </c>
      <c r="L41" s="1" t="n">
        <v>75898</v>
      </c>
      <c r="M41" s="1" t="n">
        <v>9.60544414872592</v>
      </c>
      <c r="N41" s="0" t="n">
        <v>0.05487</v>
      </c>
      <c r="O41" s="30"/>
      <c r="P41" s="30"/>
      <c r="Q41" s="0" t="n">
        <v>-0.00662454220325811</v>
      </c>
      <c r="R41" s="0" t="str">
        <f aca="false">B41</f>
        <v>SOUTH-DAKOTA</v>
      </c>
      <c r="S41" s="31" t="s">
        <v>338</v>
      </c>
      <c r="T41" s="32" t="n">
        <v>285683</v>
      </c>
      <c r="U41" s="31" t="n">
        <v>187358</v>
      </c>
      <c r="V41" s="31" t="n">
        <v>98325</v>
      </c>
    </row>
    <row r="42" customFormat="false" ht="12.75" hidden="false" customHeight="false" outlineLevel="0" collapsed="false">
      <c r="A42" s="0" t="s">
        <v>339</v>
      </c>
      <c r="B42" s="0" t="s">
        <v>48</v>
      </c>
      <c r="C42" s="0" t="n">
        <v>5.80051647196015E-005</v>
      </c>
      <c r="D42" s="0" t="n">
        <f aca="false">LN(C42/(1-C42))</f>
        <v>-9.75492049764553</v>
      </c>
      <c r="E42" s="0" t="n">
        <v>0</v>
      </c>
      <c r="F42" s="1" t="n">
        <v>5256051</v>
      </c>
      <c r="G42" s="2" t="n">
        <v>0</v>
      </c>
      <c r="H42" s="2" t="n">
        <v>0.0458630868796215</v>
      </c>
      <c r="I42" s="2" t="n">
        <f aca="false">1-J42</f>
        <v>0.0329980660228999</v>
      </c>
      <c r="J42" s="0" t="n">
        <v>0.9670019339771</v>
      </c>
      <c r="K42" s="0" t="n">
        <v>0.000736567990101261</v>
      </c>
      <c r="L42" s="1" t="n">
        <v>41220</v>
      </c>
      <c r="M42" s="1" t="n">
        <v>127.512154294032</v>
      </c>
      <c r="N42" s="0" t="n">
        <v>0.05741</v>
      </c>
      <c r="O42" s="30"/>
      <c r="P42" s="30"/>
      <c r="Q42" s="0" t="n">
        <v>0.0244926535687381</v>
      </c>
      <c r="R42" s="0" t="str">
        <f aca="false">B42</f>
        <v>TENNESSEE</v>
      </c>
      <c r="S42" s="31" t="s">
        <v>340</v>
      </c>
      <c r="T42" s="32" t="n">
        <v>1229518</v>
      </c>
      <c r="U42" s="31" t="n">
        <v>609410</v>
      </c>
      <c r="V42" s="31" t="n">
        <v>620108</v>
      </c>
    </row>
    <row r="43" customFormat="false" ht="12.75" hidden="false" customHeight="false" outlineLevel="0" collapsed="false">
      <c r="A43" s="0" t="s">
        <v>341</v>
      </c>
      <c r="B43" s="0" t="s">
        <v>49</v>
      </c>
      <c r="C43" s="0" t="n">
        <v>0.0247474685546935</v>
      </c>
      <c r="D43" s="0" t="n">
        <f aca="false">LN(C43/(1-C43))</f>
        <v>-3.67397324090676</v>
      </c>
      <c r="E43" s="0" t="n">
        <v>30.1</v>
      </c>
      <c r="F43" s="1" t="n">
        <v>18723991</v>
      </c>
      <c r="G43" s="2" t="n">
        <v>0.006727760393384</v>
      </c>
      <c r="H43" s="2" t="n">
        <v>0.00910524272123237</v>
      </c>
      <c r="I43" s="2" t="n">
        <f aca="false">1-J43</f>
        <v>0.00799104065061407</v>
      </c>
      <c r="J43" s="0" t="n">
        <v>0.992008959349386</v>
      </c>
      <c r="K43" s="0" t="n">
        <v>0.00124266236069874</v>
      </c>
      <c r="L43" s="1" t="n">
        <v>261914</v>
      </c>
      <c r="M43" s="1" t="n">
        <v>71.4890803851646</v>
      </c>
      <c r="N43" s="0" t="n">
        <v>0.01395</v>
      </c>
      <c r="O43" s="30"/>
      <c r="P43" s="30"/>
      <c r="Q43" s="0" t="n">
        <v>0.0470044539539321</v>
      </c>
      <c r="R43" s="0" t="str">
        <f aca="false">B43</f>
        <v>TEXAS</v>
      </c>
      <c r="S43" s="31" t="s">
        <v>342</v>
      </c>
      <c r="T43" s="32" t="n">
        <v>3592957</v>
      </c>
      <c r="U43" s="31" t="n">
        <v>1803125</v>
      </c>
      <c r="V43" s="31" t="n">
        <v>1789832</v>
      </c>
    </row>
    <row r="44" customFormat="false" ht="12.75" hidden="false" customHeight="false" outlineLevel="0" collapsed="false">
      <c r="A44" s="0" t="s">
        <v>343</v>
      </c>
      <c r="B44" s="0" t="s">
        <v>50</v>
      </c>
      <c r="C44" s="0" t="n">
        <v>0.000622986197117817</v>
      </c>
      <c r="D44" s="0" t="n">
        <f aca="false">LN(C44/(1-C44))</f>
        <v>-7.38036301459773</v>
      </c>
      <c r="E44" s="0" t="n">
        <v>0</v>
      </c>
      <c r="F44" s="1" t="n">
        <v>1951408</v>
      </c>
      <c r="G44" s="2" t="n">
        <v>0</v>
      </c>
      <c r="H44" s="2" t="n">
        <v>0.00991343868813166</v>
      </c>
      <c r="I44" s="2" t="n">
        <f aca="false">1-J44</f>
        <v>0.0133017559790412</v>
      </c>
      <c r="J44" s="0" t="n">
        <v>0.986698244020959</v>
      </c>
      <c r="K44" s="0" t="n">
        <v>0.000803473578673719</v>
      </c>
      <c r="L44" s="1" t="n">
        <v>82168</v>
      </c>
      <c r="M44" s="1" t="n">
        <v>23.7490020445916</v>
      </c>
      <c r="N44" s="0" t="n">
        <v>0.63112</v>
      </c>
      <c r="O44" s="30"/>
      <c r="P44" s="30"/>
      <c r="Q44" s="0" t="n">
        <v>-0.0185751659229495</v>
      </c>
      <c r="R44" s="0" t="str">
        <f aca="false">B44</f>
        <v>UTAH</v>
      </c>
      <c r="S44" s="33" t="s">
        <v>344</v>
      </c>
      <c r="T44" s="34" t="n">
        <v>431264</v>
      </c>
      <c r="U44" s="33" t="n">
        <v>232600</v>
      </c>
      <c r="V44" s="31" t="n">
        <v>198664</v>
      </c>
    </row>
    <row r="45" customFormat="false" ht="12.75" hidden="false" customHeight="false" outlineLevel="0" collapsed="false">
      <c r="A45" s="0" t="s">
        <v>345</v>
      </c>
      <c r="B45" s="0" t="s">
        <v>51</v>
      </c>
      <c r="C45" s="0" t="n">
        <v>0</v>
      </c>
      <c r="D45" s="0" t="e">
        <f aca="false">LN(C45/(1-C45))</f>
        <v>#VALUE!</v>
      </c>
      <c r="E45" s="0" t="n">
        <v>0</v>
      </c>
      <c r="F45" s="1" t="n">
        <v>584771</v>
      </c>
      <c r="G45" s="2" t="n">
        <v>0</v>
      </c>
      <c r="H45" s="2" t="n">
        <v>0.0494956071368481</v>
      </c>
      <c r="I45" s="2" t="n">
        <f aca="false">1-J45</f>
        <v>0.0583507567879001</v>
      </c>
      <c r="J45" s="0" t="n">
        <v>0.9416492432121</v>
      </c>
      <c r="K45" s="0" t="n">
        <v>0.0085269547556729</v>
      </c>
      <c r="L45" s="1" t="n">
        <v>9249</v>
      </c>
      <c r="M45" s="1" t="n">
        <v>63.2253216563953</v>
      </c>
      <c r="N45" s="0" t="n">
        <v>0.06407</v>
      </c>
      <c r="O45" s="30"/>
      <c r="P45" s="30"/>
      <c r="Q45" s="0" t="n">
        <v>0.0101466876102167</v>
      </c>
      <c r="R45" s="0" t="str">
        <f aca="false">B45</f>
        <v>VERMONT</v>
      </c>
      <c r="S45" s="31" t="s">
        <v>346</v>
      </c>
      <c r="T45" s="32" t="n">
        <v>194205</v>
      </c>
      <c r="U45" s="31" t="n">
        <v>83084</v>
      </c>
      <c r="V45" s="31" t="n">
        <v>111121</v>
      </c>
    </row>
    <row r="46" customFormat="false" ht="12.75" hidden="false" customHeight="false" outlineLevel="0" collapsed="false">
      <c r="A46" s="0" t="s">
        <v>347</v>
      </c>
      <c r="B46" s="0" t="s">
        <v>52</v>
      </c>
      <c r="C46" s="0" t="n">
        <v>0.0465283677535952</v>
      </c>
      <c r="D46" s="0" t="n">
        <f aca="false">LN(C46/(1-C46))</f>
        <v>-3.02004748761433</v>
      </c>
      <c r="E46" s="0" t="n">
        <v>34.6</v>
      </c>
      <c r="F46" s="1" t="n">
        <v>6618358</v>
      </c>
      <c r="G46" s="2" t="n">
        <v>0.102064896755162</v>
      </c>
      <c r="H46" s="2" t="n">
        <v>0.0646098010772455</v>
      </c>
      <c r="I46" s="2" t="n">
        <f aca="false">1-J46</f>
        <v>0.092933458258515</v>
      </c>
      <c r="J46" s="0" t="n">
        <v>0.907066541741485</v>
      </c>
      <c r="K46" s="0" t="n">
        <v>0.003838083401177</v>
      </c>
      <c r="L46" s="1" t="n">
        <v>39598</v>
      </c>
      <c r="M46" s="1" t="n">
        <v>167.138693873428</v>
      </c>
      <c r="N46" s="0" t="n">
        <v>0.0939</v>
      </c>
      <c r="O46" s="30"/>
      <c r="P46" s="30"/>
      <c r="Q46" s="0" t="n">
        <v>0.0761447498167308</v>
      </c>
      <c r="R46" s="0" t="str">
        <f aca="false">B46</f>
        <v>VIRGINIA</v>
      </c>
      <c r="S46" s="31" t="s">
        <v>348</v>
      </c>
      <c r="T46" s="32" t="n">
        <v>2107426</v>
      </c>
      <c r="U46" s="31" t="n">
        <v>908891</v>
      </c>
      <c r="V46" s="31" t="n">
        <v>1198535</v>
      </c>
    </row>
    <row r="47" customFormat="false" ht="12.75" hidden="false" customHeight="false" outlineLevel="0" collapsed="false">
      <c r="A47" s="0" t="s">
        <v>349</v>
      </c>
      <c r="B47" s="0" t="s">
        <v>53</v>
      </c>
      <c r="C47" s="0" t="n">
        <v>0.0414276298865866</v>
      </c>
      <c r="D47" s="0" t="n">
        <f aca="false">LN(C47/(1-C47))</f>
        <v>-3.14149701635304</v>
      </c>
      <c r="E47" s="0" t="n">
        <v>0</v>
      </c>
      <c r="F47" s="1" t="n">
        <v>5430940</v>
      </c>
      <c r="G47" s="2" t="n">
        <v>0</v>
      </c>
      <c r="H47" s="2" t="n">
        <v>0.0152694227003708</v>
      </c>
      <c r="I47" s="2" t="n">
        <f aca="false">1-J47</f>
        <v>0.0270377915926971</v>
      </c>
      <c r="J47" s="0" t="n">
        <v>0.972962208407303</v>
      </c>
      <c r="K47" s="0" t="n">
        <v>0.0014709697089016</v>
      </c>
      <c r="L47" s="1" t="n">
        <v>66582</v>
      </c>
      <c r="M47" s="1" t="n">
        <v>81.5676909675288</v>
      </c>
      <c r="N47" s="0" t="n">
        <v>0.24061</v>
      </c>
      <c r="O47" s="30"/>
      <c r="P47" s="30"/>
      <c r="Q47" s="0" t="n">
        <v>-0.000715600837865596</v>
      </c>
      <c r="R47" s="0" t="str">
        <f aca="false">B47</f>
        <v>WASHINGTON</v>
      </c>
      <c r="S47" s="31" t="s">
        <v>350</v>
      </c>
      <c r="T47" s="32" t="n">
        <v>1908715</v>
      </c>
      <c r="U47" s="31" t="n">
        <v>768337</v>
      </c>
      <c r="V47" s="31" t="n">
        <v>1140378</v>
      </c>
    </row>
    <row r="48" customFormat="false" ht="12.75" hidden="false" customHeight="false" outlineLevel="0" collapsed="false">
      <c r="A48" s="0" t="s">
        <v>351</v>
      </c>
      <c r="B48" s="0" t="s">
        <v>54</v>
      </c>
      <c r="C48" s="0" t="n">
        <v>0.0657245663242686</v>
      </c>
      <c r="D48" s="0" t="n">
        <f aca="false">LN(C48/(1-C48))</f>
        <v>-2.65429851936771</v>
      </c>
      <c r="E48" s="0" t="n">
        <v>86.3</v>
      </c>
      <c r="F48" s="1" t="n">
        <v>1828140</v>
      </c>
      <c r="G48" s="2" t="n">
        <v>0.154107142857143</v>
      </c>
      <c r="H48" s="2" t="n">
        <v>0.083450810945235</v>
      </c>
      <c r="I48" s="2" t="n">
        <f aca="false">1-J48</f>
        <v>0.0971717626381163</v>
      </c>
      <c r="J48" s="0" t="n">
        <v>0.902828237361884</v>
      </c>
      <c r="K48" s="0" t="n">
        <v>0.00511630744144364</v>
      </c>
      <c r="L48" s="1" t="n">
        <v>24087</v>
      </c>
      <c r="M48" s="1" t="n">
        <v>75.8973720264043</v>
      </c>
      <c r="N48" s="0" t="n">
        <v>0.07007</v>
      </c>
      <c r="O48" s="30"/>
      <c r="P48" s="30"/>
      <c r="Q48" s="0" t="n">
        <v>0.0893553791790003</v>
      </c>
      <c r="R48" s="0" t="str">
        <f aca="false">B48</f>
        <v>WEST-VIRGINIA</v>
      </c>
      <c r="S48" s="33" t="s">
        <v>352</v>
      </c>
      <c r="T48" s="34" t="n">
        <v>780879</v>
      </c>
      <c r="U48" s="33" t="n">
        <v>457244</v>
      </c>
      <c r="V48" s="31" t="n">
        <v>323635</v>
      </c>
    </row>
    <row r="49" customFormat="false" ht="12.75" hidden="false" customHeight="false" outlineLevel="0" collapsed="false">
      <c r="A49" s="0" t="s">
        <v>353</v>
      </c>
      <c r="B49" s="0" t="s">
        <v>55</v>
      </c>
      <c r="C49" s="0" t="n">
        <v>1.13332512302244E-005</v>
      </c>
      <c r="D49" s="0" t="n">
        <f aca="false">LN(C49/(1-C49))</f>
        <v>-11.387758233119</v>
      </c>
      <c r="E49" s="0" t="n">
        <v>0</v>
      </c>
      <c r="F49" s="1" t="n">
        <v>5122871</v>
      </c>
      <c r="G49" s="2" t="n">
        <v>0</v>
      </c>
      <c r="H49" s="2" t="n">
        <v>0.0137079087829872</v>
      </c>
      <c r="I49" s="2" t="n">
        <f aca="false">1-J49</f>
        <v>0.0321774975235133</v>
      </c>
      <c r="J49" s="0" t="n">
        <v>0.967822502476487</v>
      </c>
      <c r="K49" s="0" t="n">
        <v>0.00157985380119993</v>
      </c>
      <c r="L49" s="1" t="n">
        <v>54314</v>
      </c>
      <c r="M49" s="1" t="n">
        <v>94.3195308760172</v>
      </c>
      <c r="N49" s="0" t="n">
        <v>0.05291</v>
      </c>
      <c r="O49" s="30"/>
      <c r="P49" s="30"/>
      <c r="Q49" s="0" t="n">
        <v>-0.00321640156566189</v>
      </c>
      <c r="R49" s="0" t="str">
        <f aca="false">B49</f>
        <v>WISCONSIN</v>
      </c>
      <c r="S49" s="31" t="s">
        <v>354</v>
      </c>
      <c r="T49" s="32" t="n">
        <v>1251993</v>
      </c>
      <c r="U49" s="31" t="n">
        <v>631874</v>
      </c>
      <c r="V49" s="31" t="n">
        <v>620119</v>
      </c>
    </row>
    <row r="50" customFormat="false" ht="12.75" hidden="false" customHeight="false" outlineLevel="0" collapsed="false">
      <c r="A50" s="0" t="s">
        <v>355</v>
      </c>
      <c r="B50" s="0" t="s">
        <v>56</v>
      </c>
      <c r="C50" s="0" t="n">
        <v>0</v>
      </c>
      <c r="D50" s="0" t="e">
        <f aca="false">LN(C50/(1-C50))</f>
        <v>#VALUE!</v>
      </c>
      <c r="E50" s="0" t="n">
        <v>0</v>
      </c>
      <c r="F50" s="1" t="n">
        <v>480184</v>
      </c>
      <c r="G50" s="2" t="n">
        <v>0</v>
      </c>
      <c r="H50" s="2" t="n">
        <v>0.0256209952218234</v>
      </c>
      <c r="I50" s="2" t="n">
        <f aca="false">1-J50</f>
        <v>0.0200604415996298</v>
      </c>
      <c r="J50" s="0" t="n">
        <v>0.97993955840037</v>
      </c>
      <c r="K50" s="0" t="n">
        <v>0.000674404947384069</v>
      </c>
      <c r="L50" s="1" t="n">
        <v>97105</v>
      </c>
      <c r="M50" s="1" t="n">
        <v>4.94499768292055</v>
      </c>
      <c r="N50" s="0" t="n">
        <v>0.48452</v>
      </c>
      <c r="O50" s="30"/>
      <c r="P50" s="30"/>
      <c r="Q50" s="0" t="n">
        <v>-0.010924128666663</v>
      </c>
      <c r="R50" s="0" t="str">
        <f aca="false">B50</f>
        <v>WYOMING</v>
      </c>
      <c r="S50" s="31" t="s">
        <v>356</v>
      </c>
      <c r="T50" s="32" t="n">
        <v>271998</v>
      </c>
      <c r="U50" s="31" t="n">
        <v>160300</v>
      </c>
      <c r="V50" s="31" t="n">
        <v>111698</v>
      </c>
    </row>
    <row r="51" customFormat="false" ht="12.75" hidden="false" customHeight="false" outlineLevel="0" collapsed="false">
      <c r="G51" s="2" t="n">
        <v>0</v>
      </c>
      <c r="R51" s="0" t="n">
        <f aca="false">B51</f>
        <v>0</v>
      </c>
    </row>
    <row r="52" customFormat="false" ht="12.75" hidden="false" customHeight="false" outlineLevel="0" collapsed="false">
      <c r="G52" s="2" t="n">
        <v>0</v>
      </c>
      <c r="R52" s="0" t="n">
        <f aca="false">B52</f>
        <v>0</v>
      </c>
    </row>
    <row r="53" customFormat="false" ht="13.5" hidden="false" customHeight="false" outlineLevel="0" collapsed="false">
      <c r="G53" s="2" t="n">
        <v>0</v>
      </c>
      <c r="U53" s="35"/>
      <c r="V53" s="36"/>
    </row>
    <row r="54" customFormat="false" ht="13.5" hidden="false" customHeight="false" outlineLevel="0" collapsed="false">
      <c r="G54" s="2" t="n">
        <v>0</v>
      </c>
      <c r="U54" s="37" t="n">
        <v>32500624</v>
      </c>
      <c r="V54" s="36"/>
    </row>
    <row r="55" customFormat="false" ht="12.75" hidden="false" customHeight="false" outlineLevel="0" collapsed="false">
      <c r="G55" s="2" t="n">
        <v>0</v>
      </c>
    </row>
    <row r="56" customFormat="false" ht="12.75" hidden="false" customHeight="false" outlineLevel="0" collapsed="false">
      <c r="G56" s="2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5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0.809253939700147</v>
      </c>
    </row>
    <row r="5" customFormat="false" ht="12.75" hidden="false" customHeight="false" outlineLevel="0" collapsed="false">
      <c r="A5" s="6" t="s">
        <v>60</v>
      </c>
      <c r="B5" s="6" t="n">
        <v>0.654891938920209</v>
      </c>
    </row>
    <row r="6" customFormat="false" ht="12.75" hidden="false" customHeight="false" outlineLevel="0" collapsed="false">
      <c r="A6" s="6" t="s">
        <v>61</v>
      </c>
      <c r="B6" s="6" t="n">
        <v>0.614763094608606</v>
      </c>
    </row>
    <row r="7" customFormat="false" ht="12.75" hidden="false" customHeight="false" outlineLevel="0" collapsed="false">
      <c r="A7" s="6" t="s">
        <v>62</v>
      </c>
      <c r="B7" s="6" t="n">
        <v>0.0452961591960626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5</v>
      </c>
      <c r="C12" s="6" t="n">
        <v>0.167419389272787</v>
      </c>
      <c r="D12" s="6" t="n">
        <v>0.0334838778545574</v>
      </c>
      <c r="E12" s="6" t="n">
        <v>16.3197308607974</v>
      </c>
      <c r="F12" s="6" t="n">
        <v>5.21456985202656E-009</v>
      </c>
    </row>
    <row r="13" customFormat="false" ht="12.75" hidden="false" customHeight="false" outlineLevel="0" collapsed="false">
      <c r="A13" s="6" t="s">
        <v>71</v>
      </c>
      <c r="B13" s="6" t="n">
        <v>43</v>
      </c>
      <c r="C13" s="6" t="n">
        <v>0.088224907630347</v>
      </c>
      <c r="D13" s="6" t="n">
        <v>0.00205174203791505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0.255644296903134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-0.00245970211120241</v>
      </c>
      <c r="C17" s="6" t="n">
        <v>0</v>
      </c>
      <c r="D17" s="6" t="n">
        <v>65535</v>
      </c>
      <c r="E17" s="6" t="e">
        <f aca="false">#REF!</f>
        <v>#NUM!</v>
      </c>
      <c r="F17" s="6" t="n">
        <v>-0.00245970211120241</v>
      </c>
      <c r="G17" s="6" t="n">
        <v>-0.00245970211120241</v>
      </c>
      <c r="H17" s="6" t="n">
        <v>-0.00245970211120241</v>
      </c>
      <c r="I17" s="6" t="n">
        <v>-0.00245970211120241</v>
      </c>
    </row>
    <row r="18" customFormat="false" ht="12.75" hidden="false" customHeight="false" outlineLevel="0" collapsed="false">
      <c r="A18" s="6" t="s">
        <v>84</v>
      </c>
      <c r="B18" s="6" t="n">
        <v>2.73613573265453E-010</v>
      </c>
      <c r="C18" s="6" t="n">
        <v>0</v>
      </c>
      <c r="D18" s="6" t="n">
        <v>65535</v>
      </c>
      <c r="E18" s="6" t="e">
        <f aca="false">#REF!</f>
        <v>#NUM!</v>
      </c>
      <c r="F18" s="6" t="n">
        <v>2.73613573265453E-010</v>
      </c>
      <c r="G18" s="6" t="n">
        <v>2.73613573265453E-010</v>
      </c>
      <c r="H18" s="6" t="n">
        <v>2.73613573265453E-010</v>
      </c>
      <c r="I18" s="6" t="n">
        <v>2.73613573265453E-010</v>
      </c>
    </row>
    <row r="19" customFormat="false" ht="12.75" hidden="false" customHeight="false" outlineLevel="0" collapsed="false">
      <c r="A19" s="6" t="s">
        <v>105</v>
      </c>
      <c r="B19" s="6" t="n">
        <v>0.0213846465111953</v>
      </c>
      <c r="C19" s="6" t="n">
        <v>0</v>
      </c>
      <c r="D19" s="6" t="n">
        <v>65535</v>
      </c>
      <c r="E19" s="6" t="e">
        <f aca="false">#REF!</f>
        <v>#NUM!</v>
      </c>
      <c r="F19" s="6" t="n">
        <v>0.0213846465111953</v>
      </c>
      <c r="G19" s="6" t="n">
        <v>0.0213846465111953</v>
      </c>
      <c r="H19" s="6" t="n">
        <v>0.0213846465111953</v>
      </c>
      <c r="I19" s="6" t="n">
        <v>0.0213846465111953</v>
      </c>
    </row>
    <row r="20" customFormat="false" ht="12.75" hidden="false" customHeight="false" outlineLevel="0" collapsed="false">
      <c r="A20" s="6" t="s">
        <v>100</v>
      </c>
      <c r="B20" s="6" t="n">
        <v>0.0604200190101913</v>
      </c>
      <c r="C20" s="6" t="n">
        <v>0</v>
      </c>
      <c r="D20" s="6" t="n">
        <v>65535</v>
      </c>
      <c r="E20" s="6" t="e">
        <f aca="false">#REF!</f>
        <v>#NUM!</v>
      </c>
      <c r="F20" s="6" t="n">
        <v>0.0604200190101913</v>
      </c>
      <c r="G20" s="6" t="n">
        <v>0.0604200190101913</v>
      </c>
      <c r="H20" s="6" t="n">
        <v>0.0604200190101913</v>
      </c>
      <c r="I20" s="6" t="n">
        <v>0.0604200190101913</v>
      </c>
    </row>
    <row r="21" customFormat="false" ht="12.75" hidden="false" customHeight="false" outlineLevel="0" collapsed="false">
      <c r="A21" s="6" t="s">
        <v>143</v>
      </c>
      <c r="B21" s="6" t="n">
        <v>6419.76945158993</v>
      </c>
      <c r="C21" s="6" t="n">
        <v>0</v>
      </c>
      <c r="D21" s="6" t="n">
        <v>65535</v>
      </c>
      <c r="E21" s="6" t="e">
        <f aca="false">#REF!</f>
        <v>#NUM!</v>
      </c>
      <c r="F21" s="6" t="n">
        <v>6419.76945158993</v>
      </c>
      <c r="G21" s="6" t="n">
        <v>6419.76945158993</v>
      </c>
      <c r="H21" s="6" t="n">
        <v>6419.76945158993</v>
      </c>
      <c r="I21" s="6" t="n">
        <v>6419.76945158993</v>
      </c>
    </row>
    <row r="22" customFormat="false" ht="13.5" hidden="false" customHeight="false" outlineLevel="0" collapsed="false">
      <c r="A22" s="7" t="s">
        <v>357</v>
      </c>
      <c r="B22" s="7" t="n">
        <v>0.928571428571429</v>
      </c>
      <c r="C22" s="7" t="n">
        <v>0</v>
      </c>
      <c r="D22" s="7" t="n">
        <v>65535</v>
      </c>
      <c r="E22" s="7" t="e">
        <f aca="false">#REF!</f>
        <v>#NUM!</v>
      </c>
      <c r="F22" s="7" t="n">
        <v>0.928571428571429</v>
      </c>
      <c r="G22" s="7" t="n">
        <v>0.928571428571429</v>
      </c>
      <c r="H22" s="7" t="n">
        <v>0.928571428571429</v>
      </c>
      <c r="I22" s="7" t="n">
        <v>0.928571428571429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6.56"/>
  </cols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0.814863452180333</v>
      </c>
    </row>
    <row r="5" customFormat="false" ht="12.75" hidden="false" customHeight="false" outlineLevel="0" collapsed="false">
      <c r="A5" s="6" t="s">
        <v>60</v>
      </c>
      <c r="B5" s="6" t="n">
        <v>0.664002445699249</v>
      </c>
    </row>
    <row r="6" customFormat="false" ht="12.75" hidden="false" customHeight="false" outlineLevel="0" collapsed="false">
      <c r="A6" s="6" t="s">
        <v>61</v>
      </c>
      <c r="B6" s="6" t="n">
        <v>0.624932962641023</v>
      </c>
    </row>
    <row r="7" customFormat="false" ht="12.75" hidden="false" customHeight="false" outlineLevel="0" collapsed="false">
      <c r="A7" s="6" t="s">
        <v>62</v>
      </c>
      <c r="B7" s="6" t="n">
        <v>0.0446942737423695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5</v>
      </c>
      <c r="C12" s="6" t="n">
        <v>0.169748438372746</v>
      </c>
      <c r="D12" s="6" t="n">
        <v>0.0339496876745492</v>
      </c>
      <c r="E12" s="6" t="n">
        <v>16.9954244009233</v>
      </c>
      <c r="F12" s="6" t="n">
        <v>2.99096570953499E-009</v>
      </c>
    </row>
    <row r="13" customFormat="false" ht="12.75" hidden="false" customHeight="false" outlineLevel="0" collapsed="false">
      <c r="A13" s="6" t="s">
        <v>71</v>
      </c>
      <c r="B13" s="6" t="n">
        <v>43</v>
      </c>
      <c r="C13" s="6" t="n">
        <v>0.085895858530388</v>
      </c>
      <c r="D13" s="6" t="n">
        <v>0.00199757810535786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0.255644296903134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-0.0627205007261514</v>
      </c>
      <c r="C17" s="6" t="n">
        <v>0.0297990161158058</v>
      </c>
      <c r="D17" s="6" t="n">
        <v>-2.10478428154826</v>
      </c>
      <c r="E17" s="6" t="n">
        <v>0.0411913953535033</v>
      </c>
      <c r="F17" s="6" t="n">
        <v>-0.122815902803378</v>
      </c>
      <c r="G17" s="6" t="n">
        <v>-0.00262509864892446</v>
      </c>
      <c r="H17" s="6" t="n">
        <v>-0.122815902803378</v>
      </c>
      <c r="I17" s="6" t="n">
        <v>-0.00262509864892446</v>
      </c>
    </row>
    <row r="18" customFormat="false" ht="12.75" hidden="false" customHeight="false" outlineLevel="0" collapsed="false">
      <c r="A18" s="6" t="s">
        <v>84</v>
      </c>
      <c r="B18" s="6" t="n">
        <v>4.41646857751374E-009</v>
      </c>
      <c r="C18" s="6" t="n">
        <v>1.31322916850236E-009</v>
      </c>
      <c r="D18" s="6" t="n">
        <v>3.36306006860205</v>
      </c>
      <c r="E18" s="6" t="n">
        <v>0.00162854738081192</v>
      </c>
      <c r="F18" s="6" t="n">
        <v>1.76809137626677E-009</v>
      </c>
      <c r="G18" s="6" t="n">
        <v>7.06484577876072E-009</v>
      </c>
      <c r="H18" s="6" t="n">
        <v>1.76809137626677E-009</v>
      </c>
      <c r="I18" s="6" t="n">
        <v>7.06484577876072E-009</v>
      </c>
    </row>
    <row r="19" customFormat="false" ht="12.75" hidden="false" customHeight="false" outlineLevel="0" collapsed="false">
      <c r="A19" s="6" t="s">
        <v>105</v>
      </c>
      <c r="B19" s="6" t="n">
        <v>0.291360837167969</v>
      </c>
      <c r="C19" s="6" t="n">
        <v>0.0727815194202956</v>
      </c>
      <c r="D19" s="6" t="n">
        <v>4.00322553704095</v>
      </c>
      <c r="E19" s="6" t="n">
        <v>0.000242662456773793</v>
      </c>
      <c r="F19" s="6" t="n">
        <v>0.144583015499078</v>
      </c>
      <c r="G19" s="6" t="n">
        <v>0.43813865883686</v>
      </c>
      <c r="H19" s="6" t="n">
        <v>0.144583015499078</v>
      </c>
      <c r="I19" s="6" t="n">
        <v>0.43813865883686</v>
      </c>
    </row>
    <row r="20" customFormat="false" ht="12.75" hidden="false" customHeight="false" outlineLevel="0" collapsed="false">
      <c r="A20" s="6" t="s">
        <v>100</v>
      </c>
      <c r="B20" s="6" t="n">
        <v>0.722229397672403</v>
      </c>
      <c r="C20" s="6" t="n">
        <v>0.310596118217496</v>
      </c>
      <c r="D20" s="6" t="n">
        <v>2.32530078552578</v>
      </c>
      <c r="E20" s="6" t="n">
        <v>0.024842427137755</v>
      </c>
      <c r="F20" s="6" t="n">
        <v>0.0958530590923543</v>
      </c>
      <c r="G20" s="6" t="n">
        <v>1.34860573625245</v>
      </c>
      <c r="H20" s="6" t="n">
        <v>0.0958530590923543</v>
      </c>
      <c r="I20" s="6" t="n">
        <v>1.34860573625245</v>
      </c>
    </row>
    <row r="21" customFormat="false" ht="12.75" hidden="false" customHeight="false" outlineLevel="0" collapsed="false">
      <c r="A21" s="6" t="s">
        <v>143</v>
      </c>
      <c r="B21" s="6" t="n">
        <v>100094.931320565</v>
      </c>
      <c r="C21" s="6" t="n">
        <v>53428.1803389098</v>
      </c>
      <c r="D21" s="6" t="n">
        <v>1.87344825681195</v>
      </c>
      <c r="E21" s="6" t="n">
        <v>0.0678134293568465</v>
      </c>
      <c r="F21" s="6" t="n">
        <v>-7653.18919601529</v>
      </c>
      <c r="G21" s="6" t="n">
        <v>207843.051837146</v>
      </c>
      <c r="H21" s="6" t="n">
        <v>-7653.18919601529</v>
      </c>
      <c r="I21" s="6" t="n">
        <v>207843.051837146</v>
      </c>
    </row>
    <row r="22" customFormat="false" ht="13.5" hidden="false" customHeight="false" outlineLevel="0" collapsed="false">
      <c r="A22" s="7" t="s">
        <v>358</v>
      </c>
      <c r="B22" s="7" t="n">
        <v>0.0998200792851454</v>
      </c>
      <c r="C22" s="7" t="n">
        <v>0.0924443712493923</v>
      </c>
      <c r="D22" s="7" t="n">
        <v>1.0797853664433</v>
      </c>
      <c r="E22" s="7" t="n">
        <v>0.286257250868089</v>
      </c>
      <c r="F22" s="7" t="n">
        <v>-0.0866116350512871</v>
      </c>
      <c r="G22" s="7" t="n">
        <v>0.286251793621578</v>
      </c>
      <c r="H22" s="7" t="n">
        <v>-0.0866116350512871</v>
      </c>
      <c r="I22" s="7" t="n">
        <v>0.286251793621578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0.813554730145588</v>
      </c>
    </row>
    <row r="5" customFormat="false" ht="12.75" hidden="false" customHeight="false" outlineLevel="0" collapsed="false">
      <c r="A5" s="6" t="s">
        <v>60</v>
      </c>
      <c r="B5" s="6" t="n">
        <v>0.66187129894226</v>
      </c>
    </row>
    <row r="6" customFormat="false" ht="12.75" hidden="false" customHeight="false" outlineLevel="0" collapsed="false">
      <c r="A6" s="6" t="s">
        <v>61</v>
      </c>
      <c r="B6" s="6" t="n">
        <v>0.622554008121593</v>
      </c>
    </row>
    <row r="7" customFormat="false" ht="12.75" hidden="false" customHeight="false" outlineLevel="0" collapsed="false">
      <c r="A7" s="6" t="s">
        <v>62</v>
      </c>
      <c r="B7" s="6" t="n">
        <v>0.0448357918810086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5</v>
      </c>
      <c r="C12" s="6" t="n">
        <v>0.169203622858458</v>
      </c>
      <c r="D12" s="6" t="n">
        <v>0.0338407245716916</v>
      </c>
      <c r="E12" s="6" t="n">
        <v>16.8341023790567</v>
      </c>
      <c r="F12" s="6" t="n">
        <v>3.41108984651444E-009</v>
      </c>
    </row>
    <row r="13" customFormat="false" ht="12.75" hidden="false" customHeight="false" outlineLevel="0" collapsed="false">
      <c r="A13" s="6" t="s">
        <v>71</v>
      </c>
      <c r="B13" s="6" t="n">
        <v>43</v>
      </c>
      <c r="C13" s="6" t="n">
        <v>0.0864406740446759</v>
      </c>
      <c r="D13" s="6" t="n">
        <v>0.00201024823359711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0.255644296903134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-0.0579349693560267</v>
      </c>
      <c r="C17" s="6" t="n">
        <v>0.0287273047032889</v>
      </c>
      <c r="D17" s="6" t="n">
        <v>-2.01672137203299</v>
      </c>
      <c r="E17" s="6" t="n">
        <v>0.0499968282551239</v>
      </c>
      <c r="F17" s="6" t="n">
        <v>-0.115869060872003</v>
      </c>
      <c r="G17" s="6" t="n">
        <v>-8.77840050053647E-007</v>
      </c>
      <c r="H17" s="6" t="n">
        <v>-0.115869060872003</v>
      </c>
      <c r="I17" s="6" t="n">
        <v>-8.77840050053647E-007</v>
      </c>
    </row>
    <row r="18" customFormat="false" ht="12.75" hidden="false" customHeight="false" outlineLevel="0" collapsed="false">
      <c r="A18" s="6" t="s">
        <v>84</v>
      </c>
      <c r="B18" s="6" t="n">
        <v>4.1903996357442E-009</v>
      </c>
      <c r="C18" s="6" t="n">
        <v>1.25900865262641E-009</v>
      </c>
      <c r="D18" s="6" t="n">
        <v>3.32833267428514</v>
      </c>
      <c r="E18" s="6" t="n">
        <v>0.00179824403092839</v>
      </c>
      <c r="F18" s="6" t="n">
        <v>1.65136845081322E-009</v>
      </c>
      <c r="G18" s="6" t="n">
        <v>6.72943082067519E-009</v>
      </c>
      <c r="H18" s="6" t="n">
        <v>1.65136845081322E-009</v>
      </c>
      <c r="I18" s="6" t="n">
        <v>6.72943082067519E-009</v>
      </c>
    </row>
    <row r="19" customFormat="false" ht="12.75" hidden="false" customHeight="false" outlineLevel="0" collapsed="false">
      <c r="A19" s="6" t="s">
        <v>105</v>
      </c>
      <c r="B19" s="6" t="n">
        <v>0.287822525219858</v>
      </c>
      <c r="C19" s="6" t="n">
        <v>0.0736600344879728</v>
      </c>
      <c r="D19" s="6" t="n">
        <v>3.90744488813474</v>
      </c>
      <c r="E19" s="6" t="n">
        <v>0.000325337172041685</v>
      </c>
      <c r="F19" s="6" t="n">
        <v>0.13927301028372</v>
      </c>
      <c r="G19" s="6" t="n">
        <v>0.436372040155997</v>
      </c>
      <c r="H19" s="6" t="n">
        <v>0.13927301028372</v>
      </c>
      <c r="I19" s="6" t="n">
        <v>0.436372040155997</v>
      </c>
    </row>
    <row r="20" customFormat="false" ht="12.75" hidden="false" customHeight="false" outlineLevel="0" collapsed="false">
      <c r="A20" s="6" t="s">
        <v>100</v>
      </c>
      <c r="B20" s="6" t="n">
        <v>0.78613231963512</v>
      </c>
      <c r="C20" s="6" t="n">
        <v>0.296491397895344</v>
      </c>
      <c r="D20" s="6" t="n">
        <v>2.65145068361346</v>
      </c>
      <c r="E20" s="6" t="n">
        <v>0.0111765528689935</v>
      </c>
      <c r="F20" s="6" t="n">
        <v>0.188200840967644</v>
      </c>
      <c r="G20" s="6" t="n">
        <v>1.3840637983026</v>
      </c>
      <c r="H20" s="6" t="n">
        <v>0.188200840967644</v>
      </c>
      <c r="I20" s="6" t="n">
        <v>1.3840637983026</v>
      </c>
    </row>
    <row r="21" customFormat="false" ht="12.75" hidden="false" customHeight="false" outlineLevel="0" collapsed="false">
      <c r="A21" s="6" t="s">
        <v>143</v>
      </c>
      <c r="B21" s="6" t="n">
        <v>93125.4861455241</v>
      </c>
      <c r="C21" s="6" t="n">
        <v>52862.541903998</v>
      </c>
      <c r="D21" s="6" t="n">
        <v>1.76165357910042</v>
      </c>
      <c r="E21" s="6" t="n">
        <v>0.0852367118380563</v>
      </c>
      <c r="F21" s="6" t="n">
        <v>-13481.9165351301</v>
      </c>
      <c r="G21" s="6" t="n">
        <v>199732.888826178</v>
      </c>
      <c r="H21" s="6" t="n">
        <v>-13481.9165351301</v>
      </c>
      <c r="I21" s="6" t="n">
        <v>199732.888826178</v>
      </c>
    </row>
    <row r="22" customFormat="false" ht="13.5" hidden="false" customHeight="false" outlineLevel="0" collapsed="false">
      <c r="A22" s="7" t="s">
        <v>359</v>
      </c>
      <c r="B22" s="7" t="n">
        <v>0.165183000235787</v>
      </c>
      <c r="C22" s="7" t="n">
        <v>0.175333272812645</v>
      </c>
      <c r="D22" s="7" t="n">
        <v>0.942108691556201</v>
      </c>
      <c r="E22" s="7" t="n">
        <v>0.351400115968195</v>
      </c>
      <c r="F22" s="7" t="n">
        <v>-0.1884100004943</v>
      </c>
      <c r="G22" s="7" t="n">
        <v>0.518776000965874</v>
      </c>
      <c r="H22" s="7" t="n">
        <v>-0.1884100004943</v>
      </c>
      <c r="I22" s="7" t="n">
        <v>0.518776000965874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13.14"/>
    <col collapsed="false" customWidth="true" hidden="false" outlineLevel="0" max="3" min="3" style="0" width="13.56"/>
    <col collapsed="false" customWidth="true" hidden="false" outlineLevel="0" max="5" min="4" style="0" width="9.28"/>
    <col collapsed="false" customWidth="true" hidden="false" outlineLevel="0" max="11" min="11" style="0" width="15.7"/>
    <col collapsed="false" customWidth="true" hidden="false" outlineLevel="0" max="12" min="12" style="0" width="11.56"/>
    <col collapsed="false" customWidth="true" hidden="false" outlineLevel="0" max="13" min="13" style="0" width="13.85"/>
  </cols>
  <sheetData>
    <row r="1" customFormat="false" ht="12.75" hidden="false" customHeight="false" outlineLevel="0" collapsed="false">
      <c r="A1" s="0" t="s">
        <v>251</v>
      </c>
      <c r="B1" s="0" t="s">
        <v>117</v>
      </c>
      <c r="C1" s="0" t="s">
        <v>360</v>
      </c>
      <c r="D1" s="0" t="s">
        <v>361</v>
      </c>
      <c r="E1" s="0" t="s">
        <v>360</v>
      </c>
      <c r="F1" s="0" t="str">
        <f aca="false">A1</f>
        <v>FULLNAME</v>
      </c>
      <c r="G1" s="0" t="s">
        <v>362</v>
      </c>
      <c r="H1" s="1" t="s">
        <v>84</v>
      </c>
      <c r="I1" s="2" t="s">
        <v>105</v>
      </c>
      <c r="J1" s="2" t="s">
        <v>100</v>
      </c>
      <c r="K1" s="2" t="s">
        <v>357</v>
      </c>
      <c r="L1" s="0" t="s">
        <v>106</v>
      </c>
      <c r="M1" s="2" t="s">
        <v>143</v>
      </c>
      <c r="O1" s="1" t="s">
        <v>363</v>
      </c>
      <c r="P1" s="2" t="s">
        <v>364</v>
      </c>
      <c r="Q1" s="2" t="s">
        <v>365</v>
      </c>
      <c r="R1" s="2" t="s">
        <v>366</v>
      </c>
    </row>
    <row r="2" customFormat="false" ht="12.75" hidden="false" customHeight="false" outlineLevel="0" collapsed="false">
      <c r="A2" s="0" t="s">
        <v>8</v>
      </c>
      <c r="B2" s="2" t="n">
        <v>0</v>
      </c>
      <c r="C2" s="2" t="e">
        <f aca="false">LN(B2/(1-B2))</f>
        <v>#VALUE!</v>
      </c>
      <c r="D2" s="2" t="n">
        <f aca="false">1-B2</f>
        <v>1</v>
      </c>
      <c r="E2" s="2" t="e">
        <f aca="false">LN(D2/(1-D2))</f>
        <v>#DIV/0!</v>
      </c>
      <c r="F2" s="0" t="str">
        <f aca="false">A2</f>
        <v>ALABAMA</v>
      </c>
      <c r="G2" s="4" t="n">
        <f aca="false">IF(B2&gt;0,1,0)</f>
        <v>0</v>
      </c>
      <c r="H2" s="1" t="n">
        <v>4252982</v>
      </c>
      <c r="I2" s="2" t="n">
        <v>0</v>
      </c>
      <c r="J2" s="2" t="n">
        <v>0.0238518767065552</v>
      </c>
      <c r="K2" s="2" t="n">
        <f aca="false">Sheet21!$B$17+Sheet21!$B$18*H2+Sheet21!$B$19*I2+Sheet21!$B$20*J2</f>
        <v>-0.00635998563327726</v>
      </c>
      <c r="L2" s="2" t="n">
        <v>0.0166414648812586</v>
      </c>
      <c r="M2" s="38" t="n">
        <v>1.16002176106561E-012</v>
      </c>
      <c r="O2" s="39" t="n">
        <f aca="false">B2*J2</f>
        <v>0</v>
      </c>
      <c r="P2" s="39" t="n">
        <f aca="false">(1-B2)*(1-J2)</f>
        <v>0.976148123293445</v>
      </c>
      <c r="Q2" s="39" t="n">
        <f aca="false">B2*(1-J2)</f>
        <v>0</v>
      </c>
      <c r="R2" s="39" t="n">
        <f aca="false">(1-B2)*J2</f>
        <v>0.0238518767065552</v>
      </c>
    </row>
    <row r="3" customFormat="false" ht="12.75" hidden="false" customHeight="false" outlineLevel="0" collapsed="false">
      <c r="A3" s="0" t="s">
        <v>9</v>
      </c>
      <c r="B3" s="2" t="n">
        <v>0</v>
      </c>
      <c r="C3" s="2" t="e">
        <f aca="false">LN(B3/(1-B3))</f>
        <v>#VALUE!</v>
      </c>
      <c r="D3" s="2" t="n">
        <f aca="false">1-B3</f>
        <v>1</v>
      </c>
      <c r="E3" s="2" t="e">
        <f aca="false">LN(D3/(1-D3))</f>
        <v>#DIV/0!</v>
      </c>
      <c r="F3" s="0" t="str">
        <f aca="false">A3</f>
        <v>ARIZONA</v>
      </c>
      <c r="G3" s="4" t="n">
        <f aca="false">IF(B3&gt;0,1,0)</f>
        <v>0</v>
      </c>
      <c r="H3" s="1" t="n">
        <v>4217940</v>
      </c>
      <c r="I3" s="2" t="n">
        <v>0</v>
      </c>
      <c r="J3" s="2" t="n">
        <v>0.0112071877535429</v>
      </c>
      <c r="K3" s="2" t="n">
        <f aca="false">Sheet21!$B$17+Sheet21!$B$18*H3+Sheet21!$B$19*I3+Sheet21!$B$20*J3</f>
        <v>-0.0190743876668005</v>
      </c>
      <c r="L3" s="2" t="n">
        <v>0.0217355561541323</v>
      </c>
      <c r="M3" s="38" t="n">
        <v>1.49200959313964E-012</v>
      </c>
      <c r="O3" s="39" t="n">
        <f aca="false">B3*J3</f>
        <v>0</v>
      </c>
      <c r="P3" s="39" t="n">
        <f aca="false">(1-B3)*(1-J3)</f>
        <v>0.988792812246457</v>
      </c>
      <c r="Q3" s="39" t="n">
        <f aca="false">B3*(1-J3)</f>
        <v>0</v>
      </c>
      <c r="R3" s="39" t="n">
        <f aca="false">(1-B3)*J3</f>
        <v>0.0112071877535429</v>
      </c>
    </row>
    <row r="4" customFormat="false" ht="12.75" hidden="false" customHeight="false" outlineLevel="0" collapsed="false">
      <c r="A4" s="0" t="s">
        <v>10</v>
      </c>
      <c r="B4" s="2" t="n">
        <v>0</v>
      </c>
      <c r="C4" s="2" t="e">
        <f aca="false">LN(B4/(1-B4))</f>
        <v>#VALUE!</v>
      </c>
      <c r="D4" s="2" t="n">
        <f aca="false">1-B4</f>
        <v>1</v>
      </c>
      <c r="E4" s="2" t="e">
        <f aca="false">LN(D4/(1-D4))</f>
        <v>#DIV/0!</v>
      </c>
      <c r="F4" s="0" t="str">
        <f aca="false">A4</f>
        <v>ARKANSAS</v>
      </c>
      <c r="G4" s="4" t="n">
        <f aca="false">IF(B4&gt;0,1,0)</f>
        <v>0</v>
      </c>
      <c r="H4" s="1" t="n">
        <v>2483769</v>
      </c>
      <c r="I4" s="2" t="n">
        <v>0</v>
      </c>
      <c r="J4" s="2" t="n">
        <v>0.0402941869973762</v>
      </c>
      <c r="K4" s="2" t="n">
        <f aca="false">Sheet21!$B$17+Sheet21!$B$18*H4+Sheet21!$B$19*I4+Sheet21!$B$20*J4</f>
        <v>0.0021231116583736</v>
      </c>
      <c r="L4" s="2" t="n">
        <v>0.0202684321941504</v>
      </c>
      <c r="M4" s="38" t="n">
        <v>8.78858354669177E-013</v>
      </c>
      <c r="O4" s="39" t="n">
        <f aca="false">B4*J4</f>
        <v>0</v>
      </c>
      <c r="P4" s="39" t="n">
        <f aca="false">(1-B4)*(1-J4)</f>
        <v>0.959705813002624</v>
      </c>
      <c r="Q4" s="39" t="n">
        <f aca="false">B4*(1-J4)</f>
        <v>0</v>
      </c>
      <c r="R4" s="39" t="n">
        <f aca="false">(1-B4)*J4</f>
        <v>0.0402941869973762</v>
      </c>
    </row>
    <row r="5" customFormat="false" ht="12.75" hidden="false" customHeight="false" outlineLevel="0" collapsed="false">
      <c r="A5" s="0" t="s">
        <v>11</v>
      </c>
      <c r="B5" s="2" t="n">
        <v>0.0211415213324095</v>
      </c>
      <c r="C5" s="2" t="n">
        <f aca="false">LN(B5/(1-B5))</f>
        <v>-3.83514813256212</v>
      </c>
      <c r="D5" s="2" t="n">
        <f aca="false">1-B5</f>
        <v>0.978858478667591</v>
      </c>
      <c r="E5" s="2" t="n">
        <f aca="false">LN(D5/(1-D5))</f>
        <v>3.83514813256212</v>
      </c>
      <c r="F5" s="0" t="str">
        <f aca="false">A5</f>
        <v>CALIFORNIA</v>
      </c>
      <c r="G5" s="4" t="n">
        <f aca="false">IF(B5&gt;0,1,0)</f>
        <v>1</v>
      </c>
      <c r="H5" s="1" t="n">
        <v>31589153</v>
      </c>
      <c r="I5" s="2" t="n">
        <v>0</v>
      </c>
      <c r="J5" s="2" t="n">
        <v>0.004523030247648</v>
      </c>
      <c r="K5" s="2" t="n">
        <f aca="false">Sheet21!$B$17+Sheet21!$B$18*H5+Sheet21!$B$19*I5+Sheet21!$B$20*J5</f>
        <v>0.0956979646979981</v>
      </c>
      <c r="L5" s="2" t="n">
        <v>0.0462867458685396</v>
      </c>
      <c r="M5" s="38" t="n">
        <v>1.15838117524707E-012</v>
      </c>
      <c r="O5" s="39" t="n">
        <f aca="false">B5*J5</f>
        <v>9.56237404677836E-005</v>
      </c>
      <c r="P5" s="39" t="n">
        <f aca="false">(1-B5)*(1-J5)</f>
        <v>0.97443107216041</v>
      </c>
      <c r="Q5" s="39" t="n">
        <f aca="false">B5*(1-J5)</f>
        <v>0.0210458975919417</v>
      </c>
      <c r="R5" s="39" t="n">
        <f aca="false">(1-B5)*J5</f>
        <v>0.00442740650718021</v>
      </c>
    </row>
    <row r="6" customFormat="false" ht="12.75" hidden="false" customHeight="false" outlineLevel="0" collapsed="false">
      <c r="A6" s="0" t="s">
        <v>12</v>
      </c>
      <c r="B6" s="2" t="n">
        <v>0.00295777769394722</v>
      </c>
      <c r="C6" s="2" t="n">
        <f aca="false">LN(B6/(1-B6))</f>
        <v>-5.82035491113091</v>
      </c>
      <c r="D6" s="2" t="n">
        <f aca="false">1-B6</f>
        <v>0.997042222306053</v>
      </c>
      <c r="E6" s="2" t="n">
        <f aca="false">LN(D6/(1-D6))</f>
        <v>5.82035491113091</v>
      </c>
      <c r="F6" s="0" t="str">
        <f aca="false">A6</f>
        <v>COLORADO</v>
      </c>
      <c r="G6" s="4" t="n">
        <f aca="false">IF(B6&gt;0,1,0)</f>
        <v>1</v>
      </c>
      <c r="H6" s="1" t="n">
        <v>3746585</v>
      </c>
      <c r="I6" s="2" t="n">
        <v>0.0147863247863248</v>
      </c>
      <c r="J6" s="2" t="n">
        <v>0.00794454114516863</v>
      </c>
      <c r="K6" s="2" t="n">
        <f aca="false">Sheet21!$B$17+Sheet21!$B$18*H6+Sheet21!$B$19*I6+Sheet21!$B$20*J6</f>
        <v>-0.0191589666506185</v>
      </c>
      <c r="L6" s="2" t="n">
        <v>0.0385571760941081</v>
      </c>
      <c r="M6" s="38" t="n">
        <v>6.58291482583513E-013</v>
      </c>
      <c r="O6" s="39" t="n">
        <f aca="false">B6*J6</f>
        <v>2.34981865878257E-005</v>
      </c>
      <c r="P6" s="39" t="n">
        <f aca="false">(1-B6)*(1-J6)</f>
        <v>0.989121179347472</v>
      </c>
      <c r="Q6" s="39" t="n">
        <f aca="false">B6*(1-J6)</f>
        <v>0.0029342795073594</v>
      </c>
      <c r="R6" s="39" t="n">
        <f aca="false">(1-B6)*J6</f>
        <v>0.0079210429585808</v>
      </c>
    </row>
    <row r="7" customFormat="false" ht="12.75" hidden="false" customHeight="false" outlineLevel="0" collapsed="false">
      <c r="A7" s="0" t="s">
        <v>13</v>
      </c>
      <c r="B7" s="2" t="n">
        <v>0.000259885785260088</v>
      </c>
      <c r="C7" s="2" t="n">
        <f aca="false">LN(B7/(1-B7))</f>
        <v>-8.25500839136353</v>
      </c>
      <c r="D7" s="2" t="n">
        <f aca="false">1-B7</f>
        <v>0.99974011421474</v>
      </c>
      <c r="E7" s="2" t="n">
        <f aca="false">LN(D7/(1-D7))</f>
        <v>8.25500839136372</v>
      </c>
      <c r="F7" s="0" t="str">
        <f aca="false">A7</f>
        <v>CONNECTICUT</v>
      </c>
      <c r="G7" s="4" t="n">
        <f aca="false">IF(B7&gt;0,1,0)</f>
        <v>1</v>
      </c>
      <c r="H7" s="1" t="n">
        <v>3274662</v>
      </c>
      <c r="I7" s="2" t="n">
        <v>0.357749077490775</v>
      </c>
      <c r="J7" s="2" t="n">
        <v>0.0456124226267046</v>
      </c>
      <c r="K7" s="2" t="n">
        <f aca="false">Sheet21!$B$17+Sheet21!$B$18*H7+Sheet21!$B$19*I7+Sheet21!$B$20*J7</f>
        <v>0.137856453890509</v>
      </c>
      <c r="L7" s="2" t="n">
        <v>0.260230429297339</v>
      </c>
      <c r="M7" s="38" t="n">
        <v>2.67978152112005E-008</v>
      </c>
      <c r="O7" s="39" t="n">
        <f aca="false">B7*J7</f>
        <v>1.18540202719561E-005</v>
      </c>
      <c r="P7" s="39" t="n">
        <f aca="false">(1-B7)*(1-J7)</f>
        <v>0.954139545608307</v>
      </c>
      <c r="Q7" s="39" t="n">
        <f aca="false">B7*(1-J7)</f>
        <v>0.000248031764988132</v>
      </c>
      <c r="R7" s="39" t="n">
        <f aca="false">(1-B7)*J7</f>
        <v>0.0456005686064327</v>
      </c>
    </row>
    <row r="8" customFormat="false" ht="12.75" hidden="false" customHeight="false" outlineLevel="0" collapsed="false">
      <c r="A8" s="0" t="s">
        <v>14</v>
      </c>
      <c r="B8" s="2" t="n">
        <v>0.252590047672857</v>
      </c>
      <c r="C8" s="2" t="n">
        <f aca="false">LN(B8/(1-B8))</f>
        <v>-1.08484602330716</v>
      </c>
      <c r="D8" s="2" t="n">
        <f aca="false">1-B8</f>
        <v>0.747409952327143</v>
      </c>
      <c r="E8" s="2" t="n">
        <f aca="false">LN(D8/(1-D8))</f>
        <v>1.08484602330716</v>
      </c>
      <c r="F8" s="0" t="str">
        <f aca="false">A8</f>
        <v>DELAWARE</v>
      </c>
      <c r="G8" s="4" t="n">
        <f aca="false">IF(B8&gt;0,1,0)</f>
        <v>1</v>
      </c>
      <c r="H8" s="1" t="n">
        <v>717197</v>
      </c>
      <c r="I8" s="2" t="n">
        <v>0.219607843137255</v>
      </c>
      <c r="J8" s="2" t="n">
        <v>0.138328875404208</v>
      </c>
      <c r="K8" s="2" t="n">
        <f aca="false">Sheet21!$B$17+Sheet21!$B$18*H8+Sheet21!$B$19*I8+Sheet21!$B$20*J8</f>
        <v>0.169582366724771</v>
      </c>
      <c r="L8" s="2" t="n">
        <v>0.118726708029446</v>
      </c>
      <c r="M8" s="38" t="n">
        <v>2.04082824400193E-008</v>
      </c>
      <c r="O8" s="39" t="n">
        <f aca="false">B8*J8</f>
        <v>0.0349404972328815</v>
      </c>
      <c r="P8" s="39" t="n">
        <f aca="false">(1-B8)*(1-J8)</f>
        <v>0.644021574155817</v>
      </c>
      <c r="Q8" s="39" t="n">
        <f aca="false">B8*(1-J8)</f>
        <v>0.217649550439975</v>
      </c>
      <c r="R8" s="39" t="n">
        <f aca="false">(1-B8)*J8</f>
        <v>0.103388378171326</v>
      </c>
    </row>
    <row r="9" customFormat="false" ht="12.75" hidden="false" customHeight="false" outlineLevel="0" collapsed="false">
      <c r="A9" s="0" t="s">
        <v>15</v>
      </c>
      <c r="B9" s="2" t="n">
        <v>0.0778335546482334</v>
      </c>
      <c r="C9" s="2" t="n">
        <f aca="false">LN(B9/(1-B9))</f>
        <v>-2.4721531017925</v>
      </c>
      <c r="D9" s="2" t="n">
        <f aca="false">1-B9</f>
        <v>0.922166445351767</v>
      </c>
      <c r="E9" s="2" t="n">
        <f aca="false">LN(D9/(1-D9))</f>
        <v>2.4721531017925</v>
      </c>
      <c r="F9" s="0" t="str">
        <f aca="false">A9</f>
        <v>FLORIDA</v>
      </c>
      <c r="G9" s="4" t="n">
        <f aca="false">IF(B9&gt;0,1,0)</f>
        <v>1</v>
      </c>
      <c r="H9" s="1" t="n">
        <v>14165570</v>
      </c>
      <c r="I9" s="2" t="n">
        <v>0.111015583019882</v>
      </c>
      <c r="J9" s="2" t="n">
        <v>0.00799421046196813</v>
      </c>
      <c r="K9" s="2" t="n">
        <f aca="false">Sheet21!$B$17+Sheet21!$B$18*H9+Sheet21!$B$19*I9+Sheet21!$B$20*J9</f>
        <v>0.061251926411499</v>
      </c>
      <c r="L9" s="2" t="n">
        <v>0.0626719688727428</v>
      </c>
      <c r="M9" s="38" t="n">
        <v>3.65523418920916E-012</v>
      </c>
      <c r="O9" s="39" t="n">
        <f aca="false">B9*J9</f>
        <v>0.000622217816861076</v>
      </c>
      <c r="P9" s="39" t="n">
        <f aca="false">(1-B9)*(1-J9)</f>
        <v>0.91479445270666</v>
      </c>
      <c r="Q9" s="39" t="n">
        <f aca="false">B9*(1-J9)</f>
        <v>0.0772113368313723</v>
      </c>
      <c r="R9" s="39" t="n">
        <f aca="false">(1-B9)*J9</f>
        <v>0.00737199264510706</v>
      </c>
    </row>
    <row r="10" customFormat="false" ht="12.75" hidden="false" customHeight="false" outlineLevel="0" collapsed="false">
      <c r="A10" s="0" t="s">
        <v>16</v>
      </c>
      <c r="B10" s="2" t="n">
        <v>0.0041858290740556</v>
      </c>
      <c r="C10" s="2" t="n">
        <f aca="false">LN(B10/(1-B10))</f>
        <v>-5.4718558743742</v>
      </c>
      <c r="D10" s="2" t="n">
        <f aca="false">1-B10</f>
        <v>0.995814170925944</v>
      </c>
      <c r="E10" s="2" t="n">
        <f aca="false">LN(D10/(1-D10))</f>
        <v>5.47185587437419</v>
      </c>
      <c r="F10" s="0" t="str">
        <f aca="false">A10</f>
        <v>GEORGIA</v>
      </c>
      <c r="G10" s="4" t="n">
        <f aca="false">IF(B10&gt;0,1,0)</f>
        <v>1</v>
      </c>
      <c r="H10" s="1" t="n">
        <v>7200882</v>
      </c>
      <c r="I10" s="2" t="n">
        <v>0.00785562632696391</v>
      </c>
      <c r="J10" s="2" t="n">
        <v>0.0281378236648974</v>
      </c>
      <c r="K10" s="2" t="n">
        <f aca="false">Sheet21!$B$17+Sheet21!$B$18*H10+Sheet21!$B$19*I10+Sheet21!$B$20*J10</f>
        <v>0.0137604560774319</v>
      </c>
      <c r="L10" s="2" t="n">
        <v>0.0206160900363821</v>
      </c>
      <c r="M10" s="38" t="n">
        <v>9.95886785099514E-013</v>
      </c>
      <c r="O10" s="39" t="n">
        <f aca="false">B10*J10</f>
        <v>0.000117780120377177</v>
      </c>
      <c r="P10" s="39" t="n">
        <f aca="false">(1-B10)*(1-J10)</f>
        <v>0.967794127381424</v>
      </c>
      <c r="Q10" s="39" t="n">
        <f aca="false">B10*(1-J10)</f>
        <v>0.00406804895367842</v>
      </c>
      <c r="R10" s="39" t="n">
        <f aca="false">(1-B10)*J10</f>
        <v>0.0280200435445202</v>
      </c>
    </row>
    <row r="11" customFormat="false" ht="12.75" hidden="false" customHeight="false" outlineLevel="0" collapsed="false">
      <c r="A11" s="0" t="s">
        <v>17</v>
      </c>
      <c r="B11" s="2" t="n">
        <v>0</v>
      </c>
      <c r="C11" s="2" t="e">
        <f aca="false">LN(B11/(1-B11))</f>
        <v>#VALUE!</v>
      </c>
      <c r="D11" s="2" t="n">
        <f aca="false">1-B11</f>
        <v>1</v>
      </c>
      <c r="E11" s="2" t="e">
        <f aca="false">LN(D11/(1-D11))</f>
        <v>#DIV/0!</v>
      </c>
      <c r="F11" s="0" t="str">
        <f aca="false">A11</f>
        <v>HAWAII</v>
      </c>
      <c r="G11" s="4" t="n">
        <f aca="false">IF(B11&gt;0,1,0)</f>
        <v>0</v>
      </c>
      <c r="H11" s="1" t="n">
        <v>1186815</v>
      </c>
      <c r="I11" s="2" t="n">
        <v>0</v>
      </c>
      <c r="J11" s="2" t="n">
        <v>0.00952409571468726</v>
      </c>
      <c r="K11" s="2" t="n">
        <f aca="false">Sheet21!$B$17+Sheet21!$B$18*H11+Sheet21!$B$19*I11+Sheet21!$B$20*J11</f>
        <v>-0.0341913086322479</v>
      </c>
      <c r="L11" s="2" t="n">
        <v>0.0353682242605231</v>
      </c>
      <c r="M11" s="38" t="n">
        <v>4.11770253782566E-011</v>
      </c>
      <c r="O11" s="39" t="n">
        <f aca="false">B11*J11</f>
        <v>0</v>
      </c>
      <c r="P11" s="39" t="n">
        <f aca="false">(1-B11)*(1-J11)</f>
        <v>0.990475904285313</v>
      </c>
      <c r="Q11" s="39" t="n">
        <f aca="false">B11*(1-J11)</f>
        <v>0</v>
      </c>
      <c r="R11" s="39" t="n">
        <f aca="false">(1-B11)*J11</f>
        <v>0.00952409571468726</v>
      </c>
    </row>
    <row r="12" customFormat="false" ht="12.75" hidden="false" customHeight="false" outlineLevel="0" collapsed="false">
      <c r="A12" s="0" t="s">
        <v>18</v>
      </c>
      <c r="B12" s="2" t="n">
        <v>0</v>
      </c>
      <c r="C12" s="2" t="e">
        <f aca="false">LN(B12/(1-B12))</f>
        <v>#VALUE!</v>
      </c>
      <c r="D12" s="2" t="n">
        <f aca="false">1-B12</f>
        <v>1</v>
      </c>
      <c r="E12" s="2" t="e">
        <f aca="false">LN(D12/(1-D12))</f>
        <v>#DIV/0!</v>
      </c>
      <c r="F12" s="0" t="str">
        <f aca="false">A12</f>
        <v>IDAHO</v>
      </c>
      <c r="G12" s="4" t="n">
        <f aca="false">IF(B12&gt;0,1,0)</f>
        <v>0</v>
      </c>
      <c r="H12" s="1" t="n">
        <v>1163261</v>
      </c>
      <c r="I12" s="2" t="n">
        <v>0</v>
      </c>
      <c r="J12" s="2" t="n">
        <v>0.0261485883128481</v>
      </c>
      <c r="K12" s="2" t="n">
        <f aca="false">Sheet21!$B$17+Sheet21!$B$18*H12+Sheet21!$B$19*I12+Sheet21!$B$20*J12</f>
        <v>-0.0177839994909336</v>
      </c>
      <c r="L12" s="2" t="n">
        <v>0.0255232505281166</v>
      </c>
      <c r="M12" s="38" t="n">
        <v>1.71548959608199E-012</v>
      </c>
      <c r="O12" s="39" t="n">
        <f aca="false">B12*J12</f>
        <v>0</v>
      </c>
      <c r="P12" s="39" t="n">
        <f aca="false">(1-B12)*(1-J12)</f>
        <v>0.973851411687152</v>
      </c>
      <c r="Q12" s="39" t="n">
        <f aca="false">B12*(1-J12)</f>
        <v>0</v>
      </c>
      <c r="R12" s="39" t="n">
        <f aca="false">(1-B12)*J12</f>
        <v>0.0261485883128481</v>
      </c>
    </row>
    <row r="13" customFormat="false" ht="12.75" hidden="false" customHeight="false" outlineLevel="0" collapsed="false">
      <c r="A13" s="0" t="s">
        <v>19</v>
      </c>
      <c r="B13" s="2" t="n">
        <v>0.0925020274991467</v>
      </c>
      <c r="C13" s="2" t="n">
        <f aca="false">LN(B13/(1-B13))</f>
        <v>-2.28346076878981</v>
      </c>
      <c r="D13" s="2" t="n">
        <f aca="false">1-B13</f>
        <v>0.907497972500853</v>
      </c>
      <c r="E13" s="2" t="n">
        <f aca="false">LN(D13/(1-D13))</f>
        <v>2.28346076878981</v>
      </c>
      <c r="F13" s="0" t="str">
        <f aca="false">A13</f>
        <v>ILLINOIS</v>
      </c>
      <c r="G13" s="4" t="n">
        <f aca="false">IF(B13&gt;0,1,0)</f>
        <v>1</v>
      </c>
      <c r="H13" s="1" t="n">
        <v>11829940</v>
      </c>
      <c r="I13" s="2" t="n">
        <v>0.0825389755011136</v>
      </c>
      <c r="J13" s="2" t="n">
        <v>0.0281937744250442</v>
      </c>
      <c r="K13" s="2" t="n">
        <f aca="false">Sheet21!$B$17+Sheet21!$B$18*H13+Sheet21!$B$19*I13+Sheet21!$B$20*J13</f>
        <v>0.0608497516791446</v>
      </c>
      <c r="L13" s="2" t="n">
        <v>0.0139671691446418</v>
      </c>
      <c r="M13" s="38" t="n">
        <v>2.04279325453952E-013</v>
      </c>
      <c r="O13" s="39" t="n">
        <f aca="false">B13*J13</f>
        <v>0.00260798129717018</v>
      </c>
      <c r="P13" s="39" t="n">
        <f aca="false">(1-B13)*(1-J13)</f>
        <v>0.881912179372979</v>
      </c>
      <c r="Q13" s="39" t="n">
        <f aca="false">B13*(1-J13)</f>
        <v>0.0898940462019766</v>
      </c>
      <c r="R13" s="39" t="n">
        <f aca="false">(1-B13)*J13</f>
        <v>0.025585793127874</v>
      </c>
    </row>
    <row r="14" customFormat="false" ht="12.75" hidden="false" customHeight="false" outlineLevel="0" collapsed="false">
      <c r="A14" s="0" t="s">
        <v>20</v>
      </c>
      <c r="B14" s="2" t="n">
        <v>0.0425729531743058</v>
      </c>
      <c r="C14" s="2" t="n">
        <f aca="false">LN(B14/(1-B14))</f>
        <v>-3.11303037721925</v>
      </c>
      <c r="D14" s="2" t="n">
        <f aca="false">1-B14</f>
        <v>0.957427046825694</v>
      </c>
      <c r="E14" s="2" t="n">
        <f aca="false">LN(D14/(1-D14))</f>
        <v>3.11303037721925</v>
      </c>
      <c r="F14" s="0" t="str">
        <f aca="false">A14</f>
        <v>INDIANA</v>
      </c>
      <c r="G14" s="4" t="n">
        <f aca="false">IF(B14&gt;0,1,0)</f>
        <v>1</v>
      </c>
      <c r="H14" s="1" t="n">
        <v>5803471</v>
      </c>
      <c r="I14" s="2" t="n">
        <v>0.120414428242517</v>
      </c>
      <c r="J14" s="2" t="n">
        <v>0.03280824193038</v>
      </c>
      <c r="K14" s="2" t="n">
        <f aca="false">Sheet21!$B$17+Sheet21!$B$18*H14+Sheet21!$B$19*I14+Sheet21!$B$20*J14</f>
        <v>0.052140822775422</v>
      </c>
      <c r="L14" s="2" t="n">
        <v>0.0504285786346856</v>
      </c>
      <c r="M14" s="38" t="n">
        <v>4.75336844122294E-011</v>
      </c>
      <c r="O14" s="39" t="n">
        <f aca="false">B14*J14</f>
        <v>0.00139674374743336</v>
      </c>
      <c r="P14" s="39" t="n">
        <f aca="false">(1-B14)*(1-J14)</f>
        <v>0.926015548642748</v>
      </c>
      <c r="Q14" s="39" t="n">
        <f aca="false">B14*(1-J14)</f>
        <v>0.0411762094268724</v>
      </c>
      <c r="R14" s="39" t="n">
        <f aca="false">(1-B14)*J14</f>
        <v>0.0314114981829467</v>
      </c>
    </row>
    <row r="15" customFormat="false" ht="12.75" hidden="false" customHeight="false" outlineLevel="0" collapsed="false">
      <c r="A15" s="0" t="s">
        <v>21</v>
      </c>
      <c r="B15" s="2" t="n">
        <v>0.00107334901207605</v>
      </c>
      <c r="C15" s="2" t="n">
        <f aca="false">LN(B15/(1-B15))</f>
        <v>-6.8358976752127</v>
      </c>
      <c r="D15" s="2" t="n">
        <f aca="false">1-B15</f>
        <v>0.998926650987924</v>
      </c>
      <c r="E15" s="2" t="n">
        <f aca="false">LN(D15/(1-D15))</f>
        <v>6.83589767521274</v>
      </c>
      <c r="F15" s="0" t="str">
        <f aca="false">A15</f>
        <v>IOWA</v>
      </c>
      <c r="G15" s="4" t="n">
        <f aca="false">IF(B15&gt;0,1,0)</f>
        <v>1</v>
      </c>
      <c r="H15" s="1" t="n">
        <v>2841764</v>
      </c>
      <c r="I15" s="2" t="n">
        <v>0</v>
      </c>
      <c r="J15" s="2" t="n">
        <v>0.0369184324665151</v>
      </c>
      <c r="K15" s="2" t="n">
        <f aca="false">Sheet21!$B$17+Sheet21!$B$18*H15+Sheet21!$B$19*I15+Sheet21!$B$20*J15</f>
        <v>0.000358210427176681</v>
      </c>
      <c r="L15" s="2" t="n">
        <v>0.0371121032485432</v>
      </c>
      <c r="M15" s="38" t="n">
        <v>9.38297197918158E-012</v>
      </c>
      <c r="O15" s="39" t="n">
        <f aca="false">B15*J15</f>
        <v>3.96263630153303E-005</v>
      </c>
      <c r="P15" s="39" t="n">
        <f aca="false">(1-B15)*(1-J15)</f>
        <v>0.962047844884424</v>
      </c>
      <c r="Q15" s="39" t="n">
        <f aca="false">B15*(1-J15)</f>
        <v>0.00103372264906072</v>
      </c>
      <c r="R15" s="39" t="n">
        <f aca="false">(1-B15)*J15</f>
        <v>0.0368788061034997</v>
      </c>
    </row>
    <row r="16" customFormat="false" ht="12.75" hidden="false" customHeight="false" outlineLevel="0" collapsed="false">
      <c r="A16" s="0" t="s">
        <v>22</v>
      </c>
      <c r="B16" s="2" t="n">
        <v>0.0645640225441334</v>
      </c>
      <c r="C16" s="2" t="n">
        <f aca="false">LN(B16/(1-B16))</f>
        <v>-2.67335537757423</v>
      </c>
      <c r="D16" s="2" t="n">
        <f aca="false">1-B16</f>
        <v>0.935435977455867</v>
      </c>
      <c r="E16" s="2" t="n">
        <f aca="false">LN(D16/(1-D16))</f>
        <v>2.67335537757423</v>
      </c>
      <c r="F16" s="0" t="str">
        <f aca="false">A16</f>
        <v>KANSAS</v>
      </c>
      <c r="G16" s="4" t="n">
        <f aca="false">IF(B16&gt;0,1,0)</f>
        <v>1</v>
      </c>
      <c r="H16" s="1" t="n">
        <v>2565328</v>
      </c>
      <c r="I16" s="2" t="n">
        <v>0.238988095238095</v>
      </c>
      <c r="J16" s="2" t="n">
        <v>0.0706260870607761</v>
      </c>
      <c r="K16" s="2" t="n">
        <f aca="false">Sheet21!$B$17+Sheet21!$B$18*H16+Sheet21!$B$19*I16+Sheet21!$B$20*J16</f>
        <v>0.117413216566811</v>
      </c>
      <c r="L16" s="2" t="n">
        <v>0.0047015824577715</v>
      </c>
      <c r="M16" s="38" t="n">
        <v>8.3954224057573E-014</v>
      </c>
      <c r="O16" s="39" t="n">
        <f aca="false">B16*J16</f>
        <v>0.00455990427719588</v>
      </c>
      <c r="P16" s="39" t="n">
        <f aca="false">(1-B16)*(1-J16)</f>
        <v>0.869369794672286</v>
      </c>
      <c r="Q16" s="39" t="n">
        <f aca="false">B16*(1-J16)</f>
        <v>0.0600041182669375</v>
      </c>
      <c r="R16" s="39" t="n">
        <f aca="false">(1-B16)*J16</f>
        <v>0.0660661827835802</v>
      </c>
    </row>
    <row r="17" customFormat="false" ht="12.75" hidden="false" customHeight="false" outlineLevel="0" collapsed="false">
      <c r="A17" s="0" t="s">
        <v>23</v>
      </c>
      <c r="B17" s="2" t="n">
        <v>0.00845328299918051</v>
      </c>
      <c r="C17" s="2" t="n">
        <f aca="false">LN(B17/(1-B17))</f>
        <v>-4.76471117782185</v>
      </c>
      <c r="D17" s="2" t="n">
        <f aca="false">1-B17</f>
        <v>0.99154671700082</v>
      </c>
      <c r="E17" s="2" t="n">
        <f aca="false">LN(D17/(1-D17))</f>
        <v>4.76471117782186</v>
      </c>
      <c r="F17" s="0" t="str">
        <f aca="false">A17</f>
        <v>KENTUCKY</v>
      </c>
      <c r="G17" s="4" t="n">
        <f aca="false">IF(B17&gt;0,1,0)</f>
        <v>1</v>
      </c>
      <c r="H17" s="1" t="n">
        <v>3860219</v>
      </c>
      <c r="I17" s="2" t="n">
        <v>0.239415204678363</v>
      </c>
      <c r="J17" s="2" t="n">
        <v>0.0625602364619358</v>
      </c>
      <c r="K17" s="2" t="n">
        <f aca="false">Sheet21!$B$17+Sheet21!$B$18*H17+Sheet21!$B$19*I17+Sheet21!$B$20*J17</f>
        <v>0.115297383798601</v>
      </c>
      <c r="L17" s="2" t="n">
        <v>0.0342163256066311</v>
      </c>
      <c r="M17" s="38" t="n">
        <v>4.61685442104148E-011</v>
      </c>
      <c r="O17" s="39" t="n">
        <f aca="false">B17*J17</f>
        <v>0.000528839383308394</v>
      </c>
      <c r="P17" s="39" t="n">
        <f aca="false">(1-B17)*(1-J17)</f>
        <v>0.929515319922192</v>
      </c>
      <c r="Q17" s="39" t="n">
        <f aca="false">B17*(1-J17)</f>
        <v>0.00792444361587212</v>
      </c>
      <c r="R17" s="39" t="n">
        <f aca="false">(1-B17)*J17</f>
        <v>0.0620313970786274</v>
      </c>
    </row>
    <row r="18" customFormat="false" ht="12.75" hidden="false" customHeight="false" outlineLevel="0" collapsed="false">
      <c r="A18" s="0" t="s">
        <v>24</v>
      </c>
      <c r="B18" s="2" t="n">
        <v>0.0293839643250748</v>
      </c>
      <c r="C18" s="2" t="n">
        <f aca="false">LN(B18/(1-B18))</f>
        <v>-3.49748186381578</v>
      </c>
      <c r="D18" s="2" t="n">
        <f aca="false">1-B18</f>
        <v>0.970616035674925</v>
      </c>
      <c r="E18" s="2" t="n">
        <f aca="false">LN(D18/(1-D18))</f>
        <v>3.49748186381578</v>
      </c>
      <c r="F18" s="0" t="str">
        <f aca="false">A18</f>
        <v>LOUISIANA</v>
      </c>
      <c r="G18" s="4" t="n">
        <f aca="false">IF(B18&gt;0,1,0)</f>
        <v>1</v>
      </c>
      <c r="H18" s="1" t="n">
        <v>4342334</v>
      </c>
      <c r="I18" s="2" t="n">
        <v>0</v>
      </c>
      <c r="J18" s="2" t="n">
        <v>0.0211147303966919</v>
      </c>
      <c r="K18" s="2" t="n">
        <f aca="false">Sheet21!$B$17+Sheet21!$B$18*H18+Sheet21!$B$19*I18+Sheet21!$B$20*J18</f>
        <v>-0.00868223471621077</v>
      </c>
      <c r="L18" s="2" t="n">
        <v>0.0243662758193366</v>
      </c>
      <c r="M18" s="38" t="n">
        <v>2.56823004434834E-012</v>
      </c>
      <c r="O18" s="39" t="n">
        <f aca="false">B18*J18</f>
        <v>0.000620434484709967</v>
      </c>
      <c r="P18" s="39" t="n">
        <f aca="false">(1-B18)*(1-J18)</f>
        <v>0.950121739762943</v>
      </c>
      <c r="Q18" s="39" t="n">
        <f aca="false">B18*(1-J18)</f>
        <v>0.0287635298403648</v>
      </c>
      <c r="R18" s="39" t="n">
        <f aca="false">(1-B18)*J18</f>
        <v>0.0204942959119819</v>
      </c>
    </row>
    <row r="19" customFormat="false" ht="12.75" hidden="false" customHeight="false" outlineLevel="0" collapsed="false">
      <c r="A19" s="0" t="s">
        <v>25</v>
      </c>
      <c r="B19" s="2" t="n">
        <v>0.105088318367691</v>
      </c>
      <c r="C19" s="2" t="n">
        <f aca="false">LN(B19/(1-B19))</f>
        <v>-2.14192390974572</v>
      </c>
      <c r="D19" s="2" t="n">
        <f aca="false">1-B19</f>
        <v>0.894911681632309</v>
      </c>
      <c r="E19" s="2" t="n">
        <f aca="false">LN(D19/(1-D19))</f>
        <v>2.14192390974572</v>
      </c>
      <c r="F19" s="0" t="str">
        <f aca="false">A19</f>
        <v>MAINE</v>
      </c>
      <c r="G19" s="4" t="n">
        <f aca="false">IF(B19&gt;0,1,0)</f>
        <v>1</v>
      </c>
      <c r="H19" s="1" t="n">
        <v>1241382</v>
      </c>
      <c r="I19" s="2" t="n">
        <v>0.292950391644909</v>
      </c>
      <c r="J19" s="2" t="n">
        <v>0.0206121747105353</v>
      </c>
      <c r="K19" s="2" t="n">
        <f aca="false">Sheet21!$B$17+Sheet21!$B$18*H19+Sheet21!$B$19*I19+Sheet21!$B$20*J19</f>
        <v>0.0810135827578753</v>
      </c>
      <c r="L19" s="2" t="n">
        <v>0.11374675564763</v>
      </c>
      <c r="M19" s="38" t="n">
        <v>2.65827638003696E-010</v>
      </c>
      <c r="O19" s="39" t="n">
        <f aca="false">B19*J19</f>
        <v>0.00216609877823121</v>
      </c>
      <c r="P19" s="39" t="n">
        <f aca="false">(1-B19)*(1-J19)</f>
        <v>0.876465605700005</v>
      </c>
      <c r="Q19" s="39" t="n">
        <f aca="false">B19*(1-J19)</f>
        <v>0.10292221958946</v>
      </c>
      <c r="R19" s="39" t="n">
        <f aca="false">(1-B19)*J19</f>
        <v>0.0184460759323041</v>
      </c>
    </row>
    <row r="20" customFormat="false" ht="12.75" hidden="false" customHeight="false" outlineLevel="0" collapsed="false">
      <c r="A20" s="0" t="s">
        <v>26</v>
      </c>
      <c r="B20" s="2" t="n">
        <v>0.0702579161473665</v>
      </c>
      <c r="C20" s="2" t="n">
        <f aca="false">LN(B20/(1-B20))</f>
        <v>-2.58273423125663</v>
      </c>
      <c r="D20" s="2" t="n">
        <f aca="false">1-B20</f>
        <v>0.929742083852634</v>
      </c>
      <c r="E20" s="2" t="n">
        <f aca="false">LN(D20/(1-D20))</f>
        <v>2.58273423125663</v>
      </c>
      <c r="F20" s="0" t="str">
        <f aca="false">A20</f>
        <v>MARYLAND</v>
      </c>
      <c r="G20" s="4" t="n">
        <f aca="false">IF(B20&gt;0,1,0)</f>
        <v>1</v>
      </c>
      <c r="H20" s="1" t="n">
        <v>5042438</v>
      </c>
      <c r="I20" s="2" t="n">
        <v>0.059493670886076</v>
      </c>
      <c r="J20" s="2" t="n">
        <v>0.0697797782145526</v>
      </c>
      <c r="K20" s="2" t="n">
        <f aca="false">Sheet21!$B$17+Sheet21!$B$18*H20+Sheet21!$B$19*I20+Sheet21!$B$20*J20</f>
        <v>0.0638689785716179</v>
      </c>
      <c r="L20" s="2" t="n">
        <v>0.0274781962774974</v>
      </c>
      <c r="M20" s="38" t="n">
        <v>7.3736342600225E-010</v>
      </c>
      <c r="O20" s="39" t="n">
        <f aca="false">B20*J20</f>
        <v>0.00490258180657987</v>
      </c>
      <c r="P20" s="39" t="n">
        <f aca="false">(1-B20)*(1-J20)</f>
        <v>0.864864887444661</v>
      </c>
      <c r="Q20" s="39" t="n">
        <f aca="false">B20*(1-J20)</f>
        <v>0.0653553343407866</v>
      </c>
      <c r="R20" s="39" t="n">
        <f aca="false">(1-B20)*J20</f>
        <v>0.0648771964079728</v>
      </c>
    </row>
    <row r="21" customFormat="false" ht="12.75" hidden="false" customHeight="false" outlineLevel="0" collapsed="false">
      <c r="A21" s="0" t="s">
        <v>27</v>
      </c>
      <c r="B21" s="2" t="n">
        <v>0.103944816167345</v>
      </c>
      <c r="C21" s="2" t="n">
        <f aca="false">LN(B21/(1-B21))</f>
        <v>-2.15414185563681</v>
      </c>
      <c r="D21" s="2" t="n">
        <f aca="false">1-B21</f>
        <v>0.896055183832655</v>
      </c>
      <c r="E21" s="2" t="n">
        <f aca="false">LN(D21/(1-D21))</f>
        <v>2.15414185563681</v>
      </c>
      <c r="F21" s="0" t="str">
        <f aca="false">A21</f>
        <v>MASSACHUSETTS</v>
      </c>
      <c r="G21" s="4" t="n">
        <f aca="false">IF(B21&gt;0,1,0)</f>
        <v>1</v>
      </c>
      <c r="H21" s="1" t="n">
        <v>6073550</v>
      </c>
      <c r="I21" s="2" t="n">
        <v>0.163254593175853</v>
      </c>
      <c r="J21" s="2" t="n">
        <v>0.0502082263621112</v>
      </c>
      <c r="K21" s="2" t="n">
        <f aca="false">Sheet21!$B$17+Sheet21!$B$18*H21+Sheet21!$B$19*I21+Sheet21!$B$20*J21</f>
        <v>0.0858221614196834</v>
      </c>
      <c r="L21" s="2" t="n">
        <v>0.0613123203667421</v>
      </c>
      <c r="M21" s="38" t="n">
        <v>2.60150207336547E-011</v>
      </c>
      <c r="O21" s="39" t="n">
        <f aca="false">B21*J21</f>
        <v>0.00521888485929808</v>
      </c>
      <c r="P21" s="39" t="n">
        <f aca="false">(1-B21)*(1-J21)</f>
        <v>0.851065842329842</v>
      </c>
      <c r="Q21" s="39" t="n">
        <f aca="false">B21*(1-J21)</f>
        <v>0.0987259313080467</v>
      </c>
      <c r="R21" s="39" t="n">
        <f aca="false">(1-B21)*J21</f>
        <v>0.0449893415028131</v>
      </c>
    </row>
    <row r="22" customFormat="false" ht="12.75" hidden="false" customHeight="false" outlineLevel="0" collapsed="false">
      <c r="A22" s="0" t="s">
        <v>28</v>
      </c>
      <c r="B22" s="2" t="n">
        <v>0.00738787711371125</v>
      </c>
      <c r="C22" s="2" t="n">
        <f aca="false">LN(B22/(1-B22))</f>
        <v>-4.90049954737258</v>
      </c>
      <c r="D22" s="2" t="n">
        <f aca="false">1-B22</f>
        <v>0.992612122886289</v>
      </c>
      <c r="E22" s="2" t="n">
        <f aca="false">LN(D22/(1-D22))</f>
        <v>4.90049954737258</v>
      </c>
      <c r="F22" s="0" t="str">
        <f aca="false">A22</f>
        <v>MICHIGAN</v>
      </c>
      <c r="G22" s="4" t="n">
        <f aca="false">IF(B22&gt;0,1,0)</f>
        <v>1</v>
      </c>
      <c r="H22" s="1" t="n">
        <v>9549353</v>
      </c>
      <c r="I22" s="2" t="n">
        <v>0</v>
      </c>
      <c r="J22" s="2" t="n">
        <v>0.00796925854450259</v>
      </c>
      <c r="K22" s="2" t="n">
        <f aca="false">Sheet21!$B$17+Sheet21!$B$18*H22+Sheet21!$B$19*I22+Sheet21!$B$20*J22</f>
        <v>0.00135832049378335</v>
      </c>
      <c r="L22" s="2" t="n">
        <v>0.0419633136501008</v>
      </c>
      <c r="M22" s="38" t="n">
        <v>9.23270469744563E-013</v>
      </c>
      <c r="O22" s="39" t="n">
        <f aca="false">B22*J22</f>
        <v>5.88759028141785E-005</v>
      </c>
      <c r="P22" s="39" t="n">
        <f aca="false">(1-B22)*(1-J22)</f>
        <v>0.9847017402446</v>
      </c>
      <c r="Q22" s="39" t="n">
        <f aca="false">B22*(1-J22)</f>
        <v>0.00732900121089707</v>
      </c>
      <c r="R22" s="39" t="n">
        <f aca="false">(1-B22)*J22</f>
        <v>0.00791038264168841</v>
      </c>
    </row>
    <row r="23" customFormat="false" ht="12.75" hidden="false" customHeight="false" outlineLevel="0" collapsed="false">
      <c r="A23" s="0" t="s">
        <v>29</v>
      </c>
      <c r="B23" s="2" t="n">
        <v>0</v>
      </c>
      <c r="C23" s="2" t="e">
        <f aca="false">LN(B23/(1-B23))</f>
        <v>#VALUE!</v>
      </c>
      <c r="D23" s="2" t="n">
        <f aca="false">1-B23</f>
        <v>1</v>
      </c>
      <c r="E23" s="2" t="e">
        <f aca="false">LN(D23/(1-D23))</f>
        <v>#DIV/0!</v>
      </c>
      <c r="F23" s="0" t="str">
        <f aca="false">A23</f>
        <v>MINNESOTA</v>
      </c>
      <c r="G23" s="4" t="n">
        <f aca="false">IF(B23&gt;0,1,0)</f>
        <v>0</v>
      </c>
      <c r="H23" s="1" t="n">
        <v>4609548</v>
      </c>
      <c r="I23" s="2" t="n">
        <v>0</v>
      </c>
      <c r="J23" s="2" t="n">
        <v>0.0231171606433715</v>
      </c>
      <c r="K23" s="2" t="n">
        <f aca="false">Sheet21!$B$17+Sheet21!$B$18*H23+Sheet21!$B$19*I23+Sheet21!$B$20*J23</f>
        <v>-0.00550809175066745</v>
      </c>
      <c r="L23" s="2" t="n">
        <v>0.0124292221309667</v>
      </c>
      <c r="M23" s="38" t="n">
        <v>3.91416523412056E-014</v>
      </c>
      <c r="O23" s="39" t="n">
        <f aca="false">B23*J23</f>
        <v>0</v>
      </c>
      <c r="P23" s="39" t="n">
        <f aca="false">(1-B23)*(1-J23)</f>
        <v>0.976882839356629</v>
      </c>
      <c r="Q23" s="39" t="n">
        <f aca="false">B23*(1-J23)</f>
        <v>0</v>
      </c>
      <c r="R23" s="39" t="n">
        <f aca="false">(1-B23)*J23</f>
        <v>0.0231171606433715</v>
      </c>
    </row>
    <row r="24" customFormat="false" ht="12.75" hidden="false" customHeight="false" outlineLevel="0" collapsed="false">
      <c r="A24" s="0" t="s">
        <v>30</v>
      </c>
      <c r="B24" s="2" t="n">
        <v>0</v>
      </c>
      <c r="C24" s="2" t="e">
        <f aca="false">LN(B24/(1-B24))</f>
        <v>#VALUE!</v>
      </c>
      <c r="D24" s="2" t="n">
        <f aca="false">1-B24</f>
        <v>1</v>
      </c>
      <c r="E24" s="2" t="e">
        <f aca="false">LN(D24/(1-D24))</f>
        <v>#DIV/0!</v>
      </c>
      <c r="F24" s="0" t="str">
        <f aca="false">A24</f>
        <v>MISSISSIPPI</v>
      </c>
      <c r="G24" s="4" t="n">
        <f aca="false">IF(B24&gt;0,1,0)</f>
        <v>0</v>
      </c>
      <c r="H24" s="1" t="n">
        <v>2697243</v>
      </c>
      <c r="I24" s="2" t="n">
        <v>0</v>
      </c>
      <c r="J24" s="2" t="n">
        <v>0.0305028704492417</v>
      </c>
      <c r="K24" s="2" t="n">
        <f aca="false">Sheet21!$B$17+Sheet21!$B$18*H24+Sheet21!$B$19*I24+Sheet21!$B$20*J24</f>
        <v>-0.0066549133440133</v>
      </c>
      <c r="L24" s="2" t="n">
        <v>0.0117861455165629</v>
      </c>
      <c r="M24" s="38" t="n">
        <v>3.31728127610878E-012</v>
      </c>
      <c r="O24" s="39" t="n">
        <f aca="false">B24*J24</f>
        <v>0</v>
      </c>
      <c r="P24" s="39" t="n">
        <f aca="false">(1-B24)*(1-J24)</f>
        <v>0.969497129550758</v>
      </c>
      <c r="Q24" s="39" t="n">
        <f aca="false">B24*(1-J24)</f>
        <v>0</v>
      </c>
      <c r="R24" s="39" t="n">
        <f aca="false">(1-B24)*J24</f>
        <v>0.0305028704492417</v>
      </c>
    </row>
    <row r="25" customFormat="false" ht="12.75" hidden="false" customHeight="false" outlineLevel="0" collapsed="false">
      <c r="A25" s="0" t="s">
        <v>31</v>
      </c>
      <c r="B25" s="2" t="n">
        <v>0.000759685797103275</v>
      </c>
      <c r="C25" s="2" t="n">
        <f aca="false">LN(B25/(1-B25))</f>
        <v>-7.18184566052705</v>
      </c>
      <c r="D25" s="2" t="n">
        <f aca="false">1-B25</f>
        <v>0.999240314202897</v>
      </c>
      <c r="E25" s="2" t="n">
        <f aca="false">LN(D25/(1-D25))</f>
        <v>7.18184566052704</v>
      </c>
      <c r="F25" s="0" t="str">
        <f aca="false">A25</f>
        <v>MISSOURI</v>
      </c>
      <c r="G25" s="4" t="n">
        <f aca="false">IF(B25&gt;0,1,0)</f>
        <v>1</v>
      </c>
      <c r="H25" s="1" t="n">
        <v>5323523</v>
      </c>
      <c r="I25" s="2" t="n">
        <v>0</v>
      </c>
      <c r="J25" s="2" t="n">
        <v>0.0724272745344907</v>
      </c>
      <c r="K25" s="2" t="n">
        <f aca="false">Sheet21!$B$17+Sheet21!$B$18*H25+Sheet21!$B$19*I25+Sheet21!$B$20*J25</f>
        <v>0.0466347256189784</v>
      </c>
      <c r="L25" s="2" t="n">
        <v>0.0608954144235067</v>
      </c>
      <c r="M25" s="38" t="n">
        <v>1.15835281976731E-010</v>
      </c>
      <c r="O25" s="39" t="n">
        <f aca="false">B25*J25</f>
        <v>5.50219717867523E-005</v>
      </c>
      <c r="P25" s="39" t="n">
        <f aca="false">(1-B25)*(1-J25)</f>
        <v>0.926868061640193</v>
      </c>
      <c r="Q25" s="39" t="n">
        <f aca="false">B25*(1-J25)</f>
        <v>0.000704663825316523</v>
      </c>
      <c r="R25" s="39" t="n">
        <f aca="false">(1-B25)*J25</f>
        <v>0.072372252562704</v>
      </c>
    </row>
    <row r="26" customFormat="false" ht="12.75" hidden="false" customHeight="false" outlineLevel="0" collapsed="false">
      <c r="A26" s="0" t="s">
        <v>32</v>
      </c>
      <c r="B26" s="2" t="n">
        <v>0</v>
      </c>
      <c r="C26" s="2" t="e">
        <f aca="false">LN(B26/(1-B26))</f>
        <v>#VALUE!</v>
      </c>
      <c r="D26" s="2" t="n">
        <f aca="false">1-B26</f>
        <v>1</v>
      </c>
      <c r="E26" s="2" t="e">
        <f aca="false">LN(D26/(1-D26))</f>
        <v>#DIV/0!</v>
      </c>
      <c r="F26" s="0" t="str">
        <f aca="false">A26</f>
        <v>MONTANA</v>
      </c>
      <c r="G26" s="4" t="n">
        <f aca="false">IF(B26&gt;0,1,0)</f>
        <v>0</v>
      </c>
      <c r="H26" s="1" t="n">
        <v>870281</v>
      </c>
      <c r="I26" s="2" t="n">
        <v>0</v>
      </c>
      <c r="J26" s="2" t="n">
        <v>0.00796409544263987</v>
      </c>
      <c r="K26" s="2" t="n">
        <f aca="false">Sheet21!$B$17+Sheet21!$B$18*H26+Sheet21!$B$19*I26+Sheet21!$B$20*J26</f>
        <v>-0.0371447910361071</v>
      </c>
      <c r="L26" s="2" t="n">
        <v>0.0198386177748442</v>
      </c>
      <c r="M26" s="38" t="n">
        <v>3.47319888352621E-014</v>
      </c>
      <c r="O26" s="39" t="n">
        <f aca="false">B26*J26</f>
        <v>0</v>
      </c>
      <c r="P26" s="39" t="n">
        <f aca="false">(1-B26)*(1-J26)</f>
        <v>0.99203590455736</v>
      </c>
      <c r="Q26" s="39" t="n">
        <f aca="false">B26*(1-J26)</f>
        <v>0</v>
      </c>
      <c r="R26" s="39" t="n">
        <f aca="false">(1-B26)*J26</f>
        <v>0.00796409544263987</v>
      </c>
    </row>
    <row r="27" customFormat="false" ht="12.75" hidden="false" customHeight="false" outlineLevel="0" collapsed="false">
      <c r="A27" s="0" t="s">
        <v>33</v>
      </c>
      <c r="B27" s="2" t="n">
        <v>0.00199508308555689</v>
      </c>
      <c r="C27" s="2" t="n">
        <f aca="false">LN(B27/(1-B27))</f>
        <v>-6.21507250669701</v>
      </c>
      <c r="D27" s="2" t="n">
        <f aca="false">1-B27</f>
        <v>0.998004916914443</v>
      </c>
      <c r="E27" s="2" t="n">
        <f aca="false">LN(D27/(1-D27))</f>
        <v>6.21507250669703</v>
      </c>
      <c r="F27" s="0" t="str">
        <f aca="false">A27</f>
        <v>NEBRASKA</v>
      </c>
      <c r="G27" s="4" t="n">
        <f aca="false">IF(B27&gt;0,1,0)</f>
        <v>1</v>
      </c>
      <c r="H27" s="1" t="n">
        <v>1637112</v>
      </c>
      <c r="I27" s="2" t="n">
        <v>0</v>
      </c>
      <c r="J27" s="2" t="n">
        <v>0.0425053293156057</v>
      </c>
      <c r="K27" s="2" t="n">
        <f aca="false">Sheet21!$B$17+Sheet21!$B$18*H27+Sheet21!$B$19*I27+Sheet21!$B$20*J27</f>
        <v>0.00056372543716221</v>
      </c>
      <c r="L27" s="2" t="n">
        <v>0.011502118639517</v>
      </c>
      <c r="M27" s="38" t="n">
        <v>1.27766030104349E-013</v>
      </c>
      <c r="O27" s="39" t="n">
        <f aca="false">B27*J27</f>
        <v>8.48016635635902E-005</v>
      </c>
      <c r="P27" s="39" t="n">
        <f aca="false">(1-B27)*(1-J27)</f>
        <v>0.955584389262401</v>
      </c>
      <c r="Q27" s="39" t="n">
        <f aca="false">B27*(1-J27)</f>
        <v>0.0019102814219933</v>
      </c>
      <c r="R27" s="39" t="n">
        <f aca="false">(1-B27)*J27</f>
        <v>0.0424205276520421</v>
      </c>
    </row>
    <row r="28" customFormat="false" ht="12.75" hidden="false" customHeight="false" outlineLevel="0" collapsed="false">
      <c r="A28" s="0" t="s">
        <v>34</v>
      </c>
      <c r="B28" s="2" t="n">
        <v>0</v>
      </c>
      <c r="C28" s="2" t="e">
        <f aca="false">LN(B28/(1-B28))</f>
        <v>#VALUE!</v>
      </c>
      <c r="D28" s="2" t="n">
        <f aca="false">1-B28</f>
        <v>1</v>
      </c>
      <c r="E28" s="2" t="e">
        <f aca="false">LN(D28/(1-D28))</f>
        <v>#DIV/0!</v>
      </c>
      <c r="F28" s="0" t="str">
        <f aca="false">A28</f>
        <v>NEVADA</v>
      </c>
      <c r="G28" s="4" t="n">
        <f aca="false">IF(B28&gt;0,1,0)</f>
        <v>0</v>
      </c>
      <c r="H28" s="1" t="n">
        <v>1530108</v>
      </c>
      <c r="I28" s="2" t="n">
        <v>0</v>
      </c>
      <c r="J28" s="2" t="n">
        <v>0.0433497425670366</v>
      </c>
      <c r="K28" s="2" t="n">
        <f aca="false">Sheet21!$B$17+Sheet21!$B$18*H28+Sheet21!$B$19*I28+Sheet21!$B$20*J28</f>
        <v>0.000927773657300242</v>
      </c>
      <c r="L28" s="2" t="n">
        <v>0.0289080720529774</v>
      </c>
      <c r="M28" s="38" t="n">
        <v>1.76208456848238E-013</v>
      </c>
      <c r="O28" s="39" t="n">
        <f aca="false">B28*J28</f>
        <v>0</v>
      </c>
      <c r="P28" s="39" t="n">
        <f aca="false">(1-B28)*(1-J28)</f>
        <v>0.956650257432963</v>
      </c>
      <c r="Q28" s="39" t="n">
        <f aca="false">B28*(1-J28)</f>
        <v>0</v>
      </c>
      <c r="R28" s="39" t="n">
        <f aca="false">(1-B28)*J28</f>
        <v>0.0433497425670366</v>
      </c>
    </row>
    <row r="29" customFormat="false" ht="12.75" hidden="false" customHeight="false" outlineLevel="0" collapsed="false">
      <c r="A29" s="0" t="s">
        <v>35</v>
      </c>
      <c r="B29" s="2" t="n">
        <v>0.117777368981519</v>
      </c>
      <c r="C29" s="2" t="n">
        <f aca="false">LN(B29/(1-B29))</f>
        <v>-2.01364830142369</v>
      </c>
      <c r="D29" s="2" t="n">
        <f aca="false">1-B29</f>
        <v>0.882222631018481</v>
      </c>
      <c r="E29" s="2" t="n">
        <f aca="false">LN(D29/(1-D29))</f>
        <v>2.01364830142369</v>
      </c>
      <c r="F29" s="0" t="str">
        <f aca="false">A29</f>
        <v>NEW-HAMPSHIRE</v>
      </c>
      <c r="G29" s="4" t="n">
        <f aca="false">IF(B29&gt;0,1,0)</f>
        <v>1</v>
      </c>
      <c r="H29" s="1" t="n">
        <v>1148253</v>
      </c>
      <c r="I29" s="2" t="n">
        <v>0.290225563909774</v>
      </c>
      <c r="J29" s="2" t="n">
        <v>0.0851357193769645</v>
      </c>
      <c r="K29" s="2" t="n">
        <f aca="false">Sheet21!$B$17+Sheet21!$B$18*H29+Sheet21!$B$19*I29+Sheet21!$B$20*J29</f>
        <v>0.14371972819033</v>
      </c>
      <c r="L29" s="2" t="n">
        <v>0.0956898865432891</v>
      </c>
      <c r="M29" s="38" t="n">
        <v>7.50551003301169E-008</v>
      </c>
      <c r="O29" s="39" t="n">
        <f aca="false">B29*J29</f>
        <v>0.0100270610345678</v>
      </c>
      <c r="P29" s="39" t="n">
        <f aca="false">(1-B29)*(1-J29)</f>
        <v>0.807113972676085</v>
      </c>
      <c r="Q29" s="39" t="n">
        <f aca="false">B29*(1-J29)</f>
        <v>0.107750307946951</v>
      </c>
      <c r="R29" s="39" t="n">
        <f aca="false">(1-B29)*J29</f>
        <v>0.0751086583423967</v>
      </c>
    </row>
    <row r="30" customFormat="false" ht="12.75" hidden="false" customHeight="false" outlineLevel="0" collapsed="false">
      <c r="A30" s="0" t="s">
        <v>36</v>
      </c>
      <c r="B30" s="2" t="n">
        <v>0.273303356469306</v>
      </c>
      <c r="C30" s="2" t="n">
        <f aca="false">LN(B30/(1-B30))</f>
        <v>-0.977926744707258</v>
      </c>
      <c r="D30" s="2" t="n">
        <f aca="false">1-B30</f>
        <v>0.726696643530694</v>
      </c>
      <c r="E30" s="2" t="n">
        <f aca="false">LN(D30/(1-D30))</f>
        <v>0.977926744707258</v>
      </c>
      <c r="F30" s="0" t="str">
        <f aca="false">A30</f>
        <v>NEW-JERSEY</v>
      </c>
      <c r="G30" s="4" t="n">
        <f aca="false">IF(B30&gt;0,1,0)</f>
        <v>1</v>
      </c>
      <c r="H30" s="1" t="n">
        <v>7945298</v>
      </c>
      <c r="I30" s="2" t="n">
        <v>0.424725274725275</v>
      </c>
      <c r="J30" s="2" t="n">
        <v>0.0704522955482905</v>
      </c>
      <c r="K30" s="2" t="n">
        <f aca="false">Sheet21!$B$17+Sheet21!$B$18*H30+Sheet21!$B$19*I30+Sheet21!$B$20*J30</f>
        <v>0.207011289126063</v>
      </c>
      <c r="L30" s="2" t="n">
        <v>0.264967672481142</v>
      </c>
      <c r="M30" s="38" t="n">
        <v>9.78574048714857E-007</v>
      </c>
      <c r="O30" s="39" t="n">
        <f aca="false">B30*J30</f>
        <v>0.0192548488443154</v>
      </c>
      <c r="P30" s="39" t="n">
        <f aca="false">(1-B30)*(1-J30)</f>
        <v>0.675499196826719</v>
      </c>
      <c r="Q30" s="39" t="n">
        <f aca="false">B30*(1-J30)</f>
        <v>0.254048507624991</v>
      </c>
      <c r="R30" s="39" t="n">
        <f aca="false">(1-B30)*J30</f>
        <v>0.0511974467039751</v>
      </c>
    </row>
    <row r="31" customFormat="false" ht="12.75" hidden="false" customHeight="false" outlineLevel="0" collapsed="false">
      <c r="A31" s="0" t="s">
        <v>37</v>
      </c>
      <c r="B31" s="2" t="n">
        <v>0</v>
      </c>
      <c r="C31" s="2" t="e">
        <f aca="false">LN(B31/(1-B31))</f>
        <v>#VALUE!</v>
      </c>
      <c r="D31" s="2" t="n">
        <f aca="false">1-B31</f>
        <v>1</v>
      </c>
      <c r="E31" s="2" t="e">
        <f aca="false">LN(D31/(1-D31))</f>
        <v>#DIV/0!</v>
      </c>
      <c r="F31" s="0" t="str">
        <f aca="false">A31</f>
        <v>NEW-MEXICO</v>
      </c>
      <c r="G31" s="4" t="n">
        <f aca="false">IF(B31&gt;0,1,0)</f>
        <v>0</v>
      </c>
      <c r="H31" s="1" t="n">
        <v>1685401</v>
      </c>
      <c r="I31" s="2" t="n">
        <v>0</v>
      </c>
      <c r="J31" s="2" t="n">
        <v>0.0190957981584029</v>
      </c>
      <c r="K31" s="2" t="n">
        <f aca="false">Sheet21!$B$17+Sheet21!$B$18*H31+Sheet21!$B$19*I31+Sheet21!$B$20*J31</f>
        <v>-0.0224729059785802</v>
      </c>
      <c r="L31" s="2" t="n">
        <v>0.0243108794619173</v>
      </c>
      <c r="M31" s="38" t="n">
        <v>3.26758137987897E-012</v>
      </c>
      <c r="O31" s="39" t="n">
        <f aca="false">B31*J31</f>
        <v>0</v>
      </c>
      <c r="P31" s="39" t="n">
        <f aca="false">(1-B31)*(1-J31)</f>
        <v>0.980904201841597</v>
      </c>
      <c r="Q31" s="39" t="n">
        <f aca="false">B31*(1-J31)</f>
        <v>0</v>
      </c>
      <c r="R31" s="39" t="n">
        <f aca="false">(1-B31)*J31</f>
        <v>0.0190957981584029</v>
      </c>
    </row>
    <row r="32" customFormat="false" ht="12.75" hidden="false" customHeight="false" outlineLevel="0" collapsed="false">
      <c r="A32" s="0" t="s">
        <v>38</v>
      </c>
      <c r="B32" s="2" t="n">
        <v>0.331822037089797</v>
      </c>
      <c r="C32" s="2" t="n">
        <f aca="false">LN(B32/(1-B32))</f>
        <v>-0.699955757260157</v>
      </c>
      <c r="D32" s="2" t="n">
        <f aca="false">1-B32</f>
        <v>0.668177962910203</v>
      </c>
      <c r="E32" s="2" t="n">
        <f aca="false">LN(D32/(1-D32))</f>
        <v>0.699955757260157</v>
      </c>
      <c r="F32" s="0" t="str">
        <f aca="false">A32</f>
        <v>NEW-YORK</v>
      </c>
      <c r="G32" s="4" t="n">
        <f aca="false">IF(B32&gt;0,1,0)</f>
        <v>1</v>
      </c>
      <c r="H32" s="1" t="n">
        <v>18136081</v>
      </c>
      <c r="I32" s="2" t="n">
        <v>0.270103092783505</v>
      </c>
      <c r="J32" s="2" t="n">
        <v>0.0509878017590525</v>
      </c>
      <c r="K32" s="2" t="n">
        <f aca="false">Sheet21!$B$17+Sheet21!$B$18*H32+Sheet21!$B$19*I32+Sheet21!$B$20*J32</f>
        <v>0.178016442242586</v>
      </c>
      <c r="L32" s="2" t="n">
        <v>0.185769873927339</v>
      </c>
      <c r="M32" s="38" t="n">
        <v>6.14030526894406E-010</v>
      </c>
      <c r="O32" s="39" t="n">
        <f aca="false">B32*J32</f>
        <v>0.0169188762464195</v>
      </c>
      <c r="P32" s="39" t="n">
        <f aca="false">(1-B32)*(1-J32)</f>
        <v>0.63410903739757</v>
      </c>
      <c r="Q32" s="39" t="n">
        <f aca="false">B32*(1-J32)</f>
        <v>0.314903160843377</v>
      </c>
      <c r="R32" s="39" t="n">
        <f aca="false">(1-B32)*J32</f>
        <v>0.034068925512633</v>
      </c>
    </row>
    <row r="33" customFormat="false" ht="12.75" hidden="false" customHeight="false" outlineLevel="0" collapsed="false">
      <c r="A33" s="0" t="s">
        <v>39</v>
      </c>
      <c r="B33" s="2" t="n">
        <v>0.000738443042039357</v>
      </c>
      <c r="C33" s="2" t="n">
        <f aca="false">LN(B33/(1-B33))</f>
        <v>-7.21022786969654</v>
      </c>
      <c r="D33" s="2" t="n">
        <f aca="false">1-B33</f>
        <v>0.999261556957961</v>
      </c>
      <c r="E33" s="2" t="n">
        <f aca="false">LN(D33/(1-D33))</f>
        <v>7.21022786969648</v>
      </c>
      <c r="F33" s="0" t="str">
        <f aca="false">A33</f>
        <v>NORTH-CAROLINA</v>
      </c>
      <c r="G33" s="4" t="n">
        <f aca="false">IF(B33&gt;0,1,0)</f>
        <v>1</v>
      </c>
      <c r="H33" s="1" t="n">
        <v>7195138</v>
      </c>
      <c r="I33" s="2" t="n">
        <v>0</v>
      </c>
      <c r="J33" s="2" t="n">
        <v>0.0221303868527105</v>
      </c>
      <c r="K33" s="2" t="n">
        <f aca="false">Sheet21!$B$17+Sheet21!$B$18*H33+Sheet21!$B$19*I33+Sheet21!$B$20*J33</f>
        <v>0.00498079243359649</v>
      </c>
      <c r="L33" s="2" t="n">
        <v>0.0363048002647108</v>
      </c>
      <c r="M33" s="38" t="n">
        <v>1.73290869510021E-012</v>
      </c>
      <c r="O33" s="39" t="n">
        <f aca="false">B33*J33</f>
        <v>1.63420301890233E-005</v>
      </c>
      <c r="P33" s="39" t="n">
        <f aca="false">(1-B33)*(1-J33)</f>
        <v>0.977147512135439</v>
      </c>
      <c r="Q33" s="39" t="n">
        <f aca="false">B33*(1-J33)</f>
        <v>0.000722101011850334</v>
      </c>
      <c r="R33" s="39" t="n">
        <f aca="false">(1-B33)*J33</f>
        <v>0.0221140448225215</v>
      </c>
    </row>
    <row r="34" customFormat="false" ht="12.75" hidden="false" customHeight="false" outlineLevel="0" collapsed="false">
      <c r="A34" s="0" t="s">
        <v>40</v>
      </c>
      <c r="B34" s="2" t="n">
        <v>0</v>
      </c>
      <c r="C34" s="2" t="e">
        <f aca="false">LN(B34/(1-B34))</f>
        <v>#VALUE!</v>
      </c>
      <c r="D34" s="2" t="n">
        <f aca="false">1-B34</f>
        <v>1</v>
      </c>
      <c r="E34" s="2" t="e">
        <f aca="false">LN(D34/(1-D34))</f>
        <v>#DIV/0!</v>
      </c>
      <c r="F34" s="0" t="str">
        <f aca="false">A34</f>
        <v>NORTH-DAKOTA</v>
      </c>
      <c r="G34" s="4" t="n">
        <f aca="false">IF(B34&gt;0,1,0)</f>
        <v>0</v>
      </c>
      <c r="H34" s="1" t="n">
        <v>641367</v>
      </c>
      <c r="I34" s="2" t="n">
        <v>0</v>
      </c>
      <c r="J34" s="2" t="n">
        <v>0.0585817128891722</v>
      </c>
      <c r="K34" s="2" t="n">
        <f aca="false">Sheet21!$B$17+Sheet21!$B$18*H34+Sheet21!$B$19*I34+Sheet21!$B$20*J34</f>
        <v>0.0121142687303058</v>
      </c>
      <c r="L34" s="2" t="n">
        <v>0.00521176899171673</v>
      </c>
      <c r="M34" s="38" t="n">
        <v>2.88428682897276E-014</v>
      </c>
      <c r="O34" s="39" t="n">
        <f aca="false">B34*J34</f>
        <v>0</v>
      </c>
      <c r="P34" s="39" t="n">
        <f aca="false">(1-B34)*(1-J34)</f>
        <v>0.941418287110828</v>
      </c>
      <c r="Q34" s="39" t="n">
        <f aca="false">B34*(1-J34)</f>
        <v>0</v>
      </c>
      <c r="R34" s="39" t="n">
        <f aca="false">(1-B34)*J34</f>
        <v>0.0585817128891722</v>
      </c>
    </row>
    <row r="35" customFormat="false" ht="12.75" hidden="false" customHeight="false" outlineLevel="0" collapsed="false">
      <c r="A35" s="0" t="s">
        <v>41</v>
      </c>
      <c r="B35" s="2" t="n">
        <v>0.0328757643019831</v>
      </c>
      <c r="C35" s="2" t="n">
        <f aca="false">LN(B35/(1-B35))</f>
        <v>-3.38159122362958</v>
      </c>
      <c r="D35" s="2" t="n">
        <f aca="false">1-B35</f>
        <v>0.967124235698017</v>
      </c>
      <c r="E35" s="2" t="n">
        <f aca="false">LN(D35/(1-D35))</f>
        <v>3.38159122362958</v>
      </c>
      <c r="F35" s="0" t="str">
        <f aca="false">A35</f>
        <v>OHIO</v>
      </c>
      <c r="G35" s="4" t="n">
        <f aca="false">IF(B35&gt;0,1,0)</f>
        <v>1</v>
      </c>
      <c r="H35" s="1" t="n">
        <v>11150506</v>
      </c>
      <c r="I35" s="2" t="n">
        <v>0.124419204956118</v>
      </c>
      <c r="J35" s="2" t="n">
        <v>0.0282688311910131</v>
      </c>
      <c r="K35" s="2" t="n">
        <f aca="false">Sheet21!$B$17+Sheet21!$B$18*H35+Sheet21!$B$19*I35+Sheet21!$B$20*J35</f>
        <v>0.0727712146661485</v>
      </c>
      <c r="L35" s="2" t="n">
        <v>0.0513408485554598</v>
      </c>
      <c r="M35" s="38" t="n">
        <v>3.8555392305473E-012</v>
      </c>
      <c r="O35" s="39" t="n">
        <f aca="false">B35*J35</f>
        <v>0.000929359431328294</v>
      </c>
      <c r="P35" s="39" t="n">
        <f aca="false">(1-B35)*(1-J35)</f>
        <v>0.939784763938332</v>
      </c>
      <c r="Q35" s="39" t="n">
        <f aca="false">B35*(1-J35)</f>
        <v>0.0319464048706548</v>
      </c>
      <c r="R35" s="39" t="n">
        <f aca="false">(1-B35)*J35</f>
        <v>0.0273394717596848</v>
      </c>
    </row>
    <row r="36" customFormat="false" ht="12.75" hidden="false" customHeight="false" outlineLevel="0" collapsed="false">
      <c r="A36" s="0" t="s">
        <v>42</v>
      </c>
      <c r="B36" s="2" t="n">
        <v>0.0759782565467173</v>
      </c>
      <c r="C36" s="2" t="n">
        <f aca="false">LN(B36/(1-B36))</f>
        <v>-2.4982884019577</v>
      </c>
      <c r="D36" s="2" t="n">
        <f aca="false">1-B36</f>
        <v>0.924021743453283</v>
      </c>
      <c r="E36" s="2" t="n">
        <f aca="false">LN(D36/(1-D36))</f>
        <v>2.4982884019577</v>
      </c>
      <c r="F36" s="0" t="str">
        <f aca="false">A36</f>
        <v>OKLAHOMA</v>
      </c>
      <c r="G36" s="4" t="n">
        <f aca="false">IF(B36&gt;0,1,0)</f>
        <v>1</v>
      </c>
      <c r="H36" s="1" t="n">
        <v>3277687</v>
      </c>
      <c r="I36" s="2" t="n">
        <v>0.163815789473684</v>
      </c>
      <c r="J36" s="2" t="n">
        <v>0.0108396118772474</v>
      </c>
      <c r="K36" s="2" t="n">
        <f aca="false">Sheet21!$B$17+Sheet21!$B$18*H36+Sheet21!$B$19*I36+Sheet21!$B$20*J36</f>
        <v>0.0345178953946172</v>
      </c>
      <c r="L36" s="2" t="n">
        <v>0.0183732361717298</v>
      </c>
      <c r="M36" s="38" t="n">
        <v>8.18184975183888E-013</v>
      </c>
      <c r="O36" s="39" t="n">
        <f aca="false">B36*J36</f>
        <v>0.000823574812076344</v>
      </c>
      <c r="P36" s="39" t="n">
        <f aca="false">(1-B36)*(1-J36)</f>
        <v>0.914005706388112</v>
      </c>
      <c r="Q36" s="39" t="n">
        <f aca="false">B36*(1-J36)</f>
        <v>0.075154681734641</v>
      </c>
      <c r="R36" s="39" t="n">
        <f aca="false">(1-B36)*J36</f>
        <v>0.010016037065171</v>
      </c>
    </row>
    <row r="37" customFormat="false" ht="12.75" hidden="false" customHeight="false" outlineLevel="0" collapsed="false">
      <c r="A37" s="0" t="s">
        <v>43</v>
      </c>
      <c r="B37" s="2" t="n">
        <v>0.00529904028492617</v>
      </c>
      <c r="C37" s="2" t="n">
        <f aca="false">LN(B37/(1-B37))</f>
        <v>-5.23491642314097</v>
      </c>
      <c r="D37" s="2" t="n">
        <f aca="false">1-B37</f>
        <v>0.994700959715074</v>
      </c>
      <c r="E37" s="2" t="n">
        <f aca="false">LN(D37/(1-D37))</f>
        <v>5.23491642314096</v>
      </c>
      <c r="F37" s="0" t="str">
        <f aca="false">A37</f>
        <v>OREGON</v>
      </c>
      <c r="G37" s="4" t="n">
        <f aca="false">IF(B37&gt;0,1,0)</f>
        <v>1</v>
      </c>
      <c r="H37" s="1" t="n">
        <v>3140585</v>
      </c>
      <c r="I37" s="2" t="n">
        <v>0</v>
      </c>
      <c r="J37" s="2" t="n">
        <v>0.0372433830337473</v>
      </c>
      <c r="K37" s="2" t="n">
        <f aca="false">Sheet21!$B$17+Sheet21!$B$18*H37+Sheet21!$B$19*I37+Sheet21!$B$20*J37</f>
        <v>0.0020064460327166</v>
      </c>
      <c r="L37" s="2" t="n">
        <v>0.0359708061626984</v>
      </c>
      <c r="M37" s="38" t="n">
        <v>1.82145478296565E-012</v>
      </c>
      <c r="O37" s="39" t="n">
        <f aca="false">B37*J37</f>
        <v>0.000197354187042763</v>
      </c>
      <c r="P37" s="39" t="n">
        <f aca="false">(1-B37)*(1-J37)</f>
        <v>0.957654930868369</v>
      </c>
      <c r="Q37" s="39" t="n">
        <f aca="false">B37*(1-J37)</f>
        <v>0.00510168609788341</v>
      </c>
      <c r="R37" s="39" t="n">
        <f aca="false">(1-B37)*J37</f>
        <v>0.0370460288467045</v>
      </c>
    </row>
    <row r="38" customFormat="false" ht="12.75" hidden="false" customHeight="false" outlineLevel="0" collapsed="false">
      <c r="A38" s="0" t="s">
        <v>44</v>
      </c>
      <c r="B38" s="2" t="n">
        <v>0.116977230877519</v>
      </c>
      <c r="C38" s="2" t="n">
        <f aca="false">LN(B38/(1-B38))</f>
        <v>-2.02137167839244</v>
      </c>
      <c r="D38" s="2" t="n">
        <f aca="false">1-B38</f>
        <v>0.883022769122481</v>
      </c>
      <c r="E38" s="2" t="n">
        <f aca="false">LN(D38/(1-D38))</f>
        <v>2.02137167839244</v>
      </c>
      <c r="F38" s="0" t="str">
        <f aca="false">A38</f>
        <v>PENNSYLVANIA</v>
      </c>
      <c r="G38" s="4" t="n">
        <f aca="false">IF(B38&gt;0,1,0)</f>
        <v>1</v>
      </c>
      <c r="H38" s="1" t="n">
        <v>12071842</v>
      </c>
      <c r="I38" s="2" t="n">
        <v>0.224868231911835</v>
      </c>
      <c r="J38" s="2" t="n">
        <v>0.0341732303708947</v>
      </c>
      <c r="K38" s="2" t="n">
        <f aca="false">Sheet21!$B$17+Sheet21!$B$18*H38+Sheet21!$B$19*I38+Sheet21!$B$20*J38</f>
        <v>0.118365513806805</v>
      </c>
      <c r="L38" s="2" t="n">
        <v>0.210983235947242</v>
      </c>
      <c r="M38" s="38" t="n">
        <v>7.42322736941945E-009</v>
      </c>
      <c r="O38" s="39" t="n">
        <f aca="false">B38*J38</f>
        <v>0.00399748985892681</v>
      </c>
      <c r="P38" s="39" t="n">
        <f aca="false">(1-B38)*(1-J38)</f>
        <v>0.852847028610513</v>
      </c>
      <c r="Q38" s="39" t="n">
        <f aca="false">B38*(1-J38)</f>
        <v>0.112979741018593</v>
      </c>
      <c r="R38" s="39" t="n">
        <f aca="false">(1-B38)*J38</f>
        <v>0.0301757405119679</v>
      </c>
    </row>
    <row r="39" customFormat="false" ht="12.75" hidden="false" customHeight="false" outlineLevel="0" collapsed="false">
      <c r="A39" s="0" t="s">
        <v>45</v>
      </c>
      <c r="B39" s="2" t="n">
        <v>0.0373661178404778</v>
      </c>
      <c r="C39" s="2" t="n">
        <f aca="false">LN(B39/(1-B39))</f>
        <v>-3.24890880112165</v>
      </c>
      <c r="D39" s="2" t="n">
        <f aca="false">1-B39</f>
        <v>0.962633882159522</v>
      </c>
      <c r="E39" s="2" t="n">
        <f aca="false">LN(D39/(1-D39))</f>
        <v>3.24890880112165</v>
      </c>
      <c r="F39" s="0" t="str">
        <f aca="false">A39</f>
        <v>RHODE-ISLAND</v>
      </c>
      <c r="G39" s="4" t="n">
        <f aca="false">IF(B39&gt;0,1,0)</f>
        <v>1</v>
      </c>
      <c r="H39" s="1" t="n">
        <v>989794</v>
      </c>
      <c r="I39" s="2" t="n">
        <v>0</v>
      </c>
      <c r="J39" s="2" t="n">
        <v>0.0757652407576525</v>
      </c>
      <c r="K39" s="2" t="n">
        <f aca="false">Sheet21!$B$17+Sheet21!$B$18*H39+Sheet21!$B$19*I39+Sheet21!$B$20*J39</f>
        <v>0.0307268289205572</v>
      </c>
      <c r="L39" s="2" t="n">
        <v>0.0883295351941335</v>
      </c>
      <c r="M39" s="38" t="n">
        <v>1.30467382846026E-008</v>
      </c>
      <c r="O39" s="39" t="n">
        <f aca="false">B39*J39</f>
        <v>0.00283105291436261</v>
      </c>
      <c r="P39" s="39" t="n">
        <f aca="false">(1-B39)*(1-J39)</f>
        <v>0.889699694316232</v>
      </c>
      <c r="Q39" s="39" t="n">
        <f aca="false">B39*(1-J39)</f>
        <v>0.0345350649261151</v>
      </c>
      <c r="R39" s="39" t="n">
        <f aca="false">(1-B39)*J39</f>
        <v>0.0729341878432899</v>
      </c>
    </row>
    <row r="40" customFormat="false" ht="12.75" hidden="false" customHeight="false" outlineLevel="0" collapsed="false">
      <c r="A40" s="0" t="s">
        <v>46</v>
      </c>
      <c r="B40" s="2" t="n">
        <v>0</v>
      </c>
      <c r="C40" s="2" t="e">
        <f aca="false">LN(B40/(1-B40))</f>
        <v>#VALUE!</v>
      </c>
      <c r="D40" s="2" t="n">
        <f aca="false">1-B40</f>
        <v>1</v>
      </c>
      <c r="E40" s="2" t="e">
        <f aca="false">LN(D40/(1-D40))</f>
        <v>#DIV/0!</v>
      </c>
      <c r="F40" s="0" t="str">
        <f aca="false">A40</f>
        <v>SOUTH-CAROLINA</v>
      </c>
      <c r="G40" s="4" t="n">
        <f aca="false">IF(B40&gt;0,1,0)</f>
        <v>0</v>
      </c>
      <c r="H40" s="1" t="n">
        <v>3673287</v>
      </c>
      <c r="I40" s="2" t="n">
        <v>0</v>
      </c>
      <c r="J40" s="2" t="n">
        <v>0.0212156597627681</v>
      </c>
      <c r="K40" s="2" t="n">
        <f aca="false">Sheet21!$B$17+Sheet21!$B$18*H40+Sheet21!$B$19*I40+Sheet21!$B$20*J40</f>
        <v>-0.0115496986194282</v>
      </c>
      <c r="L40" s="2" t="n">
        <v>0.0059124840684687</v>
      </c>
      <c r="M40" s="38" t="n">
        <v>2.57625046539453E-014</v>
      </c>
      <c r="O40" s="39" t="n">
        <f aca="false">B40*J40</f>
        <v>0</v>
      </c>
      <c r="P40" s="39" t="n">
        <f aca="false">(1-B40)*(1-J40)</f>
        <v>0.978784340237232</v>
      </c>
      <c r="Q40" s="39" t="n">
        <f aca="false">B40*(1-J40)</f>
        <v>0</v>
      </c>
      <c r="R40" s="39" t="n">
        <f aca="false">(1-B40)*J40</f>
        <v>0.0212156597627681</v>
      </c>
    </row>
    <row r="41" customFormat="false" ht="12.75" hidden="false" customHeight="false" outlineLevel="0" collapsed="false">
      <c r="A41" s="0" t="s">
        <v>47</v>
      </c>
      <c r="B41" s="2" t="n">
        <v>0</v>
      </c>
      <c r="C41" s="2" t="e">
        <f aca="false">LN(B41/(1-B41))</f>
        <v>#VALUE!</v>
      </c>
      <c r="D41" s="2" t="n">
        <f aca="false">1-B41</f>
        <v>1</v>
      </c>
      <c r="E41" s="2" t="e">
        <f aca="false">LN(D41/(1-D41))</f>
        <v>#DIV/0!</v>
      </c>
      <c r="F41" s="0" t="str">
        <f aca="false">A41</f>
        <v>SOUTH-DAKOTA</v>
      </c>
      <c r="G41" s="4" t="n">
        <f aca="false">IF(B41&gt;0,1,0)</f>
        <v>0</v>
      </c>
      <c r="H41" s="1" t="n">
        <v>729034</v>
      </c>
      <c r="I41" s="2" t="n">
        <v>0</v>
      </c>
      <c r="J41" s="2" t="n">
        <v>0.0295761623107812</v>
      </c>
      <c r="K41" s="2" t="n">
        <f aca="false">Sheet21!$B$17+Sheet21!$B$18*H41+Sheet21!$B$19*I41+Sheet21!$B$20*J41</f>
        <v>-0.016305774346237</v>
      </c>
      <c r="L41" s="2" t="n">
        <v>0.0109357214220361</v>
      </c>
      <c r="M41" s="38" t="n">
        <v>8.51096256861615E-012</v>
      </c>
      <c r="O41" s="39" t="n">
        <f aca="false">B41*J41</f>
        <v>0</v>
      </c>
      <c r="P41" s="39" t="n">
        <f aca="false">(1-B41)*(1-J41)</f>
        <v>0.970423837689219</v>
      </c>
      <c r="Q41" s="39" t="n">
        <f aca="false">B41*(1-J41)</f>
        <v>0</v>
      </c>
      <c r="R41" s="39" t="n">
        <f aca="false">(1-B41)*J41</f>
        <v>0.0295761623107812</v>
      </c>
    </row>
    <row r="42" customFormat="false" ht="12.75" hidden="false" customHeight="false" outlineLevel="0" collapsed="false">
      <c r="A42" s="0" t="s">
        <v>48</v>
      </c>
      <c r="B42" s="2" t="n">
        <v>5.80051647196015E-005</v>
      </c>
      <c r="C42" s="2" t="n">
        <f aca="false">LN(B42/(1-B42))</f>
        <v>-9.75492049764553</v>
      </c>
      <c r="D42" s="2" t="n">
        <f aca="false">1-B42</f>
        <v>0.99994199483528</v>
      </c>
      <c r="E42" s="2" t="n">
        <f aca="false">LN(D42/(1-D42))</f>
        <v>9.75492049764462</v>
      </c>
      <c r="F42" s="0" t="str">
        <f aca="false">A42</f>
        <v>TENNESSEE</v>
      </c>
      <c r="G42" s="4" t="n">
        <f aca="false">IF(B42&gt;0,1,0)</f>
        <v>1</v>
      </c>
      <c r="H42" s="1" t="n">
        <v>5256051</v>
      </c>
      <c r="I42" s="2" t="n">
        <v>0</v>
      </c>
      <c r="J42" s="2" t="n">
        <v>0.0458630868796215</v>
      </c>
      <c r="K42" s="2" t="n">
        <f aca="false">Sheet21!$B$17+Sheet21!$B$18*H42+Sheet21!$B$19*I42+Sheet21!$B$20*J42</f>
        <v>0.0199513403860225</v>
      </c>
      <c r="L42" s="2" t="n">
        <v>0.0166026291755834</v>
      </c>
      <c r="M42" s="38" t="n">
        <v>2.94341409435387E-013</v>
      </c>
      <c r="O42" s="39" t="n">
        <f aca="false">B42*J42</f>
        <v>2.66029590900184E-006</v>
      </c>
      <c r="P42" s="39" t="n">
        <f aca="false">(1-B42)*(1-J42)</f>
        <v>0.954081568251568</v>
      </c>
      <c r="Q42" s="39" t="n">
        <f aca="false">B42*(1-J42)</f>
        <v>5.53448688105997E-005</v>
      </c>
      <c r="R42" s="39" t="n">
        <f aca="false">(1-B42)*J42</f>
        <v>0.0458604265837125</v>
      </c>
    </row>
    <row r="43" customFormat="false" ht="12.75" hidden="false" customHeight="false" outlineLevel="0" collapsed="false">
      <c r="A43" s="0" t="s">
        <v>49</v>
      </c>
      <c r="B43" s="2" t="n">
        <v>0.0247474685546935</v>
      </c>
      <c r="C43" s="2" t="n">
        <f aca="false">LN(B43/(1-B43))</f>
        <v>-3.67397324090676</v>
      </c>
      <c r="D43" s="2" t="n">
        <f aca="false">1-B43</f>
        <v>0.975252531445307</v>
      </c>
      <c r="E43" s="2" t="n">
        <f aca="false">LN(D43/(1-D43))</f>
        <v>3.67397324090676</v>
      </c>
      <c r="F43" s="0" t="str">
        <f aca="false">A43</f>
        <v>TEXAS</v>
      </c>
      <c r="G43" s="4" t="n">
        <f aca="false">IF(B43&gt;0,1,0)</f>
        <v>1</v>
      </c>
      <c r="H43" s="1" t="n">
        <v>18723991</v>
      </c>
      <c r="I43" s="2" t="n">
        <v>0.006727760393384</v>
      </c>
      <c r="J43" s="2" t="n">
        <v>0.00910524272123237</v>
      </c>
      <c r="K43" s="2" t="n">
        <f aca="false">Sheet21!$B$17+Sheet21!$B$18*H43+Sheet21!$B$19*I43+Sheet21!$B$20*J43</f>
        <v>0.0455700468946818</v>
      </c>
      <c r="L43" s="2" t="n">
        <v>0.0366459653194965</v>
      </c>
      <c r="M43" s="38" t="n">
        <v>2.38458372944146E-012</v>
      </c>
      <c r="O43" s="39" t="n">
        <f aca="false">B43*J43</f>
        <v>0.00022533170792655</v>
      </c>
      <c r="P43" s="39" t="n">
        <f aca="false">(1-B43)*(1-J43)</f>
        <v>0.966372620432001</v>
      </c>
      <c r="Q43" s="39" t="n">
        <f aca="false">B43*(1-J43)</f>
        <v>0.024522136846767</v>
      </c>
      <c r="R43" s="39" t="n">
        <f aca="false">(1-B43)*J43</f>
        <v>0.00887991101330582</v>
      </c>
    </row>
    <row r="44" customFormat="false" ht="12.75" hidden="false" customHeight="false" outlineLevel="0" collapsed="false">
      <c r="A44" s="0" t="s">
        <v>50</v>
      </c>
      <c r="B44" s="2" t="n">
        <v>0.000622986197117817</v>
      </c>
      <c r="C44" s="2" t="n">
        <f aca="false">LN(B44/(1-B44))</f>
        <v>-7.38036301459773</v>
      </c>
      <c r="D44" s="2" t="n">
        <f aca="false">1-B44</f>
        <v>0.999377013802882</v>
      </c>
      <c r="E44" s="2" t="n">
        <f aca="false">LN(D44/(1-D44))</f>
        <v>7.38036301459764</v>
      </c>
      <c r="F44" s="0" t="str">
        <f aca="false">A44</f>
        <v>UTAH</v>
      </c>
      <c r="G44" s="4" t="n">
        <f aca="false">IF(B44&gt;0,1,0)</f>
        <v>1</v>
      </c>
      <c r="H44" s="1" t="n">
        <v>1951408</v>
      </c>
      <c r="I44" s="2" t="n">
        <v>0</v>
      </c>
      <c r="J44" s="2" t="n">
        <v>0.00991343868813166</v>
      </c>
      <c r="K44" s="2" t="n">
        <f aca="false">Sheet21!$B$17+Sheet21!$B$18*H44+Sheet21!$B$19*I44+Sheet21!$B$20*J44</f>
        <v>-0.0304130802947328</v>
      </c>
      <c r="L44" s="2" t="n">
        <v>0.0153031212711886</v>
      </c>
      <c r="M44" s="38" t="n">
        <v>4.16760355861009E-013</v>
      </c>
      <c r="O44" s="39" t="n">
        <f aca="false">B44*J44</f>
        <v>6.17593546867978E-006</v>
      </c>
      <c r="P44" s="39" t="n">
        <f aca="false">(1-B44)*(1-J44)</f>
        <v>0.989469751050219</v>
      </c>
      <c r="Q44" s="39" t="n">
        <f aca="false">B44*(1-J44)</f>
        <v>0.000616810261649137</v>
      </c>
      <c r="R44" s="39" t="n">
        <f aca="false">(1-B44)*J44</f>
        <v>0.00990726275266298</v>
      </c>
    </row>
    <row r="45" customFormat="false" ht="12.75" hidden="false" customHeight="false" outlineLevel="0" collapsed="false">
      <c r="A45" s="0" t="s">
        <v>51</v>
      </c>
      <c r="B45" s="2" t="n">
        <v>0</v>
      </c>
      <c r="C45" s="2" t="e">
        <f aca="false">LN(B45/(1-B45))</f>
        <v>#VALUE!</v>
      </c>
      <c r="D45" s="2" t="n">
        <f aca="false">1-B45</f>
        <v>1</v>
      </c>
      <c r="E45" s="2" t="e">
        <f aca="false">LN(D45/(1-D45))</f>
        <v>#DIV/0!</v>
      </c>
      <c r="F45" s="0" t="str">
        <f aca="false">A45</f>
        <v>VERMONT</v>
      </c>
      <c r="G45" s="4" t="n">
        <f aca="false">IF(B45&gt;0,1,0)</f>
        <v>0</v>
      </c>
      <c r="H45" s="1" t="n">
        <v>584771</v>
      </c>
      <c r="I45" s="2" t="n">
        <v>0</v>
      </c>
      <c r="J45" s="2" t="n">
        <v>0.0494956071368481</v>
      </c>
      <c r="K45" s="2" t="n">
        <f aca="false">Sheet21!$B$17+Sheet21!$B$18*H45+Sheet21!$B$19*I45+Sheet21!$B$20*J45</f>
        <v>0.00283871714366032</v>
      </c>
      <c r="L45" s="2" t="n">
        <v>0.141040500339582</v>
      </c>
      <c r="M45" s="38" t="n">
        <v>5.28659248696466E-009</v>
      </c>
      <c r="O45" s="39" t="n">
        <f aca="false">B45*J45</f>
        <v>0</v>
      </c>
      <c r="P45" s="39" t="n">
        <f aca="false">(1-B45)*(1-J45)</f>
        <v>0.950504392863152</v>
      </c>
      <c r="Q45" s="39" t="n">
        <f aca="false">B45*(1-J45)</f>
        <v>0</v>
      </c>
      <c r="R45" s="39" t="n">
        <f aca="false">(1-B45)*J45</f>
        <v>0.0494956071368481</v>
      </c>
    </row>
    <row r="46" customFormat="false" ht="12.75" hidden="false" customHeight="false" outlineLevel="0" collapsed="false">
      <c r="A46" s="0" t="s">
        <v>52</v>
      </c>
      <c r="B46" s="2" t="n">
        <v>0.0465283677535952</v>
      </c>
      <c r="C46" s="2" t="n">
        <f aca="false">LN(B46/(1-B46))</f>
        <v>-3.02004748761433</v>
      </c>
      <c r="D46" s="2" t="n">
        <f aca="false">1-B46</f>
        <v>0.953471632246405</v>
      </c>
      <c r="E46" s="2" t="n">
        <f aca="false">LN(D46/(1-D46))</f>
        <v>3.02004748761433</v>
      </c>
      <c r="F46" s="0" t="str">
        <f aca="false">A46</f>
        <v>VIRGINIA</v>
      </c>
      <c r="G46" s="4" t="n">
        <f aca="false">IF(B46&gt;0,1,0)</f>
        <v>1</v>
      </c>
      <c r="H46" s="1" t="n">
        <v>6618358</v>
      </c>
      <c r="I46" s="2" t="n">
        <v>0.102064896755162</v>
      </c>
      <c r="J46" s="2" t="n">
        <v>0.0646098010772455</v>
      </c>
      <c r="K46" s="2" t="n">
        <f aca="false">Sheet21!$B$17+Sheet21!$B$18*H46+Sheet21!$B$19*I46+Sheet21!$B$20*J46</f>
        <v>0.0808302896170426</v>
      </c>
      <c r="L46" s="2" t="n">
        <v>0.020499083028995</v>
      </c>
      <c r="M46" s="38" t="n">
        <v>2.1699894914854E-010</v>
      </c>
      <c r="O46" s="39" t="n">
        <f aca="false">B46*J46</f>
        <v>0.00300618858500871</v>
      </c>
      <c r="P46" s="39" t="n">
        <f aca="false">(1-B46)*(1-J46)</f>
        <v>0.891868019754168</v>
      </c>
      <c r="Q46" s="39" t="n">
        <f aca="false">B46*(1-J46)</f>
        <v>0.0435221791685865</v>
      </c>
      <c r="R46" s="39" t="n">
        <f aca="false">(1-B46)*J46</f>
        <v>0.0616036124922367</v>
      </c>
    </row>
    <row r="47" customFormat="false" ht="12.75" hidden="false" customHeight="false" outlineLevel="0" collapsed="false">
      <c r="A47" s="0" t="s">
        <v>53</v>
      </c>
      <c r="B47" s="2" t="n">
        <v>0.0414276298865866</v>
      </c>
      <c r="C47" s="2" t="n">
        <f aca="false">LN(B47/(1-B47))</f>
        <v>-3.14149701635304</v>
      </c>
      <c r="D47" s="2" t="n">
        <f aca="false">1-B47</f>
        <v>0.958572370113414</v>
      </c>
      <c r="E47" s="2" t="n">
        <f aca="false">LN(D47/(1-D47))</f>
        <v>3.14149701635304</v>
      </c>
      <c r="F47" s="0" t="str">
        <f aca="false">A47</f>
        <v>WASHINGTON</v>
      </c>
      <c r="G47" s="4" t="n">
        <f aca="false">IF(B47&gt;0,1,0)</f>
        <v>1</v>
      </c>
      <c r="H47" s="1" t="n">
        <v>5430940</v>
      </c>
      <c r="I47" s="2" t="n">
        <v>0</v>
      </c>
      <c r="J47" s="2" t="n">
        <v>0.0152694227003708</v>
      </c>
      <c r="K47" s="2" t="n">
        <f aca="false">Sheet21!$B$17+Sheet21!$B$18*H47+Sheet21!$B$19*I47+Sheet21!$B$20*J47</f>
        <v>-0.0096591569325258</v>
      </c>
      <c r="L47" s="2" t="n">
        <v>0.0124407469527925</v>
      </c>
      <c r="M47" s="38" t="n">
        <v>4.68182221770351E-012</v>
      </c>
      <c r="O47" s="39" t="n">
        <f aca="false">B47*J47</f>
        <v>0.000632575992212805</v>
      </c>
      <c r="P47" s="39" t="n">
        <f aca="false">(1-B47)*(1-J47)</f>
        <v>0.943935523405255</v>
      </c>
      <c r="Q47" s="39" t="n">
        <f aca="false">B47*(1-J47)</f>
        <v>0.0407950538943738</v>
      </c>
      <c r="R47" s="39" t="n">
        <f aca="false">(1-B47)*J47</f>
        <v>0.014636846708158</v>
      </c>
    </row>
    <row r="48" customFormat="false" ht="12.75" hidden="false" customHeight="false" outlineLevel="0" collapsed="false">
      <c r="A48" s="0" t="s">
        <v>54</v>
      </c>
      <c r="B48" s="2" t="n">
        <v>0.0657245663242686</v>
      </c>
      <c r="C48" s="2" t="n">
        <f aca="false">LN(B48/(1-B48))</f>
        <v>-2.65429851936771</v>
      </c>
      <c r="D48" s="2" t="n">
        <f aca="false">1-B48</f>
        <v>0.934275433675731</v>
      </c>
      <c r="E48" s="2" t="n">
        <f aca="false">LN(D48/(1-D48))</f>
        <v>2.65429851936771</v>
      </c>
      <c r="F48" s="0" t="str">
        <f aca="false">A48</f>
        <v>WEST-VIRGINIA</v>
      </c>
      <c r="G48" s="4" t="n">
        <f aca="false">IF(B48&gt;0,1,0)</f>
        <v>1</v>
      </c>
      <c r="H48" s="1" t="n">
        <v>1828140</v>
      </c>
      <c r="I48" s="2" t="n">
        <v>0.154107142857143</v>
      </c>
      <c r="J48" s="2" t="n">
        <v>0.083450810945235</v>
      </c>
      <c r="K48" s="2" t="n">
        <f aca="false">Sheet21!$B$17+Sheet21!$B$18*H48+Sheet21!$B$19*I48+Sheet21!$B$20*J48</f>
        <v>0.0967620428417531</v>
      </c>
      <c r="L48" s="2" t="n">
        <v>0.051171165724616</v>
      </c>
      <c r="M48" s="38" t="n">
        <v>6.85214483647577E-010</v>
      </c>
      <c r="O48" s="39" t="n">
        <f aca="false">B48*J48</f>
        <v>0.00548476835878409</v>
      </c>
      <c r="P48" s="39" t="n">
        <f aca="false">(1-B48)*(1-J48)</f>
        <v>0.856309391089281</v>
      </c>
      <c r="Q48" s="39" t="n">
        <f aca="false">B48*(1-J48)</f>
        <v>0.0602397979654845</v>
      </c>
      <c r="R48" s="39" t="n">
        <f aca="false">(1-B48)*J48</f>
        <v>0.0779660425864509</v>
      </c>
    </row>
    <row r="49" customFormat="false" ht="12.75" hidden="false" customHeight="false" outlineLevel="0" collapsed="false">
      <c r="A49" s="0" t="s">
        <v>55</v>
      </c>
      <c r="B49" s="2" t="n">
        <v>1.13332512302244E-005</v>
      </c>
      <c r="C49" s="2" t="n">
        <f aca="false">LN(B49/(1-B49))</f>
        <v>-11.387758233119</v>
      </c>
      <c r="D49" s="2" t="n">
        <f aca="false">1-B49</f>
        <v>0.99998866674877</v>
      </c>
      <c r="E49" s="2" t="n">
        <f aca="false">LN(D49/(1-D49))</f>
        <v>11.3877582331157</v>
      </c>
      <c r="F49" s="0" t="str">
        <f aca="false">A49</f>
        <v>WISCONSIN</v>
      </c>
      <c r="G49" s="4" t="n">
        <f aca="false">IF(B49&gt;0,1,0)</f>
        <v>1</v>
      </c>
      <c r="H49" s="1" t="n">
        <v>5122871</v>
      </c>
      <c r="I49" s="2" t="n">
        <v>0</v>
      </c>
      <c r="J49" s="2" t="n">
        <v>0.0137079087829872</v>
      </c>
      <c r="K49" s="2" t="n">
        <f aca="false">Sheet21!$B$17+Sheet21!$B$18*H49+Sheet21!$B$19*I49+Sheet21!$B$20*J49</f>
        <v>-0.0125765943013465</v>
      </c>
      <c r="L49" s="2" t="n">
        <v>0.0435898383333731</v>
      </c>
      <c r="M49" s="38" t="n">
        <v>6.22970666540397E-012</v>
      </c>
      <c r="O49" s="39" t="n">
        <f aca="false">B49*J49</f>
        <v>1.55355174078594E-007</v>
      </c>
      <c r="P49" s="39" t="n">
        <f aca="false">(1-B49)*(1-J49)</f>
        <v>0.986280913320957</v>
      </c>
      <c r="Q49" s="39" t="n">
        <f aca="false">B49*(1-J49)</f>
        <v>1.11778960561458E-005</v>
      </c>
      <c r="R49" s="39" t="n">
        <f aca="false">(1-B49)*J49</f>
        <v>0.0137077534278131</v>
      </c>
    </row>
    <row r="50" customFormat="false" ht="12.75" hidden="false" customHeight="false" outlineLevel="0" collapsed="false">
      <c r="A50" s="0" t="s">
        <v>56</v>
      </c>
      <c r="B50" s="2" t="n">
        <v>0</v>
      </c>
      <c r="C50" s="2" t="e">
        <f aca="false">LN(B50/(1-B50))</f>
        <v>#VALUE!</v>
      </c>
      <c r="D50" s="2" t="n">
        <f aca="false">1-B50</f>
        <v>1</v>
      </c>
      <c r="E50" s="2" t="e">
        <f aca="false">LN(D50/(1-D50))</f>
        <v>#DIV/0!</v>
      </c>
      <c r="F50" s="0" t="str">
        <f aca="false">A50</f>
        <v>WYOMING</v>
      </c>
      <c r="G50" s="4" t="n">
        <f aca="false">IF(B50&gt;0,1,0)</f>
        <v>0</v>
      </c>
      <c r="H50" s="1" t="n">
        <v>480184</v>
      </c>
      <c r="I50" s="2" t="n">
        <v>0</v>
      </c>
      <c r="J50" s="2" t="n">
        <v>0.0256209952218234</v>
      </c>
      <c r="K50" s="2" t="n">
        <f aca="false">Sheet21!$B$17+Sheet21!$B$18*H50+Sheet21!$B$19*I50+Sheet21!$B$20*J50</f>
        <v>-0.0213379580679842</v>
      </c>
      <c r="L50" s="2" t="n">
        <v>0.0115138917944774</v>
      </c>
      <c r="M50" s="38" t="n">
        <v>2.06863081753292E-013</v>
      </c>
      <c r="O50" s="39" t="n">
        <f aca="false">B50*J50</f>
        <v>0</v>
      </c>
      <c r="P50" s="39" t="n">
        <f aca="false">(1-B50)*(1-J50)</f>
        <v>0.974379004778177</v>
      </c>
      <c r="Q50" s="39" t="n">
        <f aca="false">B50*(1-J50)</f>
        <v>0</v>
      </c>
      <c r="R50" s="39" t="n">
        <f aca="false">(1-B50)*J50</f>
        <v>0.0256209952218234</v>
      </c>
    </row>
    <row r="52" customFormat="false" ht="12.75" hidden="false" customHeight="false" outlineLevel="0" collapsed="false">
      <c r="A52" s="0" t="s">
        <v>367</v>
      </c>
    </row>
    <row r="53" customFormat="false" ht="12.75" hidden="false" customHeight="false" outlineLevel="0" collapsed="false">
      <c r="A53" s="0" t="s">
        <v>109</v>
      </c>
    </row>
    <row r="54" customFormat="false" ht="12.75" hidden="false" customHeight="false" outlineLevel="0" collapsed="false">
      <c r="A54" s="0" t="s">
        <v>368</v>
      </c>
    </row>
    <row r="55" customFormat="false" ht="12.75" hidden="false" customHeight="false" outlineLevel="0" collapsed="false">
      <c r="A55" s="0" t="s">
        <v>369</v>
      </c>
    </row>
    <row r="56" customFormat="false" ht="12.75" hidden="false" customHeight="false" outlineLevel="0" collapsed="false">
      <c r="A56" s="0" t="s">
        <v>112</v>
      </c>
    </row>
    <row r="57" customFormat="false" ht="12.75" hidden="false" customHeight="false" outlineLevel="0" collapsed="false">
      <c r="A57" s="0" t="s">
        <v>370</v>
      </c>
    </row>
    <row r="60" customFormat="false" ht="12.75" hidden="false" customHeight="false" outlineLevel="0" collapsed="false">
      <c r="A60" s="0" t="s">
        <v>371</v>
      </c>
    </row>
    <row r="61" customFormat="false" ht="13.5" hidden="false" customHeight="false" outlineLevel="0" collapsed="false"/>
    <row r="62" customFormat="false" ht="12.75" hidden="false" customHeight="false" outlineLevel="0" collapsed="false">
      <c r="A62" s="8" t="s">
        <v>372</v>
      </c>
      <c r="B62" s="8" t="s">
        <v>113</v>
      </c>
      <c r="C62" s="8" t="s">
        <v>114</v>
      </c>
    </row>
    <row r="63" customFormat="false" ht="12.75" hidden="false" customHeight="false" outlineLevel="0" collapsed="false">
      <c r="A63" s="6" t="s">
        <v>357</v>
      </c>
      <c r="B63" s="6" t="n">
        <v>0.0383230600332513</v>
      </c>
      <c r="C63" s="6" t="n">
        <v>0.0619318274193619</v>
      </c>
    </row>
    <row r="64" customFormat="false" ht="13.5" hidden="false" customHeight="false" outlineLevel="0" collapsed="false">
      <c r="A64" s="7" t="s">
        <v>373</v>
      </c>
      <c r="B64" s="7" t="n">
        <v>0.00346983561380992</v>
      </c>
      <c r="C64" s="7" t="n">
        <v>0.00546796676430527</v>
      </c>
    </row>
    <row r="68" customFormat="false" ht="12.75" hidden="false" customHeight="false" outlineLevel="0" collapsed="false">
      <c r="A68" s="0" t="s">
        <v>374</v>
      </c>
    </row>
    <row r="69" customFormat="false" ht="13.5" hidden="false" customHeight="false" outlineLevel="0" collapsed="false"/>
    <row r="70" customFormat="false" ht="12.75" hidden="false" customHeight="false" outlineLevel="0" collapsed="false">
      <c r="A70" s="8" t="s">
        <v>375</v>
      </c>
      <c r="B70" s="8" t="s">
        <v>135</v>
      </c>
      <c r="C70" s="8" t="s">
        <v>136</v>
      </c>
      <c r="D70" s="8" t="s">
        <v>376</v>
      </c>
      <c r="E70" s="8" t="s">
        <v>377</v>
      </c>
    </row>
    <row r="71" customFormat="false" ht="12.75" hidden="false" customHeight="false" outlineLevel="0" collapsed="false">
      <c r="A71" s="6" t="s">
        <v>80</v>
      </c>
      <c r="B71" s="15" t="n">
        <v>0.287962437425044</v>
      </c>
      <c r="C71" s="15" t="n">
        <v>0.244627297770678</v>
      </c>
      <c r="D71" s="15" t="n">
        <v>1.38567648142293</v>
      </c>
      <c r="E71" s="15" t="n">
        <v>0.239136723036171</v>
      </c>
    </row>
    <row r="72" customFormat="false" ht="12.75" hidden="false" customHeight="false" outlineLevel="0" collapsed="false">
      <c r="A72" s="6" t="s">
        <v>357</v>
      </c>
      <c r="B72" s="15" t="n">
        <v>40.9956017311622</v>
      </c>
      <c r="C72" s="15" t="n">
        <v>3.65692157743053</v>
      </c>
      <c r="D72" s="15" t="n">
        <v>125.673362938613</v>
      </c>
      <c r="E72" s="15" t="n">
        <v>0.0001</v>
      </c>
    </row>
    <row r="73" customFormat="false" ht="13.5" hidden="false" customHeight="false" outlineLevel="0" collapsed="false">
      <c r="A73" s="7" t="s">
        <v>373</v>
      </c>
      <c r="B73" s="16" t="n">
        <v>-58.4563997023457</v>
      </c>
      <c r="C73" s="16" t="n">
        <v>43.8719062566076</v>
      </c>
      <c r="D73" s="16" t="n">
        <v>1.77537915930927</v>
      </c>
      <c r="E73" s="16" t="n">
        <v>0.182717832201953</v>
      </c>
      <c r="G73" s="0" t="n">
        <f aca="false">B73/C73</f>
        <v>-1.33243354780239</v>
      </c>
    </row>
    <row r="76" customFormat="false" ht="13.5" hidden="false" customHeight="false" outlineLevel="0" collapsed="false">
      <c r="A76" s="0" t="s">
        <v>378</v>
      </c>
    </row>
    <row r="77" customFormat="false" ht="12.75" hidden="false" customHeight="false" outlineLevel="0" collapsed="false">
      <c r="A77" s="8" t="s">
        <v>379</v>
      </c>
      <c r="B77" s="8" t="s">
        <v>380</v>
      </c>
      <c r="C77" s="8" t="s">
        <v>381</v>
      </c>
      <c r="D77" s="8" t="s">
        <v>382</v>
      </c>
      <c r="E77" s="8" t="s">
        <v>383</v>
      </c>
      <c r="F77" s="8" t="s">
        <v>384</v>
      </c>
      <c r="G77" s="8" t="s">
        <v>385</v>
      </c>
      <c r="H77" s="8" t="s">
        <v>386</v>
      </c>
      <c r="I77" s="8" t="s">
        <v>387</v>
      </c>
      <c r="J77" s="8" t="s">
        <v>388</v>
      </c>
      <c r="K77" s="8" t="s">
        <v>389</v>
      </c>
    </row>
    <row r="78" customFormat="false" ht="13.5" hidden="false" customHeight="false" outlineLevel="0" collapsed="false">
      <c r="A78" s="7" t="n">
        <v>49</v>
      </c>
      <c r="B78" s="7" t="n">
        <v>-17.3747956704661</v>
      </c>
      <c r="C78" s="7" t="n">
        <v>-30.1821837539381</v>
      </c>
      <c r="D78" s="7" t="n">
        <v>29.4052376687326</v>
      </c>
      <c r="E78" s="7" t="n">
        <v>46</v>
      </c>
      <c r="F78" s="7" t="n">
        <v>0.972901753308873</v>
      </c>
      <c r="G78" s="7" t="n">
        <v>25.6147761669439</v>
      </c>
      <c r="H78" s="7" t="n">
        <v>2</v>
      </c>
      <c r="I78" s="7" t="n">
        <v>0.0001</v>
      </c>
      <c r="J78" s="7" t="n">
        <v>0.423999020403151</v>
      </c>
      <c r="K78" s="7" t="n">
        <v>0.424336031742596</v>
      </c>
    </row>
    <row r="80" customFormat="false" ht="12.75" hidden="false" customHeight="false" outlineLevel="0" collapsed="false">
      <c r="A80" s="0" t="s">
        <v>390</v>
      </c>
    </row>
    <row r="81" customFormat="false" ht="13.5" hidden="false" customHeight="false" outlineLevel="0" collapsed="false"/>
    <row r="82" customFormat="false" ht="12.75" hidden="false" customHeight="false" outlineLevel="0" collapsed="false">
      <c r="A82" s="8" t="s">
        <v>63</v>
      </c>
      <c r="B82" s="8"/>
      <c r="C82" s="8" t="s">
        <v>357</v>
      </c>
      <c r="D82" s="8" t="s">
        <v>373</v>
      </c>
      <c r="E82" s="8" t="s">
        <v>362</v>
      </c>
      <c r="F82" s="8" t="s">
        <v>391</v>
      </c>
      <c r="G82" s="8" t="s">
        <v>392</v>
      </c>
      <c r="H82" s="8" t="s">
        <v>393</v>
      </c>
      <c r="I82" s="8" t="s">
        <v>394</v>
      </c>
      <c r="J82" s="8" t="s">
        <v>395</v>
      </c>
      <c r="K82" s="8" t="s">
        <v>396</v>
      </c>
    </row>
    <row r="83" customFormat="false" ht="12.75" hidden="false" customHeight="false" outlineLevel="0" collapsed="false">
      <c r="A83" s="6" t="s">
        <v>202</v>
      </c>
      <c r="B83" s="6" t="n">
        <v>1</v>
      </c>
      <c r="C83" s="6" t="n">
        <v>-0.00635998563327726</v>
      </c>
      <c r="D83" s="6" t="n">
        <v>0.00103780685279132</v>
      </c>
      <c r="E83" s="6" t="n">
        <v>0</v>
      </c>
      <c r="F83" s="15" t="n">
        <v>0.486663612536648</v>
      </c>
      <c r="G83" s="15" t="n">
        <v>0.693877551020408</v>
      </c>
      <c r="H83" s="15" t="n">
        <v>0</v>
      </c>
      <c r="I83" s="15" t="n">
        <v>0.486663612536648</v>
      </c>
      <c r="J83" s="15" t="n">
        <v>-0.973673640386436</v>
      </c>
      <c r="K83" s="15" t="n">
        <v>-1.50554530541816</v>
      </c>
    </row>
    <row r="84" customFormat="false" ht="12.75" hidden="false" customHeight="false" outlineLevel="0" collapsed="false">
      <c r="A84" s="6" t="s">
        <v>203</v>
      </c>
      <c r="B84" s="6" t="n">
        <v>1</v>
      </c>
      <c r="C84" s="6" t="n">
        <v>-0.0190743876668005</v>
      </c>
      <c r="D84" s="6" t="n">
        <v>0.00110520515997275</v>
      </c>
      <c r="E84" s="6" t="n">
        <v>0</v>
      </c>
      <c r="F84" s="15" t="n">
        <v>0.288213966102267</v>
      </c>
      <c r="G84" s="15" t="n">
        <v>0.693877551020408</v>
      </c>
      <c r="H84" s="15" t="n">
        <v>0</v>
      </c>
      <c r="I84" s="15" t="n">
        <v>0.288213966102267</v>
      </c>
      <c r="J84" s="15" t="n">
        <v>-0.636330558270107</v>
      </c>
      <c r="K84" s="15" t="n">
        <v>-1.50554530541816</v>
      </c>
    </row>
    <row r="85" customFormat="false" ht="12.75" hidden="false" customHeight="false" outlineLevel="0" collapsed="false">
      <c r="A85" s="6" t="s">
        <v>204</v>
      </c>
      <c r="B85" s="6" t="n">
        <v>1</v>
      </c>
      <c r="C85" s="6" t="n">
        <v>0.0021231116583736</v>
      </c>
      <c r="D85" s="6" t="n">
        <v>0.000968232645326292</v>
      </c>
      <c r="E85" s="6" t="n">
        <v>0</v>
      </c>
      <c r="F85" s="15" t="n">
        <v>0.624909649930331</v>
      </c>
      <c r="G85" s="15" t="n">
        <v>0.693877551020408</v>
      </c>
      <c r="H85" s="15" t="n">
        <v>0</v>
      </c>
      <c r="I85" s="15" t="n">
        <v>0.624909649930331</v>
      </c>
      <c r="J85" s="15" t="n">
        <v>-1.29074564963137</v>
      </c>
      <c r="K85" s="15" t="n">
        <v>-1.50554530541816</v>
      </c>
    </row>
    <row r="86" customFormat="false" ht="12.75" hidden="false" customHeight="false" outlineLevel="0" collapsed="false">
      <c r="A86" s="6" t="s">
        <v>205</v>
      </c>
      <c r="B86" s="6" t="n">
        <v>1</v>
      </c>
      <c r="C86" s="6" t="n">
        <v>0.0956979646979981</v>
      </c>
      <c r="D86" s="6" t="n">
        <v>0.00103743972283934</v>
      </c>
      <c r="E86" s="6" t="n">
        <v>1</v>
      </c>
      <c r="F86" s="15" t="n">
        <v>0.999983403776068</v>
      </c>
      <c r="G86" s="15" t="n">
        <v>0.693877551020408</v>
      </c>
      <c r="H86" s="15" t="n">
        <v>1</v>
      </c>
      <c r="I86" s="15" t="n">
        <v>0.999983403776068</v>
      </c>
      <c r="J86" s="15" t="n">
        <v>0.0040738801371277</v>
      </c>
      <c r="K86" s="15" t="n">
        <v>0.664211164155072</v>
      </c>
    </row>
    <row r="87" customFormat="false" ht="12.75" hidden="false" customHeight="false" outlineLevel="0" collapsed="false">
      <c r="A87" s="6" t="s">
        <v>206</v>
      </c>
      <c r="B87" s="6" t="n">
        <v>1</v>
      </c>
      <c r="C87" s="6" t="n">
        <v>-0.0191589666506185</v>
      </c>
      <c r="D87" s="6" t="n">
        <v>0.000900750597720061</v>
      </c>
      <c r="E87" s="6" t="n">
        <v>1</v>
      </c>
      <c r="F87" s="15" t="n">
        <v>0.291116597567242</v>
      </c>
      <c r="G87" s="15" t="n">
        <v>0.693877551020408</v>
      </c>
      <c r="H87" s="15" t="n">
        <v>1</v>
      </c>
      <c r="I87" s="15" t="n">
        <v>0.291116597567242</v>
      </c>
      <c r="J87" s="15" t="n">
        <v>1.56046459901871</v>
      </c>
      <c r="K87" s="15" t="n">
        <v>0.664211164155072</v>
      </c>
    </row>
    <row r="88" customFormat="false" ht="12.75" hidden="false" customHeight="false" outlineLevel="0" collapsed="false">
      <c r="A88" s="6" t="s">
        <v>207</v>
      </c>
      <c r="B88" s="6" t="n">
        <v>1</v>
      </c>
      <c r="C88" s="6" t="n">
        <v>0.137856453890509</v>
      </c>
      <c r="D88" s="6" t="n">
        <v>0.0127945450267137</v>
      </c>
      <c r="E88" s="6" t="n">
        <v>1</v>
      </c>
      <c r="F88" s="15" t="n">
        <v>0.999999895525894</v>
      </c>
      <c r="G88" s="15" t="n">
        <v>0.693877551020408</v>
      </c>
      <c r="H88" s="15" t="n">
        <v>1</v>
      </c>
      <c r="I88" s="15" t="n">
        <v>0.999999895525894</v>
      </c>
      <c r="J88" s="15" t="n">
        <v>0.000323224560833141</v>
      </c>
      <c r="K88" s="15" t="n">
        <v>0.664211164155072</v>
      </c>
    </row>
    <row r="89" customFormat="false" ht="12.75" hidden="false" customHeight="false" outlineLevel="0" collapsed="false">
      <c r="A89" s="6" t="s">
        <v>208</v>
      </c>
      <c r="B89" s="6" t="n">
        <v>1</v>
      </c>
      <c r="C89" s="6" t="n">
        <v>0.169582366724771</v>
      </c>
      <c r="D89" s="6" t="n">
        <v>0.0119523035423315</v>
      </c>
      <c r="E89" s="6" t="n">
        <v>1</v>
      </c>
      <c r="F89" s="15" t="n">
        <v>0.999999999969374</v>
      </c>
      <c r="G89" s="15" t="n">
        <v>0.693877551020408</v>
      </c>
      <c r="H89" s="15" t="n">
        <v>1</v>
      </c>
      <c r="I89" s="15" t="n">
        <v>0.999999999969374</v>
      </c>
      <c r="J89" s="15" t="n">
        <v>5.53405133512762E-006</v>
      </c>
      <c r="K89" s="15" t="n">
        <v>0.664211164155072</v>
      </c>
    </row>
    <row r="90" customFormat="false" ht="12.75" hidden="false" customHeight="false" outlineLevel="0" collapsed="false">
      <c r="A90" s="6" t="s">
        <v>209</v>
      </c>
      <c r="B90" s="6" t="n">
        <v>1</v>
      </c>
      <c r="C90" s="6" t="n">
        <v>0.061251926411499</v>
      </c>
      <c r="D90" s="6" t="n">
        <v>0.00138270267108668</v>
      </c>
      <c r="E90" s="6" t="n">
        <v>1</v>
      </c>
      <c r="F90" s="15" t="n">
        <v>0.996717982912211</v>
      </c>
      <c r="G90" s="15" t="n">
        <v>0.693877551020408</v>
      </c>
      <c r="H90" s="15" t="n">
        <v>1</v>
      </c>
      <c r="I90" s="15" t="n">
        <v>0.996717982912211</v>
      </c>
      <c r="J90" s="15" t="n">
        <v>0.0573831350926221</v>
      </c>
      <c r="K90" s="15" t="n">
        <v>0.664211164155072</v>
      </c>
    </row>
    <row r="91" customFormat="false" ht="12.75" hidden="false" customHeight="false" outlineLevel="0" collapsed="false">
      <c r="A91" s="6" t="s">
        <v>210</v>
      </c>
      <c r="B91" s="6" t="n">
        <v>1</v>
      </c>
      <c r="C91" s="6" t="n">
        <v>0.0137604560774319</v>
      </c>
      <c r="D91" s="6" t="n">
        <v>0.000998970106345577</v>
      </c>
      <c r="E91" s="6" t="n">
        <v>1</v>
      </c>
      <c r="F91" s="15" t="n">
        <v>0.786310475174458</v>
      </c>
      <c r="G91" s="15" t="n">
        <v>0.693877551020408</v>
      </c>
      <c r="H91" s="15" t="n">
        <v>1</v>
      </c>
      <c r="I91" s="15" t="n">
        <v>0.786310475174458</v>
      </c>
      <c r="J91" s="15" t="n">
        <v>0.521308235664511</v>
      </c>
      <c r="K91" s="15" t="n">
        <v>0.664211164155072</v>
      </c>
    </row>
    <row r="92" customFormat="false" ht="12.75" hidden="false" customHeight="false" outlineLevel="0" collapsed="false">
      <c r="A92" s="6" t="s">
        <v>211</v>
      </c>
      <c r="B92" s="6" t="n">
        <v>1</v>
      </c>
      <c r="C92" s="6" t="n">
        <v>-0.0341913086322479</v>
      </c>
      <c r="D92" s="6" t="n">
        <v>0.00253316653774324</v>
      </c>
      <c r="E92" s="6" t="n">
        <v>0</v>
      </c>
      <c r="F92" s="15" t="n">
        <v>0.103508537252413</v>
      </c>
      <c r="G92" s="15" t="n">
        <v>0.693877551020408</v>
      </c>
      <c r="H92" s="15" t="n">
        <v>0</v>
      </c>
      <c r="I92" s="15" t="n">
        <v>0.103508537252413</v>
      </c>
      <c r="J92" s="15" t="n">
        <v>-0.339793452829365</v>
      </c>
      <c r="K92" s="15" t="n">
        <v>-1.50554530541816</v>
      </c>
    </row>
    <row r="93" customFormat="false" ht="12.75" hidden="false" customHeight="false" outlineLevel="0" collapsed="false">
      <c r="A93" s="6" t="s">
        <v>212</v>
      </c>
      <c r="B93" s="6" t="n">
        <v>1</v>
      </c>
      <c r="C93" s="6" t="n">
        <v>-0.0177839994909336</v>
      </c>
      <c r="D93" s="6" t="n">
        <v>0.00114445052347599</v>
      </c>
      <c r="E93" s="6" t="n">
        <v>0</v>
      </c>
      <c r="F93" s="15" t="n">
        <v>0.305725338564611</v>
      </c>
      <c r="G93" s="15" t="n">
        <v>0.693877551020408</v>
      </c>
      <c r="H93" s="15" t="n">
        <v>0</v>
      </c>
      <c r="I93" s="15" t="n">
        <v>0.305725338564611</v>
      </c>
      <c r="J93" s="15" t="n">
        <v>-0.663590346632174</v>
      </c>
      <c r="K93" s="15" t="n">
        <v>-1.50554530541816</v>
      </c>
    </row>
    <row r="94" customFormat="false" ht="12.75" hidden="false" customHeight="false" outlineLevel="0" collapsed="false">
      <c r="A94" s="6" t="s">
        <v>213</v>
      </c>
      <c r="B94" s="6" t="n">
        <v>1</v>
      </c>
      <c r="C94" s="6" t="n">
        <v>0.0608497516791446</v>
      </c>
      <c r="D94" s="6" t="n">
        <v>0.000672289152317663</v>
      </c>
      <c r="E94" s="6" t="n">
        <v>1</v>
      </c>
      <c r="F94" s="15" t="n">
        <v>0.996958088637474</v>
      </c>
      <c r="G94" s="15" t="n">
        <v>0.693877551020408</v>
      </c>
      <c r="H94" s="15" t="n">
        <v>1</v>
      </c>
      <c r="I94" s="15" t="n">
        <v>0.996958088637474</v>
      </c>
      <c r="J94" s="15" t="n">
        <v>0.0552376033208929</v>
      </c>
      <c r="K94" s="15" t="n">
        <v>0.664211164155072</v>
      </c>
    </row>
    <row r="95" customFormat="false" ht="12.75" hidden="false" customHeight="false" outlineLevel="0" collapsed="false">
      <c r="A95" s="6" t="s">
        <v>214</v>
      </c>
      <c r="B95" s="6" t="n">
        <v>1</v>
      </c>
      <c r="C95" s="6" t="n">
        <v>0.052140822775422</v>
      </c>
      <c r="D95" s="6" t="n">
        <v>0.00262573183456856</v>
      </c>
      <c r="E95" s="6" t="n">
        <v>1</v>
      </c>
      <c r="F95" s="15" t="n">
        <v>0.988457261901746</v>
      </c>
      <c r="G95" s="15" t="n">
        <v>0.693877551020408</v>
      </c>
      <c r="H95" s="15" t="n">
        <v>1</v>
      </c>
      <c r="I95" s="15" t="n">
        <v>0.988457261901746</v>
      </c>
      <c r="J95" s="15" t="n">
        <v>0.108062614970672</v>
      </c>
      <c r="K95" s="15" t="n">
        <v>0.664211164155072</v>
      </c>
    </row>
    <row r="96" customFormat="false" ht="12.75" hidden="false" customHeight="false" outlineLevel="0" collapsed="false">
      <c r="A96" s="6" t="s">
        <v>215</v>
      </c>
      <c r="B96" s="6" t="n">
        <v>1</v>
      </c>
      <c r="C96" s="6" t="n">
        <v>0.000358210427176681</v>
      </c>
      <c r="D96" s="6" t="n">
        <v>0.00175018962418276</v>
      </c>
      <c r="E96" s="6" t="n">
        <v>1</v>
      </c>
      <c r="F96" s="15" t="n">
        <v>0.579391737550365</v>
      </c>
      <c r="G96" s="15" t="n">
        <v>0.693877551020408</v>
      </c>
      <c r="H96" s="15" t="n">
        <v>1</v>
      </c>
      <c r="I96" s="15" t="n">
        <v>0.579391737550365</v>
      </c>
      <c r="J96" s="15" t="n">
        <v>0.852025810426652</v>
      </c>
      <c r="K96" s="15" t="n">
        <v>0.664211164155072</v>
      </c>
    </row>
    <row r="97" customFormat="false" ht="12.75" hidden="false" customHeight="false" outlineLevel="0" collapsed="false">
      <c r="A97" s="6" t="s">
        <v>216</v>
      </c>
      <c r="B97" s="6" t="n">
        <v>1</v>
      </c>
      <c r="C97" s="6" t="n">
        <v>0.117413216566811</v>
      </c>
      <c r="D97" s="6" t="n">
        <v>0.000538282967553983</v>
      </c>
      <c r="E97" s="6" t="n">
        <v>1</v>
      </c>
      <c r="F97" s="15" t="n">
        <v>0.999999800673686</v>
      </c>
      <c r="G97" s="15" t="n">
        <v>0.693877551020408</v>
      </c>
      <c r="H97" s="15" t="n">
        <v>1</v>
      </c>
      <c r="I97" s="15" t="n">
        <v>0.999999800673686</v>
      </c>
      <c r="J97" s="15" t="n">
        <v>0.000446459801184751</v>
      </c>
      <c r="K97" s="15" t="n">
        <v>0.664211164155072</v>
      </c>
    </row>
    <row r="98" customFormat="false" ht="12.75" hidden="false" customHeight="false" outlineLevel="0" collapsed="false">
      <c r="A98" s="6" t="s">
        <v>217</v>
      </c>
      <c r="B98" s="6" t="n">
        <v>1</v>
      </c>
      <c r="C98" s="6" t="n">
        <v>0.115297383798601</v>
      </c>
      <c r="D98" s="6" t="n">
        <v>0.00260667294964903</v>
      </c>
      <c r="E98" s="6" t="n">
        <v>1</v>
      </c>
      <c r="F98" s="15" t="n">
        <v>0.999999418968208</v>
      </c>
      <c r="G98" s="15" t="n">
        <v>0.693877551020408</v>
      </c>
      <c r="H98" s="15" t="n">
        <v>1</v>
      </c>
      <c r="I98" s="15" t="n">
        <v>0.999999418968208</v>
      </c>
      <c r="J98" s="15" t="n">
        <v>0.000762254635458544</v>
      </c>
      <c r="K98" s="15" t="n">
        <v>0.664211164155072</v>
      </c>
    </row>
    <row r="99" customFormat="false" ht="12.75" hidden="false" customHeight="false" outlineLevel="0" collapsed="false">
      <c r="A99" s="6" t="s">
        <v>218</v>
      </c>
      <c r="B99" s="6" t="n">
        <v>1</v>
      </c>
      <c r="C99" s="6" t="n">
        <v>-0.00868223471621077</v>
      </c>
      <c r="D99" s="6" t="n">
        <v>0.00126592646907651</v>
      </c>
      <c r="E99" s="6" t="n">
        <v>1</v>
      </c>
      <c r="F99" s="15" t="n">
        <v>0.443550837126524</v>
      </c>
      <c r="G99" s="15" t="n">
        <v>0.693877551020408</v>
      </c>
      <c r="H99" s="15" t="n">
        <v>1</v>
      </c>
      <c r="I99" s="15" t="n">
        <v>0.443550837126524</v>
      </c>
      <c r="J99" s="15" t="n">
        <v>1.12005937395022</v>
      </c>
      <c r="K99" s="15" t="n">
        <v>0.664211164155072</v>
      </c>
    </row>
    <row r="100" customFormat="false" ht="12.75" hidden="false" customHeight="false" outlineLevel="0" collapsed="false">
      <c r="A100" s="6" t="s">
        <v>219</v>
      </c>
      <c r="B100" s="6" t="n">
        <v>1</v>
      </c>
      <c r="C100" s="6" t="n">
        <v>0.0810135827578753</v>
      </c>
      <c r="D100" s="6" t="n">
        <v>0.00403784861999563</v>
      </c>
      <c r="E100" s="6" t="n">
        <v>1</v>
      </c>
      <c r="F100" s="15" t="n">
        <v>0.999628345317104</v>
      </c>
      <c r="G100" s="15" t="n">
        <v>0.693877551020408</v>
      </c>
      <c r="H100" s="15" t="n">
        <v>1</v>
      </c>
      <c r="I100" s="15" t="n">
        <v>0.999628345317104</v>
      </c>
      <c r="J100" s="15" t="n">
        <v>0.0192819309575986</v>
      </c>
      <c r="K100" s="15" t="n">
        <v>0.664211164155072</v>
      </c>
    </row>
    <row r="101" customFormat="false" ht="12.75" hidden="false" customHeight="false" outlineLevel="0" collapsed="false">
      <c r="A101" s="6" t="s">
        <v>220</v>
      </c>
      <c r="B101" s="6" t="n">
        <v>1</v>
      </c>
      <c r="C101" s="6" t="n">
        <v>0.0638689785716179</v>
      </c>
      <c r="D101" s="6" t="n">
        <v>0.00521099189986518</v>
      </c>
      <c r="E101" s="6" t="n">
        <v>1</v>
      </c>
      <c r="F101" s="15" t="n">
        <v>0.995361733717914</v>
      </c>
      <c r="G101" s="15" t="n">
        <v>0.693877551020408</v>
      </c>
      <c r="H101" s="15" t="n">
        <v>1</v>
      </c>
      <c r="I101" s="15" t="n">
        <v>0.995361733717914</v>
      </c>
      <c r="J101" s="15" t="n">
        <v>0.0682633140609528</v>
      </c>
      <c r="K101" s="15" t="n">
        <v>0.664211164155072</v>
      </c>
    </row>
    <row r="102" customFormat="false" ht="12.75" hidden="false" customHeight="false" outlineLevel="0" collapsed="false">
      <c r="A102" s="6" t="s">
        <v>221</v>
      </c>
      <c r="B102" s="6" t="n">
        <v>1</v>
      </c>
      <c r="C102" s="6" t="n">
        <v>0.0858221614196834</v>
      </c>
      <c r="D102" s="6" t="n">
        <v>0.00225842693152515</v>
      </c>
      <c r="E102" s="6" t="n">
        <v>1</v>
      </c>
      <c r="F102" s="15" t="n">
        <v>0.999880704595587</v>
      </c>
      <c r="G102" s="15" t="n">
        <v>0.693877551020408</v>
      </c>
      <c r="H102" s="15" t="n">
        <v>1</v>
      </c>
      <c r="I102" s="15" t="n">
        <v>0.999880704595587</v>
      </c>
      <c r="J102" s="15" t="n">
        <v>0.0109228951063367</v>
      </c>
      <c r="K102" s="15" t="n">
        <v>0.664211164155072</v>
      </c>
    </row>
    <row r="103" customFormat="false" ht="12.75" hidden="false" customHeight="false" outlineLevel="0" collapsed="false">
      <c r="A103" s="6" t="s">
        <v>222</v>
      </c>
      <c r="B103" s="6" t="n">
        <v>1</v>
      </c>
      <c r="C103" s="6" t="n">
        <v>0.00135832049378335</v>
      </c>
      <c r="D103" s="6" t="n">
        <v>0.000980239584198947</v>
      </c>
      <c r="E103" s="6" t="n">
        <v>1</v>
      </c>
      <c r="F103" s="15" t="n">
        <v>0.612693495278482</v>
      </c>
      <c r="G103" s="15" t="n">
        <v>0.693877551020408</v>
      </c>
      <c r="H103" s="15" t="n">
        <v>1</v>
      </c>
      <c r="I103" s="15" t="n">
        <v>0.612693495278482</v>
      </c>
      <c r="J103" s="15" t="n">
        <v>0.79507072113554</v>
      </c>
      <c r="K103" s="15" t="n">
        <v>0.664211164155072</v>
      </c>
    </row>
    <row r="104" customFormat="false" ht="12.75" hidden="false" customHeight="false" outlineLevel="0" collapsed="false">
      <c r="A104" s="6" t="s">
        <v>223</v>
      </c>
      <c r="B104" s="6" t="n">
        <v>1</v>
      </c>
      <c r="C104" s="6" t="n">
        <v>-0.00550809175066745</v>
      </c>
      <c r="D104" s="6" t="n">
        <v>0.000444794889550436</v>
      </c>
      <c r="E104" s="6" t="n">
        <v>0</v>
      </c>
      <c r="F104" s="15" t="n">
        <v>0.514420194478923</v>
      </c>
      <c r="G104" s="15" t="n">
        <v>0.693877551020408</v>
      </c>
      <c r="H104" s="15" t="n">
        <v>0</v>
      </c>
      <c r="I104" s="15" t="n">
        <v>0.514420194478923</v>
      </c>
      <c r="J104" s="15" t="n">
        <v>-1.02926853433905</v>
      </c>
      <c r="K104" s="15" t="n">
        <v>-1.50554530541816</v>
      </c>
    </row>
    <row r="105" customFormat="false" ht="12.75" hidden="false" customHeight="false" outlineLevel="0" collapsed="false">
      <c r="A105" s="6" t="s">
        <v>224</v>
      </c>
      <c r="B105" s="6" t="n">
        <v>1</v>
      </c>
      <c r="C105" s="6" t="n">
        <v>-0.0066549133440133</v>
      </c>
      <c r="D105" s="6" t="n">
        <v>0.00134957049324707</v>
      </c>
      <c r="E105" s="6" t="n">
        <v>0</v>
      </c>
      <c r="F105" s="15" t="n">
        <v>0.474584268263532</v>
      </c>
      <c r="G105" s="15" t="n">
        <v>0.693877551020408</v>
      </c>
      <c r="H105" s="15" t="n">
        <v>0</v>
      </c>
      <c r="I105" s="15" t="n">
        <v>0.474584268263532</v>
      </c>
      <c r="J105" s="15" t="n">
        <v>-0.950397166690177</v>
      </c>
      <c r="K105" s="15" t="n">
        <v>-1.50554530541816</v>
      </c>
    </row>
    <row r="106" customFormat="false" ht="12.75" hidden="false" customHeight="false" outlineLevel="0" collapsed="false">
      <c r="A106" s="6" t="s">
        <v>225</v>
      </c>
      <c r="B106" s="6" t="n">
        <v>1</v>
      </c>
      <c r="C106" s="6" t="n">
        <v>0.0466347256189784</v>
      </c>
      <c r="D106" s="6" t="n">
        <v>0.00328065238260393</v>
      </c>
      <c r="E106" s="6" t="n">
        <v>1</v>
      </c>
      <c r="F106" s="15" t="n">
        <v>0.977678737852675</v>
      </c>
      <c r="G106" s="15" t="n">
        <v>0.693877551020408</v>
      </c>
      <c r="H106" s="15" t="n">
        <v>1</v>
      </c>
      <c r="I106" s="15" t="n">
        <v>0.977678737852675</v>
      </c>
      <c r="J106" s="15" t="n">
        <v>0.151098895158809</v>
      </c>
      <c r="K106" s="15" t="n">
        <v>0.664211164155072</v>
      </c>
    </row>
    <row r="107" customFormat="false" ht="12.75" hidden="false" customHeight="false" outlineLevel="0" collapsed="false">
      <c r="A107" s="6" t="s">
        <v>226</v>
      </c>
      <c r="B107" s="6" t="n">
        <v>1</v>
      </c>
      <c r="C107" s="6" t="n">
        <v>-0.0371447910361071</v>
      </c>
      <c r="D107" s="6" t="n">
        <v>0.000431700362352415</v>
      </c>
      <c r="E107" s="6" t="n">
        <v>0</v>
      </c>
      <c r="F107" s="15" t="n">
        <v>0.103826405085781</v>
      </c>
      <c r="G107" s="15" t="n">
        <v>0.693877551020408</v>
      </c>
      <c r="H107" s="15" t="n">
        <v>0</v>
      </c>
      <c r="I107" s="15" t="n">
        <v>0.103826405085781</v>
      </c>
      <c r="J107" s="15" t="n">
        <v>-0.340375142971362</v>
      </c>
      <c r="K107" s="15" t="n">
        <v>-1.50554530541816</v>
      </c>
    </row>
    <row r="108" customFormat="false" ht="12.75" hidden="false" customHeight="false" outlineLevel="0" collapsed="false">
      <c r="A108" s="6" t="s">
        <v>227</v>
      </c>
      <c r="B108" s="6" t="n">
        <v>1</v>
      </c>
      <c r="C108" s="6" t="n">
        <v>0.00056372543716221</v>
      </c>
      <c r="D108" s="6" t="n">
        <v>0.000597865991649868</v>
      </c>
      <c r="E108" s="6" t="n">
        <v>1</v>
      </c>
      <c r="F108" s="15" t="n">
        <v>0.608773372965318</v>
      </c>
      <c r="G108" s="15" t="n">
        <v>0.693877551020408</v>
      </c>
      <c r="H108" s="15" t="n">
        <v>1</v>
      </c>
      <c r="I108" s="15" t="n">
        <v>0.608773372965318</v>
      </c>
      <c r="J108" s="15" t="n">
        <v>0.801652919166245</v>
      </c>
      <c r="K108" s="15" t="n">
        <v>0.664211164155072</v>
      </c>
    </row>
    <row r="109" customFormat="false" ht="12.75" hidden="false" customHeight="false" outlineLevel="0" collapsed="false">
      <c r="A109" s="6" t="s">
        <v>228</v>
      </c>
      <c r="B109" s="6" t="n">
        <v>1</v>
      </c>
      <c r="C109" s="6" t="n">
        <v>0.000927773657300242</v>
      </c>
      <c r="D109" s="6" t="n">
        <v>0.000647898071076054</v>
      </c>
      <c r="E109" s="6" t="n">
        <v>0</v>
      </c>
      <c r="F109" s="15" t="n">
        <v>0.613373751531229</v>
      </c>
      <c r="G109" s="15" t="n">
        <v>0.693877551020408</v>
      </c>
      <c r="H109" s="15" t="n">
        <v>0</v>
      </c>
      <c r="I109" s="15" t="n">
        <v>0.613373751531229</v>
      </c>
      <c r="J109" s="15" t="n">
        <v>-1.25955438967904</v>
      </c>
      <c r="K109" s="15" t="n">
        <v>-1.50554530541816</v>
      </c>
    </row>
    <row r="110" customFormat="false" ht="12.75" hidden="false" customHeight="false" outlineLevel="0" collapsed="false">
      <c r="A110" s="6" t="s">
        <v>229</v>
      </c>
      <c r="B110" s="6" t="n">
        <v>1</v>
      </c>
      <c r="C110" s="6" t="n">
        <v>0.14371972819033</v>
      </c>
      <c r="D110" s="6" t="n">
        <v>0.0165517932340179</v>
      </c>
      <c r="E110" s="6" t="n">
        <v>1</v>
      </c>
      <c r="F110" s="15" t="n">
        <v>0.999999906553604</v>
      </c>
      <c r="G110" s="15" t="n">
        <v>0.693877551020408</v>
      </c>
      <c r="H110" s="15" t="n">
        <v>1</v>
      </c>
      <c r="I110" s="15" t="n">
        <v>0.999999906553604</v>
      </c>
      <c r="J110" s="15" t="n">
        <v>0.00030569004675778</v>
      </c>
      <c r="K110" s="15" t="n">
        <v>0.664211164155072</v>
      </c>
    </row>
    <row r="111" customFormat="false" ht="12.75" hidden="false" customHeight="false" outlineLevel="0" collapsed="false">
      <c r="A111" s="6" t="s">
        <v>230</v>
      </c>
      <c r="B111" s="6" t="n">
        <v>1</v>
      </c>
      <c r="C111" s="6" t="n">
        <v>0.207011289126063</v>
      </c>
      <c r="D111" s="6" t="n">
        <v>0.0314520113398733</v>
      </c>
      <c r="E111" s="6" t="n">
        <v>1</v>
      </c>
      <c r="F111" s="15" t="n">
        <v>0.99999999999797</v>
      </c>
      <c r="G111" s="15" t="n">
        <v>0.693877551020408</v>
      </c>
      <c r="H111" s="15" t="n">
        <v>1</v>
      </c>
      <c r="I111" s="15" t="n">
        <v>0.99999999999797</v>
      </c>
      <c r="J111" s="15" t="n">
        <v>1.42487362426853E-006</v>
      </c>
      <c r="K111" s="15" t="n">
        <v>0.664211164155072</v>
      </c>
    </row>
    <row r="112" customFormat="false" ht="12.75" hidden="false" customHeight="false" outlineLevel="0" collapsed="false">
      <c r="A112" s="6" t="s">
        <v>231</v>
      </c>
      <c r="B112" s="6" t="n">
        <v>1</v>
      </c>
      <c r="C112" s="6" t="n">
        <v>-0.0224729059785802</v>
      </c>
      <c r="D112" s="6" t="n">
        <v>0.00134448698703512</v>
      </c>
      <c r="E112" s="6" t="n">
        <v>0</v>
      </c>
      <c r="F112" s="15" t="n">
        <v>0.238256550558139</v>
      </c>
      <c r="G112" s="15" t="n">
        <v>0.693877551020408</v>
      </c>
      <c r="H112" s="15" t="n">
        <v>0</v>
      </c>
      <c r="I112" s="15" t="n">
        <v>0.238256550558139</v>
      </c>
      <c r="J112" s="15" t="n">
        <v>-0.559265540481094</v>
      </c>
      <c r="K112" s="15" t="n">
        <v>-1.50554530541816</v>
      </c>
    </row>
    <row r="113" customFormat="false" ht="12.75" hidden="false" customHeight="false" outlineLevel="0" collapsed="false">
      <c r="A113" s="6" t="s">
        <v>232</v>
      </c>
      <c r="B113" s="6" t="n">
        <v>1</v>
      </c>
      <c r="C113" s="6" t="n">
        <v>0.178016442242586</v>
      </c>
      <c r="D113" s="6" t="n">
        <v>0.00497791516216072</v>
      </c>
      <c r="E113" s="6" t="n">
        <v>1</v>
      </c>
      <c r="F113" s="15" t="n">
        <v>0.999999999999849</v>
      </c>
      <c r="G113" s="15" t="n">
        <v>0.693877551020408</v>
      </c>
      <c r="H113" s="15" t="n">
        <v>1</v>
      </c>
      <c r="I113" s="15" t="n">
        <v>0.999999999999849</v>
      </c>
      <c r="J113" s="15" t="n">
        <v>3.88145931888583E-007</v>
      </c>
      <c r="K113" s="15" t="n">
        <v>0.664211164155072</v>
      </c>
    </row>
    <row r="114" customFormat="false" ht="12.75" hidden="false" customHeight="false" outlineLevel="0" collapsed="false">
      <c r="A114" s="6" t="s">
        <v>233</v>
      </c>
      <c r="B114" s="6" t="n">
        <v>1</v>
      </c>
      <c r="C114" s="6" t="n">
        <v>0.00498079243359649</v>
      </c>
      <c r="D114" s="6" t="n">
        <v>0.00114734471689408</v>
      </c>
      <c r="E114" s="6" t="n">
        <v>1</v>
      </c>
      <c r="F114" s="15" t="n">
        <v>0.664612016489127</v>
      </c>
      <c r="G114" s="15" t="n">
        <v>0.693877551020408</v>
      </c>
      <c r="H114" s="15" t="n">
        <v>1</v>
      </c>
      <c r="I114" s="15" t="n">
        <v>0.664612016489127</v>
      </c>
      <c r="J114" s="15" t="n">
        <v>0.710378247699121</v>
      </c>
      <c r="K114" s="15" t="n">
        <v>0.664211164155072</v>
      </c>
    </row>
    <row r="115" customFormat="false" ht="12.75" hidden="false" customHeight="false" outlineLevel="0" collapsed="false">
      <c r="A115" s="6" t="s">
        <v>234</v>
      </c>
      <c r="B115" s="6" t="n">
        <v>1</v>
      </c>
      <c r="C115" s="6" t="n">
        <v>0.0121142687303058</v>
      </c>
      <c r="D115" s="6" t="n">
        <v>0.000412106639633518</v>
      </c>
      <c r="E115" s="6" t="n">
        <v>0</v>
      </c>
      <c r="F115" s="15" t="n">
        <v>0.776523349188121</v>
      </c>
      <c r="G115" s="15" t="n">
        <v>0.693877551020408</v>
      </c>
      <c r="H115" s="15" t="n">
        <v>0</v>
      </c>
      <c r="I115" s="15" t="n">
        <v>0.776523349188121</v>
      </c>
      <c r="J115" s="15" t="n">
        <v>-1.86406555937414</v>
      </c>
      <c r="K115" s="15" t="n">
        <v>-1.50554530541816</v>
      </c>
    </row>
    <row r="116" customFormat="false" ht="12.75" hidden="false" customHeight="false" outlineLevel="0" collapsed="false">
      <c r="A116" s="6" t="s">
        <v>235</v>
      </c>
      <c r="B116" s="6" t="n">
        <v>1</v>
      </c>
      <c r="C116" s="6" t="n">
        <v>0.0727712146661485</v>
      </c>
      <c r="D116" s="6" t="n">
        <v>0.0014012682492417</v>
      </c>
      <c r="E116" s="6" t="n">
        <v>1</v>
      </c>
      <c r="F116" s="15" t="n">
        <v>0.999286967321354</v>
      </c>
      <c r="G116" s="15" t="n">
        <v>0.693877551020408</v>
      </c>
      <c r="H116" s="15" t="n">
        <v>1</v>
      </c>
      <c r="I116" s="15" t="n">
        <v>0.999286967321354</v>
      </c>
      <c r="J116" s="15" t="n">
        <v>0.0267121967839113</v>
      </c>
      <c r="K116" s="15" t="n">
        <v>0.664211164155072</v>
      </c>
    </row>
    <row r="117" customFormat="false" ht="12.75" hidden="false" customHeight="false" outlineLevel="0" collapsed="false">
      <c r="A117" s="6" t="s">
        <v>236</v>
      </c>
      <c r="B117" s="6" t="n">
        <v>1</v>
      </c>
      <c r="C117" s="6" t="n">
        <v>0.0345178953946172</v>
      </c>
      <c r="D117" s="6" t="n">
        <v>0.000951070858995355</v>
      </c>
      <c r="E117" s="6" t="n">
        <v>1</v>
      </c>
      <c r="F117" s="15" t="n">
        <v>0.950267030846993</v>
      </c>
      <c r="G117" s="15" t="n">
        <v>0.693877551020408</v>
      </c>
      <c r="H117" s="15" t="n">
        <v>1</v>
      </c>
      <c r="I117" s="15" t="n">
        <v>0.950267030846993</v>
      </c>
      <c r="J117" s="15" t="n">
        <v>0.22877015329005</v>
      </c>
      <c r="K117" s="15" t="n">
        <v>0.664211164155072</v>
      </c>
    </row>
    <row r="118" customFormat="false" ht="12.75" hidden="false" customHeight="false" outlineLevel="0" collapsed="false">
      <c r="A118" s="6" t="s">
        <v>237</v>
      </c>
      <c r="B118" s="6" t="n">
        <v>1</v>
      </c>
      <c r="C118" s="6" t="n">
        <v>0.0020064460327166</v>
      </c>
      <c r="D118" s="6" t="n">
        <v>0.00116172837920931</v>
      </c>
      <c r="E118" s="6" t="n">
        <v>1</v>
      </c>
      <c r="F118" s="15" t="n">
        <v>0.618791079741094</v>
      </c>
      <c r="G118" s="15" t="n">
        <v>0.693877551020408</v>
      </c>
      <c r="H118" s="15" t="n">
        <v>1</v>
      </c>
      <c r="I118" s="15" t="n">
        <v>0.618791079741094</v>
      </c>
      <c r="J118" s="15" t="n">
        <v>0.784891281573281</v>
      </c>
      <c r="K118" s="15" t="n">
        <v>0.664211164155072</v>
      </c>
    </row>
    <row r="119" customFormat="false" ht="12.75" hidden="false" customHeight="false" outlineLevel="0" collapsed="false">
      <c r="A119" s="6" t="s">
        <v>238</v>
      </c>
      <c r="B119" s="6" t="n">
        <v>1</v>
      </c>
      <c r="C119" s="6" t="n">
        <v>0.118365513806805</v>
      </c>
      <c r="D119" s="6" t="n">
        <v>0.00928214162993721</v>
      </c>
      <c r="E119" s="6" t="n">
        <v>1</v>
      </c>
      <c r="F119" s="15" t="n">
        <v>0.999997863194937</v>
      </c>
      <c r="G119" s="15" t="n">
        <v>0.693877551020408</v>
      </c>
      <c r="H119" s="15" t="n">
        <v>1</v>
      </c>
      <c r="I119" s="15" t="n">
        <v>0.999997863194937</v>
      </c>
      <c r="J119" s="15" t="n">
        <v>0.00146178303073603</v>
      </c>
      <c r="K119" s="15" t="n">
        <v>0.664211164155072</v>
      </c>
    </row>
    <row r="120" customFormat="false" ht="12.75" hidden="false" customHeight="false" outlineLevel="0" collapsed="false">
      <c r="A120" s="6" t="s">
        <v>239</v>
      </c>
      <c r="B120" s="6" t="n">
        <v>1</v>
      </c>
      <c r="C120" s="6" t="n">
        <v>0.0307268289205572</v>
      </c>
      <c r="D120" s="6" t="n">
        <v>0.0106874842481915</v>
      </c>
      <c r="E120" s="6" t="n">
        <v>1</v>
      </c>
      <c r="F120" s="15" t="n">
        <v>0.821963952276071</v>
      </c>
      <c r="G120" s="15" t="n">
        <v>0.693877551020408</v>
      </c>
      <c r="H120" s="15" t="n">
        <v>1</v>
      </c>
      <c r="I120" s="15" t="n">
        <v>0.821963952276071</v>
      </c>
      <c r="J120" s="15" t="n">
        <v>0.465401294024081</v>
      </c>
      <c r="K120" s="15" t="n">
        <v>0.664211164155072</v>
      </c>
    </row>
    <row r="121" customFormat="false" ht="12.75" hidden="false" customHeight="false" outlineLevel="0" collapsed="false">
      <c r="A121" s="6" t="s">
        <v>240</v>
      </c>
      <c r="B121" s="6" t="n">
        <v>1</v>
      </c>
      <c r="C121" s="6" t="n">
        <v>-0.0115496986194282</v>
      </c>
      <c r="D121" s="6" t="n">
        <v>0.000400633278311205</v>
      </c>
      <c r="E121" s="6" t="n">
        <v>0</v>
      </c>
      <c r="F121" s="15" t="n">
        <v>0.417246013224466</v>
      </c>
      <c r="G121" s="15" t="n">
        <v>0.693877551020408</v>
      </c>
      <c r="H121" s="15" t="n">
        <v>0</v>
      </c>
      <c r="I121" s="15" t="n">
        <v>0.417246013224466</v>
      </c>
      <c r="J121" s="15" t="n">
        <v>-0.846161909078904</v>
      </c>
      <c r="K121" s="15" t="n">
        <v>-1.50554530541816</v>
      </c>
    </row>
    <row r="122" customFormat="false" ht="12.75" hidden="false" customHeight="false" outlineLevel="0" collapsed="false">
      <c r="A122" s="6" t="s">
        <v>241</v>
      </c>
      <c r="B122" s="6" t="n">
        <v>1</v>
      </c>
      <c r="C122" s="6" t="n">
        <v>-0.016305774346237</v>
      </c>
      <c r="D122" s="6" t="n">
        <v>0.00170802675817269</v>
      </c>
      <c r="E122" s="6" t="n">
        <v>0</v>
      </c>
      <c r="F122" s="15" t="n">
        <v>0.315490099218793</v>
      </c>
      <c r="G122" s="15" t="n">
        <v>0.693877551020408</v>
      </c>
      <c r="H122" s="15" t="n">
        <v>0</v>
      </c>
      <c r="I122" s="15" t="n">
        <v>0.315490099218793</v>
      </c>
      <c r="J122" s="15" t="n">
        <v>-0.678895609812652</v>
      </c>
      <c r="K122" s="15" t="n">
        <v>-1.50554530541816</v>
      </c>
    </row>
    <row r="123" customFormat="false" ht="12.75" hidden="false" customHeight="false" outlineLevel="0" collapsed="false">
      <c r="A123" s="6" t="s">
        <v>242</v>
      </c>
      <c r="B123" s="6" t="n">
        <v>1</v>
      </c>
      <c r="C123" s="6" t="n">
        <v>0.0199513403860225</v>
      </c>
      <c r="D123" s="6" t="n">
        <v>0.000736567990101261</v>
      </c>
      <c r="E123" s="6" t="n">
        <v>1</v>
      </c>
      <c r="F123" s="15" t="n">
        <v>0.856068746566895</v>
      </c>
      <c r="G123" s="15" t="n">
        <v>0.693877551020408</v>
      </c>
      <c r="H123" s="15" t="n">
        <v>1</v>
      </c>
      <c r="I123" s="15" t="n">
        <v>0.856068746566895</v>
      </c>
      <c r="J123" s="15" t="n">
        <v>0.410037174972229</v>
      </c>
      <c r="K123" s="15" t="n">
        <v>0.664211164155072</v>
      </c>
    </row>
    <row r="124" customFormat="false" ht="12.75" hidden="false" customHeight="false" outlineLevel="0" collapsed="false">
      <c r="A124" s="6" t="s">
        <v>243</v>
      </c>
      <c r="B124" s="6" t="n">
        <v>1</v>
      </c>
      <c r="C124" s="6" t="n">
        <v>0.0455700468946818</v>
      </c>
      <c r="D124" s="6" t="n">
        <v>0.00124266236069874</v>
      </c>
      <c r="E124" s="6" t="n">
        <v>1</v>
      </c>
      <c r="F124" s="15" t="n">
        <v>0.981396879630231</v>
      </c>
      <c r="G124" s="15" t="n">
        <v>0.693877551020408</v>
      </c>
      <c r="H124" s="15" t="n">
        <v>1</v>
      </c>
      <c r="I124" s="15" t="n">
        <v>0.981396879630231</v>
      </c>
      <c r="J124" s="15" t="n">
        <v>0.137679906272984</v>
      </c>
      <c r="K124" s="15" t="n">
        <v>0.664211164155072</v>
      </c>
    </row>
    <row r="125" customFormat="false" ht="12.75" hidden="false" customHeight="false" outlineLevel="0" collapsed="false">
      <c r="A125" s="6" t="s">
        <v>244</v>
      </c>
      <c r="B125" s="6" t="n">
        <v>1</v>
      </c>
      <c r="C125" s="6" t="n">
        <v>-0.0304130802947328</v>
      </c>
      <c r="D125" s="6" t="n">
        <v>0.000803473578673719</v>
      </c>
      <c r="E125" s="6" t="n">
        <v>1</v>
      </c>
      <c r="F125" s="15" t="n">
        <v>0.157253918255945</v>
      </c>
      <c r="G125" s="15" t="n">
        <v>0.693877551020408</v>
      </c>
      <c r="H125" s="15" t="n">
        <v>1</v>
      </c>
      <c r="I125" s="15" t="n">
        <v>0.157253918255945</v>
      </c>
      <c r="J125" s="15" t="n">
        <v>2.31498207852082</v>
      </c>
      <c r="K125" s="15" t="n">
        <v>0.664211164155072</v>
      </c>
    </row>
    <row r="126" customFormat="false" ht="12.75" hidden="false" customHeight="false" outlineLevel="0" collapsed="false">
      <c r="A126" s="6" t="s">
        <v>245</v>
      </c>
      <c r="B126" s="6" t="n">
        <v>1</v>
      </c>
      <c r="C126" s="6" t="n">
        <v>0.00283871714366032</v>
      </c>
      <c r="D126" s="6" t="n">
        <v>0.0085269547556729</v>
      </c>
      <c r="E126" s="6" t="n">
        <v>0</v>
      </c>
      <c r="F126" s="15" t="n">
        <v>0.46250775550246</v>
      </c>
      <c r="G126" s="15" t="n">
        <v>0.693877551020408</v>
      </c>
      <c r="H126" s="15" t="n">
        <v>0</v>
      </c>
      <c r="I126" s="15" t="n">
        <v>0.46250775550246</v>
      </c>
      <c r="J126" s="15" t="n">
        <v>-0.927627059234055</v>
      </c>
      <c r="K126" s="15" t="n">
        <v>-1.50554530541816</v>
      </c>
    </row>
    <row r="127" customFormat="false" ht="12.75" hidden="false" customHeight="false" outlineLevel="0" collapsed="false">
      <c r="A127" s="6" t="s">
        <v>246</v>
      </c>
      <c r="B127" s="6" t="n">
        <v>1</v>
      </c>
      <c r="C127" s="6" t="n">
        <v>0.0808302896170426</v>
      </c>
      <c r="D127" s="6" t="n">
        <v>0.003838083401177</v>
      </c>
      <c r="E127" s="6" t="n">
        <v>1</v>
      </c>
      <c r="F127" s="15" t="n">
        <v>0.999633925299032</v>
      </c>
      <c r="G127" s="15" t="n">
        <v>0.693877551020408</v>
      </c>
      <c r="H127" s="15" t="n">
        <v>1</v>
      </c>
      <c r="I127" s="15" t="n">
        <v>0.999633925299032</v>
      </c>
      <c r="J127" s="15" t="n">
        <v>0.019136581741023</v>
      </c>
      <c r="K127" s="15" t="n">
        <v>0.664211164155072</v>
      </c>
    </row>
    <row r="128" customFormat="false" ht="12.75" hidden="false" customHeight="false" outlineLevel="0" collapsed="false">
      <c r="A128" s="6" t="s">
        <v>247</v>
      </c>
      <c r="B128" s="6" t="n">
        <v>1</v>
      </c>
      <c r="C128" s="6" t="n">
        <v>-0.0096591569325258</v>
      </c>
      <c r="D128" s="6" t="n">
        <v>0.0014709697089016</v>
      </c>
      <c r="E128" s="6" t="n">
        <v>1</v>
      </c>
      <c r="F128" s="15" t="n">
        <v>0.423084785787783</v>
      </c>
      <c r="G128" s="15" t="n">
        <v>0.693877551020408</v>
      </c>
      <c r="H128" s="15" t="n">
        <v>1</v>
      </c>
      <c r="I128" s="15" t="n">
        <v>0.423084785787783</v>
      </c>
      <c r="J128" s="15" t="n">
        <v>1.16772960793226</v>
      </c>
      <c r="K128" s="15" t="n">
        <v>0.664211164155072</v>
      </c>
    </row>
    <row r="129" customFormat="false" ht="12.75" hidden="false" customHeight="false" outlineLevel="0" collapsed="false">
      <c r="A129" s="6" t="s">
        <v>248</v>
      </c>
      <c r="B129" s="6" t="n">
        <v>1</v>
      </c>
      <c r="C129" s="6" t="n">
        <v>0.0967620428417531</v>
      </c>
      <c r="D129" s="6" t="n">
        <v>0.00511630744144364</v>
      </c>
      <c r="E129" s="6" t="n">
        <v>1</v>
      </c>
      <c r="F129" s="15" t="n">
        <v>0.999961827869249</v>
      </c>
      <c r="G129" s="15" t="n">
        <v>0.693877551020408</v>
      </c>
      <c r="H129" s="15" t="n">
        <v>1</v>
      </c>
      <c r="I129" s="15" t="n">
        <v>0.999961827869249</v>
      </c>
      <c r="J129" s="15" t="n">
        <v>0.00617847779945675</v>
      </c>
      <c r="K129" s="15" t="n">
        <v>0.664211164155072</v>
      </c>
    </row>
    <row r="130" customFormat="false" ht="12.75" hidden="false" customHeight="false" outlineLevel="0" collapsed="false">
      <c r="A130" s="6" t="s">
        <v>249</v>
      </c>
      <c r="B130" s="6" t="n">
        <v>1</v>
      </c>
      <c r="C130" s="6" t="n">
        <v>-0.0125765943013465</v>
      </c>
      <c r="D130" s="6" t="n">
        <v>0.00157985380119993</v>
      </c>
      <c r="E130" s="6" t="n">
        <v>1</v>
      </c>
      <c r="F130" s="15" t="n">
        <v>0.374493639914749</v>
      </c>
      <c r="G130" s="15" t="n">
        <v>0.693877551020408</v>
      </c>
      <c r="H130" s="15" t="n">
        <v>1</v>
      </c>
      <c r="I130" s="15" t="n">
        <v>0.374493639914749</v>
      </c>
      <c r="J130" s="15" t="n">
        <v>1.29239015710549</v>
      </c>
      <c r="K130" s="15" t="n">
        <v>0.664211164155072</v>
      </c>
    </row>
    <row r="131" customFormat="false" ht="13.5" hidden="false" customHeight="false" outlineLevel="0" collapsed="false">
      <c r="A131" s="7" t="s">
        <v>250</v>
      </c>
      <c r="B131" s="7" t="n">
        <v>1</v>
      </c>
      <c r="C131" s="7" t="n">
        <v>-0.0213379580679842</v>
      </c>
      <c r="D131" s="7" t="n">
        <v>0.000674404947384069</v>
      </c>
      <c r="E131" s="7" t="n">
        <v>0</v>
      </c>
      <c r="F131" s="16" t="n">
        <v>0.265584192685528</v>
      </c>
      <c r="G131" s="16" t="n">
        <v>0.693877551020408</v>
      </c>
      <c r="H131" s="16" t="n">
        <v>0</v>
      </c>
      <c r="I131" s="16" t="n">
        <v>0.265584192685528</v>
      </c>
      <c r="J131" s="16" t="n">
        <v>-0.601353860557707</v>
      </c>
      <c r="K131" s="16" t="n">
        <v>-1.50554530541816</v>
      </c>
    </row>
    <row r="140" customFormat="false" ht="12.75" hidden="false" customHeight="false" outlineLevel="0" collapsed="false">
      <c r="A140" s="0" t="s">
        <v>397</v>
      </c>
    </row>
    <row r="141" customFormat="false" ht="12.75" hidden="false" customHeight="false" outlineLevel="0" collapsed="false">
      <c r="A141" s="0" t="s">
        <v>109</v>
      </c>
    </row>
    <row r="142" customFormat="false" ht="12.75" hidden="false" customHeight="false" outlineLevel="0" collapsed="false">
      <c r="A142" s="0" t="s">
        <v>398</v>
      </c>
    </row>
    <row r="143" customFormat="false" ht="12.75" hidden="false" customHeight="false" outlineLevel="0" collapsed="false">
      <c r="A143" s="0" t="s">
        <v>369</v>
      </c>
    </row>
    <row r="144" customFormat="false" ht="12.75" hidden="false" customHeight="false" outlineLevel="0" collapsed="false">
      <c r="A144" s="0" t="s">
        <v>112</v>
      </c>
    </row>
    <row r="145" customFormat="false" ht="12.75" hidden="false" customHeight="false" outlineLevel="0" collapsed="false">
      <c r="A145" s="0" t="s">
        <v>370</v>
      </c>
    </row>
    <row r="148" customFormat="false" ht="12.75" hidden="false" customHeight="false" outlineLevel="0" collapsed="false">
      <c r="A148" s="0" t="s">
        <v>371</v>
      </c>
    </row>
    <row r="149" customFormat="false" ht="13.5" hidden="false" customHeight="false" outlineLevel="0" collapsed="false"/>
    <row r="150" customFormat="false" ht="12.75" hidden="false" customHeight="false" outlineLevel="0" collapsed="false">
      <c r="A150" s="8" t="s">
        <v>372</v>
      </c>
      <c r="B150" s="8" t="s">
        <v>113</v>
      </c>
      <c r="C150" s="8" t="s">
        <v>114</v>
      </c>
    </row>
    <row r="151" customFormat="false" ht="12.75" hidden="false" customHeight="false" outlineLevel="0" collapsed="false">
      <c r="A151" s="6" t="s">
        <v>357</v>
      </c>
      <c r="B151" s="6" t="n">
        <v>0.0383230600332513</v>
      </c>
      <c r="C151" s="6" t="n">
        <v>0.0619318274193619</v>
      </c>
    </row>
    <row r="152" customFormat="false" ht="13.5" hidden="false" customHeight="false" outlineLevel="0" collapsed="false">
      <c r="A152" s="7" t="s">
        <v>143</v>
      </c>
      <c r="B152" s="7" t="n">
        <v>2.30500166681722E-008</v>
      </c>
      <c r="C152" s="7" t="n">
        <v>1.3983591544212E-007</v>
      </c>
    </row>
    <row r="156" customFormat="false" ht="12.75" hidden="false" customHeight="false" outlineLevel="0" collapsed="false">
      <c r="A156" s="0" t="s">
        <v>374</v>
      </c>
    </row>
    <row r="157" customFormat="false" ht="13.5" hidden="false" customHeight="false" outlineLevel="0" collapsed="false"/>
    <row r="158" customFormat="false" ht="12.75" hidden="false" customHeight="false" outlineLevel="0" collapsed="false">
      <c r="A158" s="8" t="s">
        <v>375</v>
      </c>
      <c r="B158" s="8" t="s">
        <v>135</v>
      </c>
      <c r="C158" s="8" t="s">
        <v>136</v>
      </c>
      <c r="D158" s="8" t="s">
        <v>376</v>
      </c>
      <c r="E158" s="8" t="s">
        <v>377</v>
      </c>
    </row>
    <row r="159" customFormat="false" ht="12.75" hidden="false" customHeight="false" outlineLevel="0" collapsed="false">
      <c r="A159" s="6" t="s">
        <v>80</v>
      </c>
      <c r="B159" s="15" t="n">
        <v>0.191721727408067</v>
      </c>
      <c r="C159" s="15" t="n">
        <v>0.240575927118718</v>
      </c>
      <c r="D159" s="15" t="n">
        <v>0.635094468807864</v>
      </c>
      <c r="E159" s="15" t="n">
        <v>0.425492764153675</v>
      </c>
    </row>
    <row r="160" customFormat="false" ht="12.75" hidden="false" customHeight="false" outlineLevel="0" collapsed="false">
      <c r="A160" s="6" t="s">
        <v>357</v>
      </c>
      <c r="B160" s="15" t="n">
        <v>39.3538504850536</v>
      </c>
      <c r="C160" s="15" t="n">
        <v>6.86773585809845</v>
      </c>
      <c r="D160" s="15" t="n">
        <v>32.8357768841993</v>
      </c>
      <c r="E160" s="15" t="n">
        <v>0.0001</v>
      </c>
    </row>
    <row r="161" customFormat="false" ht="13.5" hidden="false" customHeight="false" outlineLevel="0" collapsed="false">
      <c r="A161" s="7" t="s">
        <v>143</v>
      </c>
      <c r="B161" s="16" t="n">
        <v>-5310294.59952962</v>
      </c>
      <c r="C161" s="16" t="n">
        <v>10771592.86627</v>
      </c>
      <c r="D161" s="16" t="n">
        <v>0.243039783811455</v>
      </c>
      <c r="E161" s="16" t="n">
        <v>0.622019192439611</v>
      </c>
    </row>
    <row r="164" customFormat="false" ht="13.5" hidden="false" customHeight="false" outlineLevel="0" collapsed="false">
      <c r="A164" s="0" t="s">
        <v>378</v>
      </c>
    </row>
    <row r="165" customFormat="false" ht="12.75" hidden="false" customHeight="false" outlineLevel="0" collapsed="false">
      <c r="A165" s="8" t="s">
        <v>379</v>
      </c>
      <c r="B165" s="8" t="s">
        <v>380</v>
      </c>
      <c r="C165" s="8" t="s">
        <v>381</v>
      </c>
      <c r="D165" s="8" t="s">
        <v>382</v>
      </c>
      <c r="E165" s="8" t="s">
        <v>383</v>
      </c>
      <c r="F165" s="8" t="s">
        <v>384</v>
      </c>
      <c r="G165" s="8" t="s">
        <v>385</v>
      </c>
      <c r="H165" s="8" t="s">
        <v>386</v>
      </c>
      <c r="I165" s="8" t="s">
        <v>387</v>
      </c>
      <c r="J165" s="8" t="s">
        <v>388</v>
      </c>
      <c r="K165" s="8" t="s">
        <v>389</v>
      </c>
    </row>
    <row r="166" customFormat="false" ht="13.5" hidden="false" customHeight="false" outlineLevel="0" collapsed="false">
      <c r="A166" s="7" t="n">
        <v>49</v>
      </c>
      <c r="B166" s="7" t="n">
        <v>-17.4668186475159</v>
      </c>
      <c r="C166" s="7" t="n">
        <v>-30.1821837539381</v>
      </c>
      <c r="D166" s="7" t="n">
        <v>29.3103716610075</v>
      </c>
      <c r="E166" s="7" t="n">
        <v>46</v>
      </c>
      <c r="F166" s="7" t="n">
        <v>0.973728956931325</v>
      </c>
      <c r="G166" s="7" t="n">
        <v>25.4307302128444</v>
      </c>
      <c r="H166" s="7" t="n">
        <v>2</v>
      </c>
      <c r="I166" s="7" t="n">
        <v>0.0001</v>
      </c>
      <c r="J166" s="7" t="n">
        <v>0.418069778998162</v>
      </c>
      <c r="K166" s="7" t="n">
        <v>0.421287114613207</v>
      </c>
    </row>
    <row r="168" customFormat="false" ht="12.75" hidden="false" customHeight="false" outlineLevel="0" collapsed="false">
      <c r="A168" s="0" t="s">
        <v>390</v>
      </c>
    </row>
    <row r="169" customFormat="false" ht="13.5" hidden="false" customHeight="false" outlineLevel="0" collapsed="false"/>
    <row r="170" customFormat="false" ht="12.75" hidden="false" customHeight="false" outlineLevel="0" collapsed="false">
      <c r="A170" s="8" t="s">
        <v>63</v>
      </c>
      <c r="B170" s="8"/>
      <c r="C170" s="8" t="s">
        <v>357</v>
      </c>
      <c r="D170" s="8" t="s">
        <v>143</v>
      </c>
      <c r="E170" s="8" t="s">
        <v>362</v>
      </c>
      <c r="F170" s="8" t="s">
        <v>391</v>
      </c>
      <c r="G170" s="8" t="s">
        <v>392</v>
      </c>
      <c r="H170" s="8" t="s">
        <v>393</v>
      </c>
      <c r="I170" s="8" t="s">
        <v>394</v>
      </c>
      <c r="J170" s="8" t="s">
        <v>395</v>
      </c>
      <c r="K170" s="8" t="s">
        <v>396</v>
      </c>
    </row>
    <row r="171" customFormat="false" ht="12.75" hidden="false" customHeight="false" outlineLevel="0" collapsed="false">
      <c r="A171" s="6" t="s">
        <v>8</v>
      </c>
      <c r="B171" s="6" t="n">
        <v>1</v>
      </c>
      <c r="C171" s="6" t="n">
        <v>-0.00635998563327726</v>
      </c>
      <c r="D171" s="6" t="n">
        <v>1.16002176106561E-012</v>
      </c>
      <c r="E171" s="6" t="n">
        <v>0</v>
      </c>
      <c r="F171" s="15" t="n">
        <v>0.476645498234311</v>
      </c>
      <c r="G171" s="15" t="n">
        <v>0.693877551020408</v>
      </c>
      <c r="H171" s="15" t="n">
        <v>0</v>
      </c>
      <c r="I171" s="15" t="n">
        <v>0.476645498234311</v>
      </c>
      <c r="J171" s="15" t="n">
        <v>-0.954332613439575</v>
      </c>
      <c r="K171" s="15" t="n">
        <v>-1.50554530541816</v>
      </c>
    </row>
    <row r="172" customFormat="false" ht="12.75" hidden="false" customHeight="false" outlineLevel="0" collapsed="false">
      <c r="A172" s="6" t="s">
        <v>9</v>
      </c>
      <c r="B172" s="6" t="n">
        <v>1</v>
      </c>
      <c r="C172" s="6" t="n">
        <v>-0.0190743876668005</v>
      </c>
      <c r="D172" s="6" t="n">
        <v>1.49200959313964E-012</v>
      </c>
      <c r="E172" s="6" t="n">
        <v>0</v>
      </c>
      <c r="F172" s="15" t="n">
        <v>0.288102395833671</v>
      </c>
      <c r="G172" s="15" t="n">
        <v>0.693877551020408</v>
      </c>
      <c r="H172" s="15" t="n">
        <v>0</v>
      </c>
      <c r="I172" s="15" t="n">
        <v>0.288102395833671</v>
      </c>
      <c r="J172" s="15" t="n">
        <v>-0.63615752573897</v>
      </c>
      <c r="K172" s="15" t="n">
        <v>-1.50554530541816</v>
      </c>
    </row>
    <row r="173" customFormat="false" ht="12.75" hidden="false" customHeight="false" outlineLevel="0" collapsed="false">
      <c r="A173" s="6" t="s">
        <v>10</v>
      </c>
      <c r="B173" s="6" t="n">
        <v>1</v>
      </c>
      <c r="C173" s="6" t="n">
        <v>0.0021231116583736</v>
      </c>
      <c r="D173" s="6" t="n">
        <v>8.78858354669177E-013</v>
      </c>
      <c r="E173" s="6" t="n">
        <v>0</v>
      </c>
      <c r="F173" s="15" t="n">
        <v>0.608445407696888</v>
      </c>
      <c r="G173" s="15" t="n">
        <v>0.693877551020408</v>
      </c>
      <c r="H173" s="15" t="n">
        <v>0</v>
      </c>
      <c r="I173" s="15" t="n">
        <v>0.608445407696888</v>
      </c>
      <c r="J173" s="15" t="n">
        <v>-1.2465641930351</v>
      </c>
      <c r="K173" s="15" t="n">
        <v>-1.50554530541816</v>
      </c>
    </row>
    <row r="174" customFormat="false" ht="12.75" hidden="false" customHeight="false" outlineLevel="0" collapsed="false">
      <c r="A174" s="6" t="s">
        <v>11</v>
      </c>
      <c r="B174" s="6" t="n">
        <v>1</v>
      </c>
      <c r="C174" s="6" t="n">
        <v>0.0956979646979981</v>
      </c>
      <c r="D174" s="6" t="n">
        <v>1.15838117524707E-012</v>
      </c>
      <c r="E174" s="6" t="n">
        <v>1</v>
      </c>
      <c r="F174" s="15" t="n">
        <v>0.999962161655007</v>
      </c>
      <c r="G174" s="15" t="n">
        <v>0.693877551020408</v>
      </c>
      <c r="H174" s="15" t="n">
        <v>1</v>
      </c>
      <c r="I174" s="15" t="n">
        <v>0.999962161655007</v>
      </c>
      <c r="J174" s="15" t="n">
        <v>0.00615140445650129</v>
      </c>
      <c r="K174" s="15" t="n">
        <v>0.664211164155072</v>
      </c>
    </row>
    <row r="175" customFormat="false" ht="12.75" hidden="false" customHeight="false" outlineLevel="0" collapsed="false">
      <c r="A175" s="6" t="s">
        <v>12</v>
      </c>
      <c r="B175" s="6" t="n">
        <v>1</v>
      </c>
      <c r="C175" s="6" t="n">
        <v>-0.0191589666506185</v>
      </c>
      <c r="D175" s="6" t="n">
        <v>6.58291482583513E-013</v>
      </c>
      <c r="E175" s="6" t="n">
        <v>1</v>
      </c>
      <c r="F175" s="15" t="n">
        <v>0.286969111049019</v>
      </c>
      <c r="G175" s="15" t="n">
        <v>0.693877551020408</v>
      </c>
      <c r="H175" s="15" t="n">
        <v>1</v>
      </c>
      <c r="I175" s="15" t="n">
        <v>0.286969111049019</v>
      </c>
      <c r="J175" s="15" t="n">
        <v>1.57629172580751</v>
      </c>
      <c r="K175" s="15" t="n">
        <v>0.664211164155072</v>
      </c>
    </row>
    <row r="176" customFormat="false" ht="12.75" hidden="false" customHeight="false" outlineLevel="0" collapsed="false">
      <c r="A176" s="6" t="s">
        <v>13</v>
      </c>
      <c r="B176" s="6" t="n">
        <v>1</v>
      </c>
      <c r="C176" s="6" t="n">
        <v>0.137856453890509</v>
      </c>
      <c r="D176" s="6" t="n">
        <v>2.67978152112005E-008</v>
      </c>
      <c r="E176" s="6" t="n">
        <v>1</v>
      </c>
      <c r="F176" s="15" t="n">
        <v>0.99999997802193</v>
      </c>
      <c r="G176" s="15" t="n">
        <v>0.693877551020408</v>
      </c>
      <c r="H176" s="15" t="n">
        <v>1</v>
      </c>
      <c r="I176" s="15" t="n">
        <v>0.99999997802193</v>
      </c>
      <c r="J176" s="15" t="n">
        <v>0.000148250026278451</v>
      </c>
      <c r="K176" s="15" t="n">
        <v>0.664211164155072</v>
      </c>
    </row>
    <row r="177" customFormat="false" ht="12.75" hidden="false" customHeight="false" outlineLevel="0" collapsed="false">
      <c r="A177" s="6" t="s">
        <v>14</v>
      </c>
      <c r="B177" s="6" t="n">
        <v>1</v>
      </c>
      <c r="C177" s="6" t="n">
        <v>0.169582366724771</v>
      </c>
      <c r="D177" s="6" t="n">
        <v>2.04082824400193E-008</v>
      </c>
      <c r="E177" s="6" t="n">
        <v>1</v>
      </c>
      <c r="F177" s="15" t="n">
        <v>0.999999999992919</v>
      </c>
      <c r="G177" s="15" t="n">
        <v>0.693877551020408</v>
      </c>
      <c r="H177" s="15" t="n">
        <v>1</v>
      </c>
      <c r="I177" s="15" t="n">
        <v>0.999999999992919</v>
      </c>
      <c r="J177" s="15" t="n">
        <v>2.66099444358813E-006</v>
      </c>
      <c r="K177" s="15" t="n">
        <v>0.664211164155072</v>
      </c>
    </row>
    <row r="178" customFormat="false" ht="12.75" hidden="false" customHeight="false" outlineLevel="0" collapsed="false">
      <c r="A178" s="6" t="s">
        <v>15</v>
      </c>
      <c r="B178" s="6" t="n">
        <v>1</v>
      </c>
      <c r="C178" s="6" t="n">
        <v>0.061251926411499</v>
      </c>
      <c r="D178" s="6" t="n">
        <v>3.65523418920916E-012</v>
      </c>
      <c r="E178" s="6" t="n">
        <v>1</v>
      </c>
      <c r="F178" s="15" t="n">
        <v>0.995368594086874</v>
      </c>
      <c r="G178" s="15" t="n">
        <v>0.693877551020408</v>
      </c>
      <c r="H178" s="15" t="n">
        <v>1</v>
      </c>
      <c r="I178" s="15" t="n">
        <v>0.995368594086874</v>
      </c>
      <c r="J178" s="15" t="n">
        <v>0.0682125768417187</v>
      </c>
      <c r="K178" s="15" t="n">
        <v>0.664211164155072</v>
      </c>
    </row>
    <row r="179" customFormat="false" ht="12.75" hidden="false" customHeight="false" outlineLevel="0" collapsed="false">
      <c r="A179" s="6" t="s">
        <v>16</v>
      </c>
      <c r="B179" s="6" t="n">
        <v>1</v>
      </c>
      <c r="C179" s="6" t="n">
        <v>0.0137604560774319</v>
      </c>
      <c r="D179" s="6" t="n">
        <v>9.95886785099514E-013</v>
      </c>
      <c r="E179" s="6" t="n">
        <v>1</v>
      </c>
      <c r="F179" s="15" t="n">
        <v>0.768295064454345</v>
      </c>
      <c r="G179" s="15" t="n">
        <v>0.693877551020408</v>
      </c>
      <c r="H179" s="15" t="n">
        <v>1</v>
      </c>
      <c r="I179" s="15" t="n">
        <v>0.768295064454345</v>
      </c>
      <c r="J179" s="15" t="n">
        <v>0.549165973985807</v>
      </c>
      <c r="K179" s="15" t="n">
        <v>0.664211164155072</v>
      </c>
    </row>
    <row r="180" customFormat="false" ht="12.75" hidden="false" customHeight="false" outlineLevel="0" collapsed="false">
      <c r="A180" s="6" t="s">
        <v>17</v>
      </c>
      <c r="B180" s="6" t="n">
        <v>1</v>
      </c>
      <c r="C180" s="6" t="n">
        <v>-0.0341913086322479</v>
      </c>
      <c r="D180" s="6" t="n">
        <v>4.11770253782566E-011</v>
      </c>
      <c r="E180" s="6" t="n">
        <v>0</v>
      </c>
      <c r="F180" s="15" t="n">
        <v>0.124238544993268</v>
      </c>
      <c r="G180" s="15" t="n">
        <v>0.693877551020408</v>
      </c>
      <c r="H180" s="15" t="n">
        <v>0</v>
      </c>
      <c r="I180" s="15" t="n">
        <v>0.124238544993268</v>
      </c>
      <c r="J180" s="15" t="n">
        <v>-0.37664765248303</v>
      </c>
      <c r="K180" s="15" t="n">
        <v>-1.50554530541816</v>
      </c>
    </row>
    <row r="181" customFormat="false" ht="12.75" hidden="false" customHeight="false" outlineLevel="0" collapsed="false">
      <c r="A181" s="6" t="s">
        <v>18</v>
      </c>
      <c r="B181" s="6" t="n">
        <v>1</v>
      </c>
      <c r="C181" s="6" t="n">
        <v>-0.0177839994909336</v>
      </c>
      <c r="D181" s="6" t="n">
        <v>1.71548959608199E-012</v>
      </c>
      <c r="E181" s="6" t="n">
        <v>0</v>
      </c>
      <c r="F181" s="15" t="n">
        <v>0.305671881653595</v>
      </c>
      <c r="G181" s="15" t="n">
        <v>0.693877551020408</v>
      </c>
      <c r="H181" s="15" t="n">
        <v>0</v>
      </c>
      <c r="I181" s="15" t="n">
        <v>0.305671881653595</v>
      </c>
      <c r="J181" s="15" t="n">
        <v>-0.66350678535286</v>
      </c>
      <c r="K181" s="15" t="n">
        <v>-1.50554530541816</v>
      </c>
    </row>
    <row r="182" customFormat="false" ht="12.75" hidden="false" customHeight="false" outlineLevel="0" collapsed="false">
      <c r="A182" s="6" t="s">
        <v>19</v>
      </c>
      <c r="B182" s="6" t="n">
        <v>1</v>
      </c>
      <c r="C182" s="6" t="n">
        <v>0.0608497516791446</v>
      </c>
      <c r="D182" s="6" t="n">
        <v>2.04279325453952E-013</v>
      </c>
      <c r="E182" s="6" t="n">
        <v>1</v>
      </c>
      <c r="F182" s="15" t="n">
        <v>0.995150649313567</v>
      </c>
      <c r="G182" s="15" t="n">
        <v>0.693877551020408</v>
      </c>
      <c r="H182" s="15" t="n">
        <v>1</v>
      </c>
      <c r="I182" s="15" t="n">
        <v>0.995150649313567</v>
      </c>
      <c r="J182" s="15" t="n">
        <v>0.0698067438184167</v>
      </c>
      <c r="K182" s="15" t="n">
        <v>0.664211164155072</v>
      </c>
    </row>
    <row r="183" customFormat="false" ht="12.75" hidden="false" customHeight="false" outlineLevel="0" collapsed="false">
      <c r="A183" s="6" t="s">
        <v>20</v>
      </c>
      <c r="B183" s="6" t="n">
        <v>1</v>
      </c>
      <c r="C183" s="6" t="n">
        <v>0.052140822775422</v>
      </c>
      <c r="D183" s="6" t="n">
        <v>4.75336844122294E-011</v>
      </c>
      <c r="E183" s="6" t="n">
        <v>1</v>
      </c>
      <c r="F183" s="15" t="n">
        <v>0.987564891843879</v>
      </c>
      <c r="G183" s="15" t="n">
        <v>0.693877551020408</v>
      </c>
      <c r="H183" s="15" t="n">
        <v>1</v>
      </c>
      <c r="I183" s="15" t="n">
        <v>0.987564891843879</v>
      </c>
      <c r="J183" s="15" t="n">
        <v>0.112212687106542</v>
      </c>
      <c r="K183" s="15" t="n">
        <v>0.664211164155072</v>
      </c>
    </row>
    <row r="184" customFormat="false" ht="12.75" hidden="false" customHeight="false" outlineLevel="0" collapsed="false">
      <c r="A184" s="6" t="s">
        <v>21</v>
      </c>
      <c r="B184" s="6" t="n">
        <v>1</v>
      </c>
      <c r="C184" s="6" t="n">
        <v>0.000358210427176681</v>
      </c>
      <c r="D184" s="6" t="n">
        <v>9.38297197918158E-012</v>
      </c>
      <c r="E184" s="6" t="n">
        <v>1</v>
      </c>
      <c r="F184" s="15" t="n">
        <v>0.581514237951232</v>
      </c>
      <c r="G184" s="15" t="n">
        <v>0.693877551020408</v>
      </c>
      <c r="H184" s="15" t="n">
        <v>1</v>
      </c>
      <c r="I184" s="15" t="n">
        <v>0.581514237951232</v>
      </c>
      <c r="J184" s="15" t="n">
        <v>0.848320900575753</v>
      </c>
      <c r="K184" s="15" t="n">
        <v>0.664211164155072</v>
      </c>
    </row>
    <row r="185" customFormat="false" ht="12.75" hidden="false" customHeight="false" outlineLevel="0" collapsed="false">
      <c r="A185" s="6" t="s">
        <v>22</v>
      </c>
      <c r="B185" s="6" t="n">
        <v>1</v>
      </c>
      <c r="C185" s="6" t="n">
        <v>0.117413216566811</v>
      </c>
      <c r="D185" s="6" t="n">
        <v>8.3954224057573E-014</v>
      </c>
      <c r="E185" s="6" t="n">
        <v>1</v>
      </c>
      <c r="F185" s="15" t="n">
        <v>0.999999253319681</v>
      </c>
      <c r="G185" s="15" t="n">
        <v>0.693877551020408</v>
      </c>
      <c r="H185" s="15" t="n">
        <v>1</v>
      </c>
      <c r="I185" s="15" t="n">
        <v>0.999999253319681</v>
      </c>
      <c r="J185" s="15" t="n">
        <v>0.000864106981864561</v>
      </c>
      <c r="K185" s="15" t="n">
        <v>0.664211164155072</v>
      </c>
    </row>
    <row r="186" customFormat="false" ht="12.75" hidden="false" customHeight="false" outlineLevel="0" collapsed="false">
      <c r="A186" s="6" t="s">
        <v>23</v>
      </c>
      <c r="B186" s="6" t="n">
        <v>1</v>
      </c>
      <c r="C186" s="6" t="n">
        <v>0.115297383798601</v>
      </c>
      <c r="D186" s="6" t="n">
        <v>4.61685442104148E-011</v>
      </c>
      <c r="E186" s="6" t="n">
        <v>1</v>
      </c>
      <c r="F186" s="15" t="n">
        <v>0.999998869798401</v>
      </c>
      <c r="G186" s="15" t="n">
        <v>0.693877551020408</v>
      </c>
      <c r="H186" s="15" t="n">
        <v>1</v>
      </c>
      <c r="I186" s="15" t="n">
        <v>0.999998869798401</v>
      </c>
      <c r="J186" s="15" t="n">
        <v>0.00106311000225179</v>
      </c>
      <c r="K186" s="15" t="n">
        <v>0.664211164155072</v>
      </c>
    </row>
    <row r="187" customFormat="false" ht="12.75" hidden="false" customHeight="false" outlineLevel="0" collapsed="false">
      <c r="A187" s="6" t="s">
        <v>24</v>
      </c>
      <c r="B187" s="6" t="n">
        <v>1</v>
      </c>
      <c r="C187" s="6" t="n">
        <v>-0.00868223471621077</v>
      </c>
      <c r="D187" s="6" t="n">
        <v>2.56823004434834E-012</v>
      </c>
      <c r="E187" s="6" t="n">
        <v>1</v>
      </c>
      <c r="F187" s="15" t="n">
        <v>0.44039361960114</v>
      </c>
      <c r="G187" s="15" t="n">
        <v>0.693877551020408</v>
      </c>
      <c r="H187" s="15" t="n">
        <v>1</v>
      </c>
      <c r="I187" s="15" t="n">
        <v>0.44039361960114</v>
      </c>
      <c r="J187" s="15" t="n">
        <v>1.12725149405473</v>
      </c>
      <c r="K187" s="15" t="n">
        <v>0.664211164155072</v>
      </c>
    </row>
    <row r="188" customFormat="false" ht="12.75" hidden="false" customHeight="false" outlineLevel="0" collapsed="false">
      <c r="A188" s="6" t="s">
        <v>25</v>
      </c>
      <c r="B188" s="6" t="n">
        <v>1</v>
      </c>
      <c r="C188" s="6" t="n">
        <v>0.0810135827578753</v>
      </c>
      <c r="D188" s="6" t="n">
        <v>2.65827638003696E-010</v>
      </c>
      <c r="E188" s="6" t="n">
        <v>1</v>
      </c>
      <c r="F188" s="15" t="n">
        <v>0.999635543301953</v>
      </c>
      <c r="G188" s="15" t="n">
        <v>0.693877551020408</v>
      </c>
      <c r="H188" s="15" t="n">
        <v>1</v>
      </c>
      <c r="I188" s="15" t="n">
        <v>0.999635543301953</v>
      </c>
      <c r="J188" s="15" t="n">
        <v>0.0190942288443424</v>
      </c>
      <c r="K188" s="15" t="n">
        <v>0.664211164155072</v>
      </c>
    </row>
    <row r="189" customFormat="false" ht="12.75" hidden="false" customHeight="false" outlineLevel="0" collapsed="false">
      <c r="A189" s="6" t="s">
        <v>26</v>
      </c>
      <c r="B189" s="6" t="n">
        <v>1</v>
      </c>
      <c r="C189" s="6" t="n">
        <v>0.0638689785716179</v>
      </c>
      <c r="D189" s="6" t="n">
        <v>7.3736342600225E-010</v>
      </c>
      <c r="E189" s="6" t="n">
        <v>1</v>
      </c>
      <c r="F189" s="15" t="n">
        <v>0.996546461616437</v>
      </c>
      <c r="G189" s="15" t="n">
        <v>0.693877551020408</v>
      </c>
      <c r="H189" s="15" t="n">
        <v>1</v>
      </c>
      <c r="I189" s="15" t="n">
        <v>0.996546461616437</v>
      </c>
      <c r="J189" s="15" t="n">
        <v>0.0588685539467001</v>
      </c>
      <c r="K189" s="15" t="n">
        <v>0.664211164155072</v>
      </c>
    </row>
    <row r="190" customFormat="false" ht="12.75" hidden="false" customHeight="false" outlineLevel="0" collapsed="false">
      <c r="A190" s="6" t="s">
        <v>27</v>
      </c>
      <c r="B190" s="6" t="n">
        <v>1</v>
      </c>
      <c r="C190" s="6" t="n">
        <v>0.0858221614196834</v>
      </c>
      <c r="D190" s="6" t="n">
        <v>2.60150207336547E-011</v>
      </c>
      <c r="E190" s="6" t="n">
        <v>1</v>
      </c>
      <c r="F190" s="15" t="n">
        <v>0.999820798421628</v>
      </c>
      <c r="G190" s="15" t="n">
        <v>0.693877551020408</v>
      </c>
      <c r="H190" s="15" t="n">
        <v>1</v>
      </c>
      <c r="I190" s="15" t="n">
        <v>0.999820798421628</v>
      </c>
      <c r="J190" s="15" t="n">
        <v>0.0133878189909146</v>
      </c>
      <c r="K190" s="15" t="n">
        <v>0.664211164155072</v>
      </c>
    </row>
    <row r="191" customFormat="false" ht="12.75" hidden="false" customHeight="false" outlineLevel="0" collapsed="false">
      <c r="A191" s="6" t="s">
        <v>28</v>
      </c>
      <c r="B191" s="6" t="n">
        <v>1</v>
      </c>
      <c r="C191" s="6" t="n">
        <v>0.00135832049378335</v>
      </c>
      <c r="D191" s="6" t="n">
        <v>9.23270469744563E-013</v>
      </c>
      <c r="E191" s="6" t="n">
        <v>1</v>
      </c>
      <c r="F191" s="15" t="n">
        <v>0.596838306563137</v>
      </c>
      <c r="G191" s="15" t="n">
        <v>0.693877551020408</v>
      </c>
      <c r="H191" s="15" t="n">
        <v>1</v>
      </c>
      <c r="I191" s="15" t="n">
        <v>0.596838306563137</v>
      </c>
      <c r="J191" s="15" t="n">
        <v>0.821885437750849</v>
      </c>
      <c r="K191" s="15" t="n">
        <v>0.664211164155072</v>
      </c>
    </row>
    <row r="192" customFormat="false" ht="12.75" hidden="false" customHeight="false" outlineLevel="0" collapsed="false">
      <c r="A192" s="6" t="s">
        <v>29</v>
      </c>
      <c r="B192" s="6" t="n">
        <v>1</v>
      </c>
      <c r="C192" s="6" t="n">
        <v>-0.00550809175066745</v>
      </c>
      <c r="D192" s="6" t="n">
        <v>3.91416523412056E-014</v>
      </c>
      <c r="E192" s="6" t="n">
        <v>0</v>
      </c>
      <c r="F192" s="15" t="n">
        <v>0.490010245274008</v>
      </c>
      <c r="G192" s="15" t="n">
        <v>0.693877551020408</v>
      </c>
      <c r="H192" s="15" t="n">
        <v>0</v>
      </c>
      <c r="I192" s="15" t="n">
        <v>0.490010245274008</v>
      </c>
      <c r="J192" s="15" t="n">
        <v>-0.980216151808838</v>
      </c>
      <c r="K192" s="15" t="n">
        <v>-1.50554530541816</v>
      </c>
    </row>
    <row r="193" customFormat="false" ht="12.75" hidden="false" customHeight="false" outlineLevel="0" collapsed="false">
      <c r="A193" s="6" t="s">
        <v>30</v>
      </c>
      <c r="B193" s="6" t="n">
        <v>1</v>
      </c>
      <c r="C193" s="6" t="n">
        <v>-0.0066549133440133</v>
      </c>
      <c r="D193" s="6" t="n">
        <v>3.31728127610878E-012</v>
      </c>
      <c r="E193" s="6" t="n">
        <v>0</v>
      </c>
      <c r="F193" s="15" t="n">
        <v>0.47202021046088</v>
      </c>
      <c r="G193" s="15" t="n">
        <v>0.693877551020408</v>
      </c>
      <c r="H193" s="15" t="n">
        <v>0</v>
      </c>
      <c r="I193" s="15" t="n">
        <v>0.47202021046088</v>
      </c>
      <c r="J193" s="15" t="n">
        <v>-0.945522020773451</v>
      </c>
      <c r="K193" s="15" t="n">
        <v>-1.50554530541816</v>
      </c>
    </row>
    <row r="194" customFormat="false" ht="12.75" hidden="false" customHeight="false" outlineLevel="0" collapsed="false">
      <c r="A194" s="6" t="s">
        <v>31</v>
      </c>
      <c r="B194" s="6" t="n">
        <v>1</v>
      </c>
      <c r="C194" s="6" t="n">
        <v>0.0466347256189784</v>
      </c>
      <c r="D194" s="6" t="n">
        <v>1.15835281976731E-010</v>
      </c>
      <c r="E194" s="6" t="n">
        <v>1</v>
      </c>
      <c r="F194" s="15" t="n">
        <v>0.978636247679589</v>
      </c>
      <c r="G194" s="15" t="n">
        <v>0.693877551020408</v>
      </c>
      <c r="H194" s="15" t="n">
        <v>1</v>
      </c>
      <c r="I194" s="15" t="n">
        <v>0.978636247679589</v>
      </c>
      <c r="J194" s="15" t="n">
        <v>0.1477502139403</v>
      </c>
      <c r="K194" s="15" t="n">
        <v>0.664211164155072</v>
      </c>
    </row>
    <row r="195" customFormat="false" ht="12.75" hidden="false" customHeight="false" outlineLevel="0" collapsed="false">
      <c r="A195" s="6" t="s">
        <v>32</v>
      </c>
      <c r="B195" s="6" t="n">
        <v>1</v>
      </c>
      <c r="C195" s="6" t="n">
        <v>-0.0371447910361071</v>
      </c>
      <c r="D195" s="6" t="n">
        <v>3.47319888352621E-014</v>
      </c>
      <c r="E195" s="6" t="n">
        <v>0</v>
      </c>
      <c r="F195" s="15" t="n">
        <v>0.10203009527594</v>
      </c>
      <c r="G195" s="15" t="n">
        <v>0.693877551020408</v>
      </c>
      <c r="H195" s="15" t="n">
        <v>0</v>
      </c>
      <c r="I195" s="15" t="n">
        <v>0.10203009527594</v>
      </c>
      <c r="J195" s="15" t="n">
        <v>-0.337080209592305</v>
      </c>
      <c r="K195" s="15" t="n">
        <v>-1.50554530541816</v>
      </c>
    </row>
    <row r="196" customFormat="false" ht="12.75" hidden="false" customHeight="false" outlineLevel="0" collapsed="false">
      <c r="A196" s="6" t="s">
        <v>33</v>
      </c>
      <c r="B196" s="6" t="n">
        <v>1</v>
      </c>
      <c r="C196" s="6" t="n">
        <v>0.00056372543716221</v>
      </c>
      <c r="D196" s="6" t="n">
        <v>1.27766030104349E-013</v>
      </c>
      <c r="E196" s="6" t="n">
        <v>1</v>
      </c>
      <c r="F196" s="15" t="n">
        <v>0.584689712882947</v>
      </c>
      <c r="G196" s="15" t="n">
        <v>0.693877551020408</v>
      </c>
      <c r="H196" s="15" t="n">
        <v>1</v>
      </c>
      <c r="I196" s="15" t="n">
        <v>0.584689712882947</v>
      </c>
      <c r="J196" s="15" t="n">
        <v>0.842798235841442</v>
      </c>
      <c r="K196" s="15" t="n">
        <v>0.664211164155072</v>
      </c>
    </row>
    <row r="197" customFormat="false" ht="12.75" hidden="false" customHeight="false" outlineLevel="0" collapsed="false">
      <c r="A197" s="6" t="s">
        <v>34</v>
      </c>
      <c r="B197" s="6" t="n">
        <v>1</v>
      </c>
      <c r="C197" s="6" t="n">
        <v>0.000927773657300242</v>
      </c>
      <c r="D197" s="6" t="n">
        <v>1.76208456848238E-013</v>
      </c>
      <c r="E197" s="6" t="n">
        <v>0</v>
      </c>
      <c r="F197" s="15" t="n">
        <v>0.590267113771655</v>
      </c>
      <c r="G197" s="15" t="n">
        <v>0.693877551020408</v>
      </c>
      <c r="H197" s="15" t="n">
        <v>0</v>
      </c>
      <c r="I197" s="15" t="n">
        <v>0.590267113771655</v>
      </c>
      <c r="J197" s="15" t="n">
        <v>-1.20025599071268</v>
      </c>
      <c r="K197" s="15" t="n">
        <v>-1.50554530541816</v>
      </c>
    </row>
    <row r="198" customFormat="false" ht="12.75" hidden="false" customHeight="false" outlineLevel="0" collapsed="false">
      <c r="A198" s="6" t="s">
        <v>35</v>
      </c>
      <c r="B198" s="6" t="n">
        <v>1</v>
      </c>
      <c r="C198" s="6" t="n">
        <v>0.14371972819033</v>
      </c>
      <c r="D198" s="6" t="n">
        <v>7.50551003301169E-008</v>
      </c>
      <c r="E198" s="6" t="n">
        <v>1</v>
      </c>
      <c r="F198" s="15" t="n">
        <v>0.999999974624817</v>
      </c>
      <c r="G198" s="15" t="n">
        <v>0.693877551020408</v>
      </c>
      <c r="H198" s="15" t="n">
        <v>1</v>
      </c>
      <c r="I198" s="15" t="n">
        <v>0.999999974624817</v>
      </c>
      <c r="J198" s="15" t="n">
        <v>0.0001592958984585</v>
      </c>
      <c r="K198" s="15" t="n">
        <v>0.664211164155072</v>
      </c>
    </row>
    <row r="199" customFormat="false" ht="12.75" hidden="false" customHeight="false" outlineLevel="0" collapsed="false">
      <c r="A199" s="6" t="s">
        <v>36</v>
      </c>
      <c r="B199" s="6" t="n">
        <v>1</v>
      </c>
      <c r="C199" s="6" t="n">
        <v>0.207011289126063</v>
      </c>
      <c r="D199" s="6" t="n">
        <v>9.78574048714857E-007</v>
      </c>
      <c r="E199" s="6" t="n">
        <v>1</v>
      </c>
      <c r="F199" s="15" t="n">
        <v>0.999160646196633</v>
      </c>
      <c r="G199" s="15" t="n">
        <v>0.693877551020408</v>
      </c>
      <c r="H199" s="15" t="n">
        <v>1</v>
      </c>
      <c r="I199" s="15" t="n">
        <v>0.999160646196633</v>
      </c>
      <c r="J199" s="15" t="n">
        <v>0.0289837697687521</v>
      </c>
      <c r="K199" s="15" t="n">
        <v>0.664211164155072</v>
      </c>
    </row>
    <row r="200" customFormat="false" ht="12.75" hidden="false" customHeight="false" outlineLevel="0" collapsed="false">
      <c r="A200" s="6" t="s">
        <v>37</v>
      </c>
      <c r="B200" s="6" t="n">
        <v>1</v>
      </c>
      <c r="C200" s="6" t="n">
        <v>-0.0224729059785802</v>
      </c>
      <c r="D200" s="6" t="n">
        <v>3.26758137987897E-012</v>
      </c>
      <c r="E200" s="6" t="n">
        <v>0</v>
      </c>
      <c r="F200" s="15" t="n">
        <v>0.244251673348193</v>
      </c>
      <c r="G200" s="15" t="n">
        <v>0.693877551020408</v>
      </c>
      <c r="H200" s="15" t="n">
        <v>0</v>
      </c>
      <c r="I200" s="15" t="n">
        <v>0.244251673348193</v>
      </c>
      <c r="J200" s="15" t="n">
        <v>-0.568499617384308</v>
      </c>
      <c r="K200" s="15" t="n">
        <v>-1.50554530541816</v>
      </c>
    </row>
    <row r="201" customFormat="false" ht="12.75" hidden="false" customHeight="false" outlineLevel="0" collapsed="false">
      <c r="A201" s="6" t="s">
        <v>38</v>
      </c>
      <c r="B201" s="6" t="n">
        <v>1</v>
      </c>
      <c r="C201" s="6" t="n">
        <v>0.178016442242586</v>
      </c>
      <c r="D201" s="6" t="n">
        <v>6.14030526894406E-010</v>
      </c>
      <c r="E201" s="6" t="n">
        <v>1</v>
      </c>
      <c r="F201" s="15" t="n">
        <v>0.999999999999683</v>
      </c>
      <c r="G201" s="15" t="n">
        <v>0.693877551020408</v>
      </c>
      <c r="H201" s="15" t="n">
        <v>1</v>
      </c>
      <c r="I201" s="15" t="n">
        <v>0.999999999999683</v>
      </c>
      <c r="J201" s="15" t="n">
        <v>5.62703835621542E-007</v>
      </c>
      <c r="K201" s="15" t="n">
        <v>0.664211164155072</v>
      </c>
    </row>
    <row r="202" customFormat="false" ht="12.75" hidden="false" customHeight="false" outlineLevel="0" collapsed="false">
      <c r="A202" s="6" t="s">
        <v>39</v>
      </c>
      <c r="B202" s="6" t="n">
        <v>1</v>
      </c>
      <c r="C202" s="6" t="n">
        <v>0.00498079243359649</v>
      </c>
      <c r="D202" s="6" t="n">
        <v>1.73290869510021E-012</v>
      </c>
      <c r="E202" s="6" t="n">
        <v>1</v>
      </c>
      <c r="F202" s="15" t="n">
        <v>0.650890497560938</v>
      </c>
      <c r="G202" s="15" t="n">
        <v>0.693877551020408</v>
      </c>
      <c r="H202" s="15" t="n">
        <v>1</v>
      </c>
      <c r="I202" s="15" t="n">
        <v>0.650890497560938</v>
      </c>
      <c r="J202" s="15" t="n">
        <v>0.732363799964837</v>
      </c>
      <c r="K202" s="15" t="n">
        <v>0.664211164155072</v>
      </c>
    </row>
    <row r="203" customFormat="false" ht="12.75" hidden="false" customHeight="false" outlineLevel="0" collapsed="false">
      <c r="A203" s="6" t="s">
        <v>40</v>
      </c>
      <c r="B203" s="6" t="n">
        <v>1</v>
      </c>
      <c r="C203" s="6" t="n">
        <v>0.0121142687303058</v>
      </c>
      <c r="D203" s="6" t="n">
        <v>2.88428682897276E-014</v>
      </c>
      <c r="E203" s="6" t="n">
        <v>0</v>
      </c>
      <c r="F203" s="15" t="n">
        <v>0.748081559596609</v>
      </c>
      <c r="G203" s="15" t="n">
        <v>0.693877551020408</v>
      </c>
      <c r="H203" s="15" t="n">
        <v>0</v>
      </c>
      <c r="I203" s="15" t="n">
        <v>0.748081559596609</v>
      </c>
      <c r="J203" s="15" t="n">
        <v>-1.72323495387379</v>
      </c>
      <c r="K203" s="15" t="n">
        <v>-1.50554530541816</v>
      </c>
    </row>
    <row r="204" customFormat="false" ht="12.75" hidden="false" customHeight="false" outlineLevel="0" collapsed="false">
      <c r="A204" s="6" t="s">
        <v>41</v>
      </c>
      <c r="B204" s="6" t="n">
        <v>1</v>
      </c>
      <c r="C204" s="6" t="n">
        <v>0.0727712146661485</v>
      </c>
      <c r="D204" s="6" t="n">
        <v>3.8555392305473E-012</v>
      </c>
      <c r="E204" s="6" t="n">
        <v>1</v>
      </c>
      <c r="F204" s="15" t="n">
        <v>0.998876610513888</v>
      </c>
      <c r="G204" s="15" t="n">
        <v>0.693877551020408</v>
      </c>
      <c r="H204" s="15" t="n">
        <v>1</v>
      </c>
      <c r="I204" s="15" t="n">
        <v>0.998876610513888</v>
      </c>
      <c r="J204" s="15" t="n">
        <v>0.0335358451416678</v>
      </c>
      <c r="K204" s="15" t="n">
        <v>0.664211164155072</v>
      </c>
    </row>
    <row r="205" customFormat="false" ht="12.75" hidden="false" customHeight="false" outlineLevel="0" collapsed="false">
      <c r="A205" s="6" t="s">
        <v>42</v>
      </c>
      <c r="B205" s="6" t="n">
        <v>1</v>
      </c>
      <c r="C205" s="6" t="n">
        <v>0.0345178953946172</v>
      </c>
      <c r="D205" s="6" t="n">
        <v>8.18184975183888E-013</v>
      </c>
      <c r="E205" s="6" t="n">
        <v>1</v>
      </c>
      <c r="F205" s="15" t="n">
        <v>0.939444761588147</v>
      </c>
      <c r="G205" s="15" t="n">
        <v>0.693877551020408</v>
      </c>
      <c r="H205" s="15" t="n">
        <v>1</v>
      </c>
      <c r="I205" s="15" t="n">
        <v>0.939444761588147</v>
      </c>
      <c r="J205" s="15" t="n">
        <v>0.253886865970594</v>
      </c>
      <c r="K205" s="15" t="n">
        <v>0.664211164155072</v>
      </c>
    </row>
    <row r="206" customFormat="false" ht="12.75" hidden="false" customHeight="false" outlineLevel="0" collapsed="false">
      <c r="A206" s="6" t="s">
        <v>43</v>
      </c>
      <c r="B206" s="6" t="n">
        <v>1</v>
      </c>
      <c r="C206" s="6" t="n">
        <v>0.0020064460327166</v>
      </c>
      <c r="D206" s="6" t="n">
        <v>1.82145478296565E-012</v>
      </c>
      <c r="E206" s="6" t="n">
        <v>1</v>
      </c>
      <c r="F206" s="15" t="n">
        <v>0.606678831524575</v>
      </c>
      <c r="G206" s="15" t="n">
        <v>0.693877551020408</v>
      </c>
      <c r="H206" s="15" t="n">
        <v>1</v>
      </c>
      <c r="I206" s="15" t="n">
        <v>0.606678831524575</v>
      </c>
      <c r="J206" s="15" t="n">
        <v>0.805182337316945</v>
      </c>
      <c r="K206" s="15" t="n">
        <v>0.664211164155072</v>
      </c>
    </row>
    <row r="207" customFormat="false" ht="12.75" hidden="false" customHeight="false" outlineLevel="0" collapsed="false">
      <c r="A207" s="6" t="s">
        <v>44</v>
      </c>
      <c r="B207" s="6" t="n">
        <v>1</v>
      </c>
      <c r="C207" s="6" t="n">
        <v>0.118365513806805</v>
      </c>
      <c r="D207" s="6" t="n">
        <v>7.42322736941945E-009</v>
      </c>
      <c r="E207" s="6" t="n">
        <v>1</v>
      </c>
      <c r="F207" s="15" t="n">
        <v>0.999999246027896</v>
      </c>
      <c r="G207" s="15" t="n">
        <v>0.693877551020408</v>
      </c>
      <c r="H207" s="15" t="n">
        <v>1</v>
      </c>
      <c r="I207" s="15" t="n">
        <v>0.999999246027896</v>
      </c>
      <c r="J207" s="15" t="n">
        <v>0.000868315998101073</v>
      </c>
      <c r="K207" s="15" t="n">
        <v>0.664211164155072</v>
      </c>
    </row>
    <row r="208" customFormat="false" ht="12.75" hidden="false" customHeight="false" outlineLevel="0" collapsed="false">
      <c r="A208" s="6" t="s">
        <v>45</v>
      </c>
      <c r="B208" s="6" t="n">
        <v>1</v>
      </c>
      <c r="C208" s="6" t="n">
        <v>0.0307268289205572</v>
      </c>
      <c r="D208" s="6" t="n">
        <v>1.30467382846026E-008</v>
      </c>
      <c r="E208" s="6" t="n">
        <v>1</v>
      </c>
      <c r="F208" s="15" t="n">
        <v>0.908513754643661</v>
      </c>
      <c r="G208" s="15" t="n">
        <v>0.693877551020408</v>
      </c>
      <c r="H208" s="15" t="n">
        <v>1</v>
      </c>
      <c r="I208" s="15" t="n">
        <v>0.908513754643661</v>
      </c>
      <c r="J208" s="15" t="n">
        <v>0.317330743119204</v>
      </c>
      <c r="K208" s="15" t="n">
        <v>0.664211164155072</v>
      </c>
    </row>
    <row r="209" customFormat="false" ht="12.75" hidden="false" customHeight="false" outlineLevel="0" collapsed="false">
      <c r="A209" s="6" t="s">
        <v>46</v>
      </c>
      <c r="B209" s="6" t="n">
        <v>1</v>
      </c>
      <c r="C209" s="6" t="n">
        <v>-0.0115496986194282</v>
      </c>
      <c r="D209" s="6" t="n">
        <v>2.57625046539453E-014</v>
      </c>
      <c r="E209" s="6" t="n">
        <v>0</v>
      </c>
      <c r="F209" s="15" t="n">
        <v>0.396351068878986</v>
      </c>
      <c r="G209" s="15" t="n">
        <v>0.693877551020408</v>
      </c>
      <c r="H209" s="15" t="n">
        <v>0</v>
      </c>
      <c r="I209" s="15" t="n">
        <v>0.396351068878986</v>
      </c>
      <c r="J209" s="15" t="n">
        <v>-0.810303656905397</v>
      </c>
      <c r="K209" s="15" t="n">
        <v>-1.50554530541816</v>
      </c>
    </row>
    <row r="210" customFormat="false" ht="12.75" hidden="false" customHeight="false" outlineLevel="0" collapsed="false">
      <c r="A210" s="6" t="s">
        <v>47</v>
      </c>
      <c r="B210" s="6" t="n">
        <v>1</v>
      </c>
      <c r="C210" s="6" t="n">
        <v>-0.016305774346237</v>
      </c>
      <c r="D210" s="6" t="n">
        <v>8.51096256861615E-012</v>
      </c>
      <c r="E210" s="6" t="n">
        <v>0</v>
      </c>
      <c r="F210" s="15" t="n">
        <v>0.326348583957738</v>
      </c>
      <c r="G210" s="15" t="n">
        <v>0.693877551020408</v>
      </c>
      <c r="H210" s="15" t="n">
        <v>0</v>
      </c>
      <c r="I210" s="15" t="n">
        <v>0.326348583957738</v>
      </c>
      <c r="J210" s="15" t="n">
        <v>-0.696022457878914</v>
      </c>
      <c r="K210" s="15" t="n">
        <v>-1.50554530541816</v>
      </c>
    </row>
    <row r="211" customFormat="false" ht="12.75" hidden="false" customHeight="false" outlineLevel="0" collapsed="false">
      <c r="A211" s="6" t="s">
        <v>48</v>
      </c>
      <c r="B211" s="6" t="n">
        <v>1</v>
      </c>
      <c r="C211" s="6" t="n">
        <v>0.0199513403860225</v>
      </c>
      <c r="D211" s="6" t="n">
        <v>2.94341409435387E-013</v>
      </c>
      <c r="E211" s="6" t="n">
        <v>1</v>
      </c>
      <c r="F211" s="15" t="n">
        <v>0.835686267573638</v>
      </c>
      <c r="G211" s="15" t="n">
        <v>0.693877551020408</v>
      </c>
      <c r="H211" s="15" t="n">
        <v>1</v>
      </c>
      <c r="I211" s="15" t="n">
        <v>0.835686267573638</v>
      </c>
      <c r="J211" s="15" t="n">
        <v>0.44342002039124</v>
      </c>
      <c r="K211" s="15" t="n">
        <v>0.664211164155072</v>
      </c>
    </row>
    <row r="212" customFormat="false" ht="12.75" hidden="false" customHeight="false" outlineLevel="0" collapsed="false">
      <c r="A212" s="6" t="s">
        <v>49</v>
      </c>
      <c r="B212" s="6" t="n">
        <v>1</v>
      </c>
      <c r="C212" s="6" t="n">
        <v>0.0455700468946818</v>
      </c>
      <c r="D212" s="6" t="n">
        <v>2.38458372944146E-012</v>
      </c>
      <c r="E212" s="6" t="n">
        <v>1</v>
      </c>
      <c r="F212" s="15" t="n">
        <v>0.976431496190464</v>
      </c>
      <c r="G212" s="15" t="n">
        <v>0.693877551020408</v>
      </c>
      <c r="H212" s="15" t="n">
        <v>1</v>
      </c>
      <c r="I212" s="15" t="n">
        <v>0.976431496190464</v>
      </c>
      <c r="J212" s="15" t="n">
        <v>0.155362112114297</v>
      </c>
      <c r="K212" s="15" t="n">
        <v>0.664211164155072</v>
      </c>
    </row>
    <row r="213" customFormat="false" ht="12.75" hidden="false" customHeight="false" outlineLevel="0" collapsed="false">
      <c r="A213" s="6" t="s">
        <v>50</v>
      </c>
      <c r="B213" s="6" t="n">
        <v>1</v>
      </c>
      <c r="C213" s="6" t="n">
        <v>-0.0304130802947328</v>
      </c>
      <c r="D213" s="6" t="n">
        <v>4.16760355861009E-013</v>
      </c>
      <c r="E213" s="6" t="n">
        <v>1</v>
      </c>
      <c r="F213" s="15" t="n">
        <v>0.157411772668619</v>
      </c>
      <c r="G213" s="15" t="n">
        <v>0.693877551020408</v>
      </c>
      <c r="H213" s="15" t="n">
        <v>1</v>
      </c>
      <c r="I213" s="15" t="n">
        <v>0.157411772668619</v>
      </c>
      <c r="J213" s="15" t="n">
        <v>2.31360433091271</v>
      </c>
      <c r="K213" s="15" t="n">
        <v>0.664211164155072</v>
      </c>
    </row>
    <row r="214" customFormat="false" ht="12.75" hidden="false" customHeight="false" outlineLevel="0" collapsed="false">
      <c r="A214" s="6" t="s">
        <v>51</v>
      </c>
      <c r="B214" s="6" t="n">
        <v>1</v>
      </c>
      <c r="C214" s="6" t="n">
        <v>0.00283871714366032</v>
      </c>
      <c r="D214" s="6" t="n">
        <v>5.28659248696466E-009</v>
      </c>
      <c r="E214" s="6" t="n">
        <v>0</v>
      </c>
      <c r="F214" s="15" t="n">
        <v>0.608481181026153</v>
      </c>
      <c r="G214" s="15" t="n">
        <v>0.693877551020408</v>
      </c>
      <c r="H214" s="15" t="n">
        <v>0</v>
      </c>
      <c r="I214" s="15" t="n">
        <v>0.608481181026153</v>
      </c>
      <c r="J214" s="15" t="n">
        <v>-1.24665778820757</v>
      </c>
      <c r="K214" s="15" t="n">
        <v>-1.50554530541816</v>
      </c>
    </row>
    <row r="215" customFormat="false" ht="12.75" hidden="false" customHeight="false" outlineLevel="0" collapsed="false">
      <c r="A215" s="6" t="s">
        <v>52</v>
      </c>
      <c r="B215" s="6" t="n">
        <v>1</v>
      </c>
      <c r="C215" s="6" t="n">
        <v>0.0808302896170426</v>
      </c>
      <c r="D215" s="6" t="n">
        <v>2.1699894914854E-010</v>
      </c>
      <c r="E215" s="6" t="n">
        <v>1</v>
      </c>
      <c r="F215" s="15" t="n">
        <v>0.999626217409806</v>
      </c>
      <c r="G215" s="15" t="n">
        <v>0.693877551020408</v>
      </c>
      <c r="H215" s="15" t="n">
        <v>1</v>
      </c>
      <c r="I215" s="15" t="n">
        <v>0.999626217409806</v>
      </c>
      <c r="J215" s="15" t="n">
        <v>0.0193370720601784</v>
      </c>
      <c r="K215" s="15" t="n">
        <v>0.664211164155072</v>
      </c>
    </row>
    <row r="216" customFormat="false" ht="12.75" hidden="false" customHeight="false" outlineLevel="0" collapsed="false">
      <c r="A216" s="6" t="s">
        <v>53</v>
      </c>
      <c r="B216" s="6" t="n">
        <v>1</v>
      </c>
      <c r="C216" s="6" t="n">
        <v>-0.0096591569325258</v>
      </c>
      <c r="D216" s="6" t="n">
        <v>4.68182221770351E-012</v>
      </c>
      <c r="E216" s="6" t="n">
        <v>1</v>
      </c>
      <c r="F216" s="15" t="n">
        <v>0.425270530770228</v>
      </c>
      <c r="G216" s="15" t="n">
        <v>0.693877551020408</v>
      </c>
      <c r="H216" s="15" t="n">
        <v>1</v>
      </c>
      <c r="I216" s="15" t="n">
        <v>0.425270530770228</v>
      </c>
      <c r="J216" s="15" t="n">
        <v>1.16251640033006</v>
      </c>
      <c r="K216" s="15" t="n">
        <v>0.664211164155072</v>
      </c>
    </row>
    <row r="217" customFormat="false" ht="12.75" hidden="false" customHeight="false" outlineLevel="0" collapsed="false">
      <c r="A217" s="6" t="s">
        <v>54</v>
      </c>
      <c r="B217" s="6" t="n">
        <v>1</v>
      </c>
      <c r="C217" s="6" t="n">
        <v>0.0967620428417531</v>
      </c>
      <c r="D217" s="6" t="n">
        <v>6.85214483647577E-010</v>
      </c>
      <c r="E217" s="6" t="n">
        <v>1</v>
      </c>
      <c r="F217" s="15" t="n">
        <v>0.999967779881448</v>
      </c>
      <c r="G217" s="15" t="n">
        <v>0.693877551020408</v>
      </c>
      <c r="H217" s="15" t="n">
        <v>1</v>
      </c>
      <c r="I217" s="15" t="n">
        <v>0.999967779881448</v>
      </c>
      <c r="J217" s="15" t="n">
        <v>0.00567636826867089</v>
      </c>
      <c r="K217" s="15" t="n">
        <v>0.664211164155072</v>
      </c>
    </row>
    <row r="218" customFormat="false" ht="12.75" hidden="false" customHeight="false" outlineLevel="0" collapsed="false">
      <c r="A218" s="6" t="s">
        <v>55</v>
      </c>
      <c r="B218" s="6" t="n">
        <v>1</v>
      </c>
      <c r="C218" s="6" t="n">
        <v>-0.0125765943013465</v>
      </c>
      <c r="D218" s="6" t="n">
        <v>6.22970666540397E-012</v>
      </c>
      <c r="E218" s="6" t="n">
        <v>1</v>
      </c>
      <c r="F218" s="15" t="n">
        <v>0.380850210806819</v>
      </c>
      <c r="G218" s="15" t="n">
        <v>0.693877551020408</v>
      </c>
      <c r="H218" s="15" t="n">
        <v>1</v>
      </c>
      <c r="I218" s="15" t="n">
        <v>0.380850210806819</v>
      </c>
      <c r="J218" s="15" t="n">
        <v>1.27503106041566</v>
      </c>
      <c r="K218" s="15" t="n">
        <v>0.664211164155072</v>
      </c>
    </row>
    <row r="219" customFormat="false" ht="13.5" hidden="false" customHeight="false" outlineLevel="0" collapsed="false">
      <c r="A219" s="7" t="s">
        <v>56</v>
      </c>
      <c r="B219" s="7" t="n">
        <v>1</v>
      </c>
      <c r="C219" s="7" t="n">
        <v>-0.0213379580679842</v>
      </c>
      <c r="D219" s="7" t="n">
        <v>2.06863081753292E-013</v>
      </c>
      <c r="E219" s="7" t="n">
        <v>0</v>
      </c>
      <c r="F219" s="16" t="n">
        <v>0.258489119705044</v>
      </c>
      <c r="G219" s="16" t="n">
        <v>0.693877551020408</v>
      </c>
      <c r="H219" s="16" t="n">
        <v>0</v>
      </c>
      <c r="I219" s="16" t="n">
        <v>0.258489119705044</v>
      </c>
      <c r="J219" s="16" t="n">
        <v>-0.590421780113141</v>
      </c>
      <c r="K219" s="16" t="n">
        <v>-1.50554530541816</v>
      </c>
    </row>
    <row r="240" customFormat="false" ht="12.75" hidden="false" customHeight="false" outlineLevel="0" collapsed="false">
      <c r="A240" s="0" t="s">
        <v>399</v>
      </c>
    </row>
    <row r="241" customFormat="false" ht="12.75" hidden="false" customHeight="false" outlineLevel="0" collapsed="false">
      <c r="A241" s="0" t="s">
        <v>109</v>
      </c>
    </row>
    <row r="242" customFormat="false" ht="12.75" hidden="false" customHeight="false" outlineLevel="0" collapsed="false">
      <c r="A242" s="0" t="s">
        <v>398</v>
      </c>
    </row>
    <row r="243" customFormat="false" ht="12.75" hidden="false" customHeight="false" outlineLevel="0" collapsed="false">
      <c r="A243" s="0" t="s">
        <v>369</v>
      </c>
    </row>
    <row r="244" customFormat="false" ht="12.75" hidden="false" customHeight="false" outlineLevel="0" collapsed="false">
      <c r="A244" s="0" t="s">
        <v>112</v>
      </c>
    </row>
    <row r="245" customFormat="false" ht="12.75" hidden="false" customHeight="false" outlineLevel="0" collapsed="false">
      <c r="A245" s="0" t="s">
        <v>400</v>
      </c>
    </row>
    <row r="248" customFormat="false" ht="12.75" hidden="false" customHeight="false" outlineLevel="0" collapsed="false">
      <c r="A248" s="0" t="s">
        <v>371</v>
      </c>
    </row>
    <row r="249" customFormat="false" ht="13.5" hidden="false" customHeight="false" outlineLevel="0" collapsed="false"/>
    <row r="250" customFormat="false" ht="12.75" hidden="false" customHeight="false" outlineLevel="0" collapsed="false">
      <c r="A250" s="8" t="s">
        <v>372</v>
      </c>
      <c r="B250" s="8" t="s">
        <v>113</v>
      </c>
      <c r="C250" s="8" t="s">
        <v>114</v>
      </c>
    </row>
    <row r="251" customFormat="false" ht="12.75" hidden="false" customHeight="false" outlineLevel="0" collapsed="false">
      <c r="A251" s="6" t="s">
        <v>357</v>
      </c>
      <c r="B251" s="6" t="n">
        <v>0.0383230600332513</v>
      </c>
      <c r="C251" s="6" t="n">
        <v>0.0619318274193619</v>
      </c>
    </row>
    <row r="252" customFormat="false" ht="13.5" hidden="false" customHeight="false" outlineLevel="0" collapsed="false">
      <c r="A252" s="7" t="s">
        <v>373</v>
      </c>
      <c r="B252" s="7" t="n">
        <v>0.00346983561380992</v>
      </c>
      <c r="C252" s="7" t="n">
        <v>0.00546796676430527</v>
      </c>
    </row>
    <row r="256" customFormat="false" ht="12.75" hidden="false" customHeight="false" outlineLevel="0" collapsed="false">
      <c r="A256" s="0" t="s">
        <v>374</v>
      </c>
    </row>
    <row r="257" customFormat="false" ht="13.5" hidden="false" customHeight="false" outlineLevel="0" collapsed="false"/>
    <row r="258" customFormat="false" ht="12.75" hidden="false" customHeight="false" outlineLevel="0" collapsed="false">
      <c r="A258" s="8" t="s">
        <v>375</v>
      </c>
      <c r="B258" s="8" t="s">
        <v>135</v>
      </c>
      <c r="C258" s="8" t="s">
        <v>136</v>
      </c>
      <c r="D258" s="8" t="s">
        <v>376</v>
      </c>
      <c r="E258" s="8" t="s">
        <v>377</v>
      </c>
    </row>
    <row r="259" customFormat="false" ht="12.75" hidden="false" customHeight="false" outlineLevel="0" collapsed="false">
      <c r="A259" s="6" t="s">
        <v>80</v>
      </c>
      <c r="B259" s="15" t="n">
        <v>0.494086748470653</v>
      </c>
      <c r="C259" s="15" t="n">
        <v>0.565938296661119</v>
      </c>
      <c r="D259" s="15" t="n">
        <v>0.762198773580702</v>
      </c>
      <c r="E259" s="15" t="n">
        <v>0.382641298534454</v>
      </c>
    </row>
    <row r="260" customFormat="false" ht="12.75" hidden="false" customHeight="false" outlineLevel="0" collapsed="false">
      <c r="A260" s="6" t="s">
        <v>357</v>
      </c>
      <c r="B260" s="15" t="n">
        <v>69.9515235455751</v>
      </c>
      <c r="C260" s="15" t="n">
        <v>26.806986037281</v>
      </c>
      <c r="D260" s="15" t="n">
        <v>6.80923588878762</v>
      </c>
      <c r="E260" s="15" t="n">
        <v>0.00906875680362683</v>
      </c>
    </row>
    <row r="261" customFormat="false" ht="13.5" hidden="false" customHeight="false" outlineLevel="0" collapsed="false">
      <c r="A261" s="7" t="s">
        <v>373</v>
      </c>
      <c r="B261" s="16" t="n">
        <v>-105.139488108432</v>
      </c>
      <c r="C261" s="16" t="n">
        <v>203.942215058466</v>
      </c>
      <c r="D261" s="16" t="n">
        <v>0.265777035267886</v>
      </c>
      <c r="E261" s="16" t="n">
        <v>0.60617874578514</v>
      </c>
    </row>
    <row r="264" customFormat="false" ht="13.5" hidden="false" customHeight="false" outlineLevel="0" collapsed="false">
      <c r="A264" s="0" t="s">
        <v>378</v>
      </c>
    </row>
    <row r="265" customFormat="false" ht="12.75" hidden="false" customHeight="false" outlineLevel="0" collapsed="false">
      <c r="A265" s="8" t="s">
        <v>379</v>
      </c>
      <c r="B265" s="8" t="s">
        <v>380</v>
      </c>
      <c r="C265" s="8" t="s">
        <v>381</v>
      </c>
      <c r="D265" s="8" t="s">
        <v>382</v>
      </c>
      <c r="E265" s="8" t="s">
        <v>383</v>
      </c>
      <c r="F265" s="8" t="s">
        <v>384</v>
      </c>
      <c r="G265" s="8" t="s">
        <v>385</v>
      </c>
      <c r="H265" s="8" t="s">
        <v>386</v>
      </c>
      <c r="I265" s="8" t="s">
        <v>387</v>
      </c>
      <c r="J265" s="8" t="s">
        <v>388</v>
      </c>
      <c r="K265" s="8" t="s">
        <v>389</v>
      </c>
    </row>
    <row r="266" customFormat="false" ht="13.5" hidden="false" customHeight="false" outlineLevel="0" collapsed="false">
      <c r="A266" s="7" t="n">
        <v>49</v>
      </c>
      <c r="B266" s="7" t="n">
        <v>-17.4670771497446</v>
      </c>
      <c r="C266" s="7" t="n">
        <v>-30.1821837539381</v>
      </c>
      <c r="D266" s="7" t="n">
        <v>29.9598683680854</v>
      </c>
      <c r="E266" s="7" t="n">
        <v>46</v>
      </c>
      <c r="F266" s="7" t="n">
        <v>0.967662431486411</v>
      </c>
      <c r="G266" s="7" t="n">
        <v>25.4302132083869</v>
      </c>
      <c r="H266" s="7" t="n">
        <v>2</v>
      </c>
      <c r="I266" s="7" t="n">
        <v>0.0001</v>
      </c>
      <c r="J266" s="7" t="n">
        <v>0.423525163982581</v>
      </c>
      <c r="K266" s="7" t="n">
        <v>0.421278549884067</v>
      </c>
    </row>
    <row r="268" customFormat="false" ht="12.75" hidden="false" customHeight="false" outlineLevel="0" collapsed="false">
      <c r="A268" s="0" t="s">
        <v>390</v>
      </c>
    </row>
    <row r="269" customFormat="false" ht="13.5" hidden="false" customHeight="false" outlineLevel="0" collapsed="false"/>
    <row r="270" customFormat="false" ht="12.75" hidden="false" customHeight="false" outlineLevel="0" collapsed="false">
      <c r="A270" s="8" t="s">
        <v>63</v>
      </c>
      <c r="B270" s="8"/>
      <c r="C270" s="8" t="s">
        <v>357</v>
      </c>
      <c r="D270" s="8" t="s">
        <v>373</v>
      </c>
      <c r="E270" s="8" t="s">
        <v>362</v>
      </c>
      <c r="F270" s="8" t="s">
        <v>401</v>
      </c>
      <c r="G270" s="8" t="s">
        <v>392</v>
      </c>
      <c r="H270" s="8" t="s">
        <v>393</v>
      </c>
      <c r="I270" s="8" t="s">
        <v>394</v>
      </c>
      <c r="J270" s="8" t="s">
        <v>402</v>
      </c>
      <c r="K270" s="8" t="s">
        <v>396</v>
      </c>
    </row>
    <row r="271" customFormat="false" ht="12.75" hidden="false" customHeight="false" outlineLevel="0" collapsed="false">
      <c r="A271" s="6" t="s">
        <v>8</v>
      </c>
      <c r="B271" s="6" t="n">
        <v>1</v>
      </c>
      <c r="C271" s="6" t="n">
        <v>-0.00635998563327726</v>
      </c>
      <c r="D271" s="6" t="n">
        <v>0.00103780685279132</v>
      </c>
      <c r="E271" s="6" t="n">
        <v>0</v>
      </c>
      <c r="F271" s="15" t="n">
        <v>0.485024875669727</v>
      </c>
      <c r="G271" s="15" t="n">
        <v>0.693877551020408</v>
      </c>
      <c r="H271" s="15" t="n">
        <v>0</v>
      </c>
      <c r="I271" s="15" t="n">
        <v>0.485024875669727</v>
      </c>
      <c r="J271" s="15" t="n">
        <v>-0.970485120011712</v>
      </c>
      <c r="K271" s="15" t="n">
        <v>-1.50554530541816</v>
      </c>
    </row>
    <row r="272" customFormat="false" ht="12.75" hidden="false" customHeight="false" outlineLevel="0" collapsed="false">
      <c r="A272" s="6" t="s">
        <v>9</v>
      </c>
      <c r="B272" s="6" t="n">
        <v>1</v>
      </c>
      <c r="C272" s="6" t="n">
        <v>-0.0190743876668005</v>
      </c>
      <c r="D272" s="6" t="n">
        <v>0.00110520515997275</v>
      </c>
      <c r="E272" s="6" t="n">
        <v>0</v>
      </c>
      <c r="F272" s="15" t="n">
        <v>0.277600268555843</v>
      </c>
      <c r="G272" s="15" t="n">
        <v>0.693877551020408</v>
      </c>
      <c r="H272" s="15" t="n">
        <v>0</v>
      </c>
      <c r="I272" s="15" t="n">
        <v>0.277600268555843</v>
      </c>
      <c r="J272" s="15" t="n">
        <v>-0.619899310130171</v>
      </c>
      <c r="K272" s="15" t="n">
        <v>-1.50554530541816</v>
      </c>
    </row>
    <row r="273" customFormat="false" ht="12.75" hidden="false" customHeight="false" outlineLevel="0" collapsed="false">
      <c r="A273" s="6" t="s">
        <v>10</v>
      </c>
      <c r="B273" s="6" t="n">
        <v>1</v>
      </c>
      <c r="C273" s="6" t="n">
        <v>0.0021231116583736</v>
      </c>
      <c r="D273" s="6" t="n">
        <v>0.000968232645326292</v>
      </c>
      <c r="E273" s="6" t="n">
        <v>0</v>
      </c>
      <c r="F273" s="15" t="n">
        <v>0.631999000609628</v>
      </c>
      <c r="G273" s="15" t="n">
        <v>0.693877551020408</v>
      </c>
      <c r="H273" s="15" t="n">
        <v>0</v>
      </c>
      <c r="I273" s="15" t="n">
        <v>0.631999000609628</v>
      </c>
      <c r="J273" s="15" t="n">
        <v>-1.31048995595311</v>
      </c>
      <c r="K273" s="15" t="n">
        <v>-1.50554530541816</v>
      </c>
    </row>
    <row r="274" customFormat="false" ht="12.75" hidden="false" customHeight="false" outlineLevel="0" collapsed="false">
      <c r="A274" s="6" t="s">
        <v>11</v>
      </c>
      <c r="B274" s="6" t="n">
        <v>1</v>
      </c>
      <c r="C274" s="6" t="n">
        <v>0.0956979646979981</v>
      </c>
      <c r="D274" s="6" t="n">
        <v>0.00103743972283934</v>
      </c>
      <c r="E274" s="6" t="n">
        <v>1</v>
      </c>
      <c r="F274" s="15" t="n">
        <v>0.999158286922972</v>
      </c>
      <c r="G274" s="15" t="n">
        <v>0.693877551020408</v>
      </c>
      <c r="H274" s="15" t="n">
        <v>1</v>
      </c>
      <c r="I274" s="15" t="n">
        <v>0.999158286922972</v>
      </c>
      <c r="J274" s="15" t="n">
        <v>0.0290245095526505</v>
      </c>
      <c r="K274" s="15" t="n">
        <v>0.664211164155072</v>
      </c>
    </row>
    <row r="275" customFormat="false" ht="12.75" hidden="false" customHeight="false" outlineLevel="0" collapsed="false">
      <c r="A275" s="6" t="s">
        <v>12</v>
      </c>
      <c r="B275" s="6" t="n">
        <v>1</v>
      </c>
      <c r="C275" s="6" t="n">
        <v>-0.0191589666506185</v>
      </c>
      <c r="D275" s="6" t="n">
        <v>0.000900750597720061</v>
      </c>
      <c r="E275" s="6" t="n">
        <v>1</v>
      </c>
      <c r="F275" s="15" t="n">
        <v>0.280735419664692</v>
      </c>
      <c r="G275" s="15" t="n">
        <v>0.693877551020408</v>
      </c>
      <c r="H275" s="15" t="n">
        <v>1</v>
      </c>
      <c r="I275" s="15" t="n">
        <v>0.280735419664692</v>
      </c>
      <c r="J275" s="15" t="n">
        <v>1.60064761628141</v>
      </c>
      <c r="K275" s="15" t="n">
        <v>0.664211164155072</v>
      </c>
    </row>
    <row r="276" customFormat="false" ht="12.75" hidden="false" customHeight="false" outlineLevel="0" collapsed="false">
      <c r="A276" s="6" t="s">
        <v>13</v>
      </c>
      <c r="B276" s="6" t="n">
        <v>1</v>
      </c>
      <c r="C276" s="6" t="n">
        <v>0.137856453890509</v>
      </c>
      <c r="D276" s="6" t="n">
        <v>0.0127945450267137</v>
      </c>
      <c r="E276" s="6" t="n">
        <v>1</v>
      </c>
      <c r="F276" s="15" t="n">
        <v>0.999848101150796</v>
      </c>
      <c r="G276" s="15" t="n">
        <v>0.693877551020408</v>
      </c>
      <c r="H276" s="15" t="n">
        <v>1</v>
      </c>
      <c r="I276" s="15" t="n">
        <v>0.999848101150796</v>
      </c>
      <c r="J276" s="15" t="n">
        <v>0.0123256612792185</v>
      </c>
      <c r="K276" s="15" t="n">
        <v>0.664211164155072</v>
      </c>
    </row>
    <row r="277" customFormat="false" ht="12.75" hidden="false" customHeight="false" outlineLevel="0" collapsed="false">
      <c r="A277" s="6" t="s">
        <v>14</v>
      </c>
      <c r="B277" s="6" t="n">
        <v>1</v>
      </c>
      <c r="C277" s="6" t="n">
        <v>0.169582366724771</v>
      </c>
      <c r="D277" s="6" t="n">
        <v>0.0119523035423315</v>
      </c>
      <c r="E277" s="6" t="n">
        <v>1</v>
      </c>
      <c r="F277" s="15" t="n">
        <v>0.999984887490355</v>
      </c>
      <c r="G277" s="15" t="n">
        <v>0.693877551020408</v>
      </c>
      <c r="H277" s="15" t="n">
        <v>1</v>
      </c>
      <c r="I277" s="15" t="n">
        <v>0.999984887490355</v>
      </c>
      <c r="J277" s="15" t="n">
        <v>0.00388751051915523</v>
      </c>
      <c r="K277" s="15" t="n">
        <v>0.664211164155072</v>
      </c>
    </row>
    <row r="278" customFormat="false" ht="12.75" hidden="false" customHeight="false" outlineLevel="0" collapsed="false">
      <c r="A278" s="6" t="s">
        <v>15</v>
      </c>
      <c r="B278" s="6" t="n">
        <v>1</v>
      </c>
      <c r="C278" s="6" t="n">
        <v>0.061251926411499</v>
      </c>
      <c r="D278" s="6" t="n">
        <v>0.00138270267108668</v>
      </c>
      <c r="E278" s="6" t="n">
        <v>1</v>
      </c>
      <c r="F278" s="15" t="n">
        <v>0.990371719274836</v>
      </c>
      <c r="G278" s="15" t="n">
        <v>0.693877551020408</v>
      </c>
      <c r="H278" s="15" t="n">
        <v>1</v>
      </c>
      <c r="I278" s="15" t="n">
        <v>0.990371719274836</v>
      </c>
      <c r="J278" s="15" t="n">
        <v>0.0985996235821463</v>
      </c>
      <c r="K278" s="15" t="n">
        <v>0.664211164155072</v>
      </c>
    </row>
    <row r="279" customFormat="false" ht="12.75" hidden="false" customHeight="false" outlineLevel="0" collapsed="false">
      <c r="A279" s="6" t="s">
        <v>16</v>
      </c>
      <c r="B279" s="6" t="n">
        <v>1</v>
      </c>
      <c r="C279" s="6" t="n">
        <v>0.0137604560774319</v>
      </c>
      <c r="D279" s="6" t="n">
        <v>0.000998970106345577</v>
      </c>
      <c r="E279" s="6" t="n">
        <v>1</v>
      </c>
      <c r="F279" s="15" t="n">
        <v>0.794394419167925</v>
      </c>
      <c r="G279" s="15" t="n">
        <v>0.693877551020408</v>
      </c>
      <c r="H279" s="15" t="n">
        <v>1</v>
      </c>
      <c r="I279" s="15" t="n">
        <v>0.794394419167925</v>
      </c>
      <c r="J279" s="15" t="n">
        <v>0.508744066559277</v>
      </c>
      <c r="K279" s="15" t="n">
        <v>0.664211164155072</v>
      </c>
    </row>
    <row r="280" customFormat="false" ht="12.75" hidden="false" customHeight="false" outlineLevel="0" collapsed="false">
      <c r="A280" s="6" t="s">
        <v>17</v>
      </c>
      <c r="B280" s="6" t="n">
        <v>1</v>
      </c>
      <c r="C280" s="6" t="n">
        <v>-0.0341913086322479</v>
      </c>
      <c r="D280" s="6" t="n">
        <v>0.00253316653774324</v>
      </c>
      <c r="E280" s="6" t="n">
        <v>0</v>
      </c>
      <c r="F280" s="15" t="n">
        <v>0.103031755274017</v>
      </c>
      <c r="G280" s="15" t="n">
        <v>0.693877551020408</v>
      </c>
      <c r="H280" s="15" t="n">
        <v>0</v>
      </c>
      <c r="I280" s="15" t="n">
        <v>0.103031755274017</v>
      </c>
      <c r="J280" s="15" t="n">
        <v>-0.338919857629897</v>
      </c>
      <c r="K280" s="15" t="n">
        <v>-1.50554530541816</v>
      </c>
    </row>
    <row r="281" customFormat="false" ht="12.75" hidden="false" customHeight="false" outlineLevel="0" collapsed="false">
      <c r="A281" s="6" t="s">
        <v>18</v>
      </c>
      <c r="B281" s="6" t="n">
        <v>1</v>
      </c>
      <c r="C281" s="6" t="n">
        <v>-0.0177839994909336</v>
      </c>
      <c r="D281" s="6" t="n">
        <v>0.00114445052347599</v>
      </c>
      <c r="E281" s="6" t="n">
        <v>0</v>
      </c>
      <c r="F281" s="15" t="n">
        <v>0.295200609407123</v>
      </c>
      <c r="G281" s="15" t="n">
        <v>0.693877551020408</v>
      </c>
      <c r="H281" s="15" t="n">
        <v>0</v>
      </c>
      <c r="I281" s="15" t="n">
        <v>0.295200609407123</v>
      </c>
      <c r="J281" s="15" t="n">
        <v>-0.647181158217102</v>
      </c>
      <c r="K281" s="15" t="n">
        <v>-1.50554530541816</v>
      </c>
    </row>
    <row r="282" customFormat="false" ht="12.75" hidden="false" customHeight="false" outlineLevel="0" collapsed="false">
      <c r="A282" s="6" t="s">
        <v>19</v>
      </c>
      <c r="B282" s="6" t="n">
        <v>1</v>
      </c>
      <c r="C282" s="6" t="n">
        <v>0.0608497516791446</v>
      </c>
      <c r="D282" s="6" t="n">
        <v>0.000672289152317663</v>
      </c>
      <c r="E282" s="6" t="n">
        <v>1</v>
      </c>
      <c r="F282" s="15" t="n">
        <v>0.990805706602422</v>
      </c>
      <c r="G282" s="15" t="n">
        <v>0.693877551020408</v>
      </c>
      <c r="H282" s="15" t="n">
        <v>1</v>
      </c>
      <c r="I282" s="15" t="n">
        <v>0.990805706602422</v>
      </c>
      <c r="J282" s="15" t="n">
        <v>0.0963307473293052</v>
      </c>
      <c r="K282" s="15" t="n">
        <v>0.664211164155072</v>
      </c>
    </row>
    <row r="283" customFormat="false" ht="12.75" hidden="false" customHeight="false" outlineLevel="0" collapsed="false">
      <c r="A283" s="6" t="s">
        <v>20</v>
      </c>
      <c r="B283" s="6" t="n">
        <v>1</v>
      </c>
      <c r="C283" s="6" t="n">
        <v>0.052140822775422</v>
      </c>
      <c r="D283" s="6" t="n">
        <v>0.00262573183456856</v>
      </c>
      <c r="E283" s="6" t="n">
        <v>1</v>
      </c>
      <c r="F283" s="15" t="n">
        <v>0.97947450908222</v>
      </c>
      <c r="G283" s="15" t="n">
        <v>0.693877551020408</v>
      </c>
      <c r="H283" s="15" t="n">
        <v>1</v>
      </c>
      <c r="I283" s="15" t="n">
        <v>0.97947450908222</v>
      </c>
      <c r="J283" s="15" t="n">
        <v>0.14476054437379</v>
      </c>
      <c r="K283" s="15" t="n">
        <v>0.664211164155072</v>
      </c>
    </row>
    <row r="284" customFormat="false" ht="12.75" hidden="false" customHeight="false" outlineLevel="0" collapsed="false">
      <c r="A284" s="6" t="s">
        <v>21</v>
      </c>
      <c r="B284" s="6" t="n">
        <v>1</v>
      </c>
      <c r="C284" s="6" t="n">
        <v>0.000358210427176681</v>
      </c>
      <c r="D284" s="6" t="n">
        <v>0.00175018962418276</v>
      </c>
      <c r="E284" s="6" t="n">
        <v>1</v>
      </c>
      <c r="F284" s="15" t="n">
        <v>0.583007076426437</v>
      </c>
      <c r="G284" s="15" t="n">
        <v>0.693877551020408</v>
      </c>
      <c r="H284" s="15" t="n">
        <v>1</v>
      </c>
      <c r="I284" s="15" t="n">
        <v>0.583007076426437</v>
      </c>
      <c r="J284" s="15" t="n">
        <v>0.845721612970829</v>
      </c>
      <c r="K284" s="15" t="n">
        <v>0.664211164155072</v>
      </c>
    </row>
    <row r="285" customFormat="false" ht="12.75" hidden="false" customHeight="false" outlineLevel="0" collapsed="false">
      <c r="A285" s="6" t="s">
        <v>22</v>
      </c>
      <c r="B285" s="6" t="n">
        <v>1</v>
      </c>
      <c r="C285" s="6" t="n">
        <v>0.117413216566811</v>
      </c>
      <c r="D285" s="6" t="n">
        <v>0.000538282967553983</v>
      </c>
      <c r="E285" s="6" t="n">
        <v>1</v>
      </c>
      <c r="F285" s="15" t="n">
        <v>0.999825030751195</v>
      </c>
      <c r="G285" s="15" t="n">
        <v>0.693877551020408</v>
      </c>
      <c r="H285" s="15" t="n">
        <v>1</v>
      </c>
      <c r="I285" s="15" t="n">
        <v>0.999825030751195</v>
      </c>
      <c r="J285" s="15" t="n">
        <v>0.0132287515813207</v>
      </c>
      <c r="K285" s="15" t="n">
        <v>0.664211164155072</v>
      </c>
    </row>
    <row r="286" customFormat="false" ht="12.75" hidden="false" customHeight="false" outlineLevel="0" collapsed="false">
      <c r="A286" s="6" t="s">
        <v>23</v>
      </c>
      <c r="B286" s="6" t="n">
        <v>1</v>
      </c>
      <c r="C286" s="6" t="n">
        <v>0.115297383798601</v>
      </c>
      <c r="D286" s="6" t="n">
        <v>0.00260667294964903</v>
      </c>
      <c r="E286" s="6" t="n">
        <v>1</v>
      </c>
      <c r="F286" s="15" t="n">
        <v>0.999747854012872</v>
      </c>
      <c r="G286" s="15" t="n">
        <v>0.693877551020408</v>
      </c>
      <c r="H286" s="15" t="n">
        <v>1</v>
      </c>
      <c r="I286" s="15" t="n">
        <v>0.999747854012872</v>
      </c>
      <c r="J286" s="15" t="n">
        <v>0.0158811076679672</v>
      </c>
      <c r="K286" s="15" t="n">
        <v>0.664211164155072</v>
      </c>
    </row>
    <row r="287" customFormat="false" ht="12.75" hidden="false" customHeight="false" outlineLevel="0" collapsed="false">
      <c r="A287" s="6" t="s">
        <v>24</v>
      </c>
      <c r="B287" s="6" t="n">
        <v>1</v>
      </c>
      <c r="C287" s="6" t="n">
        <v>-0.00868223471621077</v>
      </c>
      <c r="D287" s="6" t="n">
        <v>0.00126592646907651</v>
      </c>
      <c r="E287" s="6" t="n">
        <v>1</v>
      </c>
      <c r="F287" s="15" t="n">
        <v>0.438722667994721</v>
      </c>
      <c r="G287" s="15" t="n">
        <v>0.693877551020408</v>
      </c>
      <c r="H287" s="15" t="n">
        <v>1</v>
      </c>
      <c r="I287" s="15" t="n">
        <v>0.438722667994721</v>
      </c>
      <c r="J287" s="15" t="n">
        <v>1.1310810189099</v>
      </c>
      <c r="K287" s="15" t="n">
        <v>0.664211164155072</v>
      </c>
    </row>
    <row r="288" customFormat="false" ht="12.75" hidden="false" customHeight="false" outlineLevel="0" collapsed="false">
      <c r="A288" s="6" t="s">
        <v>25</v>
      </c>
      <c r="B288" s="6" t="n">
        <v>1</v>
      </c>
      <c r="C288" s="6" t="n">
        <v>0.0810135827578753</v>
      </c>
      <c r="D288" s="6" t="n">
        <v>0.00403784861999563</v>
      </c>
      <c r="E288" s="6" t="n">
        <v>1</v>
      </c>
      <c r="F288" s="15" t="n">
        <v>0.996784568018379</v>
      </c>
      <c r="G288" s="15" t="n">
        <v>0.693877551020408</v>
      </c>
      <c r="H288" s="15" t="n">
        <v>1</v>
      </c>
      <c r="I288" s="15" t="n">
        <v>0.996784568018379</v>
      </c>
      <c r="J288" s="15" t="n">
        <v>0.0567961648005394</v>
      </c>
      <c r="K288" s="15" t="n">
        <v>0.664211164155072</v>
      </c>
    </row>
    <row r="289" customFormat="false" ht="12.75" hidden="false" customHeight="false" outlineLevel="0" collapsed="false">
      <c r="A289" s="6" t="s">
        <v>26</v>
      </c>
      <c r="B289" s="6" t="n">
        <v>1</v>
      </c>
      <c r="C289" s="6" t="n">
        <v>0.0638689785716179</v>
      </c>
      <c r="D289" s="6" t="n">
        <v>0.00521099189986518</v>
      </c>
      <c r="E289" s="6" t="n">
        <v>1</v>
      </c>
      <c r="F289" s="15" t="n">
        <v>0.988037431332077</v>
      </c>
      <c r="G289" s="15" t="n">
        <v>0.693877551020408</v>
      </c>
      <c r="H289" s="15" t="n">
        <v>1</v>
      </c>
      <c r="I289" s="15" t="n">
        <v>0.988037431332077</v>
      </c>
      <c r="J289" s="15" t="n">
        <v>0.110033650868876</v>
      </c>
      <c r="K289" s="15" t="n">
        <v>0.664211164155072</v>
      </c>
    </row>
    <row r="290" customFormat="false" ht="12.75" hidden="false" customHeight="false" outlineLevel="0" collapsed="false">
      <c r="A290" s="6" t="s">
        <v>27</v>
      </c>
      <c r="B290" s="6" t="n">
        <v>1</v>
      </c>
      <c r="C290" s="6" t="n">
        <v>0.0858221614196834</v>
      </c>
      <c r="D290" s="6" t="n">
        <v>0.00225842693152515</v>
      </c>
      <c r="E290" s="6" t="n">
        <v>1</v>
      </c>
      <c r="F290" s="15" t="n">
        <v>0.998092453105471</v>
      </c>
      <c r="G290" s="15" t="n">
        <v>0.693877551020408</v>
      </c>
      <c r="H290" s="15" t="n">
        <v>1</v>
      </c>
      <c r="I290" s="15" t="n">
        <v>0.998092453105471</v>
      </c>
      <c r="J290" s="15" t="n">
        <v>0.0437171886562649</v>
      </c>
      <c r="K290" s="15" t="n">
        <v>0.664211164155072</v>
      </c>
    </row>
    <row r="291" customFormat="false" ht="12.75" hidden="false" customHeight="false" outlineLevel="0" collapsed="false">
      <c r="A291" s="6" t="s">
        <v>28</v>
      </c>
      <c r="B291" s="6" t="n">
        <v>1</v>
      </c>
      <c r="C291" s="6" t="n">
        <v>0.00135832049378335</v>
      </c>
      <c r="D291" s="6" t="n">
        <v>0.000980239584198947</v>
      </c>
      <c r="E291" s="6" t="n">
        <v>1</v>
      </c>
      <c r="F291" s="15" t="n">
        <v>0.619173456376876</v>
      </c>
      <c r="G291" s="15" t="n">
        <v>0.693877551020408</v>
      </c>
      <c r="H291" s="15" t="n">
        <v>1</v>
      </c>
      <c r="I291" s="15" t="n">
        <v>0.619173456376876</v>
      </c>
      <c r="J291" s="15" t="n">
        <v>0.784255260552944</v>
      </c>
      <c r="K291" s="15" t="n">
        <v>0.664211164155072</v>
      </c>
    </row>
    <row r="292" customFormat="false" ht="12.75" hidden="false" customHeight="false" outlineLevel="0" collapsed="false">
      <c r="A292" s="6" t="s">
        <v>29</v>
      </c>
      <c r="B292" s="6" t="n">
        <v>1</v>
      </c>
      <c r="C292" s="6" t="n">
        <v>-0.00550809175066745</v>
      </c>
      <c r="D292" s="6" t="n">
        <v>0.000444794889550436</v>
      </c>
      <c r="E292" s="6" t="n">
        <v>0</v>
      </c>
      <c r="F292" s="15" t="n">
        <v>0.515500489418171</v>
      </c>
      <c r="G292" s="15" t="n">
        <v>0.693877551020408</v>
      </c>
      <c r="H292" s="15" t="n">
        <v>0</v>
      </c>
      <c r="I292" s="15" t="n">
        <v>0.515500489418171</v>
      </c>
      <c r="J292" s="15" t="n">
        <v>-1.03149676347977</v>
      </c>
      <c r="K292" s="15" t="n">
        <v>-1.50554530541816</v>
      </c>
    </row>
    <row r="293" customFormat="false" ht="12.75" hidden="false" customHeight="false" outlineLevel="0" collapsed="false">
      <c r="A293" s="6" t="s">
        <v>30</v>
      </c>
      <c r="B293" s="6" t="n">
        <v>1</v>
      </c>
      <c r="C293" s="6" t="n">
        <v>-0.0066549133440133</v>
      </c>
      <c r="D293" s="6" t="n">
        <v>0.00134957049324707</v>
      </c>
      <c r="E293" s="6" t="n">
        <v>0</v>
      </c>
      <c r="F293" s="15" t="n">
        <v>0.471698351310699</v>
      </c>
      <c r="G293" s="15" t="n">
        <v>0.693877551020408</v>
      </c>
      <c r="H293" s="15" t="n">
        <v>0</v>
      </c>
      <c r="I293" s="15" t="n">
        <v>0.471698351310699</v>
      </c>
      <c r="J293" s="15" t="n">
        <v>-0.944911633942166</v>
      </c>
      <c r="K293" s="15" t="n">
        <v>-1.50554530541816</v>
      </c>
    </row>
    <row r="294" customFormat="false" ht="12.75" hidden="false" customHeight="false" outlineLevel="0" collapsed="false">
      <c r="A294" s="6" t="s">
        <v>31</v>
      </c>
      <c r="B294" s="6" t="n">
        <v>1</v>
      </c>
      <c r="C294" s="6" t="n">
        <v>0.0466347256189784</v>
      </c>
      <c r="D294" s="6" t="n">
        <v>0.00328065238260393</v>
      </c>
      <c r="E294" s="6" t="n">
        <v>1</v>
      </c>
      <c r="F294" s="15" t="n">
        <v>0.968056778535185</v>
      </c>
      <c r="G294" s="15" t="n">
        <v>0.693877551020408</v>
      </c>
      <c r="H294" s="15" t="n">
        <v>1</v>
      </c>
      <c r="I294" s="15" t="n">
        <v>0.968056778535185</v>
      </c>
      <c r="J294" s="15" t="n">
        <v>0.181651480194724</v>
      </c>
      <c r="K294" s="15" t="n">
        <v>0.664211164155072</v>
      </c>
    </row>
    <row r="295" customFormat="false" ht="12.75" hidden="false" customHeight="false" outlineLevel="0" collapsed="false">
      <c r="A295" s="6" t="s">
        <v>32</v>
      </c>
      <c r="B295" s="6" t="n">
        <v>1</v>
      </c>
      <c r="C295" s="6" t="n">
        <v>-0.0371447910361071</v>
      </c>
      <c r="D295" s="6" t="n">
        <v>0.000431700362352415</v>
      </c>
      <c r="E295" s="6" t="n">
        <v>0</v>
      </c>
      <c r="F295" s="15" t="n">
        <v>0.104365174075593</v>
      </c>
      <c r="G295" s="15" t="n">
        <v>0.693877551020408</v>
      </c>
      <c r="H295" s="15" t="n">
        <v>0</v>
      </c>
      <c r="I295" s="15" t="n">
        <v>0.104365174075593</v>
      </c>
      <c r="J295" s="15" t="n">
        <v>-0.341359752309917</v>
      </c>
      <c r="K295" s="15" t="n">
        <v>-1.50554530541816</v>
      </c>
    </row>
    <row r="296" customFormat="false" ht="12.75" hidden="false" customHeight="false" outlineLevel="0" collapsed="false">
      <c r="A296" s="6" t="s">
        <v>33</v>
      </c>
      <c r="B296" s="6" t="n">
        <v>1</v>
      </c>
      <c r="C296" s="6" t="n">
        <v>0.00056372543716221</v>
      </c>
      <c r="D296" s="6" t="n">
        <v>0.000597865991649868</v>
      </c>
      <c r="E296" s="6" t="n">
        <v>1</v>
      </c>
      <c r="F296" s="15" t="n">
        <v>0.615540165262284</v>
      </c>
      <c r="G296" s="15" t="n">
        <v>0.693877551020408</v>
      </c>
      <c r="H296" s="15" t="n">
        <v>1</v>
      </c>
      <c r="I296" s="15" t="n">
        <v>0.615540165262284</v>
      </c>
      <c r="J296" s="15" t="n">
        <v>0.790309657604187</v>
      </c>
      <c r="K296" s="15" t="n">
        <v>0.664211164155072</v>
      </c>
    </row>
    <row r="297" customFormat="false" ht="12.75" hidden="false" customHeight="false" outlineLevel="0" collapsed="false">
      <c r="A297" s="6" t="s">
        <v>34</v>
      </c>
      <c r="B297" s="6" t="n">
        <v>1</v>
      </c>
      <c r="C297" s="6" t="n">
        <v>0.000927773657300242</v>
      </c>
      <c r="D297" s="6" t="n">
        <v>0.000647898071076054</v>
      </c>
      <c r="E297" s="6" t="n">
        <v>0</v>
      </c>
      <c r="F297" s="15" t="n">
        <v>0.620310479292757</v>
      </c>
      <c r="G297" s="15" t="n">
        <v>0.693877551020408</v>
      </c>
      <c r="H297" s="15" t="n">
        <v>0</v>
      </c>
      <c r="I297" s="15" t="n">
        <v>0.620310479292757</v>
      </c>
      <c r="J297" s="15" t="n">
        <v>-1.27817480775504</v>
      </c>
      <c r="K297" s="15" t="n">
        <v>-1.50554530541816</v>
      </c>
    </row>
    <row r="298" customFormat="false" ht="12.75" hidden="false" customHeight="false" outlineLevel="0" collapsed="false">
      <c r="A298" s="6" t="s">
        <v>35</v>
      </c>
      <c r="B298" s="6" t="n">
        <v>1</v>
      </c>
      <c r="C298" s="6" t="n">
        <v>0.14371972819033</v>
      </c>
      <c r="D298" s="6" t="n">
        <v>0.0165517932340179</v>
      </c>
      <c r="E298" s="6" t="n">
        <v>1</v>
      </c>
      <c r="F298" s="15" t="n">
        <v>0.999850378721042</v>
      </c>
      <c r="G298" s="15" t="n">
        <v>0.693877551020408</v>
      </c>
      <c r="H298" s="15" t="n">
        <v>1</v>
      </c>
      <c r="I298" s="15" t="n">
        <v>0.999850378721042</v>
      </c>
      <c r="J298" s="15" t="n">
        <v>0.0122328929054196</v>
      </c>
      <c r="K298" s="15" t="n">
        <v>0.664211164155072</v>
      </c>
    </row>
    <row r="299" customFormat="false" ht="12.75" hidden="false" customHeight="false" outlineLevel="0" collapsed="false">
      <c r="A299" s="6" t="s">
        <v>36</v>
      </c>
      <c r="B299" s="6" t="n">
        <v>1</v>
      </c>
      <c r="C299" s="6" t="n">
        <v>0.207011289126063</v>
      </c>
      <c r="D299" s="6" t="n">
        <v>0.0314520113398733</v>
      </c>
      <c r="E299" s="6" t="n">
        <v>1</v>
      </c>
      <c r="F299" s="15" t="n">
        <v>0.999991436503703</v>
      </c>
      <c r="G299" s="15" t="n">
        <v>0.693877551020408</v>
      </c>
      <c r="H299" s="15" t="n">
        <v>1</v>
      </c>
      <c r="I299" s="15" t="n">
        <v>0.999991436503703</v>
      </c>
      <c r="J299" s="15" t="n">
        <v>0.00292635774152697</v>
      </c>
      <c r="K299" s="15" t="n">
        <v>0.664211164155072</v>
      </c>
    </row>
    <row r="300" customFormat="false" ht="12.75" hidden="false" customHeight="false" outlineLevel="0" collapsed="false">
      <c r="A300" s="6" t="s">
        <v>37</v>
      </c>
      <c r="B300" s="6" t="n">
        <v>1</v>
      </c>
      <c r="C300" s="6" t="n">
        <v>-0.0224729059785802</v>
      </c>
      <c r="D300" s="6" t="n">
        <v>0.00134448698703512</v>
      </c>
      <c r="E300" s="6" t="n">
        <v>0</v>
      </c>
      <c r="F300" s="15" t="n">
        <v>0.228062136842291</v>
      </c>
      <c r="G300" s="15" t="n">
        <v>0.693877551020408</v>
      </c>
      <c r="H300" s="15" t="n">
        <v>0</v>
      </c>
      <c r="I300" s="15" t="n">
        <v>0.228062136842291</v>
      </c>
      <c r="J300" s="15" t="n">
        <v>-0.543544897136178</v>
      </c>
      <c r="K300" s="15" t="n">
        <v>-1.50554530541816</v>
      </c>
    </row>
    <row r="301" customFormat="false" ht="12.75" hidden="false" customHeight="false" outlineLevel="0" collapsed="false">
      <c r="A301" s="6" t="s">
        <v>38</v>
      </c>
      <c r="B301" s="6" t="n">
        <v>1</v>
      </c>
      <c r="C301" s="6" t="n">
        <v>0.178016442242586</v>
      </c>
      <c r="D301" s="6" t="n">
        <v>0.00497791516216072</v>
      </c>
      <c r="E301" s="6" t="n">
        <v>1</v>
      </c>
      <c r="F301" s="15" t="n">
        <v>0.999995976010247</v>
      </c>
      <c r="G301" s="15" t="n">
        <v>0.693877551020408</v>
      </c>
      <c r="H301" s="15" t="n">
        <v>1</v>
      </c>
      <c r="I301" s="15" t="n">
        <v>0.999995976010247</v>
      </c>
      <c r="J301" s="15" t="n">
        <v>0.00200599250897897</v>
      </c>
      <c r="K301" s="15" t="n">
        <v>0.664211164155072</v>
      </c>
    </row>
    <row r="302" customFormat="false" ht="12.75" hidden="false" customHeight="false" outlineLevel="0" collapsed="false">
      <c r="A302" s="6" t="s">
        <v>39</v>
      </c>
      <c r="B302" s="6" t="n">
        <v>1</v>
      </c>
      <c r="C302" s="6" t="n">
        <v>0.00498079243359649</v>
      </c>
      <c r="D302" s="6" t="n">
        <v>0.00114734471689408</v>
      </c>
      <c r="E302" s="6" t="n">
        <v>1</v>
      </c>
      <c r="F302" s="15" t="n">
        <v>0.673018567713288</v>
      </c>
      <c r="G302" s="15" t="n">
        <v>0.693877551020408</v>
      </c>
      <c r="H302" s="15" t="n">
        <v>1</v>
      </c>
      <c r="I302" s="15" t="n">
        <v>0.673018567713288</v>
      </c>
      <c r="J302" s="15" t="n">
        <v>0.697024466870661</v>
      </c>
      <c r="K302" s="15" t="n">
        <v>0.664211164155072</v>
      </c>
    </row>
    <row r="303" customFormat="false" ht="12.75" hidden="false" customHeight="false" outlineLevel="0" collapsed="false">
      <c r="A303" s="6" t="s">
        <v>40</v>
      </c>
      <c r="B303" s="6" t="n">
        <v>1</v>
      </c>
      <c r="C303" s="6" t="n">
        <v>0.0121142687303058</v>
      </c>
      <c r="D303" s="6" t="n">
        <v>0.000412106639633518</v>
      </c>
      <c r="E303" s="6" t="n">
        <v>0</v>
      </c>
      <c r="F303" s="15" t="n">
        <v>0.785526772199456</v>
      </c>
      <c r="G303" s="15" t="n">
        <v>0.693877551020408</v>
      </c>
      <c r="H303" s="15" t="n">
        <v>0</v>
      </c>
      <c r="I303" s="15" t="n">
        <v>0.785526772199456</v>
      </c>
      <c r="J303" s="15" t="n">
        <v>-1.91378854874771</v>
      </c>
      <c r="K303" s="15" t="n">
        <v>-1.50554530541816</v>
      </c>
    </row>
    <row r="304" customFormat="false" ht="12.75" hidden="false" customHeight="false" outlineLevel="0" collapsed="false">
      <c r="A304" s="6" t="s">
        <v>41</v>
      </c>
      <c r="B304" s="6" t="n">
        <v>1</v>
      </c>
      <c r="C304" s="6" t="n">
        <v>0.0727712146661485</v>
      </c>
      <c r="D304" s="6" t="n">
        <v>0.0014012682492417</v>
      </c>
      <c r="E304" s="6" t="n">
        <v>1</v>
      </c>
      <c r="F304" s="15" t="n">
        <v>0.995667270651518</v>
      </c>
      <c r="G304" s="15" t="n">
        <v>0.693877551020408</v>
      </c>
      <c r="H304" s="15" t="n">
        <v>1</v>
      </c>
      <c r="I304" s="15" t="n">
        <v>0.995667270651518</v>
      </c>
      <c r="J304" s="15" t="n">
        <v>0.0659665338060245</v>
      </c>
      <c r="K304" s="15" t="n">
        <v>0.664211164155072</v>
      </c>
    </row>
    <row r="305" customFormat="false" ht="12.75" hidden="false" customHeight="false" outlineLevel="0" collapsed="false">
      <c r="A305" s="6" t="s">
        <v>42</v>
      </c>
      <c r="B305" s="6" t="n">
        <v>1</v>
      </c>
      <c r="C305" s="6" t="n">
        <v>0.0345178953946172</v>
      </c>
      <c r="D305" s="6" t="n">
        <v>0.000951070858995355</v>
      </c>
      <c r="E305" s="6" t="n">
        <v>1</v>
      </c>
      <c r="F305" s="15" t="n">
        <v>0.943142594946421</v>
      </c>
      <c r="G305" s="15" t="n">
        <v>0.693877551020408</v>
      </c>
      <c r="H305" s="15" t="n">
        <v>1</v>
      </c>
      <c r="I305" s="15" t="n">
        <v>0.943142594946421</v>
      </c>
      <c r="J305" s="15" t="n">
        <v>0.245530154880375</v>
      </c>
      <c r="K305" s="15" t="n">
        <v>0.664211164155072</v>
      </c>
    </row>
    <row r="306" customFormat="false" ht="12.75" hidden="false" customHeight="false" outlineLevel="0" collapsed="false">
      <c r="A306" s="6" t="s">
        <v>43</v>
      </c>
      <c r="B306" s="6" t="n">
        <v>1</v>
      </c>
      <c r="C306" s="6" t="n">
        <v>0.0020064460327166</v>
      </c>
      <c r="D306" s="6" t="n">
        <v>0.00116172837920931</v>
      </c>
      <c r="E306" s="6" t="n">
        <v>1</v>
      </c>
      <c r="F306" s="15" t="n">
        <v>0.625344832092416</v>
      </c>
      <c r="G306" s="15" t="n">
        <v>0.693877551020408</v>
      </c>
      <c r="H306" s="15" t="n">
        <v>1</v>
      </c>
      <c r="I306" s="15" t="n">
        <v>0.625344832092416</v>
      </c>
      <c r="J306" s="15" t="n">
        <v>0.774026948256202</v>
      </c>
      <c r="K306" s="15" t="n">
        <v>0.664211164155072</v>
      </c>
    </row>
    <row r="307" customFormat="false" ht="12.75" hidden="false" customHeight="false" outlineLevel="0" collapsed="false">
      <c r="A307" s="6" t="s">
        <v>44</v>
      </c>
      <c r="B307" s="6" t="n">
        <v>1</v>
      </c>
      <c r="C307" s="6" t="n">
        <v>0.118365513806805</v>
      </c>
      <c r="D307" s="6" t="n">
        <v>0.00928214162993721</v>
      </c>
      <c r="E307" s="6" t="n">
        <v>1</v>
      </c>
      <c r="F307" s="15" t="n">
        <v>0.99958961943431</v>
      </c>
      <c r="G307" s="15" t="n">
        <v>0.693877551020408</v>
      </c>
      <c r="H307" s="15" t="n">
        <v>1</v>
      </c>
      <c r="I307" s="15" t="n">
        <v>0.99958961943431</v>
      </c>
      <c r="J307" s="15" t="n">
        <v>0.0202620099457207</v>
      </c>
      <c r="K307" s="15" t="n">
        <v>0.664211164155072</v>
      </c>
    </row>
    <row r="308" customFormat="false" ht="12.75" hidden="false" customHeight="false" outlineLevel="0" collapsed="false">
      <c r="A308" s="6" t="s">
        <v>45</v>
      </c>
      <c r="B308" s="6" t="n">
        <v>1</v>
      </c>
      <c r="C308" s="6" t="n">
        <v>0.0307268289205572</v>
      </c>
      <c r="D308" s="6" t="n">
        <v>0.0106874842481915</v>
      </c>
      <c r="E308" s="6" t="n">
        <v>1</v>
      </c>
      <c r="F308" s="15" t="n">
        <v>0.820508824768971</v>
      </c>
      <c r="G308" s="15" t="n">
        <v>0.693877551020408</v>
      </c>
      <c r="H308" s="15" t="n">
        <v>1</v>
      </c>
      <c r="I308" s="15" t="n">
        <v>0.820508824768971</v>
      </c>
      <c r="J308" s="15" t="n">
        <v>0.467713518206683</v>
      </c>
      <c r="K308" s="15" t="n">
        <v>0.664211164155072</v>
      </c>
    </row>
    <row r="309" customFormat="false" ht="12.75" hidden="false" customHeight="false" outlineLevel="0" collapsed="false">
      <c r="A309" s="6" t="s">
        <v>46</v>
      </c>
      <c r="B309" s="6" t="n">
        <v>1</v>
      </c>
      <c r="C309" s="6" t="n">
        <v>-0.0115496986194282</v>
      </c>
      <c r="D309" s="6" t="n">
        <v>0.000400633278311205</v>
      </c>
      <c r="E309" s="6" t="n">
        <v>0</v>
      </c>
      <c r="F309" s="15" t="n">
        <v>0.411939184016207</v>
      </c>
      <c r="G309" s="15" t="n">
        <v>0.693877551020408</v>
      </c>
      <c r="H309" s="15" t="n">
        <v>0</v>
      </c>
      <c r="I309" s="15" t="n">
        <v>0.411939184016207</v>
      </c>
      <c r="J309" s="15" t="n">
        <v>-0.836961403779053</v>
      </c>
      <c r="K309" s="15" t="n">
        <v>-1.50554530541816</v>
      </c>
    </row>
    <row r="310" customFormat="false" ht="12.75" hidden="false" customHeight="false" outlineLevel="0" collapsed="false">
      <c r="A310" s="6" t="s">
        <v>47</v>
      </c>
      <c r="B310" s="6" t="n">
        <v>1</v>
      </c>
      <c r="C310" s="6" t="n">
        <v>-0.016305774346237</v>
      </c>
      <c r="D310" s="6" t="n">
        <v>0.00170802675817269</v>
      </c>
      <c r="E310" s="6" t="n">
        <v>0</v>
      </c>
      <c r="F310" s="15" t="n">
        <v>0.304468626913003</v>
      </c>
      <c r="G310" s="15" t="n">
        <v>0.693877551020408</v>
      </c>
      <c r="H310" s="15" t="n">
        <v>0</v>
      </c>
      <c r="I310" s="15" t="n">
        <v>0.304468626913003</v>
      </c>
      <c r="J310" s="15" t="n">
        <v>-0.661626531312725</v>
      </c>
      <c r="K310" s="15" t="n">
        <v>-1.50554530541816</v>
      </c>
    </row>
    <row r="311" customFormat="false" ht="12.75" hidden="false" customHeight="false" outlineLevel="0" collapsed="false">
      <c r="A311" s="6" t="s">
        <v>48</v>
      </c>
      <c r="B311" s="6" t="n">
        <v>1</v>
      </c>
      <c r="C311" s="6" t="n">
        <v>0.0199513403860225</v>
      </c>
      <c r="D311" s="6" t="n">
        <v>0.000736567990101261</v>
      </c>
      <c r="E311" s="6" t="n">
        <v>1</v>
      </c>
      <c r="F311" s="15" t="n">
        <v>0.859636124092802</v>
      </c>
      <c r="G311" s="15" t="n">
        <v>0.693877551020408</v>
      </c>
      <c r="H311" s="15" t="n">
        <v>1</v>
      </c>
      <c r="I311" s="15" t="n">
        <v>0.859636124092802</v>
      </c>
      <c r="J311" s="15" t="n">
        <v>0.404082783682703</v>
      </c>
      <c r="K311" s="15" t="n">
        <v>0.664211164155072</v>
      </c>
    </row>
    <row r="312" customFormat="false" ht="12.75" hidden="false" customHeight="false" outlineLevel="0" collapsed="false">
      <c r="A312" s="6" t="s">
        <v>49</v>
      </c>
      <c r="B312" s="6" t="n">
        <v>1</v>
      </c>
      <c r="C312" s="6" t="n">
        <v>0.0455700468946818</v>
      </c>
      <c r="D312" s="6" t="n">
        <v>0.00124266236069874</v>
      </c>
      <c r="E312" s="6" t="n">
        <v>1</v>
      </c>
      <c r="F312" s="15" t="n">
        <v>0.972108029073311</v>
      </c>
      <c r="G312" s="15" t="n">
        <v>0.693877551020408</v>
      </c>
      <c r="H312" s="15" t="n">
        <v>1</v>
      </c>
      <c r="I312" s="15" t="n">
        <v>0.972108029073311</v>
      </c>
      <c r="J312" s="15" t="n">
        <v>0.169387881661393</v>
      </c>
      <c r="K312" s="15" t="n">
        <v>0.664211164155072</v>
      </c>
    </row>
    <row r="313" customFormat="false" ht="12.75" hidden="false" customHeight="false" outlineLevel="0" collapsed="false">
      <c r="A313" s="6" t="s">
        <v>50</v>
      </c>
      <c r="B313" s="6" t="n">
        <v>1</v>
      </c>
      <c r="C313" s="6" t="n">
        <v>-0.0304130802947328</v>
      </c>
      <c r="D313" s="6" t="n">
        <v>0.000803473578673719</v>
      </c>
      <c r="E313" s="6" t="n">
        <v>1</v>
      </c>
      <c r="F313" s="15" t="n">
        <v>0.152150709810447</v>
      </c>
      <c r="G313" s="15" t="n">
        <v>0.693877551020408</v>
      </c>
      <c r="H313" s="15" t="n">
        <v>1</v>
      </c>
      <c r="I313" s="15" t="n">
        <v>0.152150709810447</v>
      </c>
      <c r="J313" s="15" t="n">
        <v>2.36059965370539</v>
      </c>
      <c r="K313" s="15" t="n">
        <v>0.664211164155072</v>
      </c>
    </row>
    <row r="314" customFormat="false" ht="12.75" hidden="false" customHeight="false" outlineLevel="0" collapsed="false">
      <c r="A314" s="6" t="s">
        <v>51</v>
      </c>
      <c r="B314" s="6" t="n">
        <v>1</v>
      </c>
      <c r="C314" s="6" t="n">
        <v>0.00283871714366032</v>
      </c>
      <c r="D314" s="6" t="n">
        <v>0.0085269547556729</v>
      </c>
      <c r="E314" s="6" t="n">
        <v>0</v>
      </c>
      <c r="F314" s="15" t="n">
        <v>0.449210694339253</v>
      </c>
      <c r="G314" s="15" t="n">
        <v>0.693877551020408</v>
      </c>
      <c r="H314" s="15" t="n">
        <v>0</v>
      </c>
      <c r="I314" s="15" t="n">
        <v>0.449210694339253</v>
      </c>
      <c r="J314" s="15" t="n">
        <v>-0.903092621206527</v>
      </c>
      <c r="K314" s="15" t="n">
        <v>-1.50554530541816</v>
      </c>
    </row>
    <row r="315" customFormat="false" ht="12.75" hidden="false" customHeight="false" outlineLevel="0" collapsed="false">
      <c r="A315" s="6" t="s">
        <v>52</v>
      </c>
      <c r="B315" s="6" t="n">
        <v>1</v>
      </c>
      <c r="C315" s="6" t="n">
        <v>0.0808302896170426</v>
      </c>
      <c r="D315" s="6" t="n">
        <v>0.003838083401177</v>
      </c>
      <c r="E315" s="6" t="n">
        <v>1</v>
      </c>
      <c r="F315" s="15" t="n">
        <v>0.996810684442423</v>
      </c>
      <c r="G315" s="15" t="n">
        <v>0.693877551020408</v>
      </c>
      <c r="H315" s="15" t="n">
        <v>1</v>
      </c>
      <c r="I315" s="15" t="n">
        <v>0.996810684442423</v>
      </c>
      <c r="J315" s="15" t="n">
        <v>0.0565642982451546</v>
      </c>
      <c r="K315" s="15" t="n">
        <v>0.664211164155072</v>
      </c>
    </row>
    <row r="316" customFormat="false" ht="12.75" hidden="false" customHeight="false" outlineLevel="0" collapsed="false">
      <c r="A316" s="6" t="s">
        <v>53</v>
      </c>
      <c r="B316" s="6" t="n">
        <v>1</v>
      </c>
      <c r="C316" s="6" t="n">
        <v>-0.0096591569325258</v>
      </c>
      <c r="D316" s="6" t="n">
        <v>0.0014709697089016</v>
      </c>
      <c r="E316" s="6" t="n">
        <v>1</v>
      </c>
      <c r="F316" s="15" t="n">
        <v>0.416722385611139</v>
      </c>
      <c r="G316" s="15" t="n">
        <v>0.693877551020408</v>
      </c>
      <c r="H316" s="15" t="n">
        <v>1</v>
      </c>
      <c r="I316" s="15" t="n">
        <v>0.416722385611139</v>
      </c>
      <c r="J316" s="15" t="n">
        <v>1.1830803446056</v>
      </c>
      <c r="K316" s="15" t="n">
        <v>0.664211164155072</v>
      </c>
    </row>
    <row r="317" customFormat="false" ht="12.75" hidden="false" customHeight="false" outlineLevel="0" collapsed="false">
      <c r="A317" s="6" t="s">
        <v>54</v>
      </c>
      <c r="B317" s="6" t="n">
        <v>1</v>
      </c>
      <c r="C317" s="6" t="n">
        <v>0.0967620428417531</v>
      </c>
      <c r="D317" s="6" t="n">
        <v>0.00511630744144364</v>
      </c>
      <c r="E317" s="6" t="n">
        <v>1</v>
      </c>
      <c r="F317" s="15" t="n">
        <v>0.998800695107017</v>
      </c>
      <c r="G317" s="15" t="n">
        <v>0.693877551020408</v>
      </c>
      <c r="H317" s="15" t="n">
        <v>1</v>
      </c>
      <c r="I317" s="15" t="n">
        <v>0.998800695107017</v>
      </c>
      <c r="J317" s="15" t="n">
        <v>0.0346517669431056</v>
      </c>
      <c r="K317" s="15" t="n">
        <v>0.664211164155072</v>
      </c>
    </row>
    <row r="318" customFormat="false" ht="12.75" hidden="false" customHeight="false" outlineLevel="0" collapsed="false">
      <c r="A318" s="6" t="s">
        <v>55</v>
      </c>
      <c r="B318" s="6" t="n">
        <v>1</v>
      </c>
      <c r="C318" s="6" t="n">
        <v>-0.0125765943013465</v>
      </c>
      <c r="D318" s="6" t="n">
        <v>0.00157985380119993</v>
      </c>
      <c r="E318" s="6" t="n">
        <v>1</v>
      </c>
      <c r="F318" s="15" t="n">
        <v>0.365453805765751</v>
      </c>
      <c r="G318" s="15" t="n">
        <v>0.693877551020408</v>
      </c>
      <c r="H318" s="15" t="n">
        <v>1</v>
      </c>
      <c r="I318" s="15" t="n">
        <v>0.365453805765751</v>
      </c>
      <c r="J318" s="15" t="n">
        <v>1.31769645455458</v>
      </c>
      <c r="K318" s="15" t="n">
        <v>0.664211164155072</v>
      </c>
    </row>
    <row r="319" customFormat="false" ht="13.5" hidden="false" customHeight="false" outlineLevel="0" collapsed="false">
      <c r="A319" s="7" t="s">
        <v>56</v>
      </c>
      <c r="B319" s="7" t="n">
        <v>1</v>
      </c>
      <c r="C319" s="7" t="n">
        <v>-0.0213379580679842</v>
      </c>
      <c r="D319" s="7" t="n">
        <v>0.000674404947384069</v>
      </c>
      <c r="E319" s="7" t="n">
        <v>0</v>
      </c>
      <c r="F319" s="16" t="n">
        <v>0.255509116159712</v>
      </c>
      <c r="G319" s="16" t="n">
        <v>0.693877551020408</v>
      </c>
      <c r="H319" s="16" t="n">
        <v>0</v>
      </c>
      <c r="I319" s="16" t="n">
        <v>0.255509116159712</v>
      </c>
      <c r="J319" s="16" t="n">
        <v>-0.585832562742928</v>
      </c>
      <c r="K319" s="16" t="n">
        <v>-1.50554530541816</v>
      </c>
    </row>
    <row r="340" customFormat="false" ht="12.75" hidden="false" customHeight="false" outlineLevel="0" collapsed="false">
      <c r="A340" s="0" t="s">
        <v>403</v>
      </c>
    </row>
    <row r="341" customFormat="false" ht="12.75" hidden="false" customHeight="false" outlineLevel="0" collapsed="false">
      <c r="A341" s="0" t="s">
        <v>109</v>
      </c>
    </row>
    <row r="342" customFormat="false" ht="12.75" hidden="false" customHeight="false" outlineLevel="0" collapsed="false">
      <c r="A342" s="0" t="s">
        <v>398</v>
      </c>
    </row>
    <row r="343" customFormat="false" ht="12.75" hidden="false" customHeight="false" outlineLevel="0" collapsed="false">
      <c r="A343" s="0" t="s">
        <v>369</v>
      </c>
    </row>
    <row r="344" customFormat="false" ht="12.75" hidden="false" customHeight="false" outlineLevel="0" collapsed="false">
      <c r="A344" s="0" t="s">
        <v>112</v>
      </c>
    </row>
    <row r="345" customFormat="false" ht="12.75" hidden="false" customHeight="false" outlineLevel="0" collapsed="false">
      <c r="A345" s="0" t="s">
        <v>370</v>
      </c>
    </row>
    <row r="348" customFormat="false" ht="12.75" hidden="false" customHeight="false" outlineLevel="0" collapsed="false">
      <c r="A348" s="0" t="s">
        <v>371</v>
      </c>
    </row>
    <row r="349" customFormat="false" ht="13.5" hidden="false" customHeight="false" outlineLevel="0" collapsed="false"/>
    <row r="350" customFormat="false" ht="12.75" hidden="false" customHeight="false" outlineLevel="0" collapsed="false">
      <c r="A350" s="8" t="s">
        <v>372</v>
      </c>
      <c r="B350" s="8" t="s">
        <v>113</v>
      </c>
      <c r="C350" s="8" t="s">
        <v>114</v>
      </c>
    </row>
    <row r="351" customFormat="false" ht="12.75" hidden="false" customHeight="false" outlineLevel="0" collapsed="false">
      <c r="A351" s="6" t="s">
        <v>357</v>
      </c>
      <c r="B351" s="6" t="n">
        <v>0.0383230600332513</v>
      </c>
      <c r="C351" s="6" t="n">
        <v>0.0619318274193619</v>
      </c>
    </row>
    <row r="352" customFormat="false" ht="13.5" hidden="false" customHeight="false" outlineLevel="0" collapsed="false">
      <c r="A352" s="7" t="s">
        <v>106</v>
      </c>
      <c r="B352" s="7" t="n">
        <v>0.0531466520151159</v>
      </c>
      <c r="C352" s="7" t="n">
        <v>0.0619905261153612</v>
      </c>
    </row>
    <row r="356" customFormat="false" ht="12.75" hidden="false" customHeight="false" outlineLevel="0" collapsed="false">
      <c r="A356" s="0" t="s">
        <v>374</v>
      </c>
    </row>
    <row r="357" customFormat="false" ht="13.5" hidden="false" customHeight="false" outlineLevel="0" collapsed="false"/>
    <row r="358" customFormat="false" ht="12.75" hidden="false" customHeight="false" outlineLevel="0" collapsed="false">
      <c r="A358" s="8" t="s">
        <v>375</v>
      </c>
      <c r="B358" s="8" t="s">
        <v>135</v>
      </c>
      <c r="C358" s="8" t="s">
        <v>136</v>
      </c>
      <c r="D358" s="8" t="s">
        <v>376</v>
      </c>
      <c r="E358" s="8" t="s">
        <v>377</v>
      </c>
    </row>
    <row r="359" customFormat="false" ht="12.75" hidden="false" customHeight="false" outlineLevel="0" collapsed="false">
      <c r="A359" s="6" t="s">
        <v>80</v>
      </c>
      <c r="B359" s="15" t="n">
        <v>0.18042264860118</v>
      </c>
      <c r="C359" s="15" t="n">
        <v>0.360140520415246</v>
      </c>
      <c r="D359" s="15" t="n">
        <v>0.250979432129115</v>
      </c>
      <c r="E359" s="15" t="n">
        <v>0.616386272716902</v>
      </c>
    </row>
    <row r="360" customFormat="false" ht="12.75" hidden="false" customHeight="false" outlineLevel="0" collapsed="false">
      <c r="A360" s="6" t="s">
        <v>357</v>
      </c>
      <c r="B360" s="15" t="n">
        <v>38.9781143669568</v>
      </c>
      <c r="C360" s="15" t="n">
        <v>11.4482963992656</v>
      </c>
      <c r="D360" s="15" t="n">
        <v>11.5920413414906</v>
      </c>
      <c r="E360" s="15" t="n">
        <v>0.000662346677067353</v>
      </c>
    </row>
    <row r="361" customFormat="false" ht="13.5" hidden="false" customHeight="false" outlineLevel="0" collapsed="false">
      <c r="A361" s="7" t="s">
        <v>106</v>
      </c>
      <c r="B361" s="16" t="n">
        <v>0.243687407230014</v>
      </c>
      <c r="C361" s="16" t="n">
        <v>7.68943340205182</v>
      </c>
      <c r="D361" s="16" t="n">
        <v>0.00100433244922587</v>
      </c>
      <c r="E361" s="16" t="n">
        <v>0.97471830907669</v>
      </c>
    </row>
    <row r="364" customFormat="false" ht="13.5" hidden="false" customHeight="false" outlineLevel="0" collapsed="false">
      <c r="A364" s="0" t="s">
        <v>378</v>
      </c>
    </row>
    <row r="365" customFormat="false" ht="12.75" hidden="false" customHeight="false" outlineLevel="0" collapsed="false">
      <c r="A365" s="8" t="s">
        <v>379</v>
      </c>
      <c r="B365" s="8" t="s">
        <v>380</v>
      </c>
      <c r="C365" s="8" t="s">
        <v>381</v>
      </c>
      <c r="D365" s="8" t="s">
        <v>382</v>
      </c>
      <c r="E365" s="8" t="s">
        <v>383</v>
      </c>
      <c r="F365" s="8" t="s">
        <v>384</v>
      </c>
      <c r="G365" s="8" t="s">
        <v>385</v>
      </c>
      <c r="H365" s="8" t="s">
        <v>386</v>
      </c>
      <c r="I365" s="8" t="s">
        <v>387</v>
      </c>
      <c r="J365" s="8" t="s">
        <v>388</v>
      </c>
      <c r="K365" s="8" t="s">
        <v>389</v>
      </c>
    </row>
    <row r="366" customFormat="false" ht="13.5" hidden="false" customHeight="false" outlineLevel="0" collapsed="false">
      <c r="A366" s="7" t="n">
        <v>49</v>
      </c>
      <c r="B366" s="7" t="n">
        <v>-17.4811872766583</v>
      </c>
      <c r="C366" s="7" t="n">
        <v>-30.1821837539381</v>
      </c>
      <c r="D366" s="7" t="n">
        <v>29.285924784575</v>
      </c>
      <c r="E366" s="7" t="n">
        <v>46</v>
      </c>
      <c r="F366" s="7" t="n">
        <v>0.973938966433239</v>
      </c>
      <c r="G366" s="7" t="n">
        <v>25.4019929545595</v>
      </c>
      <c r="H366" s="7" t="n">
        <v>2</v>
      </c>
      <c r="I366" s="7" t="n">
        <v>0.0001</v>
      </c>
      <c r="J366" s="7" t="n">
        <v>0.417223986785693</v>
      </c>
      <c r="K366" s="7" t="n">
        <v>0.42081105134159</v>
      </c>
    </row>
    <row r="368" customFormat="false" ht="12.75" hidden="false" customHeight="false" outlineLevel="0" collapsed="false">
      <c r="A368" s="0" t="s">
        <v>390</v>
      </c>
    </row>
    <row r="369" customFormat="false" ht="13.5" hidden="false" customHeight="false" outlineLevel="0" collapsed="false"/>
    <row r="370" customFormat="false" ht="12.75" hidden="false" customHeight="false" outlineLevel="0" collapsed="false">
      <c r="A370" s="8" t="s">
        <v>63</v>
      </c>
      <c r="B370" s="8"/>
      <c r="C370" s="8" t="s">
        <v>357</v>
      </c>
      <c r="D370" s="8" t="s">
        <v>106</v>
      </c>
      <c r="E370" s="8" t="s">
        <v>362</v>
      </c>
      <c r="F370" s="8" t="s">
        <v>391</v>
      </c>
      <c r="G370" s="8" t="s">
        <v>392</v>
      </c>
      <c r="H370" s="8" t="s">
        <v>393</v>
      </c>
      <c r="I370" s="8" t="s">
        <v>394</v>
      </c>
      <c r="J370" s="8" t="s">
        <v>395</v>
      </c>
      <c r="K370" s="8" t="s">
        <v>396</v>
      </c>
    </row>
    <row r="371" customFormat="false" ht="12.75" hidden="false" customHeight="false" outlineLevel="0" collapsed="false">
      <c r="A371" s="6" t="s">
        <v>8</v>
      </c>
      <c r="B371" s="6" t="n">
        <v>1</v>
      </c>
      <c r="C371" s="6" t="n">
        <v>-0.00635998563327726</v>
      </c>
      <c r="D371" s="6" t="n">
        <v>0.0166414648812586</v>
      </c>
      <c r="E371" s="6" t="n">
        <v>0</v>
      </c>
      <c r="F371" s="15" t="n">
        <v>0.47471505304132</v>
      </c>
      <c r="G371" s="15" t="n">
        <v>0.693877551020408</v>
      </c>
      <c r="H371" s="15" t="n">
        <v>0</v>
      </c>
      <c r="I371" s="15" t="n">
        <v>0.47471505304132</v>
      </c>
      <c r="J371" s="15" t="n">
        <v>-0.950646435014091</v>
      </c>
      <c r="K371" s="15" t="n">
        <v>-1.50554530541816</v>
      </c>
    </row>
    <row r="372" customFormat="false" ht="12.75" hidden="false" customHeight="false" outlineLevel="0" collapsed="false">
      <c r="A372" s="6" t="s">
        <v>9</v>
      </c>
      <c r="B372" s="6" t="n">
        <v>1</v>
      </c>
      <c r="C372" s="6" t="n">
        <v>-0.0190743876668005</v>
      </c>
      <c r="D372" s="6" t="n">
        <v>0.0217355561541323</v>
      </c>
      <c r="E372" s="6" t="n">
        <v>0</v>
      </c>
      <c r="F372" s="15" t="n">
        <v>0.288502628537918</v>
      </c>
      <c r="G372" s="15" t="n">
        <v>0.693877551020408</v>
      </c>
      <c r="H372" s="15" t="n">
        <v>0</v>
      </c>
      <c r="I372" s="15" t="n">
        <v>0.288502628537918</v>
      </c>
      <c r="J372" s="15" t="n">
        <v>-0.636778273613862</v>
      </c>
      <c r="K372" s="15" t="n">
        <v>-1.50554530541816</v>
      </c>
    </row>
    <row r="373" customFormat="false" ht="12.75" hidden="false" customHeight="false" outlineLevel="0" collapsed="false">
      <c r="A373" s="6" t="s">
        <v>10</v>
      </c>
      <c r="B373" s="6" t="n">
        <v>1</v>
      </c>
      <c r="C373" s="6" t="n">
        <v>0.0021231116583736</v>
      </c>
      <c r="D373" s="6" t="n">
        <v>0.0202684321941504</v>
      </c>
      <c r="E373" s="6" t="n">
        <v>0</v>
      </c>
      <c r="F373" s="15" t="n">
        <v>0.605695194097005</v>
      </c>
      <c r="G373" s="15" t="n">
        <v>0.693877551020408</v>
      </c>
      <c r="H373" s="15" t="n">
        <v>0</v>
      </c>
      <c r="I373" s="15" t="n">
        <v>0.605695194097005</v>
      </c>
      <c r="J373" s="15" t="n">
        <v>-1.23939867827395</v>
      </c>
      <c r="K373" s="15" t="n">
        <v>-1.50554530541816</v>
      </c>
    </row>
    <row r="374" customFormat="false" ht="12.75" hidden="false" customHeight="false" outlineLevel="0" collapsed="false">
      <c r="A374" s="6" t="s">
        <v>11</v>
      </c>
      <c r="B374" s="6" t="n">
        <v>1</v>
      </c>
      <c r="C374" s="6" t="n">
        <v>0.0956979646979981</v>
      </c>
      <c r="D374" s="6" t="n">
        <v>0.0462867458685396</v>
      </c>
      <c r="E374" s="6" t="n">
        <v>1</v>
      </c>
      <c r="F374" s="15" t="n">
        <v>0.999956042044993</v>
      </c>
      <c r="G374" s="15" t="n">
        <v>0.693877551020408</v>
      </c>
      <c r="H374" s="15" t="n">
        <v>1</v>
      </c>
      <c r="I374" s="15" t="n">
        <v>0.999956042044993</v>
      </c>
      <c r="J374" s="15" t="n">
        <v>0.00663022528982722</v>
      </c>
      <c r="K374" s="15" t="n">
        <v>0.664211164155072</v>
      </c>
    </row>
    <row r="375" customFormat="false" ht="12.75" hidden="false" customHeight="false" outlineLevel="0" collapsed="false">
      <c r="A375" s="6" t="s">
        <v>12</v>
      </c>
      <c r="B375" s="6" t="n">
        <v>1</v>
      </c>
      <c r="C375" s="6" t="n">
        <v>-0.0191589666506185</v>
      </c>
      <c r="D375" s="6" t="n">
        <v>0.0385571760941081</v>
      </c>
      <c r="E375" s="6" t="n">
        <v>1</v>
      </c>
      <c r="F375" s="15" t="n">
        <v>0.288776715437807</v>
      </c>
      <c r="G375" s="15" t="n">
        <v>0.693877551020408</v>
      </c>
      <c r="H375" s="15" t="n">
        <v>1</v>
      </c>
      <c r="I375" s="15" t="n">
        <v>0.288776715437807</v>
      </c>
      <c r="J375" s="15" t="n">
        <v>1.56935753536595</v>
      </c>
      <c r="K375" s="15" t="n">
        <v>0.664211164155072</v>
      </c>
    </row>
    <row r="376" customFormat="false" ht="12.75" hidden="false" customHeight="false" outlineLevel="0" collapsed="false">
      <c r="A376" s="6" t="s">
        <v>13</v>
      </c>
      <c r="B376" s="6" t="n">
        <v>1</v>
      </c>
      <c r="C376" s="6" t="n">
        <v>0.137856453890509</v>
      </c>
      <c r="D376" s="6" t="n">
        <v>0.260230429297339</v>
      </c>
      <c r="E376" s="6" t="n">
        <v>1</v>
      </c>
      <c r="F376" s="15" t="n">
        <v>0.99999999027113</v>
      </c>
      <c r="G376" s="15" t="n">
        <v>0.693877551020408</v>
      </c>
      <c r="H376" s="15" t="n">
        <v>1</v>
      </c>
      <c r="I376" s="15" t="n">
        <v>0.99999999027113</v>
      </c>
      <c r="J376" s="15" t="n">
        <v>9.86350361667128E-005</v>
      </c>
      <c r="K376" s="15" t="n">
        <v>0.664211164155072</v>
      </c>
    </row>
    <row r="377" customFormat="false" ht="12.75" hidden="false" customHeight="false" outlineLevel="0" collapsed="false">
      <c r="A377" s="6" t="s">
        <v>14</v>
      </c>
      <c r="B377" s="6" t="n">
        <v>1</v>
      </c>
      <c r="C377" s="6" t="n">
        <v>0.169582366724771</v>
      </c>
      <c r="D377" s="6" t="n">
        <v>0.118726708029446</v>
      </c>
      <c r="E377" s="6" t="n">
        <v>1</v>
      </c>
      <c r="F377" s="15" t="n">
        <v>0.999999999995401</v>
      </c>
      <c r="G377" s="15" t="n">
        <v>0.693877551020408</v>
      </c>
      <c r="H377" s="15" t="n">
        <v>1</v>
      </c>
      <c r="I377" s="15" t="n">
        <v>0.999999999995401</v>
      </c>
      <c r="J377" s="15" t="n">
        <v>2.14465451034443E-006</v>
      </c>
      <c r="K377" s="15" t="n">
        <v>0.664211164155072</v>
      </c>
    </row>
    <row r="378" customFormat="false" ht="12.75" hidden="false" customHeight="false" outlineLevel="0" collapsed="false">
      <c r="A378" s="6" t="s">
        <v>15</v>
      </c>
      <c r="B378" s="6" t="n">
        <v>1</v>
      </c>
      <c r="C378" s="6" t="n">
        <v>0.061251926411499</v>
      </c>
      <c r="D378" s="6" t="n">
        <v>0.0626719688727428</v>
      </c>
      <c r="E378" s="6" t="n">
        <v>1</v>
      </c>
      <c r="F378" s="15" t="n">
        <v>0.99510525118518</v>
      </c>
      <c r="G378" s="15" t="n">
        <v>0.693877551020408</v>
      </c>
      <c r="H378" s="15" t="n">
        <v>1</v>
      </c>
      <c r="I378" s="15" t="n">
        <v>0.99510525118518</v>
      </c>
      <c r="J378" s="15" t="n">
        <v>0.070134337016747</v>
      </c>
      <c r="K378" s="15" t="n">
        <v>0.664211164155072</v>
      </c>
    </row>
    <row r="379" customFormat="false" ht="12.75" hidden="false" customHeight="false" outlineLevel="0" collapsed="false">
      <c r="A379" s="6" t="s">
        <v>16</v>
      </c>
      <c r="B379" s="6" t="n">
        <v>1</v>
      </c>
      <c r="C379" s="6" t="n">
        <v>0.0137604560774319</v>
      </c>
      <c r="D379" s="6" t="n">
        <v>0.0206160900363821</v>
      </c>
      <c r="E379" s="6" t="n">
        <v>1</v>
      </c>
      <c r="F379" s="15" t="n">
        <v>0.764792317645642</v>
      </c>
      <c r="G379" s="15" t="n">
        <v>0.693877551020408</v>
      </c>
      <c r="H379" s="15" t="n">
        <v>1</v>
      </c>
      <c r="I379" s="15" t="n">
        <v>0.764792317645642</v>
      </c>
      <c r="J379" s="15" t="n">
        <v>0.554566961630788</v>
      </c>
      <c r="K379" s="15" t="n">
        <v>0.664211164155072</v>
      </c>
    </row>
    <row r="380" customFormat="false" ht="12.75" hidden="false" customHeight="false" outlineLevel="0" collapsed="false">
      <c r="A380" s="6" t="s">
        <v>17</v>
      </c>
      <c r="B380" s="6" t="n">
        <v>1</v>
      </c>
      <c r="C380" s="6" t="n">
        <v>-0.0341913086322479</v>
      </c>
      <c r="D380" s="6" t="n">
        <v>0.0353682242605231</v>
      </c>
      <c r="E380" s="6" t="n">
        <v>0</v>
      </c>
      <c r="F380" s="15" t="n">
        <v>0.126380045545822</v>
      </c>
      <c r="G380" s="15" t="n">
        <v>0.693877551020408</v>
      </c>
      <c r="H380" s="15" t="n">
        <v>0</v>
      </c>
      <c r="I380" s="15" t="n">
        <v>0.126380045545822</v>
      </c>
      <c r="J380" s="15" t="n">
        <v>-0.380345236230503</v>
      </c>
      <c r="K380" s="15" t="n">
        <v>-1.50554530541816</v>
      </c>
    </row>
    <row r="381" customFormat="false" ht="12.75" hidden="false" customHeight="false" outlineLevel="0" collapsed="false">
      <c r="A381" s="6" t="s">
        <v>18</v>
      </c>
      <c r="B381" s="6" t="n">
        <v>1</v>
      </c>
      <c r="C381" s="6" t="n">
        <v>-0.0177839994909336</v>
      </c>
      <c r="D381" s="6" t="n">
        <v>0.0255232505281166</v>
      </c>
      <c r="E381" s="6" t="n">
        <v>0</v>
      </c>
      <c r="F381" s="15" t="n">
        <v>0.306237249878561</v>
      </c>
      <c r="G381" s="15" t="n">
        <v>0.693877551020408</v>
      </c>
      <c r="H381" s="15" t="n">
        <v>0</v>
      </c>
      <c r="I381" s="15" t="n">
        <v>0.306237249878561</v>
      </c>
      <c r="J381" s="15" t="n">
        <v>-0.664390660921545</v>
      </c>
      <c r="K381" s="15" t="n">
        <v>-1.50554530541816</v>
      </c>
    </row>
    <row r="382" customFormat="false" ht="12.75" hidden="false" customHeight="false" outlineLevel="0" collapsed="false">
      <c r="A382" s="6" t="s">
        <v>19</v>
      </c>
      <c r="B382" s="6" t="n">
        <v>1</v>
      </c>
      <c r="C382" s="6" t="n">
        <v>0.0608497516791446</v>
      </c>
      <c r="D382" s="6" t="n">
        <v>0.0139671691446418</v>
      </c>
      <c r="E382" s="6" t="n">
        <v>1</v>
      </c>
      <c r="F382" s="15" t="n">
        <v>0.994700259645311</v>
      </c>
      <c r="G382" s="15" t="n">
        <v>0.693877551020408</v>
      </c>
      <c r="H382" s="15" t="n">
        <v>1</v>
      </c>
      <c r="I382" s="15" t="n">
        <v>0.994700259645311</v>
      </c>
      <c r="J382" s="15" t="n">
        <v>0.0729929945318999</v>
      </c>
      <c r="K382" s="15" t="n">
        <v>0.664211164155072</v>
      </c>
    </row>
    <row r="383" customFormat="false" ht="12.75" hidden="false" customHeight="false" outlineLevel="0" collapsed="false">
      <c r="A383" s="6" t="s">
        <v>20</v>
      </c>
      <c r="B383" s="6" t="n">
        <v>1</v>
      </c>
      <c r="C383" s="6" t="n">
        <v>0.052140822775422</v>
      </c>
      <c r="D383" s="6" t="n">
        <v>0.0504285786346856</v>
      </c>
      <c r="E383" s="6" t="n">
        <v>1</v>
      </c>
      <c r="F383" s="15" t="n">
        <v>0.9869615180622</v>
      </c>
      <c r="G383" s="15" t="n">
        <v>0.693877551020408</v>
      </c>
      <c r="H383" s="15" t="n">
        <v>1</v>
      </c>
      <c r="I383" s="15" t="n">
        <v>0.9869615180622</v>
      </c>
      <c r="J383" s="15" t="n">
        <v>0.114937938904779</v>
      </c>
      <c r="K383" s="15" t="n">
        <v>0.664211164155072</v>
      </c>
    </row>
    <row r="384" customFormat="false" ht="12.75" hidden="false" customHeight="false" outlineLevel="0" collapsed="false">
      <c r="A384" s="6" t="s">
        <v>21</v>
      </c>
      <c r="B384" s="6" t="n">
        <v>1</v>
      </c>
      <c r="C384" s="6" t="n">
        <v>0.000358210427176681</v>
      </c>
      <c r="D384" s="6" t="n">
        <v>0.0371121032485432</v>
      </c>
      <c r="E384" s="6" t="n">
        <v>1</v>
      </c>
      <c r="F384" s="15" t="n">
        <v>0.580600013872716</v>
      </c>
      <c r="G384" s="15" t="n">
        <v>0.693877551020408</v>
      </c>
      <c r="H384" s="15" t="n">
        <v>1</v>
      </c>
      <c r="I384" s="15" t="n">
        <v>0.580600013872716</v>
      </c>
      <c r="J384" s="15" t="n">
        <v>0.849915373496171</v>
      </c>
      <c r="K384" s="15" t="n">
        <v>0.664211164155072</v>
      </c>
    </row>
    <row r="385" customFormat="false" ht="12.75" hidden="false" customHeight="false" outlineLevel="0" collapsed="false">
      <c r="A385" s="6" t="s">
        <v>22</v>
      </c>
      <c r="B385" s="6" t="n">
        <v>1</v>
      </c>
      <c r="C385" s="6" t="n">
        <v>0.117413216566811</v>
      </c>
      <c r="D385" s="6" t="n">
        <v>0.0047015824577715</v>
      </c>
      <c r="E385" s="6" t="n">
        <v>1</v>
      </c>
      <c r="F385" s="15" t="n">
        <v>0.999999021742928</v>
      </c>
      <c r="G385" s="15" t="n">
        <v>0.693877551020408</v>
      </c>
      <c r="H385" s="15" t="n">
        <v>1</v>
      </c>
      <c r="I385" s="15" t="n">
        <v>0.999999021742928</v>
      </c>
      <c r="J385" s="15" t="n">
        <v>0.000989069274173458</v>
      </c>
      <c r="K385" s="15" t="n">
        <v>0.664211164155072</v>
      </c>
    </row>
    <row r="386" customFormat="false" ht="12.75" hidden="false" customHeight="false" outlineLevel="0" collapsed="false">
      <c r="A386" s="6" t="s">
        <v>23</v>
      </c>
      <c r="B386" s="6" t="n">
        <v>1</v>
      </c>
      <c r="C386" s="6" t="n">
        <v>0.115297383798601</v>
      </c>
      <c r="D386" s="6" t="n">
        <v>0.0342163256066311</v>
      </c>
      <c r="E386" s="6" t="n">
        <v>1</v>
      </c>
      <c r="F386" s="15" t="n">
        <v>0.999998583721109</v>
      </c>
      <c r="G386" s="15" t="n">
        <v>0.693877551020408</v>
      </c>
      <c r="H386" s="15" t="n">
        <v>1</v>
      </c>
      <c r="I386" s="15" t="n">
        <v>0.999998583721109</v>
      </c>
      <c r="J386" s="15" t="n">
        <v>0.00119007600481441</v>
      </c>
      <c r="K386" s="15" t="n">
        <v>0.664211164155072</v>
      </c>
    </row>
    <row r="387" customFormat="false" ht="12.75" hidden="false" customHeight="false" outlineLevel="0" collapsed="false">
      <c r="A387" s="6" t="s">
        <v>24</v>
      </c>
      <c r="B387" s="6" t="n">
        <v>1</v>
      </c>
      <c r="C387" s="6" t="n">
        <v>-0.00868223471621077</v>
      </c>
      <c r="D387" s="6" t="n">
        <v>0.0243662758193366</v>
      </c>
      <c r="E387" s="6" t="n">
        <v>1</v>
      </c>
      <c r="F387" s="15" t="n">
        <v>0.439571077833824</v>
      </c>
      <c r="G387" s="15" t="n">
        <v>0.693877551020408</v>
      </c>
      <c r="H387" s="15" t="n">
        <v>1</v>
      </c>
      <c r="I387" s="15" t="n">
        <v>0.439571077833824</v>
      </c>
      <c r="J387" s="15" t="n">
        <v>1.12913459853945</v>
      </c>
      <c r="K387" s="15" t="n">
        <v>0.664211164155072</v>
      </c>
    </row>
    <row r="388" customFormat="false" ht="12.75" hidden="false" customHeight="false" outlineLevel="0" collapsed="false">
      <c r="A388" s="6" t="s">
        <v>25</v>
      </c>
      <c r="B388" s="6" t="n">
        <v>1</v>
      </c>
      <c r="C388" s="6" t="n">
        <v>0.0810135827578753</v>
      </c>
      <c r="D388" s="6" t="n">
        <v>0.11374675564763</v>
      </c>
      <c r="E388" s="6" t="n">
        <v>1</v>
      </c>
      <c r="F388" s="15" t="n">
        <v>0.999618471325213</v>
      </c>
      <c r="G388" s="15" t="n">
        <v>0.693877551020408</v>
      </c>
      <c r="H388" s="15" t="n">
        <v>1</v>
      </c>
      <c r="I388" s="15" t="n">
        <v>0.999618471325213</v>
      </c>
      <c r="J388" s="15" t="n">
        <v>0.019536486236658</v>
      </c>
      <c r="K388" s="15" t="n">
        <v>0.664211164155072</v>
      </c>
    </row>
    <row r="389" customFormat="false" ht="12.75" hidden="false" customHeight="false" outlineLevel="0" collapsed="false">
      <c r="A389" s="6" t="s">
        <v>26</v>
      </c>
      <c r="B389" s="6" t="n">
        <v>1</v>
      </c>
      <c r="C389" s="6" t="n">
        <v>0.0638689785716179</v>
      </c>
      <c r="D389" s="6" t="n">
        <v>0.0274781962774974</v>
      </c>
      <c r="E389" s="6" t="n">
        <v>1</v>
      </c>
      <c r="F389" s="15" t="n">
        <v>0.99628140812797</v>
      </c>
      <c r="G389" s="15" t="n">
        <v>0.693877551020408</v>
      </c>
      <c r="H389" s="15" t="n">
        <v>1</v>
      </c>
      <c r="I389" s="15" t="n">
        <v>0.99628140812797</v>
      </c>
      <c r="J389" s="15" t="n">
        <v>0.0610939555920002</v>
      </c>
      <c r="K389" s="15" t="n">
        <v>0.664211164155072</v>
      </c>
    </row>
    <row r="390" customFormat="false" ht="12.75" hidden="false" customHeight="false" outlineLevel="0" collapsed="false">
      <c r="A390" s="6" t="s">
        <v>27</v>
      </c>
      <c r="B390" s="6" t="n">
        <v>1</v>
      </c>
      <c r="C390" s="6" t="n">
        <v>0.0858221614196834</v>
      </c>
      <c r="D390" s="6" t="n">
        <v>0.0613123203667421</v>
      </c>
      <c r="E390" s="6" t="n">
        <v>1</v>
      </c>
      <c r="F390" s="15" t="n">
        <v>0.99980031138757</v>
      </c>
      <c r="G390" s="15" t="n">
        <v>0.693877551020408</v>
      </c>
      <c r="H390" s="15" t="n">
        <v>1</v>
      </c>
      <c r="I390" s="15" t="n">
        <v>0.99980031138757</v>
      </c>
      <c r="J390" s="15" t="n">
        <v>0.0141325332455343</v>
      </c>
      <c r="K390" s="15" t="n">
        <v>0.664211164155072</v>
      </c>
    </row>
    <row r="391" customFormat="false" ht="12.75" hidden="false" customHeight="false" outlineLevel="0" collapsed="false">
      <c r="A391" s="6" t="s">
        <v>28</v>
      </c>
      <c r="B391" s="6" t="n">
        <v>1</v>
      </c>
      <c r="C391" s="6" t="n">
        <v>0.00135832049378335</v>
      </c>
      <c r="D391" s="6" t="n">
        <v>0.0419633136501008</v>
      </c>
      <c r="E391" s="6" t="n">
        <v>1</v>
      </c>
      <c r="F391" s="15" t="n">
        <v>0.596227057876201</v>
      </c>
      <c r="G391" s="15" t="n">
        <v>0.693877551020408</v>
      </c>
      <c r="H391" s="15" t="n">
        <v>1</v>
      </c>
      <c r="I391" s="15" t="n">
        <v>0.596227057876201</v>
      </c>
      <c r="J391" s="15" t="n">
        <v>0.82292975502004</v>
      </c>
      <c r="K391" s="15" t="n">
        <v>0.664211164155072</v>
      </c>
    </row>
    <row r="392" customFormat="false" ht="12.75" hidden="false" customHeight="false" outlineLevel="0" collapsed="false">
      <c r="A392" s="6" t="s">
        <v>29</v>
      </c>
      <c r="B392" s="6" t="n">
        <v>1</v>
      </c>
      <c r="C392" s="6" t="n">
        <v>-0.00550809175066745</v>
      </c>
      <c r="D392" s="6" t="n">
        <v>0.0124292221309667</v>
      </c>
      <c r="E392" s="6" t="n">
        <v>0</v>
      </c>
      <c r="F392" s="15" t="n">
        <v>0.487537607267118</v>
      </c>
      <c r="G392" s="15" t="n">
        <v>0.693877551020408</v>
      </c>
      <c r="H392" s="15" t="n">
        <v>0</v>
      </c>
      <c r="I392" s="15" t="n">
        <v>0.487537607267118</v>
      </c>
      <c r="J392" s="15" t="n">
        <v>-0.975378235996408</v>
      </c>
      <c r="K392" s="15" t="n">
        <v>-1.50554530541816</v>
      </c>
    </row>
    <row r="393" customFormat="false" ht="12.75" hidden="false" customHeight="false" outlineLevel="0" collapsed="false">
      <c r="A393" s="6" t="s">
        <v>30</v>
      </c>
      <c r="B393" s="6" t="n">
        <v>1</v>
      </c>
      <c r="C393" s="6" t="n">
        <v>-0.0066549133440133</v>
      </c>
      <c r="D393" s="6" t="n">
        <v>0.0117861455165629</v>
      </c>
      <c r="E393" s="6" t="n">
        <v>0</v>
      </c>
      <c r="F393" s="15" t="n">
        <v>0.469669230397151</v>
      </c>
      <c r="G393" s="15" t="n">
        <v>0.693877551020408</v>
      </c>
      <c r="H393" s="15" t="n">
        <v>0</v>
      </c>
      <c r="I393" s="15" t="n">
        <v>0.469669230397151</v>
      </c>
      <c r="J393" s="15" t="n">
        <v>-0.941071544670184</v>
      </c>
      <c r="K393" s="15" t="n">
        <v>-1.50554530541816</v>
      </c>
    </row>
    <row r="394" customFormat="false" ht="12.75" hidden="false" customHeight="false" outlineLevel="0" collapsed="false">
      <c r="A394" s="6" t="s">
        <v>31</v>
      </c>
      <c r="B394" s="6" t="n">
        <v>1</v>
      </c>
      <c r="C394" s="6" t="n">
        <v>0.0466347256189784</v>
      </c>
      <c r="D394" s="6" t="n">
        <v>0.0608954144235067</v>
      </c>
      <c r="E394" s="6" t="n">
        <v>1</v>
      </c>
      <c r="F394" s="15" t="n">
        <v>0.977942529419585</v>
      </c>
      <c r="G394" s="15" t="n">
        <v>0.693877551020408</v>
      </c>
      <c r="H394" s="15" t="n">
        <v>1</v>
      </c>
      <c r="I394" s="15" t="n">
        <v>0.977942529419585</v>
      </c>
      <c r="J394" s="15" t="n">
        <v>0.15018314255183</v>
      </c>
      <c r="K394" s="15" t="n">
        <v>0.664211164155072</v>
      </c>
    </row>
    <row r="395" customFormat="false" ht="12.75" hidden="false" customHeight="false" outlineLevel="0" collapsed="false">
      <c r="A395" s="6" t="s">
        <v>32</v>
      </c>
      <c r="B395" s="6" t="n">
        <v>1</v>
      </c>
      <c r="C395" s="6" t="n">
        <v>-0.0371447910361071</v>
      </c>
      <c r="D395" s="6" t="n">
        <v>0.0198386177748442</v>
      </c>
      <c r="E395" s="6" t="n">
        <v>0</v>
      </c>
      <c r="F395" s="15" t="n">
        <v>0.103370717252122</v>
      </c>
      <c r="G395" s="15" t="n">
        <v>0.693877551020408</v>
      </c>
      <c r="H395" s="15" t="n">
        <v>0</v>
      </c>
      <c r="I395" s="15" t="n">
        <v>0.103370717252122</v>
      </c>
      <c r="J395" s="15" t="n">
        <v>-0.339541064372505</v>
      </c>
      <c r="K395" s="15" t="n">
        <v>-1.50554530541816</v>
      </c>
    </row>
    <row r="396" customFormat="false" ht="12.75" hidden="false" customHeight="false" outlineLevel="0" collapsed="false">
      <c r="A396" s="6" t="s">
        <v>33</v>
      </c>
      <c r="B396" s="6" t="n">
        <v>1</v>
      </c>
      <c r="C396" s="6" t="n">
        <v>0.00056372543716221</v>
      </c>
      <c r="D396" s="6" t="n">
        <v>0.011502118639517</v>
      </c>
      <c r="E396" s="6" t="n">
        <v>1</v>
      </c>
      <c r="F396" s="15" t="n">
        <v>0.581291463199981</v>
      </c>
      <c r="G396" s="15" t="n">
        <v>0.693877551020408</v>
      </c>
      <c r="H396" s="15" t="n">
        <v>1</v>
      </c>
      <c r="I396" s="15" t="n">
        <v>0.581291463199981</v>
      </c>
      <c r="J396" s="15" t="n">
        <v>0.848709249504604</v>
      </c>
      <c r="K396" s="15" t="n">
        <v>0.664211164155072</v>
      </c>
    </row>
    <row r="397" customFormat="false" ht="12.75" hidden="false" customHeight="false" outlineLevel="0" collapsed="false">
      <c r="A397" s="6" t="s">
        <v>34</v>
      </c>
      <c r="B397" s="6" t="n">
        <v>1</v>
      </c>
      <c r="C397" s="6" t="n">
        <v>0.000927773657300242</v>
      </c>
      <c r="D397" s="6" t="n">
        <v>0.0289080720529774</v>
      </c>
      <c r="E397" s="6" t="n">
        <v>0</v>
      </c>
      <c r="F397" s="15" t="n">
        <v>0.588477369765883</v>
      </c>
      <c r="G397" s="15" t="n">
        <v>0.693877551020408</v>
      </c>
      <c r="H397" s="15" t="n">
        <v>0</v>
      </c>
      <c r="I397" s="15" t="n">
        <v>0.588477369765883</v>
      </c>
      <c r="J397" s="15" t="n">
        <v>-1.19582608297802</v>
      </c>
      <c r="K397" s="15" t="n">
        <v>-1.50554530541816</v>
      </c>
    </row>
    <row r="398" customFormat="false" ht="12.75" hidden="false" customHeight="false" outlineLevel="0" collapsed="false">
      <c r="A398" s="6" t="s">
        <v>35</v>
      </c>
      <c r="B398" s="6" t="n">
        <v>1</v>
      </c>
      <c r="C398" s="6" t="n">
        <v>0.14371972819033</v>
      </c>
      <c r="D398" s="6" t="n">
        <v>0.0956898865432891</v>
      </c>
      <c r="E398" s="6" t="n">
        <v>1</v>
      </c>
      <c r="F398" s="15" t="n">
        <v>0.999999996784443</v>
      </c>
      <c r="G398" s="15" t="n">
        <v>0.693877551020408</v>
      </c>
      <c r="H398" s="15" t="n">
        <v>1</v>
      </c>
      <c r="I398" s="15" t="n">
        <v>0.999999996784443</v>
      </c>
      <c r="J398" s="15" t="n">
        <v>5.67058849350212E-005</v>
      </c>
      <c r="K398" s="15" t="n">
        <v>0.664211164155072</v>
      </c>
    </row>
    <row r="399" customFormat="false" ht="12.75" hidden="false" customHeight="false" outlineLevel="0" collapsed="false">
      <c r="A399" s="6" t="s">
        <v>36</v>
      </c>
      <c r="B399" s="6" t="n">
        <v>1</v>
      </c>
      <c r="C399" s="6" t="n">
        <v>0.207011289126063</v>
      </c>
      <c r="D399" s="6" t="n">
        <v>0.264967672481142</v>
      </c>
      <c r="E399" s="6" t="n">
        <v>1</v>
      </c>
      <c r="F399" s="15" t="n">
        <v>1</v>
      </c>
      <c r="G399" s="15" t="n">
        <v>0.693877551020408</v>
      </c>
      <c r="H399" s="15" t="n">
        <v>1</v>
      </c>
      <c r="I399" s="15" t="n">
        <v>1</v>
      </c>
      <c r="J399" s="15" t="n">
        <v>1.05367121277235E-008</v>
      </c>
      <c r="K399" s="15" t="n">
        <v>0.664211164155072</v>
      </c>
    </row>
    <row r="400" customFormat="false" ht="12.75" hidden="false" customHeight="false" outlineLevel="0" collapsed="false">
      <c r="A400" s="6" t="s">
        <v>37</v>
      </c>
      <c r="B400" s="6" t="n">
        <v>1</v>
      </c>
      <c r="C400" s="6" t="n">
        <v>-0.0224729059785802</v>
      </c>
      <c r="D400" s="6" t="n">
        <v>0.0243108794619173</v>
      </c>
      <c r="E400" s="6" t="n">
        <v>0</v>
      </c>
      <c r="F400" s="15" t="n">
        <v>0.245221369225253</v>
      </c>
      <c r="G400" s="15" t="n">
        <v>0.693877551020408</v>
      </c>
      <c r="H400" s="15" t="n">
        <v>0</v>
      </c>
      <c r="I400" s="15" t="n">
        <v>0.245221369225253</v>
      </c>
      <c r="J400" s="15" t="n">
        <v>-0.569992785205666</v>
      </c>
      <c r="K400" s="15" t="n">
        <v>-1.50554530541816</v>
      </c>
    </row>
    <row r="401" customFormat="false" ht="12.75" hidden="false" customHeight="false" outlineLevel="0" collapsed="false">
      <c r="A401" s="6" t="s">
        <v>38</v>
      </c>
      <c r="B401" s="6" t="n">
        <v>1</v>
      </c>
      <c r="C401" s="6" t="n">
        <v>0.178016442242586</v>
      </c>
      <c r="D401" s="6" t="n">
        <v>0.185769873927339</v>
      </c>
      <c r="E401" s="6" t="n">
        <v>1</v>
      </c>
      <c r="F401" s="15" t="n">
        <v>0.999999999999607</v>
      </c>
      <c r="G401" s="15" t="n">
        <v>0.693877551020408</v>
      </c>
      <c r="H401" s="15" t="n">
        <v>1</v>
      </c>
      <c r="I401" s="15" t="n">
        <v>0.999999999999607</v>
      </c>
      <c r="J401" s="15" t="n">
        <v>6.27089304104595E-007</v>
      </c>
      <c r="K401" s="15" t="n">
        <v>0.664211164155072</v>
      </c>
    </row>
    <row r="402" customFormat="false" ht="12.75" hidden="false" customHeight="false" outlineLevel="0" collapsed="false">
      <c r="A402" s="6" t="s">
        <v>39</v>
      </c>
      <c r="B402" s="6" t="n">
        <v>1</v>
      </c>
      <c r="C402" s="6" t="n">
        <v>0.00498079243359649</v>
      </c>
      <c r="D402" s="6" t="n">
        <v>0.0363048002647108</v>
      </c>
      <c r="E402" s="6" t="n">
        <v>1</v>
      </c>
      <c r="F402" s="15" t="n">
        <v>0.649292630786861</v>
      </c>
      <c r="G402" s="15" t="n">
        <v>0.693877551020408</v>
      </c>
      <c r="H402" s="15" t="n">
        <v>1</v>
      </c>
      <c r="I402" s="15" t="n">
        <v>0.649292630786861</v>
      </c>
      <c r="J402" s="15" t="n">
        <v>0.734940548018043</v>
      </c>
      <c r="K402" s="15" t="n">
        <v>0.664211164155072</v>
      </c>
    </row>
    <row r="403" customFormat="false" ht="12.75" hidden="false" customHeight="false" outlineLevel="0" collapsed="false">
      <c r="A403" s="6" t="s">
        <v>40</v>
      </c>
      <c r="B403" s="6" t="n">
        <v>1</v>
      </c>
      <c r="C403" s="6" t="n">
        <v>0.0121142687303058</v>
      </c>
      <c r="D403" s="6" t="n">
        <v>0.00521176899171673</v>
      </c>
      <c r="E403" s="6" t="n">
        <v>0</v>
      </c>
      <c r="F403" s="15" t="n">
        <v>0.74340680870022</v>
      </c>
      <c r="G403" s="15" t="n">
        <v>0.693877551020408</v>
      </c>
      <c r="H403" s="15" t="n">
        <v>0</v>
      </c>
      <c r="I403" s="15" t="n">
        <v>0.74340680870022</v>
      </c>
      <c r="J403" s="15" t="n">
        <v>-1.70212207083855</v>
      </c>
      <c r="K403" s="15" t="n">
        <v>-1.50554530541816</v>
      </c>
    </row>
    <row r="404" customFormat="false" ht="12.75" hidden="false" customHeight="false" outlineLevel="0" collapsed="false">
      <c r="A404" s="6" t="s">
        <v>41</v>
      </c>
      <c r="B404" s="6" t="n">
        <v>1</v>
      </c>
      <c r="C404" s="6" t="n">
        <v>0.0727712146661485</v>
      </c>
      <c r="D404" s="6" t="n">
        <v>0.0513408485554598</v>
      </c>
      <c r="E404" s="6" t="n">
        <v>1</v>
      </c>
      <c r="F404" s="15" t="n">
        <v>0.998774805520707</v>
      </c>
      <c r="G404" s="15" t="n">
        <v>0.693877551020408</v>
      </c>
      <c r="H404" s="15" t="n">
        <v>1</v>
      </c>
      <c r="I404" s="15" t="n">
        <v>0.998774805520707</v>
      </c>
      <c r="J404" s="15" t="n">
        <v>0.035024240494294</v>
      </c>
      <c r="K404" s="15" t="n">
        <v>0.664211164155072</v>
      </c>
    </row>
    <row r="405" customFormat="false" ht="12.75" hidden="false" customHeight="false" outlineLevel="0" collapsed="false">
      <c r="A405" s="6" t="s">
        <v>42</v>
      </c>
      <c r="B405" s="6" t="n">
        <v>1</v>
      </c>
      <c r="C405" s="6" t="n">
        <v>0.0345178953946172</v>
      </c>
      <c r="D405" s="6" t="n">
        <v>0.0183732361717298</v>
      </c>
      <c r="E405" s="6" t="n">
        <v>1</v>
      </c>
      <c r="F405" s="15" t="n">
        <v>0.937033984998522</v>
      </c>
      <c r="G405" s="15" t="n">
        <v>0.693877551020408</v>
      </c>
      <c r="H405" s="15" t="n">
        <v>1</v>
      </c>
      <c r="I405" s="15" t="n">
        <v>0.937033984998522</v>
      </c>
      <c r="J405" s="15" t="n">
        <v>0.259224134436712</v>
      </c>
      <c r="K405" s="15" t="n">
        <v>0.664211164155072</v>
      </c>
    </row>
    <row r="406" customFormat="false" ht="12.75" hidden="false" customHeight="false" outlineLevel="0" collapsed="false">
      <c r="A406" s="6" t="s">
        <v>43</v>
      </c>
      <c r="B406" s="6" t="n">
        <v>1</v>
      </c>
      <c r="C406" s="6" t="n">
        <v>0.0020064460327166</v>
      </c>
      <c r="D406" s="6" t="n">
        <v>0.0359708061626984</v>
      </c>
      <c r="E406" s="6" t="n">
        <v>1</v>
      </c>
      <c r="F406" s="15" t="n">
        <v>0.60541770799684</v>
      </c>
      <c r="G406" s="15" t="n">
        <v>0.693877551020408</v>
      </c>
      <c r="H406" s="15" t="n">
        <v>1</v>
      </c>
      <c r="I406" s="15" t="n">
        <v>0.60541770799684</v>
      </c>
      <c r="J406" s="15" t="n">
        <v>0.807311679976194</v>
      </c>
      <c r="K406" s="15" t="n">
        <v>0.664211164155072</v>
      </c>
    </row>
    <row r="407" customFormat="false" ht="12.75" hidden="false" customHeight="false" outlineLevel="0" collapsed="false">
      <c r="A407" s="6" t="s">
        <v>44</v>
      </c>
      <c r="B407" s="6" t="n">
        <v>1</v>
      </c>
      <c r="C407" s="6" t="n">
        <v>0.118365513806805</v>
      </c>
      <c r="D407" s="6" t="n">
        <v>0.210983235947242</v>
      </c>
      <c r="E407" s="6" t="n">
        <v>1</v>
      </c>
      <c r="F407" s="15" t="n">
        <v>0.999999367681854</v>
      </c>
      <c r="G407" s="15" t="n">
        <v>0.693877551020408</v>
      </c>
      <c r="H407" s="15" t="n">
        <v>1</v>
      </c>
      <c r="I407" s="15" t="n">
        <v>0.999999367681854</v>
      </c>
      <c r="J407" s="15" t="n">
        <v>0.000795184598556163</v>
      </c>
      <c r="K407" s="15" t="n">
        <v>0.664211164155072</v>
      </c>
    </row>
    <row r="408" customFormat="false" ht="12.75" hidden="false" customHeight="false" outlineLevel="0" collapsed="false">
      <c r="A408" s="6" t="s">
        <v>45</v>
      </c>
      <c r="B408" s="6" t="n">
        <v>1</v>
      </c>
      <c r="C408" s="6" t="n">
        <v>0.0307268289205572</v>
      </c>
      <c r="D408" s="6" t="n">
        <v>0.0883295351941335</v>
      </c>
      <c r="E408" s="6" t="n">
        <v>1</v>
      </c>
      <c r="F408" s="15" t="n">
        <v>0.919186564121455</v>
      </c>
      <c r="G408" s="15" t="n">
        <v>0.693877551020408</v>
      </c>
      <c r="H408" s="15" t="n">
        <v>1</v>
      </c>
      <c r="I408" s="15" t="n">
        <v>0.919186564121455</v>
      </c>
      <c r="J408" s="15" t="n">
        <v>0.296510414584679</v>
      </c>
      <c r="K408" s="15" t="n">
        <v>0.664211164155072</v>
      </c>
    </row>
    <row r="409" customFormat="false" ht="12.75" hidden="false" customHeight="false" outlineLevel="0" collapsed="false">
      <c r="A409" s="6" t="s">
        <v>46</v>
      </c>
      <c r="B409" s="6" t="n">
        <v>1</v>
      </c>
      <c r="C409" s="6" t="n">
        <v>-0.0115496986194282</v>
      </c>
      <c r="D409" s="6" t="n">
        <v>0.0059124840684687</v>
      </c>
      <c r="E409" s="6" t="n">
        <v>0</v>
      </c>
      <c r="F409" s="15" t="n">
        <v>0.394225789171506</v>
      </c>
      <c r="G409" s="15" t="n">
        <v>0.693877551020408</v>
      </c>
      <c r="H409" s="15" t="n">
        <v>0</v>
      </c>
      <c r="I409" s="15" t="n">
        <v>0.394225789171506</v>
      </c>
      <c r="J409" s="15" t="n">
        <v>-0.806709414626932</v>
      </c>
      <c r="K409" s="15" t="n">
        <v>-1.50554530541816</v>
      </c>
    </row>
    <row r="410" customFormat="false" ht="12.75" hidden="false" customHeight="false" outlineLevel="0" collapsed="false">
      <c r="A410" s="6" t="s">
        <v>47</v>
      </c>
      <c r="B410" s="6" t="n">
        <v>1</v>
      </c>
      <c r="C410" s="6" t="n">
        <v>-0.016305774346237</v>
      </c>
      <c r="D410" s="6" t="n">
        <v>0.0109357214220361</v>
      </c>
      <c r="E410" s="6" t="n">
        <v>0</v>
      </c>
      <c r="F410" s="15" t="n">
        <v>0.325461352424365</v>
      </c>
      <c r="G410" s="15" t="n">
        <v>0.693877551020408</v>
      </c>
      <c r="H410" s="15" t="n">
        <v>0</v>
      </c>
      <c r="I410" s="15" t="n">
        <v>0.325461352424365</v>
      </c>
      <c r="J410" s="15" t="n">
        <v>-0.694618416477963</v>
      </c>
      <c r="K410" s="15" t="n">
        <v>-1.50554530541816</v>
      </c>
    </row>
    <row r="411" customFormat="false" ht="12.75" hidden="false" customHeight="false" outlineLevel="0" collapsed="false">
      <c r="A411" s="6" t="s">
        <v>48</v>
      </c>
      <c r="B411" s="6" t="n">
        <v>1</v>
      </c>
      <c r="C411" s="6" t="n">
        <v>0.0199513403860225</v>
      </c>
      <c r="D411" s="6" t="n">
        <v>0.0166026291755834</v>
      </c>
      <c r="E411" s="6" t="n">
        <v>1</v>
      </c>
      <c r="F411" s="15" t="n">
        <v>0.83200888900611</v>
      </c>
      <c r="G411" s="15" t="n">
        <v>0.693877551020408</v>
      </c>
      <c r="H411" s="15" t="n">
        <v>1</v>
      </c>
      <c r="I411" s="15" t="n">
        <v>0.83200888900611</v>
      </c>
      <c r="J411" s="15" t="n">
        <v>0.449344228662632</v>
      </c>
      <c r="K411" s="15" t="n">
        <v>0.664211164155072</v>
      </c>
    </row>
    <row r="412" customFormat="false" ht="12.75" hidden="false" customHeight="false" outlineLevel="0" collapsed="false">
      <c r="A412" s="6" t="s">
        <v>49</v>
      </c>
      <c r="B412" s="6" t="n">
        <v>1</v>
      </c>
      <c r="C412" s="6" t="n">
        <v>0.0455700468946818</v>
      </c>
      <c r="D412" s="6" t="n">
        <v>0.0366459653194965</v>
      </c>
      <c r="E412" s="6" t="n">
        <v>1</v>
      </c>
      <c r="F412" s="15" t="n">
        <v>0.975326917091465</v>
      </c>
      <c r="G412" s="15" t="n">
        <v>0.693877551020408</v>
      </c>
      <c r="H412" s="15" t="n">
        <v>1</v>
      </c>
      <c r="I412" s="15" t="n">
        <v>0.975326917091465</v>
      </c>
      <c r="J412" s="15" t="n">
        <v>0.159051073258732</v>
      </c>
      <c r="K412" s="15" t="n">
        <v>0.664211164155072</v>
      </c>
    </row>
    <row r="413" customFormat="false" ht="12.75" hidden="false" customHeight="false" outlineLevel="0" collapsed="false">
      <c r="A413" s="6" t="s">
        <v>50</v>
      </c>
      <c r="B413" s="6" t="n">
        <v>1</v>
      </c>
      <c r="C413" s="6" t="n">
        <v>-0.0304130802947328</v>
      </c>
      <c r="D413" s="6" t="n">
        <v>0.0153031212711886</v>
      </c>
      <c r="E413" s="6" t="n">
        <v>1</v>
      </c>
      <c r="F413" s="15" t="n">
        <v>0.15834267313272</v>
      </c>
      <c r="G413" s="15" t="n">
        <v>0.693877551020408</v>
      </c>
      <c r="H413" s="15" t="n">
        <v>1</v>
      </c>
      <c r="I413" s="15" t="n">
        <v>0.15834267313272</v>
      </c>
      <c r="J413" s="15" t="n">
        <v>2.30551880030607</v>
      </c>
      <c r="K413" s="15" t="n">
        <v>0.664211164155072</v>
      </c>
    </row>
    <row r="414" customFormat="false" ht="12.75" hidden="false" customHeight="false" outlineLevel="0" collapsed="false">
      <c r="A414" s="6" t="s">
        <v>51</v>
      </c>
      <c r="B414" s="6" t="n">
        <v>1</v>
      </c>
      <c r="C414" s="6" t="n">
        <v>0.00283871714366032</v>
      </c>
      <c r="D414" s="6" t="n">
        <v>0.141040500339582</v>
      </c>
      <c r="E414" s="6" t="n">
        <v>0</v>
      </c>
      <c r="F414" s="15" t="n">
        <v>0.627575982152765</v>
      </c>
      <c r="G414" s="15" t="n">
        <v>0.693877551020408</v>
      </c>
      <c r="H414" s="15" t="n">
        <v>0</v>
      </c>
      <c r="I414" s="15" t="n">
        <v>0.627575982152765</v>
      </c>
      <c r="J414" s="15" t="n">
        <v>-1.29811843240992</v>
      </c>
      <c r="K414" s="15" t="n">
        <v>-1.50554530541816</v>
      </c>
    </row>
    <row r="415" customFormat="false" ht="12.75" hidden="false" customHeight="false" outlineLevel="0" collapsed="false">
      <c r="A415" s="6" t="s">
        <v>52</v>
      </c>
      <c r="B415" s="6" t="n">
        <v>1</v>
      </c>
      <c r="C415" s="6" t="n">
        <v>0.0808302896170426</v>
      </c>
      <c r="D415" s="6" t="n">
        <v>0.020499083028995</v>
      </c>
      <c r="E415" s="6" t="n">
        <v>1</v>
      </c>
      <c r="F415" s="15" t="n">
        <v>0.999575024371842</v>
      </c>
      <c r="G415" s="15" t="n">
        <v>0.693877551020408</v>
      </c>
      <c r="H415" s="15" t="n">
        <v>1</v>
      </c>
      <c r="I415" s="15" t="n">
        <v>0.999575024371842</v>
      </c>
      <c r="J415" s="15" t="n">
        <v>0.0206193188352099</v>
      </c>
      <c r="K415" s="15" t="n">
        <v>0.664211164155072</v>
      </c>
    </row>
    <row r="416" customFormat="false" ht="12.75" hidden="false" customHeight="false" outlineLevel="0" collapsed="false">
      <c r="A416" s="6" t="s">
        <v>53</v>
      </c>
      <c r="B416" s="6" t="n">
        <v>1</v>
      </c>
      <c r="C416" s="6" t="n">
        <v>-0.0096591569325258</v>
      </c>
      <c r="D416" s="6" t="n">
        <v>0.0124407469527925</v>
      </c>
      <c r="E416" s="6" t="n">
        <v>1</v>
      </c>
      <c r="F416" s="15" t="n">
        <v>0.423463284188701</v>
      </c>
      <c r="G416" s="15" t="n">
        <v>0.693877551020408</v>
      </c>
      <c r="H416" s="15" t="n">
        <v>1</v>
      </c>
      <c r="I416" s="15" t="n">
        <v>0.423463284188701</v>
      </c>
      <c r="J416" s="15" t="n">
        <v>1.16682467393804</v>
      </c>
      <c r="K416" s="15" t="n">
        <v>0.664211164155072</v>
      </c>
    </row>
    <row r="417" customFormat="false" ht="12.75" hidden="false" customHeight="false" outlineLevel="0" collapsed="false">
      <c r="A417" s="6" t="s">
        <v>54</v>
      </c>
      <c r="B417" s="6" t="n">
        <v>1</v>
      </c>
      <c r="C417" s="6" t="n">
        <v>0.0967620428417531</v>
      </c>
      <c r="D417" s="6" t="n">
        <v>0.051171165724616</v>
      </c>
      <c r="E417" s="6" t="n">
        <v>1</v>
      </c>
      <c r="F417" s="15" t="n">
        <v>0.999963207894828</v>
      </c>
      <c r="G417" s="15" t="n">
        <v>0.693877551020408</v>
      </c>
      <c r="H417" s="15" t="n">
        <v>1</v>
      </c>
      <c r="I417" s="15" t="n">
        <v>0.999963207894828</v>
      </c>
      <c r="J417" s="15" t="n">
        <v>0.00606576119549255</v>
      </c>
      <c r="K417" s="15" t="n">
        <v>0.664211164155072</v>
      </c>
    </row>
    <row r="418" customFormat="false" ht="12.75" hidden="false" customHeight="false" outlineLevel="0" collapsed="false">
      <c r="A418" s="6" t="s">
        <v>55</v>
      </c>
      <c r="B418" s="6" t="n">
        <v>1</v>
      </c>
      <c r="C418" s="6" t="n">
        <v>-0.0125765943013465</v>
      </c>
      <c r="D418" s="6" t="n">
        <v>0.0435898383333731</v>
      </c>
      <c r="E418" s="6" t="n">
        <v>1</v>
      </c>
      <c r="F418" s="15" t="n">
        <v>0.382406382396066</v>
      </c>
      <c r="G418" s="15" t="n">
        <v>0.693877551020408</v>
      </c>
      <c r="H418" s="15" t="n">
        <v>1</v>
      </c>
      <c r="I418" s="15" t="n">
        <v>0.382406382396066</v>
      </c>
      <c r="J418" s="15" t="n">
        <v>1.27083402373378</v>
      </c>
      <c r="K418" s="15" t="n">
        <v>0.664211164155072</v>
      </c>
    </row>
    <row r="419" customFormat="false" ht="13.5" hidden="false" customHeight="false" outlineLevel="0" collapsed="false">
      <c r="A419" s="7" t="s">
        <v>56</v>
      </c>
      <c r="B419" s="7" t="n">
        <v>1</v>
      </c>
      <c r="C419" s="7" t="n">
        <v>-0.0213379580679842</v>
      </c>
      <c r="D419" s="7" t="n">
        <v>0.0115138917944774</v>
      </c>
      <c r="E419" s="7" t="n">
        <v>0</v>
      </c>
      <c r="F419" s="16" t="n">
        <v>0.258335615520419</v>
      </c>
      <c r="G419" s="16" t="n">
        <v>0.693877551020408</v>
      </c>
      <c r="H419" s="16" t="n">
        <v>0</v>
      </c>
      <c r="I419" s="16" t="n">
        <v>0.258335615520419</v>
      </c>
      <c r="J419" s="16" t="n">
        <v>-0.59018535703756</v>
      </c>
      <c r="K419" s="16" t="n">
        <v>-1.50554530541816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47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A1" activeCellId="0" sqref="A1:IV50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14.56"/>
    <col collapsed="false" customWidth="true" hidden="false" outlineLevel="0" max="3" min="3" style="0" width="14.7"/>
    <col collapsed="false" customWidth="true" hidden="false" outlineLevel="0" max="6" min="4" style="0" width="9.41"/>
    <col collapsed="false" customWidth="true" hidden="false" outlineLevel="0" max="7" min="7" style="0" width="11.13"/>
    <col collapsed="false" customWidth="true" hidden="false" outlineLevel="0" max="8" min="8" style="0" width="11.56"/>
    <col collapsed="false" customWidth="true" hidden="false" outlineLevel="0" max="12" min="12" style="0" width="13.7"/>
    <col collapsed="false" customWidth="true" hidden="false" outlineLevel="0" max="13" min="13" style="0" width="3.56"/>
  </cols>
  <sheetData>
    <row r="1" customFormat="false" ht="12.75" hidden="false" customHeight="false" outlineLevel="0" collapsed="false">
      <c r="A1" s="0" t="s">
        <v>251</v>
      </c>
      <c r="B1" s="0" t="s">
        <v>117</v>
      </c>
      <c r="C1" s="0" t="s">
        <v>360</v>
      </c>
      <c r="D1" s="0" t="s">
        <v>361</v>
      </c>
      <c r="E1" s="0" t="s">
        <v>360</v>
      </c>
      <c r="F1" s="0" t="str">
        <f aca="false">A1</f>
        <v>FULLNAME</v>
      </c>
      <c r="G1" s="0" t="s">
        <v>362</v>
      </c>
      <c r="H1" s="1" t="s">
        <v>84</v>
      </c>
      <c r="I1" s="2" t="s">
        <v>105</v>
      </c>
      <c r="J1" s="2" t="s">
        <v>100</v>
      </c>
      <c r="K1" s="2" t="s">
        <v>373</v>
      </c>
      <c r="L1" s="2" t="s">
        <v>143</v>
      </c>
      <c r="N1" s="1" t="s">
        <v>363</v>
      </c>
      <c r="O1" s="2" t="s">
        <v>364</v>
      </c>
      <c r="P1" s="2" t="s">
        <v>365</v>
      </c>
      <c r="Q1" s="2" t="s">
        <v>366</v>
      </c>
    </row>
    <row r="2" customFormat="false" ht="12.75" hidden="false" customHeight="false" outlineLevel="0" collapsed="false">
      <c r="A2" s="0" t="s">
        <v>8</v>
      </c>
      <c r="B2" s="2" t="n">
        <v>0</v>
      </c>
      <c r="C2" s="2" t="e">
        <f aca="false">LN(B2/(1-B2))</f>
        <v>#VALUE!</v>
      </c>
      <c r="D2" s="2" t="n">
        <f aca="false">1-B2</f>
        <v>1</v>
      </c>
      <c r="E2" s="2" t="e">
        <f aca="false">LN(D2/(1-D2))</f>
        <v>#DIV/0!</v>
      </c>
      <c r="F2" s="0" t="str">
        <f aca="false">A2</f>
        <v>ALABAMA</v>
      </c>
      <c r="G2" s="4" t="n">
        <f aca="false">IF(B2&gt;0,1,0)</f>
        <v>0</v>
      </c>
      <c r="H2" s="1" t="n">
        <v>4252982</v>
      </c>
      <c r="I2" s="2" t="n">
        <v>0</v>
      </c>
      <c r="J2" s="2" t="n">
        <v>0.0238518767065552</v>
      </c>
      <c r="K2" s="2" t="n">
        <f aca="false">L2^0.25</f>
        <v>0.00103780685279132</v>
      </c>
      <c r="L2" s="38" t="n">
        <v>1.16002176106561E-012</v>
      </c>
      <c r="N2" s="39" t="n">
        <f aca="false">B2*J2</f>
        <v>0</v>
      </c>
      <c r="O2" s="39" t="n">
        <f aca="false">(1-B2)*(1-J2)</f>
        <v>0.976148123293445</v>
      </c>
      <c r="P2" s="39" t="n">
        <f aca="false">B2*(1-J2)</f>
        <v>0</v>
      </c>
      <c r="Q2" s="39" t="n">
        <f aca="false">(1-B2)*J2</f>
        <v>0.0238518767065552</v>
      </c>
    </row>
    <row r="3" customFormat="false" ht="12.75" hidden="false" customHeight="false" outlineLevel="0" collapsed="false">
      <c r="A3" s="0" t="s">
        <v>9</v>
      </c>
      <c r="B3" s="2" t="n">
        <v>0</v>
      </c>
      <c r="C3" s="2" t="e">
        <f aca="false">LN(B3/(1-B3))</f>
        <v>#VALUE!</v>
      </c>
      <c r="D3" s="2" t="n">
        <f aca="false">1-B3</f>
        <v>1</v>
      </c>
      <c r="E3" s="2" t="e">
        <f aca="false">LN(D3/(1-D3))</f>
        <v>#DIV/0!</v>
      </c>
      <c r="F3" s="0" t="str">
        <f aca="false">A3</f>
        <v>ARIZONA</v>
      </c>
      <c r="G3" s="4" t="n">
        <f aca="false">IF(B3&gt;0,1,0)</f>
        <v>0</v>
      </c>
      <c r="H3" s="1" t="n">
        <v>4217940</v>
      </c>
      <c r="I3" s="2" t="n">
        <v>0</v>
      </c>
      <c r="J3" s="2" t="n">
        <v>0.0112071877535429</v>
      </c>
      <c r="K3" s="2" t="n">
        <f aca="false">L3^0.25</f>
        <v>0.00110520515997275</v>
      </c>
      <c r="L3" s="38" t="n">
        <v>1.49200959313964E-012</v>
      </c>
      <c r="N3" s="39" t="n">
        <f aca="false">B3*J3</f>
        <v>0</v>
      </c>
      <c r="O3" s="39" t="n">
        <f aca="false">(1-B3)*(1-J3)</f>
        <v>0.988792812246457</v>
      </c>
      <c r="P3" s="39" t="n">
        <f aca="false">B3*(1-J3)</f>
        <v>0</v>
      </c>
      <c r="Q3" s="39" t="n">
        <f aca="false">(1-B3)*J3</f>
        <v>0.0112071877535429</v>
      </c>
    </row>
    <row r="4" customFormat="false" ht="12.75" hidden="false" customHeight="false" outlineLevel="0" collapsed="false">
      <c r="A4" s="0" t="s">
        <v>10</v>
      </c>
      <c r="B4" s="2" t="n">
        <v>0</v>
      </c>
      <c r="C4" s="2" t="e">
        <f aca="false">LN(B4/(1-B4))</f>
        <v>#VALUE!</v>
      </c>
      <c r="D4" s="2" t="n">
        <f aca="false">1-B4</f>
        <v>1</v>
      </c>
      <c r="E4" s="2" t="e">
        <f aca="false">LN(D4/(1-D4))</f>
        <v>#DIV/0!</v>
      </c>
      <c r="F4" s="0" t="str">
        <f aca="false">A4</f>
        <v>ARKANSAS</v>
      </c>
      <c r="G4" s="4" t="n">
        <f aca="false">IF(B4&gt;0,1,0)</f>
        <v>0</v>
      </c>
      <c r="H4" s="1" t="n">
        <v>2483769</v>
      </c>
      <c r="I4" s="2" t="n">
        <v>0</v>
      </c>
      <c r="J4" s="2" t="n">
        <v>0.0402941869973762</v>
      </c>
      <c r="K4" s="2" t="n">
        <f aca="false">L4^0.25</f>
        <v>0.000968232645326292</v>
      </c>
      <c r="L4" s="38" t="n">
        <v>8.78858354669177E-013</v>
      </c>
      <c r="N4" s="39" t="n">
        <f aca="false">B4*J4</f>
        <v>0</v>
      </c>
      <c r="O4" s="39" t="n">
        <f aca="false">(1-B4)*(1-J4)</f>
        <v>0.959705813002624</v>
      </c>
      <c r="P4" s="39" t="n">
        <f aca="false">B4*(1-J4)</f>
        <v>0</v>
      </c>
      <c r="Q4" s="39" t="n">
        <f aca="false">(1-B4)*J4</f>
        <v>0.0402941869973762</v>
      </c>
    </row>
    <row r="5" customFormat="false" ht="12.75" hidden="false" customHeight="false" outlineLevel="0" collapsed="false">
      <c r="A5" s="0" t="s">
        <v>11</v>
      </c>
      <c r="B5" s="2" t="n">
        <v>0.0211415213324095</v>
      </c>
      <c r="C5" s="2" t="n">
        <f aca="false">LN(B5/(1-B5))</f>
        <v>-3.83514813256212</v>
      </c>
      <c r="D5" s="2" t="n">
        <f aca="false">1-B5</f>
        <v>0.978858478667591</v>
      </c>
      <c r="E5" s="2" t="n">
        <f aca="false">LN(D5/(1-D5))</f>
        <v>3.83514813256212</v>
      </c>
      <c r="F5" s="0" t="str">
        <f aca="false">A5</f>
        <v>CALIFORNIA</v>
      </c>
      <c r="G5" s="4" t="n">
        <f aca="false">IF(B5&gt;0,1,0)</f>
        <v>1</v>
      </c>
      <c r="H5" s="1" t="n">
        <v>31589153</v>
      </c>
      <c r="I5" s="2" t="n">
        <v>0</v>
      </c>
      <c r="J5" s="2" t="n">
        <v>0.004523030247648</v>
      </c>
      <c r="K5" s="2" t="n">
        <f aca="false">L5^0.25</f>
        <v>0.00103743972283934</v>
      </c>
      <c r="L5" s="38" t="n">
        <v>1.15838117524707E-012</v>
      </c>
      <c r="N5" s="39" t="n">
        <f aca="false">B5*J5</f>
        <v>9.56237404677836E-005</v>
      </c>
      <c r="O5" s="39" t="n">
        <f aca="false">(1-B5)*(1-J5)</f>
        <v>0.97443107216041</v>
      </c>
      <c r="P5" s="39" t="n">
        <f aca="false">B5*(1-J5)</f>
        <v>0.0210458975919417</v>
      </c>
      <c r="Q5" s="39" t="n">
        <f aca="false">(1-B5)*J5</f>
        <v>0.00442740650718021</v>
      </c>
    </row>
    <row r="6" customFormat="false" ht="12.75" hidden="false" customHeight="false" outlineLevel="0" collapsed="false">
      <c r="A6" s="0" t="s">
        <v>12</v>
      </c>
      <c r="B6" s="2" t="n">
        <v>0.00295777769394722</v>
      </c>
      <c r="C6" s="2" t="n">
        <f aca="false">LN(B6/(1-B6))</f>
        <v>-5.82035491113091</v>
      </c>
      <c r="D6" s="2" t="n">
        <f aca="false">1-B6</f>
        <v>0.997042222306053</v>
      </c>
      <c r="E6" s="2" t="n">
        <f aca="false">LN(D6/(1-D6))</f>
        <v>5.82035491113091</v>
      </c>
      <c r="F6" s="0" t="str">
        <f aca="false">A6</f>
        <v>COLORADO</v>
      </c>
      <c r="G6" s="4" t="n">
        <f aca="false">IF(B6&gt;0,1,0)</f>
        <v>1</v>
      </c>
      <c r="H6" s="1" t="n">
        <v>3746585</v>
      </c>
      <c r="I6" s="2" t="n">
        <v>0.0147863247863248</v>
      </c>
      <c r="J6" s="2" t="n">
        <v>0.00794454114516863</v>
      </c>
      <c r="K6" s="2" t="n">
        <f aca="false">L6^0.25</f>
        <v>0.00090075059772006</v>
      </c>
      <c r="L6" s="38" t="n">
        <v>6.58291482583513E-013</v>
      </c>
      <c r="N6" s="39" t="n">
        <f aca="false">B6*J6</f>
        <v>2.34981865878257E-005</v>
      </c>
      <c r="O6" s="39" t="n">
        <f aca="false">(1-B6)*(1-J6)</f>
        <v>0.989121179347472</v>
      </c>
      <c r="P6" s="39" t="n">
        <f aca="false">B6*(1-J6)</f>
        <v>0.0029342795073594</v>
      </c>
      <c r="Q6" s="39" t="n">
        <f aca="false">(1-B6)*J6</f>
        <v>0.0079210429585808</v>
      </c>
    </row>
    <row r="7" customFormat="false" ht="12.75" hidden="false" customHeight="false" outlineLevel="0" collapsed="false">
      <c r="A7" s="0" t="s">
        <v>13</v>
      </c>
      <c r="B7" s="2" t="n">
        <v>0.000259885785260088</v>
      </c>
      <c r="C7" s="2" t="n">
        <f aca="false">LN(B7/(1-B7))</f>
        <v>-8.25500839136353</v>
      </c>
      <c r="D7" s="2" t="n">
        <f aca="false">1-B7</f>
        <v>0.99974011421474</v>
      </c>
      <c r="E7" s="2" t="n">
        <f aca="false">LN(D7/(1-D7))</f>
        <v>8.25500839136372</v>
      </c>
      <c r="F7" s="0" t="str">
        <f aca="false">A7</f>
        <v>CONNECTICUT</v>
      </c>
      <c r="G7" s="4" t="n">
        <f aca="false">IF(B7&gt;0,1,0)</f>
        <v>1</v>
      </c>
      <c r="H7" s="1" t="n">
        <v>3274662</v>
      </c>
      <c r="I7" s="2" t="n">
        <v>0.357749077490775</v>
      </c>
      <c r="J7" s="2" t="n">
        <v>0.0456124226267046</v>
      </c>
      <c r="K7" s="2" t="n">
        <f aca="false">L7^0.25</f>
        <v>0.0127945450267138</v>
      </c>
      <c r="L7" s="38" t="n">
        <v>2.67978152112005E-008</v>
      </c>
      <c r="N7" s="39" t="n">
        <f aca="false">B7*J7</f>
        <v>1.18540202719561E-005</v>
      </c>
      <c r="O7" s="39" t="n">
        <f aca="false">(1-B7)*(1-J7)</f>
        <v>0.954139545608307</v>
      </c>
      <c r="P7" s="39" t="n">
        <f aca="false">B7*(1-J7)</f>
        <v>0.000248031764988132</v>
      </c>
      <c r="Q7" s="39" t="n">
        <f aca="false">(1-B7)*J7</f>
        <v>0.0456005686064327</v>
      </c>
    </row>
    <row r="8" customFormat="false" ht="12.75" hidden="false" customHeight="false" outlineLevel="0" collapsed="false">
      <c r="A8" s="0" t="s">
        <v>14</v>
      </c>
      <c r="B8" s="2" t="n">
        <v>0.252590047672857</v>
      </c>
      <c r="C8" s="2" t="n">
        <f aca="false">LN(B8/(1-B8))</f>
        <v>-1.08484602330716</v>
      </c>
      <c r="D8" s="2" t="n">
        <f aca="false">1-B8</f>
        <v>0.747409952327143</v>
      </c>
      <c r="E8" s="2" t="n">
        <f aca="false">LN(D8/(1-D8))</f>
        <v>1.08484602330716</v>
      </c>
      <c r="F8" s="0" t="str">
        <f aca="false">A8</f>
        <v>DELAWARE</v>
      </c>
      <c r="G8" s="4" t="n">
        <f aca="false">IF(B8&gt;0,1,0)</f>
        <v>1</v>
      </c>
      <c r="H8" s="1" t="n">
        <v>717197</v>
      </c>
      <c r="I8" s="2" t="n">
        <v>0.219607843137255</v>
      </c>
      <c r="J8" s="2" t="n">
        <v>0.138328875404208</v>
      </c>
      <c r="K8" s="2" t="n">
        <f aca="false">L8^0.25</f>
        <v>0.0119523035423315</v>
      </c>
      <c r="L8" s="38" t="n">
        <v>2.04082824400193E-008</v>
      </c>
      <c r="N8" s="39" t="n">
        <f aca="false">B8*J8</f>
        <v>0.0349404972328815</v>
      </c>
      <c r="O8" s="39" t="n">
        <f aca="false">(1-B8)*(1-J8)</f>
        <v>0.644021574155817</v>
      </c>
      <c r="P8" s="39" t="n">
        <f aca="false">B8*(1-J8)</f>
        <v>0.217649550439975</v>
      </c>
      <c r="Q8" s="39" t="n">
        <f aca="false">(1-B8)*J8</f>
        <v>0.103388378171326</v>
      </c>
    </row>
    <row r="9" customFormat="false" ht="12.75" hidden="false" customHeight="false" outlineLevel="0" collapsed="false">
      <c r="A9" s="0" t="s">
        <v>15</v>
      </c>
      <c r="B9" s="2" t="n">
        <v>0.0778335546482334</v>
      </c>
      <c r="C9" s="2" t="n">
        <f aca="false">LN(B9/(1-B9))</f>
        <v>-2.4721531017925</v>
      </c>
      <c r="D9" s="2" t="n">
        <f aca="false">1-B9</f>
        <v>0.922166445351767</v>
      </c>
      <c r="E9" s="2" t="n">
        <f aca="false">LN(D9/(1-D9))</f>
        <v>2.4721531017925</v>
      </c>
      <c r="F9" s="0" t="str">
        <f aca="false">A9</f>
        <v>FLORIDA</v>
      </c>
      <c r="G9" s="4" t="n">
        <f aca="false">IF(B9&gt;0,1,0)</f>
        <v>1</v>
      </c>
      <c r="H9" s="1" t="n">
        <v>14165570</v>
      </c>
      <c r="I9" s="2" t="n">
        <v>0.111015583019882</v>
      </c>
      <c r="J9" s="2" t="n">
        <v>0.00799421046196813</v>
      </c>
      <c r="K9" s="2" t="n">
        <f aca="false">L9^0.25</f>
        <v>0.00138270267108668</v>
      </c>
      <c r="L9" s="38" t="n">
        <v>3.65523418920916E-012</v>
      </c>
      <c r="N9" s="39" t="n">
        <f aca="false">B9*J9</f>
        <v>0.000622217816861076</v>
      </c>
      <c r="O9" s="39" t="n">
        <f aca="false">(1-B9)*(1-J9)</f>
        <v>0.91479445270666</v>
      </c>
      <c r="P9" s="39" t="n">
        <f aca="false">B9*(1-J9)</f>
        <v>0.0772113368313723</v>
      </c>
      <c r="Q9" s="39" t="n">
        <f aca="false">(1-B9)*J9</f>
        <v>0.00737199264510706</v>
      </c>
    </row>
    <row r="10" customFormat="false" ht="12.75" hidden="false" customHeight="false" outlineLevel="0" collapsed="false">
      <c r="A10" s="0" t="s">
        <v>16</v>
      </c>
      <c r="B10" s="2" t="n">
        <v>0.0041858290740556</v>
      </c>
      <c r="C10" s="2" t="n">
        <f aca="false">LN(B10/(1-B10))</f>
        <v>-5.4718558743742</v>
      </c>
      <c r="D10" s="2" t="n">
        <f aca="false">1-B10</f>
        <v>0.995814170925944</v>
      </c>
      <c r="E10" s="2" t="n">
        <f aca="false">LN(D10/(1-D10))</f>
        <v>5.47185587437419</v>
      </c>
      <c r="F10" s="0" t="str">
        <f aca="false">A10</f>
        <v>GEORGIA</v>
      </c>
      <c r="G10" s="4" t="n">
        <f aca="false">IF(B10&gt;0,1,0)</f>
        <v>1</v>
      </c>
      <c r="H10" s="1" t="n">
        <v>7200882</v>
      </c>
      <c r="I10" s="2" t="n">
        <v>0.00785562632696391</v>
      </c>
      <c r="J10" s="2" t="n">
        <v>0.0281378236648974</v>
      </c>
      <c r="K10" s="2" t="n">
        <f aca="false">L10^0.25</f>
        <v>0.000998970106345577</v>
      </c>
      <c r="L10" s="38" t="n">
        <v>9.95886785099514E-013</v>
      </c>
      <c r="N10" s="39" t="n">
        <f aca="false">B10*J10</f>
        <v>0.000117780120377177</v>
      </c>
      <c r="O10" s="39" t="n">
        <f aca="false">(1-B10)*(1-J10)</f>
        <v>0.967794127381424</v>
      </c>
      <c r="P10" s="39" t="n">
        <f aca="false">B10*(1-J10)</f>
        <v>0.00406804895367842</v>
      </c>
      <c r="Q10" s="39" t="n">
        <f aca="false">(1-B10)*J10</f>
        <v>0.0280200435445202</v>
      </c>
    </row>
    <row r="11" customFormat="false" ht="12.75" hidden="false" customHeight="false" outlineLevel="0" collapsed="false">
      <c r="A11" s="0" t="s">
        <v>17</v>
      </c>
      <c r="B11" s="2" t="n">
        <v>0</v>
      </c>
      <c r="C11" s="2" t="e">
        <f aca="false">LN(B11/(1-B11))</f>
        <v>#VALUE!</v>
      </c>
      <c r="D11" s="2" t="n">
        <f aca="false">1-B11</f>
        <v>1</v>
      </c>
      <c r="E11" s="2" t="e">
        <f aca="false">LN(D11/(1-D11))</f>
        <v>#DIV/0!</v>
      </c>
      <c r="F11" s="0" t="str">
        <f aca="false">A11</f>
        <v>HAWAII</v>
      </c>
      <c r="G11" s="4" t="n">
        <f aca="false">IF(B11&gt;0,1,0)</f>
        <v>0</v>
      </c>
      <c r="H11" s="1" t="n">
        <v>1186815</v>
      </c>
      <c r="I11" s="2" t="n">
        <v>0</v>
      </c>
      <c r="J11" s="2" t="n">
        <v>0.00952409571468726</v>
      </c>
      <c r="K11" s="2" t="n">
        <f aca="false">L11^0.25</f>
        <v>0.00253316653774324</v>
      </c>
      <c r="L11" s="38" t="n">
        <v>4.11770253782566E-011</v>
      </c>
      <c r="N11" s="39" t="n">
        <f aca="false">B11*J11</f>
        <v>0</v>
      </c>
      <c r="O11" s="39" t="n">
        <f aca="false">(1-B11)*(1-J11)</f>
        <v>0.990475904285313</v>
      </c>
      <c r="P11" s="39" t="n">
        <f aca="false">B11*(1-J11)</f>
        <v>0</v>
      </c>
      <c r="Q11" s="39" t="n">
        <f aca="false">(1-B11)*J11</f>
        <v>0.00952409571468726</v>
      </c>
    </row>
    <row r="12" customFormat="false" ht="12.75" hidden="false" customHeight="false" outlineLevel="0" collapsed="false">
      <c r="A12" s="0" t="s">
        <v>18</v>
      </c>
      <c r="B12" s="2" t="n">
        <v>0</v>
      </c>
      <c r="C12" s="2" t="e">
        <f aca="false">LN(B12/(1-B12))</f>
        <v>#VALUE!</v>
      </c>
      <c r="D12" s="2" t="n">
        <f aca="false">1-B12</f>
        <v>1</v>
      </c>
      <c r="E12" s="2" t="e">
        <f aca="false">LN(D12/(1-D12))</f>
        <v>#DIV/0!</v>
      </c>
      <c r="F12" s="0" t="str">
        <f aca="false">A12</f>
        <v>IDAHO</v>
      </c>
      <c r="G12" s="4" t="n">
        <f aca="false">IF(B12&gt;0,1,0)</f>
        <v>0</v>
      </c>
      <c r="H12" s="1" t="n">
        <v>1163261</v>
      </c>
      <c r="I12" s="2" t="n">
        <v>0</v>
      </c>
      <c r="J12" s="2" t="n">
        <v>0.0261485883128481</v>
      </c>
      <c r="K12" s="2" t="n">
        <f aca="false">L12^0.25</f>
        <v>0.00114445052347599</v>
      </c>
      <c r="L12" s="38" t="n">
        <v>1.71548959608199E-012</v>
      </c>
      <c r="N12" s="39" t="n">
        <f aca="false">B12*J12</f>
        <v>0</v>
      </c>
      <c r="O12" s="39" t="n">
        <f aca="false">(1-B12)*(1-J12)</f>
        <v>0.973851411687152</v>
      </c>
      <c r="P12" s="39" t="n">
        <f aca="false">B12*(1-J12)</f>
        <v>0</v>
      </c>
      <c r="Q12" s="39" t="n">
        <f aca="false">(1-B12)*J12</f>
        <v>0.0261485883128481</v>
      </c>
    </row>
    <row r="13" customFormat="false" ht="12.75" hidden="false" customHeight="false" outlineLevel="0" collapsed="false">
      <c r="A13" s="0" t="s">
        <v>19</v>
      </c>
      <c r="B13" s="2" t="n">
        <v>0.0925020274991467</v>
      </c>
      <c r="C13" s="2" t="n">
        <f aca="false">LN(B13/(1-B13))</f>
        <v>-2.28346076878981</v>
      </c>
      <c r="D13" s="2" t="n">
        <f aca="false">1-B13</f>
        <v>0.907497972500853</v>
      </c>
      <c r="E13" s="2" t="n">
        <f aca="false">LN(D13/(1-D13))</f>
        <v>2.28346076878981</v>
      </c>
      <c r="F13" s="0" t="str">
        <f aca="false">A13</f>
        <v>ILLINOIS</v>
      </c>
      <c r="G13" s="4" t="n">
        <f aca="false">IF(B13&gt;0,1,0)</f>
        <v>1</v>
      </c>
      <c r="H13" s="1" t="n">
        <v>11829940</v>
      </c>
      <c r="I13" s="2" t="n">
        <v>0.0825389755011136</v>
      </c>
      <c r="J13" s="2" t="n">
        <v>0.0281937744250442</v>
      </c>
      <c r="K13" s="2" t="n">
        <f aca="false">L13^0.25</f>
        <v>0.000672289152317663</v>
      </c>
      <c r="L13" s="38" t="n">
        <v>2.04279325453952E-013</v>
      </c>
      <c r="N13" s="39" t="n">
        <f aca="false">B13*J13</f>
        <v>0.00260798129717018</v>
      </c>
      <c r="O13" s="39" t="n">
        <f aca="false">(1-B13)*(1-J13)</f>
        <v>0.881912179372979</v>
      </c>
      <c r="P13" s="39" t="n">
        <f aca="false">B13*(1-J13)</f>
        <v>0.0898940462019766</v>
      </c>
      <c r="Q13" s="39" t="n">
        <f aca="false">(1-B13)*J13</f>
        <v>0.025585793127874</v>
      </c>
    </row>
    <row r="14" customFormat="false" ht="12.75" hidden="false" customHeight="false" outlineLevel="0" collapsed="false">
      <c r="A14" s="0" t="s">
        <v>20</v>
      </c>
      <c r="B14" s="2" t="n">
        <v>0.0425729531743058</v>
      </c>
      <c r="C14" s="2" t="n">
        <f aca="false">LN(B14/(1-B14))</f>
        <v>-3.11303037721925</v>
      </c>
      <c r="D14" s="2" t="n">
        <f aca="false">1-B14</f>
        <v>0.957427046825694</v>
      </c>
      <c r="E14" s="2" t="n">
        <f aca="false">LN(D14/(1-D14))</f>
        <v>3.11303037721925</v>
      </c>
      <c r="F14" s="0" t="str">
        <f aca="false">A14</f>
        <v>INDIANA</v>
      </c>
      <c r="G14" s="4" t="n">
        <f aca="false">IF(B14&gt;0,1,0)</f>
        <v>1</v>
      </c>
      <c r="H14" s="1" t="n">
        <v>5803471</v>
      </c>
      <c r="I14" s="2" t="n">
        <v>0.120414428242517</v>
      </c>
      <c r="J14" s="2" t="n">
        <v>0.03280824193038</v>
      </c>
      <c r="K14" s="2" t="n">
        <f aca="false">L14^0.25</f>
        <v>0.00262573183456856</v>
      </c>
      <c r="L14" s="38" t="n">
        <v>4.75336844122294E-011</v>
      </c>
      <c r="N14" s="39" t="n">
        <f aca="false">B14*J14</f>
        <v>0.00139674374743336</v>
      </c>
      <c r="O14" s="39" t="n">
        <f aca="false">(1-B14)*(1-J14)</f>
        <v>0.926015548642748</v>
      </c>
      <c r="P14" s="39" t="n">
        <f aca="false">B14*(1-J14)</f>
        <v>0.0411762094268724</v>
      </c>
      <c r="Q14" s="39" t="n">
        <f aca="false">(1-B14)*J14</f>
        <v>0.0314114981829467</v>
      </c>
    </row>
    <row r="15" customFormat="false" ht="12.75" hidden="false" customHeight="false" outlineLevel="0" collapsed="false">
      <c r="A15" s="0" t="s">
        <v>21</v>
      </c>
      <c r="B15" s="2" t="n">
        <v>0.00107334901207605</v>
      </c>
      <c r="C15" s="2" t="n">
        <f aca="false">LN(B15/(1-B15))</f>
        <v>-6.8358976752127</v>
      </c>
      <c r="D15" s="2" t="n">
        <f aca="false">1-B15</f>
        <v>0.998926650987924</v>
      </c>
      <c r="E15" s="2" t="n">
        <f aca="false">LN(D15/(1-D15))</f>
        <v>6.83589767521274</v>
      </c>
      <c r="F15" s="0" t="str">
        <f aca="false">A15</f>
        <v>IOWA</v>
      </c>
      <c r="G15" s="4" t="n">
        <f aca="false">IF(B15&gt;0,1,0)</f>
        <v>1</v>
      </c>
      <c r="H15" s="1" t="n">
        <v>2841764</v>
      </c>
      <c r="I15" s="2" t="n">
        <v>0</v>
      </c>
      <c r="J15" s="2" t="n">
        <v>0.0369184324665151</v>
      </c>
      <c r="K15" s="2" t="n">
        <f aca="false">L15^0.25</f>
        <v>0.00175018962418276</v>
      </c>
      <c r="L15" s="38" t="n">
        <v>9.38297197918158E-012</v>
      </c>
      <c r="N15" s="39" t="n">
        <f aca="false">B15*J15</f>
        <v>3.96263630153303E-005</v>
      </c>
      <c r="O15" s="39" t="n">
        <f aca="false">(1-B15)*(1-J15)</f>
        <v>0.962047844884424</v>
      </c>
      <c r="P15" s="39" t="n">
        <f aca="false">B15*(1-J15)</f>
        <v>0.00103372264906072</v>
      </c>
      <c r="Q15" s="39" t="n">
        <f aca="false">(1-B15)*J15</f>
        <v>0.0368788061034997</v>
      </c>
    </row>
    <row r="16" customFormat="false" ht="12.75" hidden="false" customHeight="false" outlineLevel="0" collapsed="false">
      <c r="A16" s="0" t="s">
        <v>22</v>
      </c>
      <c r="B16" s="2" t="n">
        <v>0.0645640225441334</v>
      </c>
      <c r="C16" s="2" t="n">
        <f aca="false">LN(B16/(1-B16))</f>
        <v>-2.67335537757423</v>
      </c>
      <c r="D16" s="2" t="n">
        <f aca="false">1-B16</f>
        <v>0.935435977455867</v>
      </c>
      <c r="E16" s="2" t="n">
        <f aca="false">LN(D16/(1-D16))</f>
        <v>2.67335537757423</v>
      </c>
      <c r="F16" s="0" t="str">
        <f aca="false">A16</f>
        <v>KANSAS</v>
      </c>
      <c r="G16" s="4" t="n">
        <f aca="false">IF(B16&gt;0,1,0)</f>
        <v>1</v>
      </c>
      <c r="H16" s="1" t="n">
        <v>2565328</v>
      </c>
      <c r="I16" s="2" t="n">
        <v>0.238988095238095</v>
      </c>
      <c r="J16" s="2" t="n">
        <v>0.0706260870607761</v>
      </c>
      <c r="K16" s="2" t="n">
        <f aca="false">L16^0.25</f>
        <v>0.000538282967553983</v>
      </c>
      <c r="L16" s="38" t="n">
        <v>8.3954224057573E-014</v>
      </c>
      <c r="N16" s="39" t="n">
        <f aca="false">B16*J16</f>
        <v>0.00455990427719588</v>
      </c>
      <c r="O16" s="39" t="n">
        <f aca="false">(1-B16)*(1-J16)</f>
        <v>0.869369794672286</v>
      </c>
      <c r="P16" s="39" t="n">
        <f aca="false">B16*(1-J16)</f>
        <v>0.0600041182669375</v>
      </c>
      <c r="Q16" s="39" t="n">
        <f aca="false">(1-B16)*J16</f>
        <v>0.0660661827835802</v>
      </c>
    </row>
    <row r="17" customFormat="false" ht="12.75" hidden="false" customHeight="false" outlineLevel="0" collapsed="false">
      <c r="A17" s="0" t="s">
        <v>23</v>
      </c>
      <c r="B17" s="2" t="n">
        <v>0.00845328299918051</v>
      </c>
      <c r="C17" s="2" t="n">
        <f aca="false">LN(B17/(1-B17))</f>
        <v>-4.76471117782185</v>
      </c>
      <c r="D17" s="2" t="n">
        <f aca="false">1-B17</f>
        <v>0.99154671700082</v>
      </c>
      <c r="E17" s="2" t="n">
        <f aca="false">LN(D17/(1-D17))</f>
        <v>4.76471117782186</v>
      </c>
      <c r="F17" s="0" t="str">
        <f aca="false">A17</f>
        <v>KENTUCKY</v>
      </c>
      <c r="G17" s="4" t="n">
        <f aca="false">IF(B17&gt;0,1,0)</f>
        <v>1</v>
      </c>
      <c r="H17" s="1" t="n">
        <v>3860219</v>
      </c>
      <c r="I17" s="2" t="n">
        <v>0.239415204678363</v>
      </c>
      <c r="J17" s="2" t="n">
        <v>0.0625602364619358</v>
      </c>
      <c r="K17" s="2" t="n">
        <f aca="false">L17^0.25</f>
        <v>0.00260667294964903</v>
      </c>
      <c r="L17" s="38" t="n">
        <v>4.61685442104148E-011</v>
      </c>
      <c r="N17" s="39" t="n">
        <f aca="false">B17*J17</f>
        <v>0.000528839383308394</v>
      </c>
      <c r="O17" s="39" t="n">
        <f aca="false">(1-B17)*(1-J17)</f>
        <v>0.929515319922192</v>
      </c>
      <c r="P17" s="39" t="n">
        <f aca="false">B17*(1-J17)</f>
        <v>0.00792444361587212</v>
      </c>
      <c r="Q17" s="39" t="n">
        <f aca="false">(1-B17)*J17</f>
        <v>0.0620313970786274</v>
      </c>
    </row>
    <row r="18" customFormat="false" ht="12.75" hidden="false" customHeight="false" outlineLevel="0" collapsed="false">
      <c r="A18" s="0" t="s">
        <v>24</v>
      </c>
      <c r="B18" s="2" t="n">
        <v>0.0293839643250748</v>
      </c>
      <c r="C18" s="2" t="n">
        <f aca="false">LN(B18/(1-B18))</f>
        <v>-3.49748186381578</v>
      </c>
      <c r="D18" s="2" t="n">
        <f aca="false">1-B18</f>
        <v>0.970616035674925</v>
      </c>
      <c r="E18" s="2" t="n">
        <f aca="false">LN(D18/(1-D18))</f>
        <v>3.49748186381578</v>
      </c>
      <c r="F18" s="0" t="str">
        <f aca="false">A18</f>
        <v>LOUISIANA</v>
      </c>
      <c r="G18" s="4" t="n">
        <f aca="false">IF(B18&gt;0,1,0)</f>
        <v>1</v>
      </c>
      <c r="H18" s="1" t="n">
        <v>4342334</v>
      </c>
      <c r="I18" s="2" t="n">
        <v>0</v>
      </c>
      <c r="J18" s="2" t="n">
        <v>0.0211147303966919</v>
      </c>
      <c r="K18" s="2" t="n">
        <f aca="false">L18^0.25</f>
        <v>0.00126592646907651</v>
      </c>
      <c r="L18" s="38" t="n">
        <v>2.56823004434834E-012</v>
      </c>
      <c r="N18" s="39" t="n">
        <f aca="false">B18*J18</f>
        <v>0.000620434484709967</v>
      </c>
      <c r="O18" s="39" t="n">
        <f aca="false">(1-B18)*(1-J18)</f>
        <v>0.950121739762943</v>
      </c>
      <c r="P18" s="39" t="n">
        <f aca="false">B18*(1-J18)</f>
        <v>0.0287635298403648</v>
      </c>
      <c r="Q18" s="39" t="n">
        <f aca="false">(1-B18)*J18</f>
        <v>0.0204942959119819</v>
      </c>
    </row>
    <row r="19" customFormat="false" ht="12.75" hidden="false" customHeight="false" outlineLevel="0" collapsed="false">
      <c r="A19" s="0" t="s">
        <v>25</v>
      </c>
      <c r="B19" s="2" t="n">
        <v>0.105088318367691</v>
      </c>
      <c r="C19" s="2" t="n">
        <f aca="false">LN(B19/(1-B19))</f>
        <v>-2.14192390974572</v>
      </c>
      <c r="D19" s="2" t="n">
        <f aca="false">1-B19</f>
        <v>0.894911681632309</v>
      </c>
      <c r="E19" s="2" t="n">
        <f aca="false">LN(D19/(1-D19))</f>
        <v>2.14192390974572</v>
      </c>
      <c r="F19" s="0" t="str">
        <f aca="false">A19</f>
        <v>MAINE</v>
      </c>
      <c r="G19" s="4" t="n">
        <f aca="false">IF(B19&gt;0,1,0)</f>
        <v>1</v>
      </c>
      <c r="H19" s="1" t="n">
        <v>1241382</v>
      </c>
      <c r="I19" s="2" t="n">
        <v>0.292950391644909</v>
      </c>
      <c r="J19" s="2" t="n">
        <v>0.0206121747105353</v>
      </c>
      <c r="K19" s="2" t="n">
        <f aca="false">L19^0.25</f>
        <v>0.00403784861999563</v>
      </c>
      <c r="L19" s="38" t="n">
        <v>2.65827638003696E-010</v>
      </c>
      <c r="N19" s="39" t="n">
        <f aca="false">B19*J19</f>
        <v>0.00216609877823121</v>
      </c>
      <c r="O19" s="39" t="n">
        <f aca="false">(1-B19)*(1-J19)</f>
        <v>0.876465605700005</v>
      </c>
      <c r="P19" s="39" t="n">
        <f aca="false">B19*(1-J19)</f>
        <v>0.10292221958946</v>
      </c>
      <c r="Q19" s="39" t="n">
        <f aca="false">(1-B19)*J19</f>
        <v>0.0184460759323041</v>
      </c>
    </row>
    <row r="20" customFormat="false" ht="12.75" hidden="false" customHeight="false" outlineLevel="0" collapsed="false">
      <c r="A20" s="0" t="s">
        <v>26</v>
      </c>
      <c r="B20" s="2" t="n">
        <v>0.0702579161473665</v>
      </c>
      <c r="C20" s="2" t="n">
        <f aca="false">LN(B20/(1-B20))</f>
        <v>-2.58273423125663</v>
      </c>
      <c r="D20" s="2" t="n">
        <f aca="false">1-B20</f>
        <v>0.929742083852634</v>
      </c>
      <c r="E20" s="2" t="n">
        <f aca="false">LN(D20/(1-D20))</f>
        <v>2.58273423125663</v>
      </c>
      <c r="F20" s="0" t="str">
        <f aca="false">A20</f>
        <v>MARYLAND</v>
      </c>
      <c r="G20" s="4" t="n">
        <f aca="false">IF(B20&gt;0,1,0)</f>
        <v>1</v>
      </c>
      <c r="H20" s="1" t="n">
        <v>5042438</v>
      </c>
      <c r="I20" s="2" t="n">
        <v>0.059493670886076</v>
      </c>
      <c r="J20" s="2" t="n">
        <v>0.0697797782145526</v>
      </c>
      <c r="K20" s="2" t="n">
        <f aca="false">L20^0.25</f>
        <v>0.00521099189986518</v>
      </c>
      <c r="L20" s="38" t="n">
        <v>7.3736342600225E-010</v>
      </c>
      <c r="N20" s="39" t="n">
        <f aca="false">B20*J20</f>
        <v>0.00490258180657987</v>
      </c>
      <c r="O20" s="39" t="n">
        <f aca="false">(1-B20)*(1-J20)</f>
        <v>0.864864887444661</v>
      </c>
      <c r="P20" s="39" t="n">
        <f aca="false">B20*(1-J20)</f>
        <v>0.0653553343407866</v>
      </c>
      <c r="Q20" s="39" t="n">
        <f aca="false">(1-B20)*J20</f>
        <v>0.0648771964079728</v>
      </c>
    </row>
    <row r="21" customFormat="false" ht="12.75" hidden="false" customHeight="false" outlineLevel="0" collapsed="false">
      <c r="A21" s="0" t="s">
        <v>27</v>
      </c>
      <c r="B21" s="2" t="n">
        <v>0.103944816167345</v>
      </c>
      <c r="C21" s="2" t="n">
        <f aca="false">LN(B21/(1-B21))</f>
        <v>-2.15414185563681</v>
      </c>
      <c r="D21" s="2" t="n">
        <f aca="false">1-B21</f>
        <v>0.896055183832655</v>
      </c>
      <c r="E21" s="2" t="n">
        <f aca="false">LN(D21/(1-D21))</f>
        <v>2.15414185563681</v>
      </c>
      <c r="F21" s="0" t="str">
        <f aca="false">A21</f>
        <v>MASSACHUSETTS</v>
      </c>
      <c r="G21" s="4" t="n">
        <f aca="false">IF(B21&gt;0,1,0)</f>
        <v>1</v>
      </c>
      <c r="H21" s="1" t="n">
        <v>6073550</v>
      </c>
      <c r="I21" s="2" t="n">
        <v>0.163254593175853</v>
      </c>
      <c r="J21" s="2" t="n">
        <v>0.0502082263621112</v>
      </c>
      <c r="K21" s="2" t="n">
        <f aca="false">L21^0.25</f>
        <v>0.00225842693152515</v>
      </c>
      <c r="L21" s="38" t="n">
        <v>2.60150207336547E-011</v>
      </c>
      <c r="N21" s="39" t="n">
        <f aca="false">B21*J21</f>
        <v>0.00521888485929808</v>
      </c>
      <c r="O21" s="39" t="n">
        <f aca="false">(1-B21)*(1-J21)</f>
        <v>0.851065842329842</v>
      </c>
      <c r="P21" s="39" t="n">
        <f aca="false">B21*(1-J21)</f>
        <v>0.0987259313080467</v>
      </c>
      <c r="Q21" s="39" t="n">
        <f aca="false">(1-B21)*J21</f>
        <v>0.0449893415028131</v>
      </c>
    </row>
    <row r="22" customFormat="false" ht="12.75" hidden="false" customHeight="false" outlineLevel="0" collapsed="false">
      <c r="A22" s="0" t="s">
        <v>28</v>
      </c>
      <c r="B22" s="2" t="n">
        <v>0.00738787711371125</v>
      </c>
      <c r="C22" s="2" t="n">
        <f aca="false">LN(B22/(1-B22))</f>
        <v>-4.90049954737258</v>
      </c>
      <c r="D22" s="2" t="n">
        <f aca="false">1-B22</f>
        <v>0.992612122886289</v>
      </c>
      <c r="E22" s="2" t="n">
        <f aca="false">LN(D22/(1-D22))</f>
        <v>4.90049954737258</v>
      </c>
      <c r="F22" s="0" t="str">
        <f aca="false">A22</f>
        <v>MICHIGAN</v>
      </c>
      <c r="G22" s="4" t="n">
        <f aca="false">IF(B22&gt;0,1,0)</f>
        <v>1</v>
      </c>
      <c r="H22" s="1" t="n">
        <v>9549353</v>
      </c>
      <c r="I22" s="2" t="n">
        <v>0</v>
      </c>
      <c r="J22" s="2" t="n">
        <v>0.00796925854450259</v>
      </c>
      <c r="K22" s="2" t="n">
        <f aca="false">L22^0.25</f>
        <v>0.000980239584198947</v>
      </c>
      <c r="L22" s="38" t="n">
        <v>9.23270469744563E-013</v>
      </c>
      <c r="N22" s="39" t="n">
        <f aca="false">B22*J22</f>
        <v>5.88759028141785E-005</v>
      </c>
      <c r="O22" s="39" t="n">
        <f aca="false">(1-B22)*(1-J22)</f>
        <v>0.9847017402446</v>
      </c>
      <c r="P22" s="39" t="n">
        <f aca="false">B22*(1-J22)</f>
        <v>0.00732900121089707</v>
      </c>
      <c r="Q22" s="39" t="n">
        <f aca="false">(1-B22)*J22</f>
        <v>0.00791038264168841</v>
      </c>
    </row>
    <row r="23" customFormat="false" ht="12.75" hidden="false" customHeight="false" outlineLevel="0" collapsed="false">
      <c r="A23" s="0" t="s">
        <v>29</v>
      </c>
      <c r="B23" s="2" t="n">
        <v>0</v>
      </c>
      <c r="C23" s="2" t="e">
        <f aca="false">LN(B23/(1-B23))</f>
        <v>#VALUE!</v>
      </c>
      <c r="D23" s="2" t="n">
        <f aca="false">1-B23</f>
        <v>1</v>
      </c>
      <c r="E23" s="2" t="e">
        <f aca="false">LN(D23/(1-D23))</f>
        <v>#DIV/0!</v>
      </c>
      <c r="F23" s="0" t="str">
        <f aca="false">A23</f>
        <v>MINNESOTA</v>
      </c>
      <c r="G23" s="4" t="n">
        <f aca="false">IF(B23&gt;0,1,0)</f>
        <v>0</v>
      </c>
      <c r="H23" s="1" t="n">
        <v>4609548</v>
      </c>
      <c r="I23" s="2" t="n">
        <v>0</v>
      </c>
      <c r="J23" s="2" t="n">
        <v>0.0231171606433715</v>
      </c>
      <c r="K23" s="2" t="n">
        <f aca="false">L23^0.25</f>
        <v>0.000444794889550436</v>
      </c>
      <c r="L23" s="38" t="n">
        <v>3.91416523412056E-014</v>
      </c>
      <c r="N23" s="39" t="n">
        <f aca="false">B23*J23</f>
        <v>0</v>
      </c>
      <c r="O23" s="39" t="n">
        <f aca="false">(1-B23)*(1-J23)</f>
        <v>0.976882839356629</v>
      </c>
      <c r="P23" s="39" t="n">
        <f aca="false">B23*(1-J23)</f>
        <v>0</v>
      </c>
      <c r="Q23" s="39" t="n">
        <f aca="false">(1-B23)*J23</f>
        <v>0.0231171606433715</v>
      </c>
    </row>
    <row r="24" customFormat="false" ht="12.75" hidden="false" customHeight="false" outlineLevel="0" collapsed="false">
      <c r="A24" s="0" t="s">
        <v>30</v>
      </c>
      <c r="B24" s="2" t="n">
        <v>0</v>
      </c>
      <c r="C24" s="2" t="e">
        <f aca="false">LN(B24/(1-B24))</f>
        <v>#VALUE!</v>
      </c>
      <c r="D24" s="2" t="n">
        <f aca="false">1-B24</f>
        <v>1</v>
      </c>
      <c r="E24" s="2" t="e">
        <f aca="false">LN(D24/(1-D24))</f>
        <v>#DIV/0!</v>
      </c>
      <c r="F24" s="0" t="str">
        <f aca="false">A24</f>
        <v>MISSISSIPPI</v>
      </c>
      <c r="G24" s="4" t="n">
        <f aca="false">IF(B24&gt;0,1,0)</f>
        <v>0</v>
      </c>
      <c r="H24" s="1" t="n">
        <v>2697243</v>
      </c>
      <c r="I24" s="2" t="n">
        <v>0</v>
      </c>
      <c r="J24" s="2" t="n">
        <v>0.0305028704492417</v>
      </c>
      <c r="K24" s="2" t="n">
        <f aca="false">L24^0.25</f>
        <v>0.00134957049324707</v>
      </c>
      <c r="L24" s="38" t="n">
        <v>3.31728127610878E-012</v>
      </c>
      <c r="N24" s="39" t="n">
        <f aca="false">B24*J24</f>
        <v>0</v>
      </c>
      <c r="O24" s="39" t="n">
        <f aca="false">(1-B24)*(1-J24)</f>
        <v>0.969497129550758</v>
      </c>
      <c r="P24" s="39" t="n">
        <f aca="false">B24*(1-J24)</f>
        <v>0</v>
      </c>
      <c r="Q24" s="39" t="n">
        <f aca="false">(1-B24)*J24</f>
        <v>0.0305028704492417</v>
      </c>
    </row>
    <row r="25" customFormat="false" ht="12.75" hidden="false" customHeight="false" outlineLevel="0" collapsed="false">
      <c r="A25" s="0" t="s">
        <v>31</v>
      </c>
      <c r="B25" s="2" t="n">
        <v>0.000759685797103275</v>
      </c>
      <c r="C25" s="2" t="n">
        <f aca="false">LN(B25/(1-B25))</f>
        <v>-7.18184566052705</v>
      </c>
      <c r="D25" s="2" t="n">
        <f aca="false">1-B25</f>
        <v>0.999240314202897</v>
      </c>
      <c r="E25" s="2" t="n">
        <f aca="false">LN(D25/(1-D25))</f>
        <v>7.18184566052704</v>
      </c>
      <c r="F25" s="0" t="str">
        <f aca="false">A25</f>
        <v>MISSOURI</v>
      </c>
      <c r="G25" s="4" t="n">
        <f aca="false">IF(B25&gt;0,1,0)</f>
        <v>1</v>
      </c>
      <c r="H25" s="1" t="n">
        <v>5323523</v>
      </c>
      <c r="I25" s="2" t="n">
        <v>0</v>
      </c>
      <c r="J25" s="2" t="n">
        <v>0.0724272745344907</v>
      </c>
      <c r="K25" s="2" t="n">
        <f aca="false">L25^0.25</f>
        <v>0.00328065238260393</v>
      </c>
      <c r="L25" s="38" t="n">
        <v>1.15835281976731E-010</v>
      </c>
      <c r="N25" s="39" t="n">
        <f aca="false">B25*J25</f>
        <v>5.50219717867523E-005</v>
      </c>
      <c r="O25" s="39" t="n">
        <f aca="false">(1-B25)*(1-J25)</f>
        <v>0.926868061640193</v>
      </c>
      <c r="P25" s="39" t="n">
        <f aca="false">B25*(1-J25)</f>
        <v>0.000704663825316523</v>
      </c>
      <c r="Q25" s="39" t="n">
        <f aca="false">(1-B25)*J25</f>
        <v>0.072372252562704</v>
      </c>
    </row>
    <row r="26" customFormat="false" ht="12.75" hidden="false" customHeight="false" outlineLevel="0" collapsed="false">
      <c r="A26" s="0" t="s">
        <v>32</v>
      </c>
      <c r="B26" s="2" t="n">
        <v>0</v>
      </c>
      <c r="C26" s="2" t="e">
        <f aca="false">LN(B26/(1-B26))</f>
        <v>#VALUE!</v>
      </c>
      <c r="D26" s="2" t="n">
        <f aca="false">1-B26</f>
        <v>1</v>
      </c>
      <c r="E26" s="2" t="e">
        <f aca="false">LN(D26/(1-D26))</f>
        <v>#DIV/0!</v>
      </c>
      <c r="F26" s="0" t="str">
        <f aca="false">A26</f>
        <v>MONTANA</v>
      </c>
      <c r="G26" s="4" t="n">
        <f aca="false">IF(B26&gt;0,1,0)</f>
        <v>0</v>
      </c>
      <c r="H26" s="1" t="n">
        <v>870281</v>
      </c>
      <c r="I26" s="2" t="n">
        <v>0</v>
      </c>
      <c r="J26" s="2" t="n">
        <v>0.00796409544263987</v>
      </c>
      <c r="K26" s="2" t="n">
        <f aca="false">L26^0.25</f>
        <v>0.000431700362352415</v>
      </c>
      <c r="L26" s="38" t="n">
        <v>3.47319888352621E-014</v>
      </c>
      <c r="N26" s="39" t="n">
        <f aca="false">B26*J26</f>
        <v>0</v>
      </c>
      <c r="O26" s="39" t="n">
        <f aca="false">(1-B26)*(1-J26)</f>
        <v>0.99203590455736</v>
      </c>
      <c r="P26" s="39" t="n">
        <f aca="false">B26*(1-J26)</f>
        <v>0</v>
      </c>
      <c r="Q26" s="39" t="n">
        <f aca="false">(1-B26)*J26</f>
        <v>0.00796409544263987</v>
      </c>
    </row>
    <row r="27" customFormat="false" ht="12.75" hidden="false" customHeight="false" outlineLevel="0" collapsed="false">
      <c r="A27" s="0" t="s">
        <v>33</v>
      </c>
      <c r="B27" s="2" t="n">
        <v>0.00199508308555689</v>
      </c>
      <c r="C27" s="2" t="n">
        <f aca="false">LN(B27/(1-B27))</f>
        <v>-6.21507250669701</v>
      </c>
      <c r="D27" s="2" t="n">
        <f aca="false">1-B27</f>
        <v>0.998004916914443</v>
      </c>
      <c r="E27" s="2" t="n">
        <f aca="false">LN(D27/(1-D27))</f>
        <v>6.21507250669703</v>
      </c>
      <c r="F27" s="0" t="str">
        <f aca="false">A27</f>
        <v>NEBRASKA</v>
      </c>
      <c r="G27" s="4" t="n">
        <f aca="false">IF(B27&gt;0,1,0)</f>
        <v>1</v>
      </c>
      <c r="H27" s="1" t="n">
        <v>1637112</v>
      </c>
      <c r="I27" s="2" t="n">
        <v>0</v>
      </c>
      <c r="J27" s="2" t="n">
        <v>0.0425053293156057</v>
      </c>
      <c r="K27" s="2" t="n">
        <f aca="false">L27^0.25</f>
        <v>0.000597865991649868</v>
      </c>
      <c r="L27" s="38" t="n">
        <v>1.27766030104349E-013</v>
      </c>
      <c r="N27" s="39" t="n">
        <f aca="false">B27*J27</f>
        <v>8.48016635635902E-005</v>
      </c>
      <c r="O27" s="39" t="n">
        <f aca="false">(1-B27)*(1-J27)</f>
        <v>0.955584389262401</v>
      </c>
      <c r="P27" s="39" t="n">
        <f aca="false">B27*(1-J27)</f>
        <v>0.0019102814219933</v>
      </c>
      <c r="Q27" s="39" t="n">
        <f aca="false">(1-B27)*J27</f>
        <v>0.0424205276520421</v>
      </c>
    </row>
    <row r="28" customFormat="false" ht="12.75" hidden="false" customHeight="false" outlineLevel="0" collapsed="false">
      <c r="A28" s="0" t="s">
        <v>34</v>
      </c>
      <c r="B28" s="2" t="n">
        <v>0</v>
      </c>
      <c r="C28" s="2" t="e">
        <f aca="false">LN(B28/(1-B28))</f>
        <v>#VALUE!</v>
      </c>
      <c r="D28" s="2" t="n">
        <f aca="false">1-B28</f>
        <v>1</v>
      </c>
      <c r="E28" s="2" t="e">
        <f aca="false">LN(D28/(1-D28))</f>
        <v>#DIV/0!</v>
      </c>
      <c r="F28" s="0" t="str">
        <f aca="false">A28</f>
        <v>NEVADA</v>
      </c>
      <c r="G28" s="4" t="n">
        <f aca="false">IF(B28&gt;0,1,0)</f>
        <v>0</v>
      </c>
      <c r="H28" s="1" t="n">
        <v>1530108</v>
      </c>
      <c r="I28" s="2" t="n">
        <v>0</v>
      </c>
      <c r="J28" s="2" t="n">
        <v>0.0433497425670366</v>
      </c>
      <c r="K28" s="2" t="n">
        <f aca="false">L28^0.25</f>
        <v>0.000647898071076054</v>
      </c>
      <c r="L28" s="38" t="n">
        <v>1.76208456848238E-013</v>
      </c>
      <c r="N28" s="39" t="n">
        <f aca="false">B28*J28</f>
        <v>0</v>
      </c>
      <c r="O28" s="39" t="n">
        <f aca="false">(1-B28)*(1-J28)</f>
        <v>0.956650257432963</v>
      </c>
      <c r="P28" s="39" t="n">
        <f aca="false">B28*(1-J28)</f>
        <v>0</v>
      </c>
      <c r="Q28" s="39" t="n">
        <f aca="false">(1-B28)*J28</f>
        <v>0.0433497425670366</v>
      </c>
    </row>
    <row r="29" customFormat="false" ht="12.75" hidden="false" customHeight="false" outlineLevel="0" collapsed="false">
      <c r="A29" s="0" t="s">
        <v>35</v>
      </c>
      <c r="B29" s="2" t="n">
        <v>0.117777368981519</v>
      </c>
      <c r="C29" s="2" t="n">
        <f aca="false">LN(B29/(1-B29))</f>
        <v>-2.01364830142369</v>
      </c>
      <c r="D29" s="2" t="n">
        <f aca="false">1-B29</f>
        <v>0.882222631018481</v>
      </c>
      <c r="E29" s="2" t="n">
        <f aca="false">LN(D29/(1-D29))</f>
        <v>2.01364830142369</v>
      </c>
      <c r="F29" s="0" t="str">
        <f aca="false">A29</f>
        <v>NEW-HAMPSHIRE</v>
      </c>
      <c r="G29" s="4" t="n">
        <f aca="false">IF(B29&gt;0,1,0)</f>
        <v>1</v>
      </c>
      <c r="H29" s="1" t="n">
        <v>1148253</v>
      </c>
      <c r="I29" s="2" t="n">
        <v>0.290225563909774</v>
      </c>
      <c r="J29" s="2" t="n">
        <v>0.0851357193769645</v>
      </c>
      <c r="K29" s="2" t="n">
        <f aca="false">L29^0.25</f>
        <v>0.0165517932340179</v>
      </c>
      <c r="L29" s="38" t="n">
        <v>7.50551003301169E-008</v>
      </c>
      <c r="N29" s="39" t="n">
        <f aca="false">B29*J29</f>
        <v>0.0100270610345678</v>
      </c>
      <c r="O29" s="39" t="n">
        <f aca="false">(1-B29)*(1-J29)</f>
        <v>0.807113972676085</v>
      </c>
      <c r="P29" s="39" t="n">
        <f aca="false">B29*(1-J29)</f>
        <v>0.107750307946951</v>
      </c>
      <c r="Q29" s="39" t="n">
        <f aca="false">(1-B29)*J29</f>
        <v>0.0751086583423967</v>
      </c>
    </row>
    <row r="30" customFormat="false" ht="12.75" hidden="false" customHeight="false" outlineLevel="0" collapsed="false">
      <c r="A30" s="0" t="s">
        <v>36</v>
      </c>
      <c r="B30" s="2" t="n">
        <v>0.273303356469306</v>
      </c>
      <c r="C30" s="2" t="n">
        <f aca="false">LN(B30/(1-B30))</f>
        <v>-0.977926744707258</v>
      </c>
      <c r="D30" s="2" t="n">
        <f aca="false">1-B30</f>
        <v>0.726696643530694</v>
      </c>
      <c r="E30" s="2" t="n">
        <f aca="false">LN(D30/(1-D30))</f>
        <v>0.977926744707258</v>
      </c>
      <c r="F30" s="0" t="str">
        <f aca="false">A30</f>
        <v>NEW-JERSEY</v>
      </c>
      <c r="G30" s="4" t="n">
        <f aca="false">IF(B30&gt;0,1,0)</f>
        <v>1</v>
      </c>
      <c r="H30" s="1" t="n">
        <v>7945298</v>
      </c>
      <c r="I30" s="2" t="n">
        <v>0.424725274725275</v>
      </c>
      <c r="J30" s="2" t="n">
        <v>0.0704522955482905</v>
      </c>
      <c r="K30" s="2" t="n">
        <f aca="false">L30^0.25</f>
        <v>0.0314520113398733</v>
      </c>
      <c r="L30" s="38" t="n">
        <v>9.78574048714857E-007</v>
      </c>
      <c r="N30" s="39" t="n">
        <f aca="false">B30*J30</f>
        <v>0.0192548488443154</v>
      </c>
      <c r="O30" s="39" t="n">
        <f aca="false">(1-B30)*(1-J30)</f>
        <v>0.675499196826719</v>
      </c>
      <c r="P30" s="39" t="n">
        <f aca="false">B30*(1-J30)</f>
        <v>0.254048507624991</v>
      </c>
      <c r="Q30" s="39" t="n">
        <f aca="false">(1-B30)*J30</f>
        <v>0.0511974467039751</v>
      </c>
    </row>
    <row r="31" customFormat="false" ht="12.75" hidden="false" customHeight="false" outlineLevel="0" collapsed="false">
      <c r="A31" s="0" t="s">
        <v>37</v>
      </c>
      <c r="B31" s="2" t="n">
        <v>0</v>
      </c>
      <c r="C31" s="2" t="e">
        <f aca="false">LN(B31/(1-B31))</f>
        <v>#VALUE!</v>
      </c>
      <c r="D31" s="2" t="n">
        <f aca="false">1-B31</f>
        <v>1</v>
      </c>
      <c r="E31" s="2" t="e">
        <f aca="false">LN(D31/(1-D31))</f>
        <v>#DIV/0!</v>
      </c>
      <c r="F31" s="0" t="str">
        <f aca="false">A31</f>
        <v>NEW-MEXICO</v>
      </c>
      <c r="G31" s="4" t="n">
        <f aca="false">IF(B31&gt;0,1,0)</f>
        <v>0</v>
      </c>
      <c r="H31" s="1" t="n">
        <v>1685401</v>
      </c>
      <c r="I31" s="2" t="n">
        <v>0</v>
      </c>
      <c r="J31" s="2" t="n">
        <v>0.0190957981584029</v>
      </c>
      <c r="K31" s="2" t="n">
        <f aca="false">L31^0.25</f>
        <v>0.00134448698703512</v>
      </c>
      <c r="L31" s="38" t="n">
        <v>3.26758137987897E-012</v>
      </c>
      <c r="N31" s="39" t="n">
        <f aca="false">B31*J31</f>
        <v>0</v>
      </c>
      <c r="O31" s="39" t="n">
        <f aca="false">(1-B31)*(1-J31)</f>
        <v>0.980904201841597</v>
      </c>
      <c r="P31" s="39" t="n">
        <f aca="false">B31*(1-J31)</f>
        <v>0</v>
      </c>
      <c r="Q31" s="39" t="n">
        <f aca="false">(1-B31)*J31</f>
        <v>0.0190957981584029</v>
      </c>
    </row>
    <row r="32" customFormat="false" ht="12.75" hidden="false" customHeight="false" outlineLevel="0" collapsed="false">
      <c r="A32" s="0" t="s">
        <v>38</v>
      </c>
      <c r="B32" s="2" t="n">
        <v>0.331822037089797</v>
      </c>
      <c r="C32" s="2" t="n">
        <f aca="false">LN(B32/(1-B32))</f>
        <v>-0.699955757260157</v>
      </c>
      <c r="D32" s="2" t="n">
        <f aca="false">1-B32</f>
        <v>0.668177962910203</v>
      </c>
      <c r="E32" s="2" t="n">
        <f aca="false">LN(D32/(1-D32))</f>
        <v>0.699955757260157</v>
      </c>
      <c r="F32" s="0" t="str">
        <f aca="false">A32</f>
        <v>NEW-YORK</v>
      </c>
      <c r="G32" s="4" t="n">
        <f aca="false">IF(B32&gt;0,1,0)</f>
        <v>1</v>
      </c>
      <c r="H32" s="1" t="n">
        <v>18136081</v>
      </c>
      <c r="I32" s="2" t="n">
        <v>0.270103092783505</v>
      </c>
      <c r="J32" s="2" t="n">
        <v>0.0509878017590525</v>
      </c>
      <c r="K32" s="2" t="n">
        <f aca="false">L32^0.25</f>
        <v>0.00497791516216072</v>
      </c>
      <c r="L32" s="38" t="n">
        <v>6.14030526894406E-010</v>
      </c>
      <c r="N32" s="39" t="n">
        <f aca="false">B32*J32</f>
        <v>0.0169188762464195</v>
      </c>
      <c r="O32" s="39" t="n">
        <f aca="false">(1-B32)*(1-J32)</f>
        <v>0.63410903739757</v>
      </c>
      <c r="P32" s="39" t="n">
        <f aca="false">B32*(1-J32)</f>
        <v>0.314903160843377</v>
      </c>
      <c r="Q32" s="39" t="n">
        <f aca="false">(1-B32)*J32</f>
        <v>0.034068925512633</v>
      </c>
    </row>
    <row r="33" customFormat="false" ht="12.75" hidden="false" customHeight="false" outlineLevel="0" collapsed="false">
      <c r="A33" s="0" t="s">
        <v>39</v>
      </c>
      <c r="B33" s="2" t="n">
        <v>0.000738443042039357</v>
      </c>
      <c r="C33" s="2" t="n">
        <f aca="false">LN(B33/(1-B33))</f>
        <v>-7.21022786969654</v>
      </c>
      <c r="D33" s="2" t="n">
        <f aca="false">1-B33</f>
        <v>0.999261556957961</v>
      </c>
      <c r="E33" s="2" t="n">
        <f aca="false">LN(D33/(1-D33))</f>
        <v>7.21022786969648</v>
      </c>
      <c r="F33" s="0" t="str">
        <f aca="false">A33</f>
        <v>NORTH-CAROLINA</v>
      </c>
      <c r="G33" s="4" t="n">
        <f aca="false">IF(B33&gt;0,1,0)</f>
        <v>1</v>
      </c>
      <c r="H33" s="1" t="n">
        <v>7195138</v>
      </c>
      <c r="I33" s="2" t="n">
        <v>0</v>
      </c>
      <c r="J33" s="2" t="n">
        <v>0.0221303868527105</v>
      </c>
      <c r="K33" s="2" t="n">
        <f aca="false">L33^0.25</f>
        <v>0.00114734471689408</v>
      </c>
      <c r="L33" s="38" t="n">
        <v>1.73290869510021E-012</v>
      </c>
      <c r="N33" s="39" t="n">
        <f aca="false">B33*J33</f>
        <v>1.63420301890233E-005</v>
      </c>
      <c r="O33" s="39" t="n">
        <f aca="false">(1-B33)*(1-J33)</f>
        <v>0.977147512135439</v>
      </c>
      <c r="P33" s="39" t="n">
        <f aca="false">B33*(1-J33)</f>
        <v>0.000722101011850334</v>
      </c>
      <c r="Q33" s="39" t="n">
        <f aca="false">(1-B33)*J33</f>
        <v>0.0221140448225215</v>
      </c>
    </row>
    <row r="34" customFormat="false" ht="12.75" hidden="false" customHeight="false" outlineLevel="0" collapsed="false">
      <c r="A34" s="0" t="s">
        <v>40</v>
      </c>
      <c r="B34" s="2" t="n">
        <v>0</v>
      </c>
      <c r="C34" s="2" t="e">
        <f aca="false">LN(B34/(1-B34))</f>
        <v>#VALUE!</v>
      </c>
      <c r="D34" s="2" t="n">
        <f aca="false">1-B34</f>
        <v>1</v>
      </c>
      <c r="E34" s="2" t="e">
        <f aca="false">LN(D34/(1-D34))</f>
        <v>#DIV/0!</v>
      </c>
      <c r="F34" s="0" t="str">
        <f aca="false">A34</f>
        <v>NORTH-DAKOTA</v>
      </c>
      <c r="G34" s="4" t="n">
        <f aca="false">IF(B34&gt;0,1,0)</f>
        <v>0</v>
      </c>
      <c r="H34" s="1" t="n">
        <v>641367</v>
      </c>
      <c r="I34" s="2" t="n">
        <v>0</v>
      </c>
      <c r="J34" s="2" t="n">
        <v>0.0585817128891722</v>
      </c>
      <c r="K34" s="2" t="n">
        <f aca="false">L34^0.25</f>
        <v>0.000412106639633518</v>
      </c>
      <c r="L34" s="38" t="n">
        <v>2.88428682897276E-014</v>
      </c>
      <c r="N34" s="39" t="n">
        <f aca="false">B34*J34</f>
        <v>0</v>
      </c>
      <c r="O34" s="39" t="n">
        <f aca="false">(1-B34)*(1-J34)</f>
        <v>0.941418287110828</v>
      </c>
      <c r="P34" s="39" t="n">
        <f aca="false">B34*(1-J34)</f>
        <v>0</v>
      </c>
      <c r="Q34" s="39" t="n">
        <f aca="false">(1-B34)*J34</f>
        <v>0.0585817128891722</v>
      </c>
    </row>
    <row r="35" customFormat="false" ht="12.75" hidden="false" customHeight="false" outlineLevel="0" collapsed="false">
      <c r="A35" s="0" t="s">
        <v>41</v>
      </c>
      <c r="B35" s="2" t="n">
        <v>0.0328757643019831</v>
      </c>
      <c r="C35" s="2" t="n">
        <f aca="false">LN(B35/(1-B35))</f>
        <v>-3.38159122362958</v>
      </c>
      <c r="D35" s="2" t="n">
        <f aca="false">1-B35</f>
        <v>0.967124235698017</v>
      </c>
      <c r="E35" s="2" t="n">
        <f aca="false">LN(D35/(1-D35))</f>
        <v>3.38159122362958</v>
      </c>
      <c r="F35" s="0" t="str">
        <f aca="false">A35</f>
        <v>OHIO</v>
      </c>
      <c r="G35" s="4" t="n">
        <f aca="false">IF(B35&gt;0,1,0)</f>
        <v>1</v>
      </c>
      <c r="H35" s="1" t="n">
        <v>11150506</v>
      </c>
      <c r="I35" s="2" t="n">
        <v>0.124419204956118</v>
      </c>
      <c r="J35" s="2" t="n">
        <v>0.0282688311910131</v>
      </c>
      <c r="K35" s="2" t="n">
        <f aca="false">L35^0.25</f>
        <v>0.0014012682492417</v>
      </c>
      <c r="L35" s="38" t="n">
        <v>3.8555392305473E-012</v>
      </c>
      <c r="N35" s="39" t="n">
        <f aca="false">B35*J35</f>
        <v>0.000929359431328294</v>
      </c>
      <c r="O35" s="39" t="n">
        <f aca="false">(1-B35)*(1-J35)</f>
        <v>0.939784763938332</v>
      </c>
      <c r="P35" s="39" t="n">
        <f aca="false">B35*(1-J35)</f>
        <v>0.0319464048706548</v>
      </c>
      <c r="Q35" s="39" t="n">
        <f aca="false">(1-B35)*J35</f>
        <v>0.0273394717596848</v>
      </c>
    </row>
    <row r="36" customFormat="false" ht="12.75" hidden="false" customHeight="false" outlineLevel="0" collapsed="false">
      <c r="A36" s="0" t="s">
        <v>42</v>
      </c>
      <c r="B36" s="2" t="n">
        <v>0.0759782565467173</v>
      </c>
      <c r="C36" s="2" t="n">
        <f aca="false">LN(B36/(1-B36))</f>
        <v>-2.4982884019577</v>
      </c>
      <c r="D36" s="2" t="n">
        <f aca="false">1-B36</f>
        <v>0.924021743453283</v>
      </c>
      <c r="E36" s="2" t="n">
        <f aca="false">LN(D36/(1-D36))</f>
        <v>2.4982884019577</v>
      </c>
      <c r="F36" s="0" t="str">
        <f aca="false">A36</f>
        <v>OKLAHOMA</v>
      </c>
      <c r="G36" s="4" t="n">
        <f aca="false">IF(B36&gt;0,1,0)</f>
        <v>1</v>
      </c>
      <c r="H36" s="1" t="n">
        <v>3277687</v>
      </c>
      <c r="I36" s="2" t="n">
        <v>0.163815789473684</v>
      </c>
      <c r="J36" s="2" t="n">
        <v>0.0108396118772474</v>
      </c>
      <c r="K36" s="2" t="n">
        <f aca="false">L36^0.25</f>
        <v>0.000951070858995355</v>
      </c>
      <c r="L36" s="38" t="n">
        <v>8.18184975183888E-013</v>
      </c>
      <c r="N36" s="39" t="n">
        <f aca="false">B36*J36</f>
        <v>0.000823574812076344</v>
      </c>
      <c r="O36" s="39" t="n">
        <f aca="false">(1-B36)*(1-J36)</f>
        <v>0.914005706388112</v>
      </c>
      <c r="P36" s="39" t="n">
        <f aca="false">B36*(1-J36)</f>
        <v>0.075154681734641</v>
      </c>
      <c r="Q36" s="39" t="n">
        <f aca="false">(1-B36)*J36</f>
        <v>0.010016037065171</v>
      </c>
    </row>
    <row r="37" customFormat="false" ht="12.75" hidden="false" customHeight="false" outlineLevel="0" collapsed="false">
      <c r="A37" s="0" t="s">
        <v>43</v>
      </c>
      <c r="B37" s="2" t="n">
        <v>0.00529904028492617</v>
      </c>
      <c r="C37" s="2" t="n">
        <f aca="false">LN(B37/(1-B37))</f>
        <v>-5.23491642314097</v>
      </c>
      <c r="D37" s="2" t="n">
        <f aca="false">1-B37</f>
        <v>0.994700959715074</v>
      </c>
      <c r="E37" s="2" t="n">
        <f aca="false">LN(D37/(1-D37))</f>
        <v>5.23491642314096</v>
      </c>
      <c r="F37" s="0" t="str">
        <f aca="false">A37</f>
        <v>OREGON</v>
      </c>
      <c r="G37" s="4" t="n">
        <f aca="false">IF(B37&gt;0,1,0)</f>
        <v>1</v>
      </c>
      <c r="H37" s="1" t="n">
        <v>3140585</v>
      </c>
      <c r="I37" s="2" t="n">
        <v>0</v>
      </c>
      <c r="J37" s="2" t="n">
        <v>0.0372433830337473</v>
      </c>
      <c r="K37" s="2" t="n">
        <f aca="false">L37^0.25</f>
        <v>0.00116172837920931</v>
      </c>
      <c r="L37" s="38" t="n">
        <v>1.82145478296565E-012</v>
      </c>
      <c r="N37" s="39" t="n">
        <f aca="false">B37*J37</f>
        <v>0.000197354187042763</v>
      </c>
      <c r="O37" s="39" t="n">
        <f aca="false">(1-B37)*(1-J37)</f>
        <v>0.957654930868369</v>
      </c>
      <c r="P37" s="39" t="n">
        <f aca="false">B37*(1-J37)</f>
        <v>0.00510168609788341</v>
      </c>
      <c r="Q37" s="39" t="n">
        <f aca="false">(1-B37)*J37</f>
        <v>0.0370460288467045</v>
      </c>
    </row>
    <row r="38" customFormat="false" ht="12.75" hidden="false" customHeight="false" outlineLevel="0" collapsed="false">
      <c r="A38" s="0" t="s">
        <v>44</v>
      </c>
      <c r="B38" s="2" t="n">
        <v>0.116977230877519</v>
      </c>
      <c r="C38" s="2" t="n">
        <f aca="false">LN(B38/(1-B38))</f>
        <v>-2.02137167839244</v>
      </c>
      <c r="D38" s="2" t="n">
        <f aca="false">1-B38</f>
        <v>0.883022769122481</v>
      </c>
      <c r="E38" s="2" t="n">
        <f aca="false">LN(D38/(1-D38))</f>
        <v>2.02137167839244</v>
      </c>
      <c r="F38" s="0" t="str">
        <f aca="false">A38</f>
        <v>PENNSYLVANIA</v>
      </c>
      <c r="G38" s="4" t="n">
        <f aca="false">IF(B38&gt;0,1,0)</f>
        <v>1</v>
      </c>
      <c r="H38" s="1" t="n">
        <v>12071842</v>
      </c>
      <c r="I38" s="2" t="n">
        <v>0.224868231911835</v>
      </c>
      <c r="J38" s="2" t="n">
        <v>0.0341732303708947</v>
      </c>
      <c r="K38" s="2" t="n">
        <f aca="false">L38^0.25</f>
        <v>0.00928214162993721</v>
      </c>
      <c r="L38" s="38" t="n">
        <v>7.42322736941945E-009</v>
      </c>
      <c r="N38" s="39" t="n">
        <f aca="false">B38*J38</f>
        <v>0.00399748985892681</v>
      </c>
      <c r="O38" s="39" t="n">
        <f aca="false">(1-B38)*(1-J38)</f>
        <v>0.852847028610513</v>
      </c>
      <c r="P38" s="39" t="n">
        <f aca="false">B38*(1-J38)</f>
        <v>0.112979741018593</v>
      </c>
      <c r="Q38" s="39" t="n">
        <f aca="false">(1-B38)*J38</f>
        <v>0.0301757405119679</v>
      </c>
    </row>
    <row r="39" customFormat="false" ht="12.75" hidden="false" customHeight="false" outlineLevel="0" collapsed="false">
      <c r="A39" s="0" t="s">
        <v>45</v>
      </c>
      <c r="B39" s="2" t="n">
        <v>0.0373661178404778</v>
      </c>
      <c r="C39" s="2" t="n">
        <f aca="false">LN(B39/(1-B39))</f>
        <v>-3.24890880112165</v>
      </c>
      <c r="D39" s="2" t="n">
        <f aca="false">1-B39</f>
        <v>0.962633882159522</v>
      </c>
      <c r="E39" s="2" t="n">
        <f aca="false">LN(D39/(1-D39))</f>
        <v>3.24890880112165</v>
      </c>
      <c r="F39" s="0" t="str">
        <f aca="false">A39</f>
        <v>RHODE-ISLAND</v>
      </c>
      <c r="G39" s="4" t="n">
        <f aca="false">IF(B39&gt;0,1,0)</f>
        <v>1</v>
      </c>
      <c r="H39" s="1" t="n">
        <v>989794</v>
      </c>
      <c r="I39" s="2" t="n">
        <v>0</v>
      </c>
      <c r="J39" s="2" t="n">
        <v>0.0757652407576525</v>
      </c>
      <c r="K39" s="2" t="n">
        <f aca="false">L39^0.25</f>
        <v>0.0106874842481915</v>
      </c>
      <c r="L39" s="38" t="n">
        <v>1.30467382846026E-008</v>
      </c>
      <c r="N39" s="39" t="n">
        <f aca="false">B39*J39</f>
        <v>0.00283105291436261</v>
      </c>
      <c r="O39" s="39" t="n">
        <f aca="false">(1-B39)*(1-J39)</f>
        <v>0.889699694316232</v>
      </c>
      <c r="P39" s="39" t="n">
        <f aca="false">B39*(1-J39)</f>
        <v>0.0345350649261151</v>
      </c>
      <c r="Q39" s="39" t="n">
        <f aca="false">(1-B39)*J39</f>
        <v>0.0729341878432899</v>
      </c>
    </row>
    <row r="40" customFormat="false" ht="12.75" hidden="false" customHeight="false" outlineLevel="0" collapsed="false">
      <c r="A40" s="0" t="s">
        <v>46</v>
      </c>
      <c r="B40" s="2" t="n">
        <v>0</v>
      </c>
      <c r="C40" s="2" t="e">
        <f aca="false">LN(B40/(1-B40))</f>
        <v>#VALUE!</v>
      </c>
      <c r="D40" s="2" t="n">
        <f aca="false">1-B40</f>
        <v>1</v>
      </c>
      <c r="E40" s="2" t="e">
        <f aca="false">LN(D40/(1-D40))</f>
        <v>#DIV/0!</v>
      </c>
      <c r="F40" s="0" t="str">
        <f aca="false">A40</f>
        <v>SOUTH-CAROLINA</v>
      </c>
      <c r="G40" s="4" t="n">
        <f aca="false">IF(B40&gt;0,1,0)</f>
        <v>0</v>
      </c>
      <c r="H40" s="1" t="n">
        <v>3673287</v>
      </c>
      <c r="I40" s="2" t="n">
        <v>0</v>
      </c>
      <c r="J40" s="2" t="n">
        <v>0.0212156597627681</v>
      </c>
      <c r="K40" s="2" t="n">
        <f aca="false">L40^0.25</f>
        <v>0.000400633278311205</v>
      </c>
      <c r="L40" s="38" t="n">
        <v>2.57625046539453E-014</v>
      </c>
      <c r="N40" s="39" t="n">
        <f aca="false">B40*J40</f>
        <v>0</v>
      </c>
      <c r="O40" s="39" t="n">
        <f aca="false">(1-B40)*(1-J40)</f>
        <v>0.978784340237232</v>
      </c>
      <c r="P40" s="39" t="n">
        <f aca="false">B40*(1-J40)</f>
        <v>0</v>
      </c>
      <c r="Q40" s="39" t="n">
        <f aca="false">(1-B40)*J40</f>
        <v>0.0212156597627681</v>
      </c>
    </row>
    <row r="41" customFormat="false" ht="12.75" hidden="false" customHeight="false" outlineLevel="0" collapsed="false">
      <c r="A41" s="0" t="s">
        <v>47</v>
      </c>
      <c r="B41" s="2" t="n">
        <v>0</v>
      </c>
      <c r="C41" s="2" t="e">
        <f aca="false">LN(B41/(1-B41))</f>
        <v>#VALUE!</v>
      </c>
      <c r="D41" s="2" t="n">
        <f aca="false">1-B41</f>
        <v>1</v>
      </c>
      <c r="E41" s="2" t="e">
        <f aca="false">LN(D41/(1-D41))</f>
        <v>#DIV/0!</v>
      </c>
      <c r="F41" s="0" t="str">
        <f aca="false">A41</f>
        <v>SOUTH-DAKOTA</v>
      </c>
      <c r="G41" s="4" t="n">
        <f aca="false">IF(B41&gt;0,1,0)</f>
        <v>0</v>
      </c>
      <c r="H41" s="1" t="n">
        <v>729034</v>
      </c>
      <c r="I41" s="2" t="n">
        <v>0</v>
      </c>
      <c r="J41" s="2" t="n">
        <v>0.0295761623107812</v>
      </c>
      <c r="K41" s="2" t="n">
        <f aca="false">L41^0.25</f>
        <v>0.00170802675817269</v>
      </c>
      <c r="L41" s="38" t="n">
        <v>8.51096256861615E-012</v>
      </c>
      <c r="N41" s="39" t="n">
        <f aca="false">B41*J41</f>
        <v>0</v>
      </c>
      <c r="O41" s="39" t="n">
        <f aca="false">(1-B41)*(1-J41)</f>
        <v>0.970423837689219</v>
      </c>
      <c r="P41" s="39" t="n">
        <f aca="false">B41*(1-J41)</f>
        <v>0</v>
      </c>
      <c r="Q41" s="39" t="n">
        <f aca="false">(1-B41)*J41</f>
        <v>0.0295761623107812</v>
      </c>
    </row>
    <row r="42" customFormat="false" ht="12.75" hidden="false" customHeight="false" outlineLevel="0" collapsed="false">
      <c r="A42" s="0" t="s">
        <v>48</v>
      </c>
      <c r="B42" s="2" t="n">
        <v>5.80051647196015E-005</v>
      </c>
      <c r="C42" s="2" t="n">
        <f aca="false">LN(B42/(1-B42))</f>
        <v>-9.75492049764553</v>
      </c>
      <c r="D42" s="2" t="n">
        <f aca="false">1-B42</f>
        <v>0.99994199483528</v>
      </c>
      <c r="E42" s="2" t="n">
        <f aca="false">LN(D42/(1-D42))</f>
        <v>9.75492049764462</v>
      </c>
      <c r="F42" s="0" t="str">
        <f aca="false">A42</f>
        <v>TENNESSEE</v>
      </c>
      <c r="G42" s="4" t="n">
        <f aca="false">IF(B42&gt;0,1,0)</f>
        <v>1</v>
      </c>
      <c r="H42" s="1" t="n">
        <v>5256051</v>
      </c>
      <c r="I42" s="2" t="n">
        <v>0</v>
      </c>
      <c r="J42" s="2" t="n">
        <v>0.0458630868796215</v>
      </c>
      <c r="K42" s="2" t="n">
        <f aca="false">L42^0.25</f>
        <v>0.000736567990101261</v>
      </c>
      <c r="L42" s="38" t="n">
        <v>2.94341409435387E-013</v>
      </c>
      <c r="N42" s="39" t="n">
        <f aca="false">B42*J42</f>
        <v>2.66029590900184E-006</v>
      </c>
      <c r="O42" s="39" t="n">
        <f aca="false">(1-B42)*(1-J42)</f>
        <v>0.954081568251568</v>
      </c>
      <c r="P42" s="39" t="n">
        <f aca="false">B42*(1-J42)</f>
        <v>5.53448688105997E-005</v>
      </c>
      <c r="Q42" s="39" t="n">
        <f aca="false">(1-B42)*J42</f>
        <v>0.0458604265837125</v>
      </c>
    </row>
    <row r="43" customFormat="false" ht="12.75" hidden="false" customHeight="false" outlineLevel="0" collapsed="false">
      <c r="A43" s="0" t="s">
        <v>49</v>
      </c>
      <c r="B43" s="2" t="n">
        <v>0.0247474685546935</v>
      </c>
      <c r="C43" s="2" t="n">
        <f aca="false">LN(B43/(1-B43))</f>
        <v>-3.67397324090676</v>
      </c>
      <c r="D43" s="2" t="n">
        <f aca="false">1-B43</f>
        <v>0.975252531445307</v>
      </c>
      <c r="E43" s="2" t="n">
        <f aca="false">LN(D43/(1-D43))</f>
        <v>3.67397324090676</v>
      </c>
      <c r="F43" s="0" t="str">
        <f aca="false">A43</f>
        <v>TEXAS</v>
      </c>
      <c r="G43" s="4" t="n">
        <f aca="false">IF(B43&gt;0,1,0)</f>
        <v>1</v>
      </c>
      <c r="H43" s="1" t="n">
        <v>18723991</v>
      </c>
      <c r="I43" s="2" t="n">
        <v>0.006727760393384</v>
      </c>
      <c r="J43" s="2" t="n">
        <v>0.00910524272123237</v>
      </c>
      <c r="K43" s="2" t="n">
        <f aca="false">L43^0.25</f>
        <v>0.00124266236069874</v>
      </c>
      <c r="L43" s="38" t="n">
        <v>2.38458372944146E-012</v>
      </c>
      <c r="N43" s="39" t="n">
        <f aca="false">B43*J43</f>
        <v>0.00022533170792655</v>
      </c>
      <c r="O43" s="39" t="n">
        <f aca="false">(1-B43)*(1-J43)</f>
        <v>0.966372620432001</v>
      </c>
      <c r="P43" s="39" t="n">
        <f aca="false">B43*(1-J43)</f>
        <v>0.024522136846767</v>
      </c>
      <c r="Q43" s="39" t="n">
        <f aca="false">(1-B43)*J43</f>
        <v>0.00887991101330582</v>
      </c>
    </row>
    <row r="44" customFormat="false" ht="12.75" hidden="false" customHeight="false" outlineLevel="0" collapsed="false">
      <c r="A44" s="0" t="s">
        <v>50</v>
      </c>
      <c r="B44" s="2" t="n">
        <v>0.000622986197117817</v>
      </c>
      <c r="C44" s="2" t="n">
        <f aca="false">LN(B44/(1-B44))</f>
        <v>-7.38036301459773</v>
      </c>
      <c r="D44" s="2" t="n">
        <f aca="false">1-B44</f>
        <v>0.999377013802882</v>
      </c>
      <c r="E44" s="2" t="n">
        <f aca="false">LN(D44/(1-D44))</f>
        <v>7.38036301459764</v>
      </c>
      <c r="F44" s="0" t="str">
        <f aca="false">A44</f>
        <v>UTAH</v>
      </c>
      <c r="G44" s="4" t="n">
        <f aca="false">IF(B44&gt;0,1,0)</f>
        <v>1</v>
      </c>
      <c r="H44" s="1" t="n">
        <v>1951408</v>
      </c>
      <c r="I44" s="2" t="n">
        <v>0</v>
      </c>
      <c r="J44" s="2" t="n">
        <v>0.00991343868813166</v>
      </c>
      <c r="K44" s="2" t="n">
        <f aca="false">L44^0.25</f>
        <v>0.000803473578673719</v>
      </c>
      <c r="L44" s="38" t="n">
        <v>4.16760355861009E-013</v>
      </c>
      <c r="N44" s="39" t="n">
        <f aca="false">B44*J44</f>
        <v>6.17593546867978E-006</v>
      </c>
      <c r="O44" s="39" t="n">
        <f aca="false">(1-B44)*(1-J44)</f>
        <v>0.989469751050219</v>
      </c>
      <c r="P44" s="39" t="n">
        <f aca="false">B44*(1-J44)</f>
        <v>0.000616810261649137</v>
      </c>
      <c r="Q44" s="39" t="n">
        <f aca="false">(1-B44)*J44</f>
        <v>0.00990726275266298</v>
      </c>
    </row>
    <row r="45" customFormat="false" ht="12.75" hidden="false" customHeight="false" outlineLevel="0" collapsed="false">
      <c r="A45" s="0" t="s">
        <v>51</v>
      </c>
      <c r="B45" s="2" t="n">
        <v>0</v>
      </c>
      <c r="C45" s="2" t="e">
        <f aca="false">LN(B45/(1-B45))</f>
        <v>#VALUE!</v>
      </c>
      <c r="D45" s="2" t="n">
        <f aca="false">1-B45</f>
        <v>1</v>
      </c>
      <c r="E45" s="2" t="e">
        <f aca="false">LN(D45/(1-D45))</f>
        <v>#DIV/0!</v>
      </c>
      <c r="F45" s="0" t="str">
        <f aca="false">A45</f>
        <v>VERMONT</v>
      </c>
      <c r="G45" s="4" t="n">
        <f aca="false">IF(B45&gt;0,1,0)</f>
        <v>0</v>
      </c>
      <c r="H45" s="1" t="n">
        <v>584771</v>
      </c>
      <c r="I45" s="2" t="n">
        <v>0</v>
      </c>
      <c r="J45" s="2" t="n">
        <v>0.0494956071368481</v>
      </c>
      <c r="K45" s="2" t="n">
        <f aca="false">L45^0.25</f>
        <v>0.0085269547556729</v>
      </c>
      <c r="L45" s="38" t="n">
        <v>5.28659248696466E-009</v>
      </c>
      <c r="N45" s="39" t="n">
        <f aca="false">B45*J45</f>
        <v>0</v>
      </c>
      <c r="O45" s="39" t="n">
        <f aca="false">(1-B45)*(1-J45)</f>
        <v>0.950504392863152</v>
      </c>
      <c r="P45" s="39" t="n">
        <f aca="false">B45*(1-J45)</f>
        <v>0</v>
      </c>
      <c r="Q45" s="39" t="n">
        <f aca="false">(1-B45)*J45</f>
        <v>0.0494956071368481</v>
      </c>
    </row>
    <row r="46" customFormat="false" ht="12.75" hidden="false" customHeight="false" outlineLevel="0" collapsed="false">
      <c r="A46" s="0" t="s">
        <v>52</v>
      </c>
      <c r="B46" s="2" t="n">
        <v>0.0465283677535952</v>
      </c>
      <c r="C46" s="2" t="n">
        <f aca="false">LN(B46/(1-B46))</f>
        <v>-3.02004748761433</v>
      </c>
      <c r="D46" s="2" t="n">
        <f aca="false">1-B46</f>
        <v>0.953471632246405</v>
      </c>
      <c r="E46" s="2" t="n">
        <f aca="false">LN(D46/(1-D46))</f>
        <v>3.02004748761433</v>
      </c>
      <c r="F46" s="0" t="str">
        <f aca="false">A46</f>
        <v>VIRGINIA</v>
      </c>
      <c r="G46" s="4" t="n">
        <f aca="false">IF(B46&gt;0,1,0)</f>
        <v>1</v>
      </c>
      <c r="H46" s="1" t="n">
        <v>6618358</v>
      </c>
      <c r="I46" s="2" t="n">
        <v>0.102064896755162</v>
      </c>
      <c r="J46" s="2" t="n">
        <v>0.0646098010772455</v>
      </c>
      <c r="K46" s="2" t="n">
        <f aca="false">L46^0.25</f>
        <v>0.003838083401177</v>
      </c>
      <c r="L46" s="38" t="n">
        <v>2.1699894914854E-010</v>
      </c>
      <c r="N46" s="39" t="n">
        <f aca="false">B46*J46</f>
        <v>0.00300618858500871</v>
      </c>
      <c r="O46" s="39" t="n">
        <f aca="false">(1-B46)*(1-J46)</f>
        <v>0.891868019754168</v>
      </c>
      <c r="P46" s="39" t="n">
        <f aca="false">B46*(1-J46)</f>
        <v>0.0435221791685865</v>
      </c>
      <c r="Q46" s="39" t="n">
        <f aca="false">(1-B46)*J46</f>
        <v>0.0616036124922367</v>
      </c>
    </row>
    <row r="47" customFormat="false" ht="12.75" hidden="false" customHeight="false" outlineLevel="0" collapsed="false">
      <c r="A47" s="0" t="s">
        <v>53</v>
      </c>
      <c r="B47" s="2" t="n">
        <v>0.0414276298865866</v>
      </c>
      <c r="C47" s="2" t="n">
        <f aca="false">LN(B47/(1-B47))</f>
        <v>-3.14149701635304</v>
      </c>
      <c r="D47" s="2" t="n">
        <f aca="false">1-B47</f>
        <v>0.958572370113414</v>
      </c>
      <c r="E47" s="2" t="n">
        <f aca="false">LN(D47/(1-D47))</f>
        <v>3.14149701635304</v>
      </c>
      <c r="F47" s="0" t="str">
        <f aca="false">A47</f>
        <v>WASHINGTON</v>
      </c>
      <c r="G47" s="4" t="n">
        <f aca="false">IF(B47&gt;0,1,0)</f>
        <v>1</v>
      </c>
      <c r="H47" s="1" t="n">
        <v>5430940</v>
      </c>
      <c r="I47" s="2" t="n">
        <v>0</v>
      </c>
      <c r="J47" s="2" t="n">
        <v>0.0152694227003708</v>
      </c>
      <c r="K47" s="2" t="n">
        <f aca="false">L47^0.25</f>
        <v>0.0014709697089016</v>
      </c>
      <c r="L47" s="38" t="n">
        <v>4.68182221770351E-012</v>
      </c>
      <c r="N47" s="39" t="n">
        <f aca="false">B47*J47</f>
        <v>0.000632575992212805</v>
      </c>
      <c r="O47" s="39" t="n">
        <f aca="false">(1-B47)*(1-J47)</f>
        <v>0.943935523405255</v>
      </c>
      <c r="P47" s="39" t="n">
        <f aca="false">B47*(1-J47)</f>
        <v>0.0407950538943738</v>
      </c>
      <c r="Q47" s="39" t="n">
        <f aca="false">(1-B47)*J47</f>
        <v>0.014636846708158</v>
      </c>
    </row>
    <row r="48" customFormat="false" ht="12.75" hidden="false" customHeight="false" outlineLevel="0" collapsed="false">
      <c r="A48" s="0" t="s">
        <v>54</v>
      </c>
      <c r="B48" s="2" t="n">
        <v>0.0657245663242686</v>
      </c>
      <c r="C48" s="2" t="n">
        <f aca="false">LN(B48/(1-B48))</f>
        <v>-2.65429851936771</v>
      </c>
      <c r="D48" s="2" t="n">
        <f aca="false">1-B48</f>
        <v>0.934275433675731</v>
      </c>
      <c r="E48" s="2" t="n">
        <f aca="false">LN(D48/(1-D48))</f>
        <v>2.65429851936771</v>
      </c>
      <c r="F48" s="0" t="str">
        <f aca="false">A48</f>
        <v>WEST-VIRGINIA</v>
      </c>
      <c r="G48" s="4" t="n">
        <f aca="false">IF(B48&gt;0,1,0)</f>
        <v>1</v>
      </c>
      <c r="H48" s="1" t="n">
        <v>1828140</v>
      </c>
      <c r="I48" s="2" t="n">
        <v>0.154107142857143</v>
      </c>
      <c r="J48" s="2" t="n">
        <v>0.083450810945235</v>
      </c>
      <c r="K48" s="2" t="n">
        <f aca="false">L48^0.25</f>
        <v>0.00511630744144364</v>
      </c>
      <c r="L48" s="38" t="n">
        <v>6.85214483647577E-010</v>
      </c>
      <c r="N48" s="39" t="n">
        <f aca="false">B48*J48</f>
        <v>0.00548476835878409</v>
      </c>
      <c r="O48" s="39" t="n">
        <f aca="false">(1-B48)*(1-J48)</f>
        <v>0.856309391089281</v>
      </c>
      <c r="P48" s="39" t="n">
        <f aca="false">B48*(1-J48)</f>
        <v>0.0602397979654845</v>
      </c>
      <c r="Q48" s="39" t="n">
        <f aca="false">(1-B48)*J48</f>
        <v>0.0779660425864509</v>
      </c>
    </row>
    <row r="49" customFormat="false" ht="12.75" hidden="false" customHeight="false" outlineLevel="0" collapsed="false">
      <c r="A49" s="0" t="s">
        <v>55</v>
      </c>
      <c r="B49" s="2" t="n">
        <v>1.13332512302244E-005</v>
      </c>
      <c r="C49" s="2" t="n">
        <f aca="false">LN(B49/(1-B49))</f>
        <v>-11.387758233119</v>
      </c>
      <c r="D49" s="2" t="n">
        <f aca="false">1-B49</f>
        <v>0.99998866674877</v>
      </c>
      <c r="E49" s="2" t="n">
        <f aca="false">LN(D49/(1-D49))</f>
        <v>11.3877582331157</v>
      </c>
      <c r="F49" s="0" t="str">
        <f aca="false">A49</f>
        <v>WISCONSIN</v>
      </c>
      <c r="G49" s="4" t="n">
        <f aca="false">IF(B49&gt;0,1,0)</f>
        <v>1</v>
      </c>
      <c r="H49" s="1" t="n">
        <v>5122871</v>
      </c>
      <c r="I49" s="2" t="n">
        <v>0</v>
      </c>
      <c r="J49" s="2" t="n">
        <v>0.0137079087829872</v>
      </c>
      <c r="K49" s="2" t="n">
        <f aca="false">L49^0.25</f>
        <v>0.00157985380119993</v>
      </c>
      <c r="L49" s="38" t="n">
        <v>6.22970666540397E-012</v>
      </c>
      <c r="N49" s="39" t="n">
        <f aca="false">B49*J49</f>
        <v>1.55355174078594E-007</v>
      </c>
      <c r="O49" s="39" t="n">
        <f aca="false">(1-B49)*(1-J49)</f>
        <v>0.986280913320957</v>
      </c>
      <c r="P49" s="39" t="n">
        <f aca="false">B49*(1-J49)</f>
        <v>1.11778960561458E-005</v>
      </c>
      <c r="Q49" s="39" t="n">
        <f aca="false">(1-B49)*J49</f>
        <v>0.0137077534278131</v>
      </c>
    </row>
    <row r="50" customFormat="false" ht="12.75" hidden="false" customHeight="false" outlineLevel="0" collapsed="false">
      <c r="A50" s="0" t="s">
        <v>56</v>
      </c>
      <c r="B50" s="2" t="n">
        <v>0</v>
      </c>
      <c r="C50" s="2" t="e">
        <f aca="false">LN(B50/(1-B50))</f>
        <v>#VALUE!</v>
      </c>
      <c r="D50" s="2" t="n">
        <f aca="false">1-B50</f>
        <v>1</v>
      </c>
      <c r="E50" s="2" t="e">
        <f aca="false">LN(D50/(1-D50))</f>
        <v>#DIV/0!</v>
      </c>
      <c r="F50" s="0" t="str">
        <f aca="false">A50</f>
        <v>WYOMING</v>
      </c>
      <c r="G50" s="4" t="n">
        <f aca="false">IF(B50&gt;0,1,0)</f>
        <v>0</v>
      </c>
      <c r="H50" s="1" t="n">
        <v>480184</v>
      </c>
      <c r="I50" s="2" t="n">
        <v>0</v>
      </c>
      <c r="J50" s="2" t="n">
        <v>0.0256209952218234</v>
      </c>
      <c r="K50" s="2" t="n">
        <f aca="false">L50^0.25</f>
        <v>0.000674404947384069</v>
      </c>
      <c r="L50" s="38" t="n">
        <v>2.06863081753292E-013</v>
      </c>
      <c r="N50" s="39" t="n">
        <f aca="false">B50*J50</f>
        <v>0</v>
      </c>
      <c r="O50" s="39" t="n">
        <f aca="false">(1-B50)*(1-J50)</f>
        <v>0.974379004778177</v>
      </c>
      <c r="P50" s="39" t="n">
        <f aca="false">B50*(1-J50)</f>
        <v>0</v>
      </c>
      <c r="Q50" s="39" t="n">
        <f aca="false">(1-B50)*J50</f>
        <v>0.0256209952218234</v>
      </c>
    </row>
    <row r="52" customFormat="false" ht="12.75" hidden="false" customHeight="false" outlineLevel="0" collapsed="false">
      <c r="A52" s="0" t="s">
        <v>404</v>
      </c>
    </row>
    <row r="53" customFormat="false" ht="12.75" hidden="false" customHeight="false" outlineLevel="0" collapsed="false">
      <c r="A53" s="0" t="s">
        <v>109</v>
      </c>
    </row>
    <row r="54" customFormat="false" ht="12.75" hidden="false" customHeight="false" outlineLevel="0" collapsed="false">
      <c r="A54" s="0" t="s">
        <v>405</v>
      </c>
    </row>
    <row r="55" customFormat="false" ht="12.75" hidden="false" customHeight="false" outlineLevel="0" collapsed="false">
      <c r="A55" s="0" t="s">
        <v>406</v>
      </c>
    </row>
    <row r="56" customFormat="false" ht="12.75" hidden="false" customHeight="false" outlineLevel="0" collapsed="false">
      <c r="A56" s="0" t="s">
        <v>112</v>
      </c>
    </row>
    <row r="57" customFormat="false" ht="12.75" hidden="false" customHeight="false" outlineLevel="0" collapsed="false">
      <c r="A57" s="0" t="s">
        <v>400</v>
      </c>
    </row>
    <row r="60" customFormat="false" ht="12.75" hidden="false" customHeight="false" outlineLevel="0" collapsed="false">
      <c r="A60" s="0" t="s">
        <v>371</v>
      </c>
    </row>
    <row r="61" customFormat="false" ht="13.5" hidden="false" customHeight="false" outlineLevel="0" collapsed="false"/>
    <row r="62" customFormat="false" ht="12.75" hidden="false" customHeight="false" outlineLevel="0" collapsed="false">
      <c r="A62" s="8" t="s">
        <v>372</v>
      </c>
      <c r="B62" s="8" t="s">
        <v>113</v>
      </c>
      <c r="C62" s="8" t="s">
        <v>114</v>
      </c>
    </row>
    <row r="63" customFormat="false" ht="12.75" hidden="false" customHeight="false" outlineLevel="0" collapsed="false">
      <c r="A63" s="6" t="s">
        <v>84</v>
      </c>
      <c r="B63" s="6" t="n">
        <v>5338722.3877551</v>
      </c>
      <c r="C63" s="6" t="n">
        <v>5779174.66837188</v>
      </c>
    </row>
    <row r="64" customFormat="false" ht="12.75" hidden="false" customHeight="false" outlineLevel="0" collapsed="false">
      <c r="A64" s="6" t="s">
        <v>105</v>
      </c>
      <c r="B64" s="6" t="n">
        <v>0.0748801382019185</v>
      </c>
      <c r="C64" s="6" t="n">
        <v>0.114610023517382</v>
      </c>
    </row>
    <row r="65" customFormat="false" ht="12.75" hidden="false" customHeight="false" outlineLevel="0" collapsed="false">
      <c r="A65" s="6" t="s">
        <v>100</v>
      </c>
      <c r="B65" s="6" t="n">
        <v>0.0372393142980251</v>
      </c>
      <c r="C65" s="6" t="n">
        <v>0.0269260351740362</v>
      </c>
    </row>
    <row r="66" customFormat="false" ht="13.5" hidden="false" customHeight="false" outlineLevel="0" collapsed="false">
      <c r="A66" s="7" t="s">
        <v>143</v>
      </c>
      <c r="B66" s="7" t="n">
        <v>2.30500166681722E-008</v>
      </c>
      <c r="C66" s="7" t="n">
        <v>1.3983591544212E-007</v>
      </c>
    </row>
    <row r="70" customFormat="false" ht="12.75" hidden="false" customHeight="false" outlineLevel="0" collapsed="false">
      <c r="A70" s="0" t="s">
        <v>374</v>
      </c>
    </row>
    <row r="71" customFormat="false" ht="13.5" hidden="false" customHeight="false" outlineLevel="0" collapsed="false"/>
    <row r="72" customFormat="false" ht="12.75" hidden="false" customHeight="false" outlineLevel="0" collapsed="false">
      <c r="A72" s="8" t="s">
        <v>375</v>
      </c>
      <c r="B72" s="8" t="s">
        <v>135</v>
      </c>
      <c r="C72" s="8" t="s">
        <v>136</v>
      </c>
      <c r="D72" s="8" t="s">
        <v>376</v>
      </c>
      <c r="E72" s="8" t="s">
        <v>377</v>
      </c>
      <c r="F72" s="40"/>
    </row>
    <row r="73" customFormat="false" ht="12.75" hidden="false" customHeight="false" outlineLevel="0" collapsed="false">
      <c r="A73" s="6" t="s">
        <v>80</v>
      </c>
      <c r="B73" s="15" t="n">
        <v>-4.46290532525789</v>
      </c>
      <c r="C73" s="15" t="n">
        <v>2.17583045416389</v>
      </c>
      <c r="D73" s="15" t="n">
        <v>4.20712335267394</v>
      </c>
      <c r="E73" s="15" t="n">
        <v>0.0402545517323232</v>
      </c>
      <c r="F73" s="15"/>
    </row>
    <row r="74" customFormat="false" ht="12.75" hidden="false" customHeight="false" outlineLevel="0" collapsed="false">
      <c r="A74" s="6" t="s">
        <v>84</v>
      </c>
      <c r="B74" s="15" t="n">
        <v>9.07715696787552E-007</v>
      </c>
      <c r="C74" s="15" t="n">
        <v>3.72589485345092E-007</v>
      </c>
      <c r="D74" s="15" t="n">
        <v>5.93524296242582</v>
      </c>
      <c r="E74" s="15" t="n">
        <v>0.0148410232846226</v>
      </c>
      <c r="F74" s="15"/>
    </row>
    <row r="75" customFormat="false" ht="12.75" hidden="false" customHeight="false" outlineLevel="0" collapsed="false">
      <c r="A75" s="6" t="s">
        <v>105</v>
      </c>
      <c r="B75" s="15" t="n">
        <v>3567.86831034432</v>
      </c>
      <c r="C75" s="15" t="n">
        <v>483458662.24595</v>
      </c>
      <c r="D75" s="15" t="n">
        <v>5.44626714949397E-011</v>
      </c>
      <c r="E75" s="15" t="n">
        <v>0.999994111705381</v>
      </c>
      <c r="F75" s="15"/>
    </row>
    <row r="76" customFormat="false" ht="12.75" hidden="false" customHeight="false" outlineLevel="0" collapsed="false">
      <c r="A76" s="6" t="s">
        <v>100</v>
      </c>
      <c r="B76" s="15" t="n">
        <v>42.6882469503693</v>
      </c>
      <c r="C76" s="15" t="n">
        <v>44.6457177632764</v>
      </c>
      <c r="D76" s="15" t="n">
        <v>0.91423326991546</v>
      </c>
      <c r="E76" s="15" t="n">
        <v>0.338993704252642</v>
      </c>
      <c r="F76" s="15"/>
    </row>
    <row r="77" customFormat="false" ht="13.5" hidden="false" customHeight="false" outlineLevel="0" collapsed="false">
      <c r="A77" s="7" t="s">
        <v>143</v>
      </c>
      <c r="B77" s="16" t="n">
        <v>178953868.083153</v>
      </c>
      <c r="C77" s="16" t="n">
        <v>259320717.966833</v>
      </c>
      <c r="D77" s="16" t="n">
        <v>0.476220130284329</v>
      </c>
      <c r="E77" s="16" t="n">
        <v>0.490139450564925</v>
      </c>
      <c r="F77" s="15"/>
    </row>
    <row r="80" customFormat="false" ht="13.5" hidden="false" customHeight="false" outlineLevel="0" collapsed="false">
      <c r="A80" s="0" t="s">
        <v>378</v>
      </c>
    </row>
    <row r="81" customFormat="false" ht="12.75" hidden="false" customHeight="false" outlineLevel="0" collapsed="false">
      <c r="A81" s="8" t="s">
        <v>379</v>
      </c>
      <c r="B81" s="8" t="s">
        <v>380</v>
      </c>
      <c r="C81" s="8" t="s">
        <v>381</v>
      </c>
      <c r="D81" s="8" t="s">
        <v>382</v>
      </c>
      <c r="E81" s="8" t="s">
        <v>383</v>
      </c>
      <c r="F81" s="8"/>
      <c r="G81" s="8" t="s">
        <v>384</v>
      </c>
      <c r="H81" s="8" t="s">
        <v>385</v>
      </c>
      <c r="I81" s="8" t="s">
        <v>386</v>
      </c>
      <c r="J81" s="8" t="s">
        <v>387</v>
      </c>
      <c r="K81" s="8"/>
      <c r="L81" s="8" t="s">
        <v>388</v>
      </c>
      <c r="M81" s="8" t="s">
        <v>389</v>
      </c>
    </row>
    <row r="82" customFormat="false" ht="13.5" hidden="false" customHeight="false" outlineLevel="0" collapsed="false">
      <c r="A82" s="7" t="n">
        <v>49</v>
      </c>
      <c r="B82" s="7" t="n">
        <v>-12.2294997612363</v>
      </c>
      <c r="C82" s="7" t="n">
        <v>-30.1821837539381</v>
      </c>
      <c r="D82" s="7" t="n">
        <v>24.7516418118058</v>
      </c>
      <c r="E82" s="7" t="n">
        <v>44</v>
      </c>
      <c r="F82" s="7"/>
      <c r="G82" s="7" t="n">
        <v>0.991541633276936</v>
      </c>
      <c r="H82" s="7" t="n">
        <v>35.9053679854035</v>
      </c>
      <c r="I82" s="7" t="n">
        <v>4</v>
      </c>
      <c r="J82" s="7" t="n">
        <v>0.0001</v>
      </c>
      <c r="K82" s="7"/>
      <c r="L82" s="7" t="n">
        <v>0.61324603812711</v>
      </c>
      <c r="M82" s="7" t="n">
        <v>0.594810638589375</v>
      </c>
    </row>
    <row r="84" customFormat="false" ht="12.75" hidden="false" customHeight="false" outlineLevel="0" collapsed="false">
      <c r="A84" s="0" t="s">
        <v>390</v>
      </c>
    </row>
    <row r="85" customFormat="false" ht="13.5" hidden="false" customHeight="false" outlineLevel="0" collapsed="false"/>
    <row r="86" customFormat="false" ht="12.75" hidden="false" customHeight="false" outlineLevel="0" collapsed="false">
      <c r="A86" s="8" t="s">
        <v>63</v>
      </c>
      <c r="B86" s="8"/>
      <c r="C86" s="8" t="s">
        <v>84</v>
      </c>
      <c r="D86" s="8" t="s">
        <v>105</v>
      </c>
      <c r="E86" s="8" t="s">
        <v>100</v>
      </c>
      <c r="F86" s="8"/>
      <c r="G86" s="8" t="s">
        <v>143</v>
      </c>
      <c r="H86" s="8" t="s">
        <v>362</v>
      </c>
      <c r="I86" s="8" t="s">
        <v>401</v>
      </c>
      <c r="J86" s="8" t="s">
        <v>392</v>
      </c>
      <c r="K86" s="8"/>
      <c r="L86" s="8" t="s">
        <v>393</v>
      </c>
      <c r="M86" s="8" t="s">
        <v>394</v>
      </c>
      <c r="N86" s="8" t="s">
        <v>402</v>
      </c>
      <c r="O86" s="8" t="s">
        <v>396</v>
      </c>
    </row>
    <row r="87" customFormat="false" ht="12.75" hidden="false" customHeight="false" outlineLevel="0" collapsed="false">
      <c r="A87" s="6" t="s">
        <v>202</v>
      </c>
      <c r="B87" s="6" t="n">
        <v>1</v>
      </c>
      <c r="C87" s="6" t="n">
        <v>4252982</v>
      </c>
      <c r="D87" s="6" t="n">
        <v>0</v>
      </c>
      <c r="E87" s="6" t="n">
        <v>0.0238518767065552</v>
      </c>
      <c r="F87" s="6"/>
      <c r="G87" s="6" t="n">
        <v>1.16002176106561E-012</v>
      </c>
      <c r="H87" s="6" t="n">
        <v>0</v>
      </c>
      <c r="I87" s="15" t="n">
        <v>0.602524633226058</v>
      </c>
      <c r="J87" s="15" t="n">
        <v>0.693877551020408</v>
      </c>
      <c r="K87" s="15"/>
      <c r="L87" s="15" t="n">
        <v>0</v>
      </c>
      <c r="M87" s="15" t="n">
        <v>0.602524633226058</v>
      </c>
      <c r="N87" s="15" t="n">
        <v>-1.23121045334628</v>
      </c>
      <c r="O87" s="15" t="n">
        <v>-1.50554530541816</v>
      </c>
    </row>
    <row r="88" customFormat="false" ht="12.75" hidden="false" customHeight="false" outlineLevel="0" collapsed="false">
      <c r="A88" s="6" t="s">
        <v>203</v>
      </c>
      <c r="B88" s="6" t="n">
        <v>1</v>
      </c>
      <c r="C88" s="6" t="n">
        <v>4217940</v>
      </c>
      <c r="D88" s="6" t="n">
        <v>0</v>
      </c>
      <c r="E88" s="6" t="n">
        <v>0.0112071877535429</v>
      </c>
      <c r="F88" s="6"/>
      <c r="G88" s="6" t="n">
        <v>1.49200959313964E-012</v>
      </c>
      <c r="H88" s="6" t="n">
        <v>0</v>
      </c>
      <c r="I88" s="15" t="n">
        <v>0.461194999379346</v>
      </c>
      <c r="J88" s="15" t="n">
        <v>0.693877551020408</v>
      </c>
      <c r="K88" s="15"/>
      <c r="L88" s="15" t="n">
        <v>0</v>
      </c>
      <c r="M88" s="15" t="n">
        <v>0.461194999379346</v>
      </c>
      <c r="N88" s="15" t="n">
        <v>-0.925180532808022</v>
      </c>
      <c r="O88" s="15" t="n">
        <v>-1.50554530541816</v>
      </c>
    </row>
    <row r="89" customFormat="false" ht="12.75" hidden="false" customHeight="false" outlineLevel="0" collapsed="false">
      <c r="A89" s="6" t="s">
        <v>204</v>
      </c>
      <c r="B89" s="6" t="n">
        <v>1</v>
      </c>
      <c r="C89" s="6" t="n">
        <v>2483769</v>
      </c>
      <c r="D89" s="6" t="n">
        <v>0</v>
      </c>
      <c r="E89" s="6" t="n">
        <v>0.0402941869973762</v>
      </c>
      <c r="F89" s="6"/>
      <c r="G89" s="6" t="n">
        <v>8.78858354669177E-013</v>
      </c>
      <c r="H89" s="6" t="n">
        <v>0</v>
      </c>
      <c r="I89" s="15" t="n">
        <v>0.380340380518645</v>
      </c>
      <c r="J89" s="15" t="n">
        <v>0.693877551020408</v>
      </c>
      <c r="K89" s="15"/>
      <c r="L89" s="15" t="n">
        <v>0</v>
      </c>
      <c r="M89" s="15" t="n">
        <v>0.380340380518645</v>
      </c>
      <c r="N89" s="15" t="n">
        <v>-0.783446997202626</v>
      </c>
      <c r="O89" s="15" t="n">
        <v>-1.50554530541816</v>
      </c>
    </row>
    <row r="90" customFormat="false" ht="12.75" hidden="false" customHeight="false" outlineLevel="0" collapsed="false">
      <c r="A90" s="6" t="s">
        <v>205</v>
      </c>
      <c r="B90" s="6" t="n">
        <v>1</v>
      </c>
      <c r="C90" s="6" t="n">
        <v>31589153</v>
      </c>
      <c r="D90" s="6" t="n">
        <v>0</v>
      </c>
      <c r="E90" s="6" t="n">
        <v>0.004523030247648</v>
      </c>
      <c r="F90" s="6"/>
      <c r="G90" s="6" t="n">
        <v>1.15838117524707E-012</v>
      </c>
      <c r="H90" s="6" t="n">
        <v>1</v>
      </c>
      <c r="I90" s="15" t="n">
        <v>0.999999999974804</v>
      </c>
      <c r="J90" s="15" t="n">
        <v>0.693877551020408</v>
      </c>
      <c r="K90" s="15"/>
      <c r="L90" s="15" t="n">
        <v>1</v>
      </c>
      <c r="M90" s="15" t="n">
        <v>0.999999999974804</v>
      </c>
      <c r="N90" s="15" t="n">
        <v>5.01952421710296E-006</v>
      </c>
      <c r="O90" s="15" t="n">
        <v>0.664211164155072</v>
      </c>
    </row>
    <row r="91" customFormat="false" ht="12.75" hidden="false" customHeight="false" outlineLevel="0" collapsed="false">
      <c r="A91" s="6" t="s">
        <v>206</v>
      </c>
      <c r="B91" s="6" t="n">
        <v>1</v>
      </c>
      <c r="C91" s="6" t="n">
        <v>3746585</v>
      </c>
      <c r="D91" s="6" t="n">
        <v>0.0147863247863248</v>
      </c>
      <c r="E91" s="6" t="n">
        <v>0.00794454114516863</v>
      </c>
      <c r="F91" s="6"/>
      <c r="G91" s="6" t="n">
        <v>6.58291482583513E-013</v>
      </c>
      <c r="H91" s="6" t="n">
        <v>1</v>
      </c>
      <c r="I91" s="15" t="n">
        <v>1</v>
      </c>
      <c r="J91" s="15" t="n">
        <v>0.693877551020408</v>
      </c>
      <c r="K91" s="15"/>
      <c r="L91" s="15" t="n">
        <v>1</v>
      </c>
      <c r="M91" s="15" t="n">
        <v>1</v>
      </c>
      <c r="N91" s="15" t="n">
        <v>1.05367121277235E-008</v>
      </c>
      <c r="O91" s="15" t="n">
        <v>0.664211164155072</v>
      </c>
    </row>
    <row r="92" customFormat="false" ht="12.75" hidden="false" customHeight="false" outlineLevel="0" collapsed="false">
      <c r="A92" s="6" t="s">
        <v>207</v>
      </c>
      <c r="B92" s="6" t="n">
        <v>1</v>
      </c>
      <c r="C92" s="6" t="n">
        <v>3274662</v>
      </c>
      <c r="D92" s="6" t="n">
        <v>0.357749077490775</v>
      </c>
      <c r="E92" s="6" t="n">
        <v>0.0456124226267046</v>
      </c>
      <c r="F92" s="6"/>
      <c r="G92" s="6" t="n">
        <v>2.67978152112005E-008</v>
      </c>
      <c r="H92" s="6" t="n">
        <v>1</v>
      </c>
      <c r="I92" s="15" t="n">
        <v>1</v>
      </c>
      <c r="J92" s="15" t="n">
        <v>0.693877551020408</v>
      </c>
      <c r="K92" s="15"/>
      <c r="L92" s="15" t="n">
        <v>1</v>
      </c>
      <c r="M92" s="15" t="n">
        <v>1</v>
      </c>
      <c r="N92" s="15" t="n">
        <v>1.05367121277235E-008</v>
      </c>
      <c r="O92" s="15" t="n">
        <v>0.664211164155072</v>
      </c>
    </row>
    <row r="93" customFormat="false" ht="12.75" hidden="false" customHeight="false" outlineLevel="0" collapsed="false">
      <c r="A93" s="6" t="s">
        <v>208</v>
      </c>
      <c r="B93" s="6" t="n">
        <v>1</v>
      </c>
      <c r="C93" s="6" t="n">
        <v>717197</v>
      </c>
      <c r="D93" s="6" t="n">
        <v>0.219607843137255</v>
      </c>
      <c r="E93" s="6" t="n">
        <v>0.138328875404208</v>
      </c>
      <c r="F93" s="6"/>
      <c r="G93" s="6" t="n">
        <v>2.04082824400193E-008</v>
      </c>
      <c r="H93" s="6" t="n">
        <v>1</v>
      </c>
      <c r="I93" s="15" t="n">
        <v>1</v>
      </c>
      <c r="J93" s="15" t="n">
        <v>0.693877551020408</v>
      </c>
      <c r="K93" s="15"/>
      <c r="L93" s="15" t="n">
        <v>1</v>
      </c>
      <c r="M93" s="15" t="n">
        <v>1</v>
      </c>
      <c r="N93" s="15" t="n">
        <v>1.05367121277235E-008</v>
      </c>
      <c r="O93" s="15" t="n">
        <v>0.664211164155072</v>
      </c>
    </row>
    <row r="94" customFormat="false" ht="12.75" hidden="false" customHeight="false" outlineLevel="0" collapsed="false">
      <c r="A94" s="6" t="s">
        <v>209</v>
      </c>
      <c r="B94" s="6" t="n">
        <v>1</v>
      </c>
      <c r="C94" s="6" t="n">
        <v>14165570</v>
      </c>
      <c r="D94" s="6" t="n">
        <v>0.111015583019882</v>
      </c>
      <c r="E94" s="6" t="n">
        <v>0.00799421046196813</v>
      </c>
      <c r="F94" s="6"/>
      <c r="G94" s="6" t="n">
        <v>3.65523418920916E-012</v>
      </c>
      <c r="H94" s="6" t="n">
        <v>1</v>
      </c>
      <c r="I94" s="15" t="n">
        <v>1</v>
      </c>
      <c r="J94" s="15" t="n">
        <v>0.693877551020408</v>
      </c>
      <c r="K94" s="15"/>
      <c r="L94" s="15" t="n">
        <v>1</v>
      </c>
      <c r="M94" s="15" t="n">
        <v>1</v>
      </c>
      <c r="N94" s="15" t="n">
        <v>1.05367121277235E-008</v>
      </c>
      <c r="O94" s="15" t="n">
        <v>0.664211164155072</v>
      </c>
    </row>
    <row r="95" customFormat="false" ht="12.75" hidden="false" customHeight="false" outlineLevel="0" collapsed="false">
      <c r="A95" s="6" t="s">
        <v>210</v>
      </c>
      <c r="B95" s="6" t="n">
        <v>1</v>
      </c>
      <c r="C95" s="6" t="n">
        <v>7200882</v>
      </c>
      <c r="D95" s="6" t="n">
        <v>0.00785562632696391</v>
      </c>
      <c r="E95" s="6" t="n">
        <v>0.0281378236648974</v>
      </c>
      <c r="F95" s="6"/>
      <c r="G95" s="6" t="n">
        <v>9.95886785099514E-013</v>
      </c>
      <c r="H95" s="6" t="n">
        <v>1</v>
      </c>
      <c r="I95" s="15" t="n">
        <v>0.999999999999931</v>
      </c>
      <c r="J95" s="15" t="n">
        <v>0.693877551020408</v>
      </c>
      <c r="K95" s="15"/>
      <c r="L95" s="15" t="n">
        <v>1</v>
      </c>
      <c r="M95" s="15" t="n">
        <v>0.999999999999931</v>
      </c>
      <c r="N95" s="15" t="n">
        <v>2.62995996992639E-007</v>
      </c>
      <c r="O95" s="15" t="n">
        <v>0.664211164155072</v>
      </c>
    </row>
    <row r="96" customFormat="false" ht="12.75" hidden="false" customHeight="false" outlineLevel="0" collapsed="false">
      <c r="A96" s="6" t="s">
        <v>211</v>
      </c>
      <c r="B96" s="6" t="n">
        <v>1</v>
      </c>
      <c r="C96" s="6" t="n">
        <v>1186815</v>
      </c>
      <c r="D96" s="6" t="n">
        <v>0</v>
      </c>
      <c r="E96" s="6" t="n">
        <v>0.00952409571468726</v>
      </c>
      <c r="F96" s="6"/>
      <c r="G96" s="6" t="n">
        <v>4.11770253782566E-011</v>
      </c>
      <c r="H96" s="6" t="n">
        <v>0</v>
      </c>
      <c r="I96" s="15" t="n">
        <v>0.0487218464707527</v>
      </c>
      <c r="J96" s="15" t="n">
        <v>0.693877551020408</v>
      </c>
      <c r="K96" s="15"/>
      <c r="L96" s="15" t="n">
        <v>0</v>
      </c>
      <c r="M96" s="15" t="n">
        <v>0.0487218464707527</v>
      </c>
      <c r="N96" s="15" t="n">
        <v>-0.226312273704893</v>
      </c>
      <c r="O96" s="15" t="n">
        <v>-1.50554530541816</v>
      </c>
    </row>
    <row r="97" customFormat="false" ht="12.75" hidden="false" customHeight="false" outlineLevel="0" collapsed="false">
      <c r="A97" s="6" t="s">
        <v>212</v>
      </c>
      <c r="B97" s="6" t="n">
        <v>1</v>
      </c>
      <c r="C97" s="6" t="n">
        <v>1163261</v>
      </c>
      <c r="D97" s="6" t="n">
        <v>0</v>
      </c>
      <c r="E97" s="6" t="n">
        <v>0.0261485883128481</v>
      </c>
      <c r="F97" s="6"/>
      <c r="G97" s="6" t="n">
        <v>1.71548959608199E-012</v>
      </c>
      <c r="H97" s="6" t="n">
        <v>0</v>
      </c>
      <c r="I97" s="15" t="n">
        <v>0.0919169266220145</v>
      </c>
      <c r="J97" s="15" t="n">
        <v>0.693877551020408</v>
      </c>
      <c r="K97" s="15"/>
      <c r="L97" s="15" t="n">
        <v>0</v>
      </c>
      <c r="M97" s="15" t="n">
        <v>0.0919169266220145</v>
      </c>
      <c r="N97" s="15" t="n">
        <v>-0.318152219312513</v>
      </c>
      <c r="O97" s="15" t="n">
        <v>-1.50554530541816</v>
      </c>
    </row>
    <row r="98" customFormat="false" ht="12.75" hidden="false" customHeight="false" outlineLevel="0" collapsed="false">
      <c r="A98" s="6" t="s">
        <v>213</v>
      </c>
      <c r="B98" s="6" t="n">
        <v>1</v>
      </c>
      <c r="C98" s="6" t="n">
        <v>11829940</v>
      </c>
      <c r="D98" s="6" t="n">
        <v>0.0825389755011136</v>
      </c>
      <c r="E98" s="6" t="n">
        <v>0.0281937744250442</v>
      </c>
      <c r="F98" s="6"/>
      <c r="G98" s="6" t="n">
        <v>2.04279325453952E-013</v>
      </c>
      <c r="H98" s="6" t="n">
        <v>1</v>
      </c>
      <c r="I98" s="15" t="n">
        <v>1</v>
      </c>
      <c r="J98" s="15" t="n">
        <v>0.693877551020408</v>
      </c>
      <c r="K98" s="15"/>
      <c r="L98" s="15" t="n">
        <v>1</v>
      </c>
      <c r="M98" s="15" t="n">
        <v>1</v>
      </c>
      <c r="N98" s="15" t="n">
        <v>1.05367121277235E-008</v>
      </c>
      <c r="O98" s="15" t="n">
        <v>0.664211164155072</v>
      </c>
    </row>
    <row r="99" customFormat="false" ht="12.75" hidden="false" customHeight="false" outlineLevel="0" collapsed="false">
      <c r="A99" s="6" t="s">
        <v>214</v>
      </c>
      <c r="B99" s="6" t="n">
        <v>1</v>
      </c>
      <c r="C99" s="6" t="n">
        <v>5803471</v>
      </c>
      <c r="D99" s="6" t="n">
        <v>0.120414428242517</v>
      </c>
      <c r="E99" s="6" t="n">
        <v>0.03280824193038</v>
      </c>
      <c r="F99" s="6"/>
      <c r="G99" s="6" t="n">
        <v>4.75336844122294E-011</v>
      </c>
      <c r="H99" s="6" t="n">
        <v>1</v>
      </c>
      <c r="I99" s="15" t="n">
        <v>1</v>
      </c>
      <c r="J99" s="15" t="n">
        <v>0.693877551020408</v>
      </c>
      <c r="K99" s="15"/>
      <c r="L99" s="15" t="n">
        <v>1</v>
      </c>
      <c r="M99" s="15" t="n">
        <v>1</v>
      </c>
      <c r="N99" s="15" t="n">
        <v>1.05367121277235E-008</v>
      </c>
      <c r="O99" s="15" t="n">
        <v>0.664211164155072</v>
      </c>
    </row>
    <row r="100" customFormat="false" ht="12.75" hidden="false" customHeight="false" outlineLevel="0" collapsed="false">
      <c r="A100" s="6" t="s">
        <v>215</v>
      </c>
      <c r="B100" s="6" t="n">
        <v>1</v>
      </c>
      <c r="C100" s="6" t="n">
        <v>2841764</v>
      </c>
      <c r="D100" s="6" t="n">
        <v>0</v>
      </c>
      <c r="E100" s="6" t="n">
        <v>0.0369184324665151</v>
      </c>
      <c r="F100" s="6"/>
      <c r="G100" s="6" t="n">
        <v>9.38297197918158E-012</v>
      </c>
      <c r="H100" s="6" t="n">
        <v>1</v>
      </c>
      <c r="I100" s="15" t="n">
        <v>0.424157520192652</v>
      </c>
      <c r="J100" s="15" t="n">
        <v>0.693877551020408</v>
      </c>
      <c r="K100" s="15"/>
      <c r="L100" s="15" t="n">
        <v>1</v>
      </c>
      <c r="M100" s="15" t="n">
        <v>0.424157520192652</v>
      </c>
      <c r="N100" s="15" t="n">
        <v>1.16516723643774</v>
      </c>
      <c r="O100" s="15" t="n">
        <v>0.664211164155072</v>
      </c>
    </row>
    <row r="101" customFormat="false" ht="12.75" hidden="false" customHeight="false" outlineLevel="0" collapsed="false">
      <c r="A101" s="6" t="s">
        <v>216</v>
      </c>
      <c r="B101" s="6" t="n">
        <v>1</v>
      </c>
      <c r="C101" s="6" t="n">
        <v>2565328</v>
      </c>
      <c r="D101" s="6" t="n">
        <v>0.238988095238095</v>
      </c>
      <c r="E101" s="6" t="n">
        <v>0.0706260870607761</v>
      </c>
      <c r="F101" s="6"/>
      <c r="G101" s="6" t="n">
        <v>8.3954224057573E-014</v>
      </c>
      <c r="H101" s="6" t="n">
        <v>1</v>
      </c>
      <c r="I101" s="15" t="n">
        <v>1</v>
      </c>
      <c r="J101" s="15" t="n">
        <v>0.693877551020408</v>
      </c>
      <c r="K101" s="15"/>
      <c r="L101" s="15" t="n">
        <v>1</v>
      </c>
      <c r="M101" s="15" t="n">
        <v>1</v>
      </c>
      <c r="N101" s="15" t="n">
        <v>1.05367121277235E-008</v>
      </c>
      <c r="O101" s="15" t="n">
        <v>0.664211164155072</v>
      </c>
    </row>
    <row r="102" customFormat="false" ht="12.75" hidden="false" customHeight="false" outlineLevel="0" collapsed="false">
      <c r="A102" s="6" t="s">
        <v>217</v>
      </c>
      <c r="B102" s="6" t="n">
        <v>1</v>
      </c>
      <c r="C102" s="6" t="n">
        <v>3860219</v>
      </c>
      <c r="D102" s="6" t="n">
        <v>0.239415204678363</v>
      </c>
      <c r="E102" s="6" t="n">
        <v>0.0625602364619358</v>
      </c>
      <c r="F102" s="6"/>
      <c r="G102" s="6" t="n">
        <v>4.61685442104148E-011</v>
      </c>
      <c r="H102" s="6" t="n">
        <v>1</v>
      </c>
      <c r="I102" s="15" t="n">
        <v>1</v>
      </c>
      <c r="J102" s="15" t="n">
        <v>0.693877551020408</v>
      </c>
      <c r="K102" s="15"/>
      <c r="L102" s="15" t="n">
        <v>1</v>
      </c>
      <c r="M102" s="15" t="n">
        <v>1</v>
      </c>
      <c r="N102" s="15" t="n">
        <v>1.05367121277235E-008</v>
      </c>
      <c r="O102" s="15" t="n">
        <v>0.664211164155072</v>
      </c>
    </row>
    <row r="103" customFormat="false" ht="12.75" hidden="false" customHeight="false" outlineLevel="0" collapsed="false">
      <c r="A103" s="6" t="s">
        <v>218</v>
      </c>
      <c r="B103" s="6" t="n">
        <v>1</v>
      </c>
      <c r="C103" s="6" t="n">
        <v>4342334</v>
      </c>
      <c r="D103" s="6" t="n">
        <v>0</v>
      </c>
      <c r="E103" s="6" t="n">
        <v>0.0211147303966919</v>
      </c>
      <c r="F103" s="6"/>
      <c r="G103" s="6" t="n">
        <v>2.56823004434834E-012</v>
      </c>
      <c r="H103" s="6" t="n">
        <v>1</v>
      </c>
      <c r="I103" s="15" t="n">
        <v>0.593996061216805</v>
      </c>
      <c r="J103" s="15" t="n">
        <v>0.693877551020408</v>
      </c>
      <c r="K103" s="15"/>
      <c r="L103" s="15" t="n">
        <v>1</v>
      </c>
      <c r="M103" s="15" t="n">
        <v>0.593996061216805</v>
      </c>
      <c r="N103" s="15" t="n">
        <v>0.82674835759623</v>
      </c>
      <c r="O103" s="15" t="n">
        <v>0.664211164155072</v>
      </c>
    </row>
    <row r="104" customFormat="false" ht="12.75" hidden="false" customHeight="false" outlineLevel="0" collapsed="false">
      <c r="A104" s="6" t="s">
        <v>219</v>
      </c>
      <c r="B104" s="6" t="n">
        <v>1</v>
      </c>
      <c r="C104" s="6" t="n">
        <v>1241382</v>
      </c>
      <c r="D104" s="6" t="n">
        <v>0.292950391644909</v>
      </c>
      <c r="E104" s="6" t="n">
        <v>0.0206121747105353</v>
      </c>
      <c r="F104" s="6"/>
      <c r="G104" s="6" t="n">
        <v>2.65827638003696E-010</v>
      </c>
      <c r="H104" s="6" t="n">
        <v>1</v>
      </c>
      <c r="I104" s="15" t="n">
        <v>1</v>
      </c>
      <c r="J104" s="15" t="n">
        <v>0.693877551020408</v>
      </c>
      <c r="K104" s="15"/>
      <c r="L104" s="15" t="n">
        <v>1</v>
      </c>
      <c r="M104" s="15" t="n">
        <v>1</v>
      </c>
      <c r="N104" s="15" t="n">
        <v>1.05367121277235E-008</v>
      </c>
      <c r="O104" s="15" t="n">
        <v>0.664211164155072</v>
      </c>
    </row>
    <row r="105" customFormat="false" ht="12.75" hidden="false" customHeight="false" outlineLevel="0" collapsed="false">
      <c r="A105" s="6" t="s">
        <v>220</v>
      </c>
      <c r="B105" s="6" t="n">
        <v>1</v>
      </c>
      <c r="C105" s="6" t="n">
        <v>5042438</v>
      </c>
      <c r="D105" s="6" t="n">
        <v>0.059493670886076</v>
      </c>
      <c r="E105" s="6" t="n">
        <v>0.0697797782145526</v>
      </c>
      <c r="F105" s="6"/>
      <c r="G105" s="6" t="n">
        <v>7.3736342600225E-010</v>
      </c>
      <c r="H105" s="6" t="n">
        <v>1</v>
      </c>
      <c r="I105" s="15" t="n">
        <v>1</v>
      </c>
      <c r="J105" s="15" t="n">
        <v>0.693877551020408</v>
      </c>
      <c r="K105" s="15"/>
      <c r="L105" s="15" t="n">
        <v>1</v>
      </c>
      <c r="M105" s="15" t="n">
        <v>1</v>
      </c>
      <c r="N105" s="15" t="n">
        <v>1.05367121277235E-008</v>
      </c>
      <c r="O105" s="15" t="n">
        <v>0.664211164155072</v>
      </c>
    </row>
    <row r="106" customFormat="false" ht="12.75" hidden="false" customHeight="false" outlineLevel="0" collapsed="false">
      <c r="A106" s="6" t="s">
        <v>221</v>
      </c>
      <c r="B106" s="6" t="n">
        <v>1</v>
      </c>
      <c r="C106" s="6" t="n">
        <v>6073550</v>
      </c>
      <c r="D106" s="6" t="n">
        <v>0.163254593175853</v>
      </c>
      <c r="E106" s="6" t="n">
        <v>0.0502082263621112</v>
      </c>
      <c r="F106" s="6"/>
      <c r="G106" s="6" t="n">
        <v>2.60150207336547E-011</v>
      </c>
      <c r="H106" s="6" t="n">
        <v>1</v>
      </c>
      <c r="I106" s="15" t="n">
        <v>1</v>
      </c>
      <c r="J106" s="15" t="n">
        <v>0.693877551020408</v>
      </c>
      <c r="K106" s="15"/>
      <c r="L106" s="15" t="n">
        <v>1</v>
      </c>
      <c r="M106" s="15" t="n">
        <v>1</v>
      </c>
      <c r="N106" s="15" t="n">
        <v>1.05367121277235E-008</v>
      </c>
      <c r="O106" s="15" t="n">
        <v>0.664211164155072</v>
      </c>
    </row>
    <row r="107" customFormat="false" ht="12.75" hidden="false" customHeight="false" outlineLevel="0" collapsed="false">
      <c r="A107" s="6" t="s">
        <v>222</v>
      </c>
      <c r="B107" s="6" t="n">
        <v>1</v>
      </c>
      <c r="C107" s="6" t="n">
        <v>9549353</v>
      </c>
      <c r="D107" s="6" t="n">
        <v>0</v>
      </c>
      <c r="E107" s="6" t="n">
        <v>0.00796925854450259</v>
      </c>
      <c r="F107" s="6"/>
      <c r="G107" s="6" t="n">
        <v>9.23270469744563E-013</v>
      </c>
      <c r="H107" s="6" t="n">
        <v>1</v>
      </c>
      <c r="I107" s="15" t="n">
        <v>0.989497159880155</v>
      </c>
      <c r="J107" s="15" t="n">
        <v>0.693877551020408</v>
      </c>
      <c r="K107" s="15"/>
      <c r="L107" s="15" t="n">
        <v>1</v>
      </c>
      <c r="M107" s="15" t="n">
        <v>0.989497159880155</v>
      </c>
      <c r="N107" s="15" t="n">
        <v>0.103025825075214</v>
      </c>
      <c r="O107" s="15" t="n">
        <v>0.664211164155072</v>
      </c>
    </row>
    <row r="108" customFormat="false" ht="12.75" hidden="false" customHeight="false" outlineLevel="0" collapsed="false">
      <c r="A108" s="6" t="s">
        <v>223</v>
      </c>
      <c r="B108" s="6" t="n">
        <v>1</v>
      </c>
      <c r="C108" s="6" t="n">
        <v>4609548</v>
      </c>
      <c r="D108" s="6" t="n">
        <v>0</v>
      </c>
      <c r="E108" s="6" t="n">
        <v>0.0231171606433715</v>
      </c>
      <c r="F108" s="6"/>
      <c r="G108" s="6" t="n">
        <v>3.91416523412056E-014</v>
      </c>
      <c r="H108" s="6" t="n">
        <v>0</v>
      </c>
      <c r="I108" s="15" t="n">
        <v>0.669979383955244</v>
      </c>
      <c r="J108" s="15" t="n">
        <v>0.693877551020408</v>
      </c>
      <c r="K108" s="15"/>
      <c r="L108" s="15" t="n">
        <v>0</v>
      </c>
      <c r="M108" s="15" t="n">
        <v>0.669979383955244</v>
      </c>
      <c r="N108" s="15" t="n">
        <v>-1.42482059587282</v>
      </c>
      <c r="O108" s="15" t="n">
        <v>-1.50554530541816</v>
      </c>
    </row>
    <row r="109" customFormat="false" ht="12.75" hidden="false" customHeight="false" outlineLevel="0" collapsed="false">
      <c r="A109" s="6" t="s">
        <v>224</v>
      </c>
      <c r="B109" s="6" t="n">
        <v>1</v>
      </c>
      <c r="C109" s="6" t="n">
        <v>2697243</v>
      </c>
      <c r="D109" s="6" t="n">
        <v>0</v>
      </c>
      <c r="E109" s="6" t="n">
        <v>0.0305028704492417</v>
      </c>
      <c r="F109" s="6"/>
      <c r="G109" s="6" t="n">
        <v>3.31728127610878E-012</v>
      </c>
      <c r="H109" s="6" t="n">
        <v>0</v>
      </c>
      <c r="I109" s="15" t="n">
        <v>0.329186254037572</v>
      </c>
      <c r="J109" s="15" t="n">
        <v>0.693877551020408</v>
      </c>
      <c r="K109" s="15"/>
      <c r="L109" s="15" t="n">
        <v>0</v>
      </c>
      <c r="M109" s="15" t="n">
        <v>0.329186254037572</v>
      </c>
      <c r="N109" s="15" t="n">
        <v>-0.700518919727553</v>
      </c>
      <c r="O109" s="15" t="n">
        <v>-1.50554530541816</v>
      </c>
    </row>
    <row r="110" customFormat="false" ht="12.75" hidden="false" customHeight="false" outlineLevel="0" collapsed="false">
      <c r="A110" s="6" t="s">
        <v>225</v>
      </c>
      <c r="B110" s="6" t="n">
        <v>1</v>
      </c>
      <c r="C110" s="6" t="n">
        <v>5323523</v>
      </c>
      <c r="D110" s="6" t="n">
        <v>0</v>
      </c>
      <c r="E110" s="6" t="n">
        <v>0.0724272745344907</v>
      </c>
      <c r="F110" s="6"/>
      <c r="G110" s="6" t="n">
        <v>1.15835281976731E-010</v>
      </c>
      <c r="H110" s="6" t="n">
        <v>1</v>
      </c>
      <c r="I110" s="15" t="n">
        <v>0.970167276659932</v>
      </c>
      <c r="J110" s="15" t="n">
        <v>0.693877551020408</v>
      </c>
      <c r="K110" s="15"/>
      <c r="L110" s="15" t="n">
        <v>1</v>
      </c>
      <c r="M110" s="15" t="n">
        <v>0.970167276659932</v>
      </c>
      <c r="N110" s="15" t="n">
        <v>0.175357013061788</v>
      </c>
      <c r="O110" s="15" t="n">
        <v>0.664211164155072</v>
      </c>
    </row>
    <row r="111" customFormat="false" ht="12.75" hidden="false" customHeight="false" outlineLevel="0" collapsed="false">
      <c r="A111" s="6" t="s">
        <v>226</v>
      </c>
      <c r="B111" s="6" t="n">
        <v>1</v>
      </c>
      <c r="C111" s="6" t="n">
        <v>870281</v>
      </c>
      <c r="D111" s="6" t="n">
        <v>0</v>
      </c>
      <c r="E111" s="6" t="n">
        <v>0.00796409544263987</v>
      </c>
      <c r="F111" s="6"/>
      <c r="G111" s="6" t="n">
        <v>3.47319888352621E-014</v>
      </c>
      <c r="H111" s="6" t="n">
        <v>0</v>
      </c>
      <c r="I111" s="15" t="n">
        <v>0.0344576772117299</v>
      </c>
      <c r="J111" s="15" t="n">
        <v>0.693877551020408</v>
      </c>
      <c r="K111" s="15"/>
      <c r="L111" s="15" t="n">
        <v>0</v>
      </c>
      <c r="M111" s="15" t="n">
        <v>0.0344576772117299</v>
      </c>
      <c r="N111" s="15" t="n">
        <v>-0.188911041189808</v>
      </c>
      <c r="O111" s="15" t="n">
        <v>-1.50554530541816</v>
      </c>
    </row>
    <row r="112" customFormat="false" ht="12.75" hidden="false" customHeight="false" outlineLevel="0" collapsed="false">
      <c r="A112" s="6" t="s">
        <v>227</v>
      </c>
      <c r="B112" s="6" t="n">
        <v>1</v>
      </c>
      <c r="C112" s="6" t="n">
        <v>1637112</v>
      </c>
      <c r="D112" s="6" t="n">
        <v>0</v>
      </c>
      <c r="E112" s="6" t="n">
        <v>0.0425053293156057</v>
      </c>
      <c r="F112" s="6"/>
      <c r="G112" s="6" t="n">
        <v>1.27766030104349E-013</v>
      </c>
      <c r="H112" s="6" t="n">
        <v>1</v>
      </c>
      <c r="I112" s="15" t="n">
        <v>0.238236510089682</v>
      </c>
      <c r="J112" s="15" t="n">
        <v>0.693877551020408</v>
      </c>
      <c r="K112" s="15"/>
      <c r="L112" s="15" t="n">
        <v>1</v>
      </c>
      <c r="M112" s="15" t="n">
        <v>0.238236510089682</v>
      </c>
      <c r="N112" s="15" t="n">
        <v>1.78815811375083</v>
      </c>
      <c r="O112" s="15" t="n">
        <v>0.664211164155072</v>
      </c>
    </row>
    <row r="113" customFormat="false" ht="12.75" hidden="false" customHeight="false" outlineLevel="0" collapsed="false">
      <c r="A113" s="6" t="s">
        <v>228</v>
      </c>
      <c r="B113" s="6" t="n">
        <v>1</v>
      </c>
      <c r="C113" s="6" t="n">
        <v>1530108</v>
      </c>
      <c r="D113" s="6" t="n">
        <v>0</v>
      </c>
      <c r="E113" s="6" t="n">
        <v>0.0433497425670366</v>
      </c>
      <c r="F113" s="6"/>
      <c r="G113" s="6" t="n">
        <v>1.76208456848238E-013</v>
      </c>
      <c r="H113" s="6" t="n">
        <v>0</v>
      </c>
      <c r="I113" s="15" t="n">
        <v>0.227330547367623</v>
      </c>
      <c r="J113" s="15" t="n">
        <v>0.693877551020408</v>
      </c>
      <c r="K113" s="15"/>
      <c r="L113" s="15" t="n">
        <v>0</v>
      </c>
      <c r="M113" s="15" t="n">
        <v>0.227330547367623</v>
      </c>
      <c r="N113" s="15" t="n">
        <v>-0.54241542009679</v>
      </c>
      <c r="O113" s="15" t="n">
        <v>-1.50554530541816</v>
      </c>
    </row>
    <row r="114" customFormat="false" ht="12.75" hidden="false" customHeight="false" outlineLevel="0" collapsed="false">
      <c r="A114" s="6" t="s">
        <v>229</v>
      </c>
      <c r="B114" s="6" t="n">
        <v>1</v>
      </c>
      <c r="C114" s="6" t="n">
        <v>1148253</v>
      </c>
      <c r="D114" s="6" t="n">
        <v>0.290225563909774</v>
      </c>
      <c r="E114" s="6" t="n">
        <v>0.0851357193769645</v>
      </c>
      <c r="F114" s="6"/>
      <c r="G114" s="6" t="n">
        <v>7.50551003301169E-008</v>
      </c>
      <c r="H114" s="6" t="n">
        <v>1</v>
      </c>
      <c r="I114" s="15" t="n">
        <v>1</v>
      </c>
      <c r="J114" s="15" t="n">
        <v>0.693877551020408</v>
      </c>
      <c r="K114" s="15"/>
      <c r="L114" s="15" t="n">
        <v>1</v>
      </c>
      <c r="M114" s="15" t="n">
        <v>1</v>
      </c>
      <c r="N114" s="15" t="n">
        <v>1.05367121277235E-008</v>
      </c>
      <c r="O114" s="15" t="n">
        <v>0.664211164155072</v>
      </c>
    </row>
    <row r="115" customFormat="false" ht="12.75" hidden="false" customHeight="false" outlineLevel="0" collapsed="false">
      <c r="A115" s="6" t="s">
        <v>230</v>
      </c>
      <c r="B115" s="6" t="n">
        <v>1</v>
      </c>
      <c r="C115" s="6" t="n">
        <v>7945298</v>
      </c>
      <c r="D115" s="6" t="n">
        <v>0.424725274725275</v>
      </c>
      <c r="E115" s="6" t="n">
        <v>0.0704522955482905</v>
      </c>
      <c r="F115" s="6"/>
      <c r="G115" s="6" t="n">
        <v>9.78574048714857E-007</v>
      </c>
      <c r="H115" s="6" t="n">
        <v>1</v>
      </c>
      <c r="I115" s="15" t="n">
        <v>1</v>
      </c>
      <c r="J115" s="15" t="n">
        <v>0.693877551020408</v>
      </c>
      <c r="K115" s="15"/>
      <c r="L115" s="15" t="n">
        <v>1</v>
      </c>
      <c r="M115" s="15" t="n">
        <v>1</v>
      </c>
      <c r="N115" s="15" t="n">
        <v>1.05367121277235E-008</v>
      </c>
      <c r="O115" s="15" t="n">
        <v>0.664211164155072</v>
      </c>
    </row>
    <row r="116" customFormat="false" ht="12.75" hidden="false" customHeight="false" outlineLevel="0" collapsed="false">
      <c r="A116" s="6" t="s">
        <v>231</v>
      </c>
      <c r="B116" s="6" t="n">
        <v>1</v>
      </c>
      <c r="C116" s="6" t="n">
        <v>1685401</v>
      </c>
      <c r="D116" s="6" t="n">
        <v>0</v>
      </c>
      <c r="E116" s="6" t="n">
        <v>0.0190957981584029</v>
      </c>
      <c r="F116" s="6"/>
      <c r="G116" s="6" t="n">
        <v>3.26758137987897E-012</v>
      </c>
      <c r="H116" s="6" t="n">
        <v>0</v>
      </c>
      <c r="I116" s="15" t="n">
        <v>0.1074276968614</v>
      </c>
      <c r="J116" s="15" t="n">
        <v>0.693877551020408</v>
      </c>
      <c r="K116" s="15"/>
      <c r="L116" s="15" t="n">
        <v>0</v>
      </c>
      <c r="M116" s="15" t="n">
        <v>0.1074276968614</v>
      </c>
      <c r="N116" s="15" t="n">
        <v>-0.346925664899952</v>
      </c>
      <c r="O116" s="15" t="n">
        <v>-1.50554530541816</v>
      </c>
    </row>
    <row r="117" customFormat="false" ht="12.75" hidden="false" customHeight="false" outlineLevel="0" collapsed="false">
      <c r="A117" s="6" t="s">
        <v>232</v>
      </c>
      <c r="B117" s="6" t="n">
        <v>1</v>
      </c>
      <c r="C117" s="6" t="n">
        <v>18136081</v>
      </c>
      <c r="D117" s="6" t="n">
        <v>0.270103092783505</v>
      </c>
      <c r="E117" s="6" t="n">
        <v>0.0509878017590525</v>
      </c>
      <c r="F117" s="6"/>
      <c r="G117" s="6" t="n">
        <v>6.14030526894406E-010</v>
      </c>
      <c r="H117" s="6" t="n">
        <v>1</v>
      </c>
      <c r="I117" s="15" t="n">
        <v>1</v>
      </c>
      <c r="J117" s="15" t="n">
        <v>0.693877551020408</v>
      </c>
      <c r="K117" s="15"/>
      <c r="L117" s="15" t="n">
        <v>1</v>
      </c>
      <c r="M117" s="15" t="n">
        <v>1</v>
      </c>
      <c r="N117" s="15" t="n">
        <v>1.05367121277235E-008</v>
      </c>
      <c r="O117" s="15" t="n">
        <v>0.664211164155072</v>
      </c>
    </row>
    <row r="118" customFormat="false" ht="12.75" hidden="false" customHeight="false" outlineLevel="0" collapsed="false">
      <c r="A118" s="6" t="s">
        <v>233</v>
      </c>
      <c r="B118" s="6" t="n">
        <v>1</v>
      </c>
      <c r="C118" s="6" t="n">
        <v>7195138</v>
      </c>
      <c r="D118" s="6" t="n">
        <v>0</v>
      </c>
      <c r="E118" s="6" t="n">
        <v>0.0221303868527105</v>
      </c>
      <c r="F118" s="6"/>
      <c r="G118" s="6" t="n">
        <v>1.73290869510021E-012</v>
      </c>
      <c r="H118" s="6" t="n">
        <v>1</v>
      </c>
      <c r="I118" s="15" t="n">
        <v>0.953169225948292</v>
      </c>
      <c r="J118" s="15" t="n">
        <v>0.693877551020408</v>
      </c>
      <c r="K118" s="15"/>
      <c r="L118" s="15" t="n">
        <v>1</v>
      </c>
      <c r="M118" s="15" t="n">
        <v>0.953169225948292</v>
      </c>
      <c r="N118" s="15" t="n">
        <v>0.221656597277444</v>
      </c>
      <c r="O118" s="15" t="n">
        <v>0.664211164155072</v>
      </c>
    </row>
    <row r="119" customFormat="false" ht="12.75" hidden="false" customHeight="false" outlineLevel="0" collapsed="false">
      <c r="A119" s="6" t="s">
        <v>234</v>
      </c>
      <c r="B119" s="6" t="n">
        <v>1</v>
      </c>
      <c r="C119" s="6" t="n">
        <v>641367</v>
      </c>
      <c r="D119" s="6" t="n">
        <v>0</v>
      </c>
      <c r="E119" s="6" t="n">
        <v>0.0585817128891722</v>
      </c>
      <c r="F119" s="6"/>
      <c r="G119" s="6" t="n">
        <v>2.88428682897276E-014</v>
      </c>
      <c r="H119" s="6" t="n">
        <v>0</v>
      </c>
      <c r="I119" s="15" t="n">
        <v>0.201013714522268</v>
      </c>
      <c r="J119" s="15" t="n">
        <v>0.693877551020408</v>
      </c>
      <c r="K119" s="15"/>
      <c r="L119" s="15" t="n">
        <v>0</v>
      </c>
      <c r="M119" s="15" t="n">
        <v>0.201013714522268</v>
      </c>
      <c r="N119" s="15" t="n">
        <v>-0.501583431297547</v>
      </c>
      <c r="O119" s="15" t="n">
        <v>-1.50554530541816</v>
      </c>
    </row>
    <row r="120" customFormat="false" ht="12.75" hidden="false" customHeight="false" outlineLevel="0" collapsed="false">
      <c r="A120" s="6" t="s">
        <v>235</v>
      </c>
      <c r="B120" s="6" t="n">
        <v>1</v>
      </c>
      <c r="C120" s="6" t="n">
        <v>11150506</v>
      </c>
      <c r="D120" s="6" t="n">
        <v>0.124419204956118</v>
      </c>
      <c r="E120" s="6" t="n">
        <v>0.0282688311910131</v>
      </c>
      <c r="F120" s="6"/>
      <c r="G120" s="6" t="n">
        <v>3.8555392305473E-012</v>
      </c>
      <c r="H120" s="6" t="n">
        <v>1</v>
      </c>
      <c r="I120" s="15" t="n">
        <v>1</v>
      </c>
      <c r="J120" s="15" t="n">
        <v>0.693877551020408</v>
      </c>
      <c r="K120" s="15"/>
      <c r="L120" s="15" t="n">
        <v>1</v>
      </c>
      <c r="M120" s="15" t="n">
        <v>1</v>
      </c>
      <c r="N120" s="15" t="n">
        <v>1.05367121277235E-008</v>
      </c>
      <c r="O120" s="15" t="n">
        <v>0.664211164155072</v>
      </c>
    </row>
    <row r="121" customFormat="false" ht="12.75" hidden="false" customHeight="false" outlineLevel="0" collapsed="false">
      <c r="A121" s="6" t="s">
        <v>236</v>
      </c>
      <c r="B121" s="6" t="n">
        <v>1</v>
      </c>
      <c r="C121" s="6" t="n">
        <v>3277687</v>
      </c>
      <c r="D121" s="6" t="n">
        <v>0.163815789473684</v>
      </c>
      <c r="E121" s="6" t="n">
        <v>0.0108396118772474</v>
      </c>
      <c r="F121" s="6"/>
      <c r="G121" s="6" t="n">
        <v>8.18184975183888E-013</v>
      </c>
      <c r="H121" s="6" t="n">
        <v>1</v>
      </c>
      <c r="I121" s="15" t="n">
        <v>1</v>
      </c>
      <c r="J121" s="15" t="n">
        <v>0.693877551020408</v>
      </c>
      <c r="K121" s="15"/>
      <c r="L121" s="15" t="n">
        <v>1</v>
      </c>
      <c r="M121" s="15" t="n">
        <v>1</v>
      </c>
      <c r="N121" s="15" t="n">
        <v>1.05367121277235E-008</v>
      </c>
      <c r="O121" s="15" t="n">
        <v>0.664211164155072</v>
      </c>
    </row>
    <row r="122" customFormat="false" ht="12.75" hidden="false" customHeight="false" outlineLevel="0" collapsed="false">
      <c r="A122" s="6" t="s">
        <v>237</v>
      </c>
      <c r="B122" s="6" t="n">
        <v>1</v>
      </c>
      <c r="C122" s="6" t="n">
        <v>3140585</v>
      </c>
      <c r="D122" s="6" t="n">
        <v>0</v>
      </c>
      <c r="E122" s="6" t="n">
        <v>0.0372433830337473</v>
      </c>
      <c r="F122" s="6"/>
      <c r="G122" s="6" t="n">
        <v>1.82145478296565E-012</v>
      </c>
      <c r="H122" s="6" t="n">
        <v>1</v>
      </c>
      <c r="I122" s="15" t="n">
        <v>0.494508637037971</v>
      </c>
      <c r="J122" s="15" t="n">
        <v>0.693877551020408</v>
      </c>
      <c r="K122" s="15"/>
      <c r="L122" s="15" t="n">
        <v>1</v>
      </c>
      <c r="M122" s="15" t="n">
        <v>0.494508637037971</v>
      </c>
      <c r="N122" s="15" t="n">
        <v>1.01104370394454</v>
      </c>
      <c r="O122" s="15" t="n">
        <v>0.664211164155072</v>
      </c>
    </row>
    <row r="123" customFormat="false" ht="12.75" hidden="false" customHeight="false" outlineLevel="0" collapsed="false">
      <c r="A123" s="6" t="s">
        <v>238</v>
      </c>
      <c r="B123" s="6" t="n">
        <v>1</v>
      </c>
      <c r="C123" s="6" t="n">
        <v>12071842</v>
      </c>
      <c r="D123" s="6" t="n">
        <v>0.224868231911835</v>
      </c>
      <c r="E123" s="6" t="n">
        <v>0.0341732303708947</v>
      </c>
      <c r="F123" s="6"/>
      <c r="G123" s="6" t="n">
        <v>7.42322736941945E-009</v>
      </c>
      <c r="H123" s="6" t="n">
        <v>1</v>
      </c>
      <c r="I123" s="15" t="n">
        <v>1</v>
      </c>
      <c r="J123" s="15" t="n">
        <v>0.693877551020408</v>
      </c>
      <c r="K123" s="15"/>
      <c r="L123" s="15" t="n">
        <v>1</v>
      </c>
      <c r="M123" s="15" t="n">
        <v>1</v>
      </c>
      <c r="N123" s="15" t="n">
        <v>1.05367121277235E-008</v>
      </c>
      <c r="O123" s="15" t="n">
        <v>0.664211164155072</v>
      </c>
    </row>
    <row r="124" customFormat="false" ht="12.75" hidden="false" customHeight="false" outlineLevel="0" collapsed="false">
      <c r="A124" s="6" t="s">
        <v>239</v>
      </c>
      <c r="B124" s="6" t="n">
        <v>1</v>
      </c>
      <c r="C124" s="6" t="n">
        <v>989794</v>
      </c>
      <c r="D124" s="6" t="n">
        <v>0</v>
      </c>
      <c r="E124" s="6" t="n">
        <v>0.0757652407576525</v>
      </c>
      <c r="F124" s="6"/>
      <c r="G124" s="6" t="n">
        <v>1.30467382846026E-008</v>
      </c>
      <c r="H124" s="6" t="n">
        <v>1</v>
      </c>
      <c r="I124" s="15" t="n">
        <v>0.881278765210066</v>
      </c>
      <c r="J124" s="15" t="n">
        <v>0.693877551020408</v>
      </c>
      <c r="K124" s="15"/>
      <c r="L124" s="15" t="n">
        <v>1</v>
      </c>
      <c r="M124" s="15" t="n">
        <v>0.881278765210066</v>
      </c>
      <c r="N124" s="15" t="n">
        <v>0.367035058819467</v>
      </c>
      <c r="O124" s="15" t="n">
        <v>0.664211164155072</v>
      </c>
    </row>
    <row r="125" customFormat="false" ht="12.75" hidden="false" customHeight="false" outlineLevel="0" collapsed="false">
      <c r="A125" s="6" t="s">
        <v>240</v>
      </c>
      <c r="B125" s="6" t="n">
        <v>1</v>
      </c>
      <c r="C125" s="6" t="n">
        <v>3673287</v>
      </c>
      <c r="D125" s="6" t="n">
        <v>0</v>
      </c>
      <c r="E125" s="6" t="n">
        <v>0.0212156597627681</v>
      </c>
      <c r="F125" s="6"/>
      <c r="G125" s="6" t="n">
        <v>2.57625046539453E-014</v>
      </c>
      <c r="H125" s="6" t="n">
        <v>0</v>
      </c>
      <c r="I125" s="15" t="n">
        <v>0.444494427285367</v>
      </c>
      <c r="J125" s="15" t="n">
        <v>0.693877551020408</v>
      </c>
      <c r="K125" s="15"/>
      <c r="L125" s="15" t="n">
        <v>0</v>
      </c>
      <c r="M125" s="15" t="n">
        <v>0.444494427285367</v>
      </c>
      <c r="N125" s="15" t="n">
        <v>-0.894517724237981</v>
      </c>
      <c r="O125" s="15" t="n">
        <v>-1.50554530541816</v>
      </c>
    </row>
    <row r="126" customFormat="false" ht="12.75" hidden="false" customHeight="false" outlineLevel="0" collapsed="false">
      <c r="A126" s="6" t="s">
        <v>241</v>
      </c>
      <c r="B126" s="6" t="n">
        <v>1</v>
      </c>
      <c r="C126" s="6" t="n">
        <v>729034</v>
      </c>
      <c r="D126" s="6" t="n">
        <v>0</v>
      </c>
      <c r="E126" s="6" t="n">
        <v>0.0295761623107812</v>
      </c>
      <c r="F126" s="6"/>
      <c r="G126" s="6" t="n">
        <v>8.51096256861615E-012</v>
      </c>
      <c r="H126" s="6" t="n">
        <v>0</v>
      </c>
      <c r="I126" s="15" t="n">
        <v>0.0732998064061763</v>
      </c>
      <c r="J126" s="15" t="n">
        <v>0.693877551020408</v>
      </c>
      <c r="K126" s="15"/>
      <c r="L126" s="15" t="n">
        <v>0</v>
      </c>
      <c r="M126" s="15" t="n">
        <v>0.0732998064061763</v>
      </c>
      <c r="N126" s="15" t="n">
        <v>-0.281243042129893</v>
      </c>
      <c r="O126" s="15" t="n">
        <v>-1.50554530541816</v>
      </c>
    </row>
    <row r="127" customFormat="false" ht="12.75" hidden="false" customHeight="false" outlineLevel="0" collapsed="false">
      <c r="A127" s="6" t="s">
        <v>242</v>
      </c>
      <c r="B127" s="6" t="n">
        <v>1</v>
      </c>
      <c r="C127" s="6" t="n">
        <v>5256051</v>
      </c>
      <c r="D127" s="6" t="n">
        <v>0</v>
      </c>
      <c r="E127" s="6" t="n">
        <v>0.0458630868796215</v>
      </c>
      <c r="F127" s="6"/>
      <c r="G127" s="6" t="n">
        <v>2.94341409435387E-013</v>
      </c>
      <c r="H127" s="6" t="n">
        <v>1</v>
      </c>
      <c r="I127" s="15" t="n">
        <v>0.906018529959219</v>
      </c>
      <c r="J127" s="15" t="n">
        <v>0.693877551020408</v>
      </c>
      <c r="K127" s="15"/>
      <c r="L127" s="15" t="n">
        <v>1</v>
      </c>
      <c r="M127" s="15" t="n">
        <v>0.906018529959219</v>
      </c>
      <c r="N127" s="15" t="n">
        <v>0.322071708393218</v>
      </c>
      <c r="O127" s="15" t="n">
        <v>0.664211164155072</v>
      </c>
    </row>
    <row r="128" customFormat="false" ht="12.75" hidden="false" customHeight="false" outlineLevel="0" collapsed="false">
      <c r="A128" s="6" t="s">
        <v>243</v>
      </c>
      <c r="B128" s="6" t="n">
        <v>1</v>
      </c>
      <c r="C128" s="6" t="n">
        <v>18723991</v>
      </c>
      <c r="D128" s="6" t="n">
        <v>0.006727760393384</v>
      </c>
      <c r="E128" s="6" t="n">
        <v>0.00910524272123237</v>
      </c>
      <c r="F128" s="6"/>
      <c r="G128" s="6" t="n">
        <v>2.38458372944146E-012</v>
      </c>
      <c r="H128" s="6" t="n">
        <v>1</v>
      </c>
      <c r="I128" s="15" t="n">
        <v>1</v>
      </c>
      <c r="J128" s="15" t="n">
        <v>0.693877551020408</v>
      </c>
      <c r="K128" s="15"/>
      <c r="L128" s="15" t="n">
        <v>1</v>
      </c>
      <c r="M128" s="15" t="n">
        <v>1</v>
      </c>
      <c r="N128" s="15" t="n">
        <v>1.49011611938477E-008</v>
      </c>
      <c r="O128" s="15" t="n">
        <v>0.664211164155072</v>
      </c>
    </row>
    <row r="129" customFormat="false" ht="12.75" hidden="false" customHeight="false" outlineLevel="0" collapsed="false">
      <c r="A129" s="6" t="s">
        <v>244</v>
      </c>
      <c r="B129" s="6" t="n">
        <v>1</v>
      </c>
      <c r="C129" s="6" t="n">
        <v>1951408</v>
      </c>
      <c r="D129" s="6" t="n">
        <v>0</v>
      </c>
      <c r="E129" s="6" t="n">
        <v>0.00991343868813166</v>
      </c>
      <c r="F129" s="6"/>
      <c r="G129" s="6" t="n">
        <v>4.16760355861009E-013</v>
      </c>
      <c r="H129" s="6" t="n">
        <v>1</v>
      </c>
      <c r="I129" s="15" t="n">
        <v>0.0937809123565002</v>
      </c>
      <c r="J129" s="15" t="n">
        <v>0.693877551020408</v>
      </c>
      <c r="K129" s="15"/>
      <c r="L129" s="15" t="n">
        <v>1</v>
      </c>
      <c r="M129" s="15" t="n">
        <v>0.0937809123565002</v>
      </c>
      <c r="N129" s="15" t="n">
        <v>3.10856087068737</v>
      </c>
      <c r="O129" s="15" t="n">
        <v>0.664211164155072</v>
      </c>
    </row>
    <row r="130" customFormat="false" ht="12.75" hidden="false" customHeight="false" outlineLevel="0" collapsed="false">
      <c r="A130" s="6" t="s">
        <v>245</v>
      </c>
      <c r="B130" s="6" t="n">
        <v>1</v>
      </c>
      <c r="C130" s="6" t="n">
        <v>584771</v>
      </c>
      <c r="D130" s="6" t="n">
        <v>0</v>
      </c>
      <c r="E130" s="6" t="n">
        <v>0.0494956071368481</v>
      </c>
      <c r="F130" s="6"/>
      <c r="G130" s="6" t="n">
        <v>5.28659248696466E-009</v>
      </c>
      <c r="H130" s="6" t="n">
        <v>0</v>
      </c>
      <c r="I130" s="15" t="n">
        <v>0.29459664992986</v>
      </c>
      <c r="J130" s="15" t="n">
        <v>0.693877551020408</v>
      </c>
      <c r="K130" s="15"/>
      <c r="L130" s="15" t="n">
        <v>0</v>
      </c>
      <c r="M130" s="15" t="n">
        <v>0.29459664992986</v>
      </c>
      <c r="N130" s="15" t="n">
        <v>-0.64624194510139</v>
      </c>
      <c r="O130" s="15" t="n">
        <v>-1.50554530541816</v>
      </c>
    </row>
    <row r="131" customFormat="false" ht="12.75" hidden="false" customHeight="false" outlineLevel="0" collapsed="false">
      <c r="A131" s="6" t="s">
        <v>246</v>
      </c>
      <c r="B131" s="6" t="n">
        <v>1</v>
      </c>
      <c r="C131" s="6" t="n">
        <v>6618358</v>
      </c>
      <c r="D131" s="6" t="n">
        <v>0.102064896755162</v>
      </c>
      <c r="E131" s="6" t="n">
        <v>0.0646098010772455</v>
      </c>
      <c r="F131" s="6"/>
      <c r="G131" s="6" t="n">
        <v>2.1699894914854E-010</v>
      </c>
      <c r="H131" s="6" t="n">
        <v>1</v>
      </c>
      <c r="I131" s="15" t="n">
        <v>1</v>
      </c>
      <c r="J131" s="15" t="n">
        <v>0.693877551020408</v>
      </c>
      <c r="K131" s="15"/>
      <c r="L131" s="15" t="n">
        <v>1</v>
      </c>
      <c r="M131" s="15" t="n">
        <v>1</v>
      </c>
      <c r="N131" s="15" t="n">
        <v>1.05367121277235E-008</v>
      </c>
      <c r="O131" s="15" t="n">
        <v>0.664211164155072</v>
      </c>
    </row>
    <row r="132" customFormat="false" ht="12.75" hidden="false" customHeight="false" outlineLevel="0" collapsed="false">
      <c r="A132" s="6" t="s">
        <v>247</v>
      </c>
      <c r="B132" s="6" t="n">
        <v>1</v>
      </c>
      <c r="C132" s="6" t="n">
        <v>5430940</v>
      </c>
      <c r="D132" s="6" t="n">
        <v>0</v>
      </c>
      <c r="E132" s="6" t="n">
        <v>0.0152694227003708</v>
      </c>
      <c r="F132" s="6"/>
      <c r="G132" s="6" t="n">
        <v>4.68182221770351E-012</v>
      </c>
      <c r="H132" s="6" t="n">
        <v>1</v>
      </c>
      <c r="I132" s="15" t="n">
        <v>0.753897235975992</v>
      </c>
      <c r="J132" s="15" t="n">
        <v>0.693877551020408</v>
      </c>
      <c r="K132" s="15"/>
      <c r="L132" s="15" t="n">
        <v>1</v>
      </c>
      <c r="M132" s="15" t="n">
        <v>0.753897235975992</v>
      </c>
      <c r="N132" s="15" t="n">
        <v>0.571349919013084</v>
      </c>
      <c r="O132" s="15" t="n">
        <v>0.664211164155072</v>
      </c>
    </row>
    <row r="133" customFormat="false" ht="12.75" hidden="false" customHeight="false" outlineLevel="0" collapsed="false">
      <c r="A133" s="6" t="s">
        <v>248</v>
      </c>
      <c r="B133" s="6" t="n">
        <v>1</v>
      </c>
      <c r="C133" s="6" t="n">
        <v>1828140</v>
      </c>
      <c r="D133" s="6" t="n">
        <v>0.154107142857143</v>
      </c>
      <c r="E133" s="6" t="n">
        <v>0.083450810945235</v>
      </c>
      <c r="F133" s="6"/>
      <c r="G133" s="6" t="n">
        <v>6.85214483647577E-010</v>
      </c>
      <c r="H133" s="6" t="n">
        <v>1</v>
      </c>
      <c r="I133" s="15" t="n">
        <v>1</v>
      </c>
      <c r="J133" s="15" t="n">
        <v>0.693877551020408</v>
      </c>
      <c r="K133" s="15"/>
      <c r="L133" s="15" t="n">
        <v>1</v>
      </c>
      <c r="M133" s="15" t="n">
        <v>1</v>
      </c>
      <c r="N133" s="15" t="n">
        <v>1.05367121277235E-008</v>
      </c>
      <c r="O133" s="15" t="n">
        <v>0.664211164155072</v>
      </c>
    </row>
    <row r="134" customFormat="false" ht="12.75" hidden="false" customHeight="false" outlineLevel="0" collapsed="false">
      <c r="A134" s="6" t="s">
        <v>249</v>
      </c>
      <c r="B134" s="6" t="n">
        <v>1</v>
      </c>
      <c r="C134" s="6" t="n">
        <v>5122871</v>
      </c>
      <c r="D134" s="6" t="n">
        <v>0</v>
      </c>
      <c r="E134" s="6" t="n">
        <v>0.0137079087829872</v>
      </c>
      <c r="F134" s="6"/>
      <c r="G134" s="6" t="n">
        <v>6.22970666540397E-012</v>
      </c>
      <c r="H134" s="6" t="n">
        <v>1</v>
      </c>
      <c r="I134" s="15" t="n">
        <v>0.684274614880202</v>
      </c>
      <c r="J134" s="15" t="n">
        <v>0.693877551020408</v>
      </c>
      <c r="K134" s="15"/>
      <c r="L134" s="15" t="n">
        <v>1</v>
      </c>
      <c r="M134" s="15" t="n">
        <v>0.684274614880202</v>
      </c>
      <c r="N134" s="15" t="n">
        <v>0.679265467338936</v>
      </c>
      <c r="O134" s="15" t="n">
        <v>0.664211164155072</v>
      </c>
    </row>
    <row r="135" customFormat="false" ht="13.5" hidden="false" customHeight="false" outlineLevel="0" collapsed="false">
      <c r="A135" s="7" t="s">
        <v>250</v>
      </c>
      <c r="B135" s="7" t="n">
        <v>1</v>
      </c>
      <c r="C135" s="7" t="n">
        <v>480184</v>
      </c>
      <c r="D135" s="7" t="n">
        <v>0</v>
      </c>
      <c r="E135" s="7" t="n">
        <v>0.0256209952218234</v>
      </c>
      <c r="F135" s="7"/>
      <c r="G135" s="7" t="n">
        <v>2.06863081753292E-013</v>
      </c>
      <c r="H135" s="7" t="n">
        <v>0</v>
      </c>
      <c r="I135" s="16" t="n">
        <v>0.050532606823673</v>
      </c>
      <c r="J135" s="16" t="n">
        <v>0.693877551020408</v>
      </c>
      <c r="K135" s="16"/>
      <c r="L135" s="16" t="n">
        <v>0</v>
      </c>
      <c r="M135" s="16" t="n">
        <v>0.050532606823673</v>
      </c>
      <c r="N135" s="16" t="n">
        <v>-0.230699059505529</v>
      </c>
      <c r="O135" s="16" t="n">
        <v>-1.50554530541816</v>
      </c>
    </row>
    <row r="138" customFormat="false" ht="12.75" hidden="false" customHeight="false" outlineLevel="0" collapsed="false">
      <c r="A138" s="0" t="s">
        <v>407</v>
      </c>
    </row>
    <row r="139" customFormat="false" ht="12.75" hidden="false" customHeight="false" outlineLevel="0" collapsed="false">
      <c r="A139" s="0" t="s">
        <v>109</v>
      </c>
    </row>
    <row r="140" customFormat="false" ht="12.75" hidden="false" customHeight="false" outlineLevel="0" collapsed="false">
      <c r="A140" s="0" t="s">
        <v>405</v>
      </c>
    </row>
    <row r="141" customFormat="false" ht="12.75" hidden="false" customHeight="false" outlineLevel="0" collapsed="false">
      <c r="A141" s="0" t="s">
        <v>406</v>
      </c>
    </row>
    <row r="142" customFormat="false" ht="12.75" hidden="false" customHeight="false" outlineLevel="0" collapsed="false">
      <c r="A142" s="0" t="s">
        <v>112</v>
      </c>
    </row>
    <row r="143" customFormat="false" ht="12.75" hidden="false" customHeight="false" outlineLevel="0" collapsed="false">
      <c r="A143" s="0" t="s">
        <v>370</v>
      </c>
    </row>
    <row r="146" customFormat="false" ht="12.75" hidden="false" customHeight="false" outlineLevel="0" collapsed="false">
      <c r="A146" s="0" t="s">
        <v>371</v>
      </c>
    </row>
    <row r="147" customFormat="false" ht="13.5" hidden="false" customHeight="false" outlineLevel="0" collapsed="false"/>
    <row r="148" customFormat="false" ht="12.75" hidden="false" customHeight="false" outlineLevel="0" collapsed="false">
      <c r="A148" s="8" t="s">
        <v>372</v>
      </c>
      <c r="B148" s="8" t="s">
        <v>113</v>
      </c>
      <c r="C148" s="8" t="s">
        <v>114</v>
      </c>
    </row>
    <row r="149" customFormat="false" ht="12.75" hidden="false" customHeight="false" outlineLevel="0" collapsed="false">
      <c r="A149" s="6" t="s">
        <v>84</v>
      </c>
      <c r="B149" s="6" t="n">
        <v>5338722.3877551</v>
      </c>
      <c r="C149" s="6" t="n">
        <v>5779174.66837188</v>
      </c>
    </row>
    <row r="150" customFormat="false" ht="12.75" hidden="false" customHeight="false" outlineLevel="0" collapsed="false">
      <c r="A150" s="6" t="s">
        <v>105</v>
      </c>
      <c r="B150" s="6" t="n">
        <v>0.0748801382019185</v>
      </c>
      <c r="C150" s="6" t="n">
        <v>0.114610023517382</v>
      </c>
    </row>
    <row r="151" customFormat="false" ht="12.75" hidden="false" customHeight="false" outlineLevel="0" collapsed="false">
      <c r="A151" s="6" t="s">
        <v>100</v>
      </c>
      <c r="B151" s="6" t="n">
        <v>0.0372393142980251</v>
      </c>
      <c r="C151" s="6" t="n">
        <v>0.0269260351740362</v>
      </c>
    </row>
    <row r="152" customFormat="false" ht="13.5" hidden="false" customHeight="false" outlineLevel="0" collapsed="false">
      <c r="A152" s="7" t="s">
        <v>143</v>
      </c>
      <c r="B152" s="7" t="n">
        <v>2.30500166681722E-008</v>
      </c>
      <c r="C152" s="7" t="n">
        <v>1.3983591544212E-007</v>
      </c>
    </row>
    <row r="156" customFormat="false" ht="12.75" hidden="false" customHeight="false" outlineLevel="0" collapsed="false">
      <c r="A156" s="0" t="s">
        <v>374</v>
      </c>
    </row>
    <row r="157" customFormat="false" ht="13.5" hidden="false" customHeight="false" outlineLevel="0" collapsed="false"/>
    <row r="158" customFormat="false" ht="12.75" hidden="false" customHeight="false" outlineLevel="0" collapsed="false">
      <c r="A158" s="8" t="s">
        <v>375</v>
      </c>
      <c r="B158" s="8" t="s">
        <v>135</v>
      </c>
      <c r="C158" s="8" t="s">
        <v>136</v>
      </c>
      <c r="D158" s="8" t="s">
        <v>376</v>
      </c>
      <c r="E158" s="8" t="s">
        <v>377</v>
      </c>
      <c r="F158" s="40"/>
    </row>
    <row r="159" customFormat="false" ht="12.75" hidden="false" customHeight="false" outlineLevel="0" collapsed="false">
      <c r="A159" s="6" t="s">
        <v>80</v>
      </c>
      <c r="B159" s="15" t="n">
        <v>-2.50061548333105</v>
      </c>
      <c r="C159" s="15" t="n">
        <v>1.04554499817336</v>
      </c>
      <c r="D159" s="15" t="n">
        <v>5.72016260349282</v>
      </c>
      <c r="E159" s="15" t="n">
        <v>0.0167711782322283</v>
      </c>
      <c r="F159" s="15"/>
    </row>
    <row r="160" customFormat="false" ht="12.75" hidden="false" customHeight="false" outlineLevel="0" collapsed="false">
      <c r="A160" s="6" t="s">
        <v>84</v>
      </c>
      <c r="B160" s="15" t="n">
        <v>5.32593801943934E-007</v>
      </c>
      <c r="C160" s="15" t="n">
        <v>1.97657263992878E-007</v>
      </c>
      <c r="D160" s="15" t="n">
        <v>7.26050212871967</v>
      </c>
      <c r="E160" s="15" t="n">
        <v>0.00704875824252042</v>
      </c>
      <c r="F160" s="15"/>
    </row>
    <row r="161" customFormat="false" ht="12.75" hidden="false" customHeight="false" outlineLevel="0" collapsed="false">
      <c r="A161" s="6" t="s">
        <v>105</v>
      </c>
      <c r="B161" s="15" t="n">
        <v>364.489548537987</v>
      </c>
      <c r="C161" s="15" t="n">
        <v>45.806042633383</v>
      </c>
      <c r="D161" s="15" t="n">
        <v>63.3176245904386</v>
      </c>
      <c r="E161" s="15" t="n">
        <v>0.0001</v>
      </c>
      <c r="F161" s="15"/>
    </row>
    <row r="162" customFormat="false" ht="12.75" hidden="false" customHeight="false" outlineLevel="0" collapsed="false">
      <c r="A162" s="6" t="s">
        <v>100</v>
      </c>
      <c r="B162" s="15" t="n">
        <v>21.5481803640951</v>
      </c>
      <c r="C162" s="15" t="n">
        <v>22.9912616291125</v>
      </c>
      <c r="D162" s="15" t="n">
        <v>0.878406613794248</v>
      </c>
      <c r="E162" s="15" t="n">
        <v>0.348638471922275</v>
      </c>
      <c r="F162" s="15"/>
    </row>
    <row r="163" customFormat="false" ht="13.5" hidden="false" customHeight="false" outlineLevel="0" collapsed="false">
      <c r="A163" s="7" t="s">
        <v>143</v>
      </c>
      <c r="B163" s="16" t="n">
        <v>120814261.756804</v>
      </c>
      <c r="C163" s="16" t="n">
        <v>153355420.026508</v>
      </c>
      <c r="D163" s="16" t="n">
        <v>0.620637694928867</v>
      </c>
      <c r="E163" s="16" t="n">
        <v>0.430810413587541</v>
      </c>
      <c r="F163" s="15"/>
    </row>
    <row r="166" customFormat="false" ht="13.5" hidden="false" customHeight="false" outlineLevel="0" collapsed="false">
      <c r="A166" s="0" t="s">
        <v>378</v>
      </c>
    </row>
    <row r="167" customFormat="false" ht="12.75" hidden="false" customHeight="false" outlineLevel="0" collapsed="false">
      <c r="A167" s="8" t="s">
        <v>379</v>
      </c>
      <c r="B167" s="8" t="s">
        <v>380</v>
      </c>
      <c r="C167" s="8" t="s">
        <v>381</v>
      </c>
      <c r="D167" s="8" t="s">
        <v>382</v>
      </c>
      <c r="E167" s="8" t="s">
        <v>383</v>
      </c>
      <c r="F167" s="8"/>
      <c r="G167" s="8" t="s">
        <v>384</v>
      </c>
      <c r="H167" s="8" t="s">
        <v>385</v>
      </c>
      <c r="I167" s="8" t="s">
        <v>386</v>
      </c>
      <c r="J167" s="8" t="s">
        <v>387</v>
      </c>
      <c r="K167" s="8"/>
      <c r="L167" s="8" t="s">
        <v>388</v>
      </c>
      <c r="M167" s="8" t="s">
        <v>389</v>
      </c>
    </row>
    <row r="168" customFormat="false" ht="13.5" hidden="false" customHeight="false" outlineLevel="0" collapsed="false">
      <c r="A168" s="7" t="n">
        <v>49</v>
      </c>
      <c r="B168" s="7" t="n">
        <v>-12.1914266929097</v>
      </c>
      <c r="C168" s="7" t="n">
        <v>-30.1821837539381</v>
      </c>
      <c r="D168" s="7" t="n">
        <v>23.7477600838184</v>
      </c>
      <c r="E168" s="7" t="n">
        <v>44</v>
      </c>
      <c r="F168" s="7"/>
      <c r="G168" s="7" t="n">
        <v>0.994600385767873</v>
      </c>
      <c r="H168" s="7" t="n">
        <v>35.9815141220568</v>
      </c>
      <c r="I168" s="7" t="n">
        <v>4</v>
      </c>
      <c r="J168" s="7" t="n">
        <v>0.0001</v>
      </c>
      <c r="K168" s="7"/>
      <c r="L168" s="7" t="n">
        <v>0.609781102656834</v>
      </c>
      <c r="M168" s="7" t="n">
        <v>0.596072080393488</v>
      </c>
    </row>
    <row r="170" customFormat="false" ht="12.75" hidden="false" customHeight="false" outlineLevel="0" collapsed="false">
      <c r="A170" s="0" t="s">
        <v>390</v>
      </c>
    </row>
    <row r="171" customFormat="false" ht="13.5" hidden="false" customHeight="false" outlineLevel="0" collapsed="false"/>
    <row r="172" customFormat="false" ht="12.75" hidden="false" customHeight="false" outlineLevel="0" collapsed="false">
      <c r="A172" s="8" t="s">
        <v>63</v>
      </c>
      <c r="B172" s="8"/>
      <c r="C172" s="8" t="s">
        <v>84</v>
      </c>
      <c r="D172" s="8" t="s">
        <v>105</v>
      </c>
      <c r="E172" s="8" t="s">
        <v>100</v>
      </c>
      <c r="F172" s="8"/>
      <c r="G172" s="8" t="s">
        <v>143</v>
      </c>
      <c r="H172" s="8" t="s">
        <v>362</v>
      </c>
      <c r="I172" s="8" t="s">
        <v>391</v>
      </c>
      <c r="J172" s="8" t="s">
        <v>392</v>
      </c>
      <c r="K172" s="8"/>
      <c r="L172" s="8" t="s">
        <v>393</v>
      </c>
      <c r="M172" s="8" t="s">
        <v>394</v>
      </c>
      <c r="N172" s="8" t="s">
        <v>395</v>
      </c>
      <c r="O172" s="8" t="s">
        <v>396</v>
      </c>
    </row>
    <row r="173" customFormat="false" ht="12.75" hidden="false" customHeight="false" outlineLevel="0" collapsed="false">
      <c r="A173" s="6" t="s">
        <v>202</v>
      </c>
      <c r="B173" s="6" t="n">
        <v>1</v>
      </c>
      <c r="C173" s="6" t="n">
        <v>4252982</v>
      </c>
      <c r="D173" s="6" t="n">
        <v>0</v>
      </c>
      <c r="E173" s="6" t="n">
        <v>0.0238518767065552</v>
      </c>
      <c r="F173" s="6"/>
      <c r="G173" s="6" t="n">
        <v>1.16002176106561E-012</v>
      </c>
      <c r="H173" s="6" t="n">
        <v>0</v>
      </c>
      <c r="I173" s="15" t="n">
        <v>0.609724438353942</v>
      </c>
      <c r="J173" s="15" t="n">
        <v>0.693877551020408</v>
      </c>
      <c r="K173" s="15"/>
      <c r="L173" s="15" t="n">
        <v>0</v>
      </c>
      <c r="M173" s="15" t="n">
        <v>0.609724438353942</v>
      </c>
      <c r="N173" s="15" t="n">
        <v>-1.24991684909393</v>
      </c>
      <c r="O173" s="15" t="n">
        <v>-1.50554530541816</v>
      </c>
    </row>
    <row r="174" customFormat="false" ht="12.75" hidden="false" customHeight="false" outlineLevel="0" collapsed="false">
      <c r="A174" s="6" t="s">
        <v>203</v>
      </c>
      <c r="B174" s="6" t="n">
        <v>1</v>
      </c>
      <c r="C174" s="6" t="n">
        <v>4217940</v>
      </c>
      <c r="D174" s="6" t="n">
        <v>0</v>
      </c>
      <c r="E174" s="6" t="n">
        <v>0.0112071877535429</v>
      </c>
      <c r="F174" s="6"/>
      <c r="G174" s="6" t="n">
        <v>1.49200959313964E-012</v>
      </c>
      <c r="H174" s="6" t="n">
        <v>0</v>
      </c>
      <c r="I174" s="15" t="n">
        <v>0.495016505963074</v>
      </c>
      <c r="J174" s="15" t="n">
        <v>0.693877551020408</v>
      </c>
      <c r="K174" s="15"/>
      <c r="L174" s="15" t="n">
        <v>0</v>
      </c>
      <c r="M174" s="15" t="n">
        <v>0.495016505963074</v>
      </c>
      <c r="N174" s="15" t="n">
        <v>-0.990082190951384</v>
      </c>
      <c r="O174" s="15" t="n">
        <v>-1.50554530541816</v>
      </c>
    </row>
    <row r="175" customFormat="false" ht="12.75" hidden="false" customHeight="false" outlineLevel="0" collapsed="false">
      <c r="A175" s="6" t="s">
        <v>204</v>
      </c>
      <c r="B175" s="6" t="n">
        <v>1</v>
      </c>
      <c r="C175" s="6" t="n">
        <v>2483769</v>
      </c>
      <c r="D175" s="6" t="n">
        <v>0</v>
      </c>
      <c r="E175" s="6" t="n">
        <v>0.0402941869973762</v>
      </c>
      <c r="F175" s="6"/>
      <c r="G175" s="6" t="n">
        <v>8.78858354669177E-013</v>
      </c>
      <c r="H175" s="6" t="n">
        <v>0</v>
      </c>
      <c r="I175" s="15" t="n">
        <v>0.37850758964956</v>
      </c>
      <c r="J175" s="15" t="n">
        <v>0.693877551020408</v>
      </c>
      <c r="K175" s="15"/>
      <c r="L175" s="15" t="n">
        <v>0</v>
      </c>
      <c r="M175" s="15" t="n">
        <v>0.37850758964956</v>
      </c>
      <c r="N175" s="15" t="n">
        <v>-0.780403810705016</v>
      </c>
      <c r="O175" s="15" t="n">
        <v>-1.50554530541816</v>
      </c>
    </row>
    <row r="176" customFormat="false" ht="12.75" hidden="false" customHeight="false" outlineLevel="0" collapsed="false">
      <c r="A176" s="6" t="s">
        <v>205</v>
      </c>
      <c r="B176" s="6" t="n">
        <v>1</v>
      </c>
      <c r="C176" s="6" t="n">
        <v>31589153</v>
      </c>
      <c r="D176" s="6" t="n">
        <v>0</v>
      </c>
      <c r="E176" s="6" t="n">
        <v>0.004523030247648</v>
      </c>
      <c r="F176" s="6"/>
      <c r="G176" s="6" t="n">
        <v>1.15838117524707E-012</v>
      </c>
      <c r="H176" s="6" t="n">
        <v>1</v>
      </c>
      <c r="I176" s="15" t="n">
        <v>1</v>
      </c>
      <c r="J176" s="15" t="n">
        <v>0.693877551020408</v>
      </c>
      <c r="K176" s="15"/>
      <c r="L176" s="15" t="n">
        <v>1</v>
      </c>
      <c r="M176" s="15" t="n">
        <v>1</v>
      </c>
      <c r="N176" s="15" t="n">
        <v>1.05367121277235E-008</v>
      </c>
      <c r="O176" s="15" t="n">
        <v>0.664211164155072</v>
      </c>
    </row>
    <row r="177" customFormat="false" ht="12.75" hidden="false" customHeight="false" outlineLevel="0" collapsed="false">
      <c r="A177" s="6" t="s">
        <v>206</v>
      </c>
      <c r="B177" s="6" t="n">
        <v>1</v>
      </c>
      <c r="C177" s="6" t="n">
        <v>3746585</v>
      </c>
      <c r="D177" s="6" t="n">
        <v>0.0147863247863248</v>
      </c>
      <c r="E177" s="6" t="n">
        <v>0.00794454114516863</v>
      </c>
      <c r="F177" s="6"/>
      <c r="G177" s="6" t="n">
        <v>6.58291482583513E-013</v>
      </c>
      <c r="H177" s="6" t="n">
        <v>1</v>
      </c>
      <c r="I177" s="15" t="n">
        <v>0.999999785035066</v>
      </c>
      <c r="J177" s="15" t="n">
        <v>0.693877551020408</v>
      </c>
      <c r="K177" s="15"/>
      <c r="L177" s="15" t="n">
        <v>1</v>
      </c>
      <c r="M177" s="15" t="n">
        <v>0.999999785035066</v>
      </c>
      <c r="N177" s="15" t="n">
        <v>0.000463643160866703</v>
      </c>
      <c r="O177" s="15" t="n">
        <v>0.664211164155072</v>
      </c>
    </row>
    <row r="178" customFormat="false" ht="12.75" hidden="false" customHeight="false" outlineLevel="0" collapsed="false">
      <c r="A178" s="6" t="s">
        <v>207</v>
      </c>
      <c r="B178" s="6" t="n">
        <v>1</v>
      </c>
      <c r="C178" s="6" t="n">
        <v>3274662</v>
      </c>
      <c r="D178" s="6" t="n">
        <v>0.357749077490775</v>
      </c>
      <c r="E178" s="6" t="n">
        <v>0.0456124226267046</v>
      </c>
      <c r="F178" s="6"/>
      <c r="G178" s="6" t="n">
        <v>2.67978152112005E-008</v>
      </c>
      <c r="H178" s="6" t="n">
        <v>1</v>
      </c>
      <c r="I178" s="15" t="n">
        <v>1</v>
      </c>
      <c r="J178" s="15" t="n">
        <v>0.693877551020408</v>
      </c>
      <c r="K178" s="15"/>
      <c r="L178" s="15" t="n">
        <v>1</v>
      </c>
      <c r="M178" s="15" t="n">
        <v>1</v>
      </c>
      <c r="N178" s="15" t="n">
        <v>1.05367121277235E-008</v>
      </c>
      <c r="O178" s="15" t="n">
        <v>0.664211164155072</v>
      </c>
    </row>
    <row r="179" customFormat="false" ht="12.75" hidden="false" customHeight="false" outlineLevel="0" collapsed="false">
      <c r="A179" s="6" t="s">
        <v>208</v>
      </c>
      <c r="B179" s="6" t="n">
        <v>1</v>
      </c>
      <c r="C179" s="6" t="n">
        <v>717197</v>
      </c>
      <c r="D179" s="6" t="n">
        <v>0.219607843137255</v>
      </c>
      <c r="E179" s="6" t="n">
        <v>0.138328875404208</v>
      </c>
      <c r="F179" s="6"/>
      <c r="G179" s="6" t="n">
        <v>2.04082824400193E-008</v>
      </c>
      <c r="H179" s="6" t="n">
        <v>1</v>
      </c>
      <c r="I179" s="15" t="n">
        <v>1</v>
      </c>
      <c r="J179" s="15" t="n">
        <v>0.693877551020408</v>
      </c>
      <c r="K179" s="15"/>
      <c r="L179" s="15" t="n">
        <v>1</v>
      </c>
      <c r="M179" s="15" t="n">
        <v>1</v>
      </c>
      <c r="N179" s="15" t="n">
        <v>1.05367121277235E-008</v>
      </c>
      <c r="O179" s="15" t="n">
        <v>0.664211164155072</v>
      </c>
    </row>
    <row r="180" customFormat="false" ht="12.75" hidden="false" customHeight="false" outlineLevel="0" collapsed="false">
      <c r="A180" s="6" t="s">
        <v>209</v>
      </c>
      <c r="B180" s="6" t="n">
        <v>1</v>
      </c>
      <c r="C180" s="6" t="n">
        <v>14165570</v>
      </c>
      <c r="D180" s="6" t="n">
        <v>0.111015583019882</v>
      </c>
      <c r="E180" s="6" t="n">
        <v>0.00799421046196813</v>
      </c>
      <c r="F180" s="6"/>
      <c r="G180" s="6" t="n">
        <v>3.65523418920916E-012</v>
      </c>
      <c r="H180" s="6" t="n">
        <v>1</v>
      </c>
      <c r="I180" s="15" t="n">
        <v>1</v>
      </c>
      <c r="J180" s="15" t="n">
        <v>0.693877551020408</v>
      </c>
      <c r="K180" s="15"/>
      <c r="L180" s="15" t="n">
        <v>1</v>
      </c>
      <c r="M180" s="15" t="n">
        <v>1</v>
      </c>
      <c r="N180" s="15" t="n">
        <v>1.05367121277235E-008</v>
      </c>
      <c r="O180" s="15" t="n">
        <v>0.664211164155072</v>
      </c>
    </row>
    <row r="181" customFormat="false" ht="12.75" hidden="false" customHeight="false" outlineLevel="0" collapsed="false">
      <c r="A181" s="6" t="s">
        <v>210</v>
      </c>
      <c r="B181" s="6" t="n">
        <v>1</v>
      </c>
      <c r="C181" s="6" t="n">
        <v>7200882</v>
      </c>
      <c r="D181" s="6" t="n">
        <v>0.00785562632696391</v>
      </c>
      <c r="E181" s="6" t="n">
        <v>0.0281378236648974</v>
      </c>
      <c r="F181" s="6"/>
      <c r="G181" s="6" t="n">
        <v>9.95886785099514E-013</v>
      </c>
      <c r="H181" s="6" t="n">
        <v>1</v>
      </c>
      <c r="I181" s="15" t="n">
        <v>0.999999222376839</v>
      </c>
      <c r="J181" s="15" t="n">
        <v>0.693877551020408</v>
      </c>
      <c r="K181" s="15"/>
      <c r="L181" s="15" t="n">
        <v>1</v>
      </c>
      <c r="M181" s="15" t="n">
        <v>0.999999222376839</v>
      </c>
      <c r="N181" s="15" t="n">
        <v>0.000881829782520306</v>
      </c>
      <c r="O181" s="15" t="n">
        <v>0.664211164155072</v>
      </c>
    </row>
    <row r="182" customFormat="false" ht="12.75" hidden="false" customHeight="false" outlineLevel="0" collapsed="false">
      <c r="A182" s="6" t="s">
        <v>211</v>
      </c>
      <c r="B182" s="6" t="n">
        <v>1</v>
      </c>
      <c r="C182" s="6" t="n">
        <v>1186815</v>
      </c>
      <c r="D182" s="6" t="n">
        <v>0</v>
      </c>
      <c r="E182" s="6" t="n">
        <v>0.00952409571468726</v>
      </c>
      <c r="F182" s="6"/>
      <c r="G182" s="6" t="n">
        <v>4.11770253782566E-011</v>
      </c>
      <c r="H182" s="6" t="n">
        <v>0</v>
      </c>
      <c r="I182" s="15" t="n">
        <v>0.0486260780319366</v>
      </c>
      <c r="J182" s="15" t="n">
        <v>0.693877551020408</v>
      </c>
      <c r="K182" s="15"/>
      <c r="L182" s="15" t="n">
        <v>0</v>
      </c>
      <c r="M182" s="15" t="n">
        <v>0.0486260780319366</v>
      </c>
      <c r="N182" s="15" t="n">
        <v>-0.226078363034211</v>
      </c>
      <c r="O182" s="15" t="n">
        <v>-1.50554530541816</v>
      </c>
    </row>
    <row r="183" customFormat="false" ht="12.75" hidden="false" customHeight="false" outlineLevel="0" collapsed="false">
      <c r="A183" s="6" t="s">
        <v>212</v>
      </c>
      <c r="B183" s="6" t="n">
        <v>1</v>
      </c>
      <c r="C183" s="6" t="n">
        <v>1163261</v>
      </c>
      <c r="D183" s="6" t="n">
        <v>0</v>
      </c>
      <c r="E183" s="6" t="n">
        <v>0.0261485883128481</v>
      </c>
      <c r="F183" s="6"/>
      <c r="G183" s="6" t="n">
        <v>1.71548959608199E-012</v>
      </c>
      <c r="H183" s="6" t="n">
        <v>0</v>
      </c>
      <c r="I183" s="15" t="n">
        <v>0.0938509920501529</v>
      </c>
      <c r="J183" s="15" t="n">
        <v>0.693877551020408</v>
      </c>
      <c r="K183" s="15"/>
      <c r="L183" s="15" t="n">
        <v>0</v>
      </c>
      <c r="M183" s="15" t="n">
        <v>0.0938509920501529</v>
      </c>
      <c r="N183" s="15" t="n">
        <v>-0.321824886071895</v>
      </c>
      <c r="O183" s="15" t="n">
        <v>-1.50554530541816</v>
      </c>
    </row>
    <row r="184" customFormat="false" ht="12.75" hidden="false" customHeight="false" outlineLevel="0" collapsed="false">
      <c r="A184" s="6" t="s">
        <v>213</v>
      </c>
      <c r="B184" s="6" t="n">
        <v>1</v>
      </c>
      <c r="C184" s="6" t="n">
        <v>11829940</v>
      </c>
      <c r="D184" s="6" t="n">
        <v>0.0825389755011136</v>
      </c>
      <c r="E184" s="6" t="n">
        <v>0.0281937744250442</v>
      </c>
      <c r="F184" s="6"/>
      <c r="G184" s="6" t="n">
        <v>2.04279325453952E-013</v>
      </c>
      <c r="H184" s="6" t="n">
        <v>1</v>
      </c>
      <c r="I184" s="15" t="n">
        <v>1</v>
      </c>
      <c r="J184" s="15" t="n">
        <v>0.693877551020408</v>
      </c>
      <c r="K184" s="15"/>
      <c r="L184" s="15" t="n">
        <v>1</v>
      </c>
      <c r="M184" s="15" t="n">
        <v>1</v>
      </c>
      <c r="N184" s="15" t="n">
        <v>1.05367121277235E-008</v>
      </c>
      <c r="O184" s="15" t="n">
        <v>0.664211164155072</v>
      </c>
    </row>
    <row r="185" customFormat="false" ht="12.75" hidden="false" customHeight="false" outlineLevel="0" collapsed="false">
      <c r="A185" s="6" t="s">
        <v>214</v>
      </c>
      <c r="B185" s="6" t="n">
        <v>1</v>
      </c>
      <c r="C185" s="6" t="n">
        <v>5803471</v>
      </c>
      <c r="D185" s="6" t="n">
        <v>0.120414428242517</v>
      </c>
      <c r="E185" s="6" t="n">
        <v>0.03280824193038</v>
      </c>
      <c r="F185" s="6"/>
      <c r="G185" s="6" t="n">
        <v>4.75336844122294E-011</v>
      </c>
      <c r="H185" s="6" t="n">
        <v>1</v>
      </c>
      <c r="I185" s="15" t="n">
        <v>1</v>
      </c>
      <c r="J185" s="15" t="n">
        <v>0.693877551020408</v>
      </c>
      <c r="K185" s="15"/>
      <c r="L185" s="15" t="n">
        <v>1</v>
      </c>
      <c r="M185" s="15" t="n">
        <v>1</v>
      </c>
      <c r="N185" s="15" t="n">
        <v>1.05367121277235E-008</v>
      </c>
      <c r="O185" s="15" t="n">
        <v>0.664211164155072</v>
      </c>
    </row>
    <row r="186" customFormat="false" ht="12.75" hidden="false" customHeight="false" outlineLevel="0" collapsed="false">
      <c r="A186" s="6" t="s">
        <v>215</v>
      </c>
      <c r="B186" s="6" t="n">
        <v>1</v>
      </c>
      <c r="C186" s="6" t="n">
        <v>2841764</v>
      </c>
      <c r="D186" s="6" t="n">
        <v>0</v>
      </c>
      <c r="E186" s="6" t="n">
        <v>0.0369184324665151</v>
      </c>
      <c r="F186" s="6"/>
      <c r="G186" s="6" t="n">
        <v>9.38297197918158E-012</v>
      </c>
      <c r="H186" s="6" t="n">
        <v>1</v>
      </c>
      <c r="I186" s="15" t="n">
        <v>0.424477902161436</v>
      </c>
      <c r="J186" s="15" t="n">
        <v>0.693877551020408</v>
      </c>
      <c r="K186" s="15"/>
      <c r="L186" s="15" t="n">
        <v>1</v>
      </c>
      <c r="M186" s="15" t="n">
        <v>0.424477902161436</v>
      </c>
      <c r="N186" s="15" t="n">
        <v>1.16440338319288</v>
      </c>
      <c r="O186" s="15" t="n">
        <v>0.664211164155072</v>
      </c>
    </row>
    <row r="187" customFormat="false" ht="12.75" hidden="false" customHeight="false" outlineLevel="0" collapsed="false">
      <c r="A187" s="6" t="s">
        <v>216</v>
      </c>
      <c r="B187" s="6" t="n">
        <v>1</v>
      </c>
      <c r="C187" s="6" t="n">
        <v>2565328</v>
      </c>
      <c r="D187" s="6" t="n">
        <v>0.238988095238095</v>
      </c>
      <c r="E187" s="6" t="n">
        <v>0.0706260870607761</v>
      </c>
      <c r="F187" s="6"/>
      <c r="G187" s="6" t="n">
        <v>8.3954224057573E-014</v>
      </c>
      <c r="H187" s="6" t="n">
        <v>1</v>
      </c>
      <c r="I187" s="15" t="n">
        <v>1</v>
      </c>
      <c r="J187" s="15" t="n">
        <v>0.693877551020408</v>
      </c>
      <c r="K187" s="15"/>
      <c r="L187" s="15" t="n">
        <v>1</v>
      </c>
      <c r="M187" s="15" t="n">
        <v>1</v>
      </c>
      <c r="N187" s="15" t="n">
        <v>1.05367121277235E-008</v>
      </c>
      <c r="O187" s="15" t="n">
        <v>0.664211164155072</v>
      </c>
    </row>
    <row r="188" customFormat="false" ht="12.75" hidden="false" customHeight="false" outlineLevel="0" collapsed="false">
      <c r="A188" s="6" t="s">
        <v>217</v>
      </c>
      <c r="B188" s="6" t="n">
        <v>1</v>
      </c>
      <c r="C188" s="6" t="n">
        <v>3860219</v>
      </c>
      <c r="D188" s="6" t="n">
        <v>0.239415204678363</v>
      </c>
      <c r="E188" s="6" t="n">
        <v>0.0625602364619358</v>
      </c>
      <c r="F188" s="6"/>
      <c r="G188" s="6" t="n">
        <v>4.61685442104148E-011</v>
      </c>
      <c r="H188" s="6" t="n">
        <v>1</v>
      </c>
      <c r="I188" s="15" t="n">
        <v>1</v>
      </c>
      <c r="J188" s="15" t="n">
        <v>0.693877551020408</v>
      </c>
      <c r="K188" s="15"/>
      <c r="L188" s="15" t="n">
        <v>1</v>
      </c>
      <c r="M188" s="15" t="n">
        <v>1</v>
      </c>
      <c r="N188" s="15" t="n">
        <v>1.05367121277235E-008</v>
      </c>
      <c r="O188" s="15" t="n">
        <v>0.664211164155072</v>
      </c>
    </row>
    <row r="189" customFormat="false" ht="12.75" hidden="false" customHeight="false" outlineLevel="0" collapsed="false">
      <c r="A189" s="6" t="s">
        <v>218</v>
      </c>
      <c r="B189" s="6" t="n">
        <v>1</v>
      </c>
      <c r="C189" s="6" t="n">
        <v>4342334</v>
      </c>
      <c r="D189" s="6" t="n">
        <v>0</v>
      </c>
      <c r="E189" s="6" t="n">
        <v>0.0211147303966919</v>
      </c>
      <c r="F189" s="6"/>
      <c r="G189" s="6" t="n">
        <v>2.56823004434834E-012</v>
      </c>
      <c r="H189" s="6" t="n">
        <v>1</v>
      </c>
      <c r="I189" s="15" t="n">
        <v>0.605411254053339</v>
      </c>
      <c r="J189" s="15" t="n">
        <v>0.693877551020408</v>
      </c>
      <c r="K189" s="15"/>
      <c r="L189" s="15" t="n">
        <v>1</v>
      </c>
      <c r="M189" s="15" t="n">
        <v>0.605411254053339</v>
      </c>
      <c r="N189" s="15" t="n">
        <v>0.807322585471246</v>
      </c>
      <c r="O189" s="15" t="n">
        <v>0.664211164155072</v>
      </c>
    </row>
    <row r="190" customFormat="false" ht="12.75" hidden="false" customHeight="false" outlineLevel="0" collapsed="false">
      <c r="A190" s="6" t="s">
        <v>219</v>
      </c>
      <c r="B190" s="6" t="n">
        <v>1</v>
      </c>
      <c r="C190" s="6" t="n">
        <v>1241382</v>
      </c>
      <c r="D190" s="6" t="n">
        <v>0.292950391644909</v>
      </c>
      <c r="E190" s="6" t="n">
        <v>0.0206121747105353</v>
      </c>
      <c r="F190" s="6"/>
      <c r="G190" s="6" t="n">
        <v>2.65827638003696E-010</v>
      </c>
      <c r="H190" s="6" t="n">
        <v>1</v>
      </c>
      <c r="I190" s="15" t="n">
        <v>1</v>
      </c>
      <c r="J190" s="15" t="n">
        <v>0.693877551020408</v>
      </c>
      <c r="K190" s="15"/>
      <c r="L190" s="15" t="n">
        <v>1</v>
      </c>
      <c r="M190" s="15" t="n">
        <v>1</v>
      </c>
      <c r="N190" s="15" t="n">
        <v>1.05367121277235E-008</v>
      </c>
      <c r="O190" s="15" t="n">
        <v>0.664211164155072</v>
      </c>
    </row>
    <row r="191" customFormat="false" ht="12.75" hidden="false" customHeight="false" outlineLevel="0" collapsed="false">
      <c r="A191" s="6" t="s">
        <v>220</v>
      </c>
      <c r="B191" s="6" t="n">
        <v>1</v>
      </c>
      <c r="C191" s="6" t="n">
        <v>5042438</v>
      </c>
      <c r="D191" s="6" t="n">
        <v>0.059493670886076</v>
      </c>
      <c r="E191" s="6" t="n">
        <v>0.0697797782145526</v>
      </c>
      <c r="F191" s="6"/>
      <c r="G191" s="6" t="n">
        <v>7.3736342600225E-010</v>
      </c>
      <c r="H191" s="6" t="n">
        <v>1</v>
      </c>
      <c r="I191" s="15" t="n">
        <v>1</v>
      </c>
      <c r="J191" s="15" t="n">
        <v>0.693877551020408</v>
      </c>
      <c r="K191" s="15"/>
      <c r="L191" s="15" t="n">
        <v>1</v>
      </c>
      <c r="M191" s="15" t="n">
        <v>1</v>
      </c>
      <c r="N191" s="15" t="n">
        <v>1.05367121277235E-008</v>
      </c>
      <c r="O191" s="15" t="n">
        <v>0.664211164155072</v>
      </c>
    </row>
    <row r="192" customFormat="false" ht="12.75" hidden="false" customHeight="false" outlineLevel="0" collapsed="false">
      <c r="A192" s="6" t="s">
        <v>221</v>
      </c>
      <c r="B192" s="6" t="n">
        <v>1</v>
      </c>
      <c r="C192" s="6" t="n">
        <v>6073550</v>
      </c>
      <c r="D192" s="6" t="n">
        <v>0.163254593175853</v>
      </c>
      <c r="E192" s="6" t="n">
        <v>0.0502082263621112</v>
      </c>
      <c r="F192" s="6"/>
      <c r="G192" s="6" t="n">
        <v>2.60150207336547E-011</v>
      </c>
      <c r="H192" s="6" t="n">
        <v>1</v>
      </c>
      <c r="I192" s="15" t="n">
        <v>1</v>
      </c>
      <c r="J192" s="15" t="n">
        <v>0.693877551020408</v>
      </c>
      <c r="K192" s="15"/>
      <c r="L192" s="15" t="n">
        <v>1</v>
      </c>
      <c r="M192" s="15" t="n">
        <v>1</v>
      </c>
      <c r="N192" s="15" t="n">
        <v>1.05367121277235E-008</v>
      </c>
      <c r="O192" s="15" t="n">
        <v>0.664211164155072</v>
      </c>
    </row>
    <row r="193" customFormat="false" ht="12.75" hidden="false" customHeight="false" outlineLevel="0" collapsed="false">
      <c r="A193" s="6" t="s">
        <v>222</v>
      </c>
      <c r="B193" s="6" t="n">
        <v>1</v>
      </c>
      <c r="C193" s="6" t="n">
        <v>9549353</v>
      </c>
      <c r="D193" s="6" t="n">
        <v>0</v>
      </c>
      <c r="E193" s="6" t="n">
        <v>0.00796925854450259</v>
      </c>
      <c r="F193" s="6"/>
      <c r="G193" s="6" t="n">
        <v>9.23270469744563E-013</v>
      </c>
      <c r="H193" s="6" t="n">
        <v>1</v>
      </c>
      <c r="I193" s="15" t="n">
        <v>0.997084522119177</v>
      </c>
      <c r="J193" s="15" t="n">
        <v>0.693877551020408</v>
      </c>
      <c r="K193" s="15"/>
      <c r="L193" s="15" t="n">
        <v>1</v>
      </c>
      <c r="M193" s="15" t="n">
        <v>0.997084522119177</v>
      </c>
      <c r="N193" s="15" t="n">
        <v>0.0540740487309065</v>
      </c>
      <c r="O193" s="15" t="n">
        <v>0.664211164155072</v>
      </c>
    </row>
    <row r="194" customFormat="false" ht="12.75" hidden="false" customHeight="false" outlineLevel="0" collapsed="false">
      <c r="A194" s="6" t="s">
        <v>223</v>
      </c>
      <c r="B194" s="6" t="n">
        <v>1</v>
      </c>
      <c r="C194" s="6" t="n">
        <v>4609548</v>
      </c>
      <c r="D194" s="6" t="n">
        <v>0</v>
      </c>
      <c r="E194" s="6" t="n">
        <v>0.0231171606433715</v>
      </c>
      <c r="F194" s="6"/>
      <c r="G194" s="6" t="n">
        <v>3.91416523412056E-014</v>
      </c>
      <c r="H194" s="6" t="n">
        <v>0</v>
      </c>
      <c r="I194" s="15" t="n">
        <v>0.674559501696775</v>
      </c>
      <c r="J194" s="15" t="n">
        <v>0.693877551020408</v>
      </c>
      <c r="K194" s="15"/>
      <c r="L194" s="15" t="n">
        <v>0</v>
      </c>
      <c r="M194" s="15" t="n">
        <v>0.674559501696775</v>
      </c>
      <c r="N194" s="15" t="n">
        <v>-1.43970772159035</v>
      </c>
      <c r="O194" s="15" t="n">
        <v>-1.50554530541816</v>
      </c>
    </row>
    <row r="195" customFormat="false" ht="12.75" hidden="false" customHeight="false" outlineLevel="0" collapsed="false">
      <c r="A195" s="6" t="s">
        <v>224</v>
      </c>
      <c r="B195" s="6" t="n">
        <v>1</v>
      </c>
      <c r="C195" s="6" t="n">
        <v>2697243</v>
      </c>
      <c r="D195" s="6" t="n">
        <v>0</v>
      </c>
      <c r="E195" s="6" t="n">
        <v>0.0305028704492417</v>
      </c>
      <c r="F195" s="6"/>
      <c r="G195" s="6" t="n">
        <v>3.31728127610878E-012</v>
      </c>
      <c r="H195" s="6" t="n">
        <v>0</v>
      </c>
      <c r="I195" s="15" t="n">
        <v>0.342224971379679</v>
      </c>
      <c r="J195" s="15" t="n">
        <v>0.693877551020408</v>
      </c>
      <c r="K195" s="15"/>
      <c r="L195" s="15" t="n">
        <v>0</v>
      </c>
      <c r="M195" s="15" t="n">
        <v>0.342224971379679</v>
      </c>
      <c r="N195" s="15" t="n">
        <v>-0.721302033969948</v>
      </c>
      <c r="O195" s="15" t="n">
        <v>-1.50554530541816</v>
      </c>
    </row>
    <row r="196" customFormat="false" ht="12.75" hidden="false" customHeight="false" outlineLevel="0" collapsed="false">
      <c r="A196" s="6" t="s">
        <v>225</v>
      </c>
      <c r="B196" s="6" t="n">
        <v>1</v>
      </c>
      <c r="C196" s="6" t="n">
        <v>5323523</v>
      </c>
      <c r="D196" s="6" t="n">
        <v>0</v>
      </c>
      <c r="E196" s="6" t="n">
        <v>0.0724272745344907</v>
      </c>
      <c r="F196" s="6"/>
      <c r="G196" s="6" t="n">
        <v>1.15835281976731E-010</v>
      </c>
      <c r="H196" s="6" t="n">
        <v>1</v>
      </c>
      <c r="I196" s="15" t="n">
        <v>0.97189032615117</v>
      </c>
      <c r="J196" s="15" t="n">
        <v>0.693877551020408</v>
      </c>
      <c r="K196" s="15"/>
      <c r="L196" s="15" t="n">
        <v>1</v>
      </c>
      <c r="M196" s="15" t="n">
        <v>0.97189032615117</v>
      </c>
      <c r="N196" s="15" t="n">
        <v>0.170066695675414</v>
      </c>
      <c r="O196" s="15" t="n">
        <v>0.664211164155072</v>
      </c>
    </row>
    <row r="197" customFormat="false" ht="12.75" hidden="false" customHeight="false" outlineLevel="0" collapsed="false">
      <c r="A197" s="6" t="s">
        <v>226</v>
      </c>
      <c r="B197" s="6" t="n">
        <v>1</v>
      </c>
      <c r="C197" s="6" t="n">
        <v>870281</v>
      </c>
      <c r="D197" s="6" t="n">
        <v>0</v>
      </c>
      <c r="E197" s="6" t="n">
        <v>0.00796409544263987</v>
      </c>
      <c r="F197" s="6"/>
      <c r="G197" s="6" t="n">
        <v>3.47319888352621E-014</v>
      </c>
      <c r="H197" s="6" t="n">
        <v>0</v>
      </c>
      <c r="I197" s="15" t="n">
        <v>0.0310560848351277</v>
      </c>
      <c r="J197" s="15" t="n">
        <v>0.693877551020408</v>
      </c>
      <c r="K197" s="15"/>
      <c r="L197" s="15" t="n">
        <v>0</v>
      </c>
      <c r="M197" s="15" t="n">
        <v>0.0310560848351277</v>
      </c>
      <c r="N197" s="15" t="n">
        <v>-0.179029266498971</v>
      </c>
      <c r="O197" s="15" t="n">
        <v>-1.50554530541816</v>
      </c>
    </row>
    <row r="198" customFormat="false" ht="12.75" hidden="false" customHeight="false" outlineLevel="0" collapsed="false">
      <c r="A198" s="6" t="s">
        <v>227</v>
      </c>
      <c r="B198" s="6" t="n">
        <v>1</v>
      </c>
      <c r="C198" s="6" t="n">
        <v>1637112</v>
      </c>
      <c r="D198" s="6" t="n">
        <v>0</v>
      </c>
      <c r="E198" s="6" t="n">
        <v>0.0425053293156057</v>
      </c>
      <c r="F198" s="6"/>
      <c r="G198" s="6" t="n">
        <v>1.27766030104349E-013</v>
      </c>
      <c r="H198" s="6" t="n">
        <v>1</v>
      </c>
      <c r="I198" s="15" t="n">
        <v>0.237993402479244</v>
      </c>
      <c r="J198" s="15" t="n">
        <v>0.693877551020408</v>
      </c>
      <c r="K198" s="15"/>
      <c r="L198" s="15" t="n">
        <v>1</v>
      </c>
      <c r="M198" s="15" t="n">
        <v>0.237993402479244</v>
      </c>
      <c r="N198" s="15" t="n">
        <v>1.78935662988795</v>
      </c>
      <c r="O198" s="15" t="n">
        <v>0.664211164155072</v>
      </c>
    </row>
    <row r="199" customFormat="false" ht="12.75" hidden="false" customHeight="false" outlineLevel="0" collapsed="false">
      <c r="A199" s="6" t="s">
        <v>228</v>
      </c>
      <c r="B199" s="6" t="n">
        <v>1</v>
      </c>
      <c r="C199" s="6" t="n">
        <v>1530108</v>
      </c>
      <c r="D199" s="6" t="n">
        <v>0</v>
      </c>
      <c r="E199" s="6" t="n">
        <v>0.0433497425670366</v>
      </c>
      <c r="F199" s="6"/>
      <c r="G199" s="6" t="n">
        <v>1.76208456848238E-013</v>
      </c>
      <c r="H199" s="6" t="n">
        <v>0</v>
      </c>
      <c r="I199" s="15" t="n">
        <v>0.226157754472205</v>
      </c>
      <c r="J199" s="15" t="n">
        <v>0.693877551020408</v>
      </c>
      <c r="K199" s="15"/>
      <c r="L199" s="15" t="n">
        <v>0</v>
      </c>
      <c r="M199" s="15" t="n">
        <v>0.226157754472205</v>
      </c>
      <c r="N199" s="15" t="n">
        <v>-0.540604335362496</v>
      </c>
      <c r="O199" s="15" t="n">
        <v>-1.50554530541816</v>
      </c>
    </row>
    <row r="200" customFormat="false" ht="12.75" hidden="false" customHeight="false" outlineLevel="0" collapsed="false">
      <c r="A200" s="6" t="s">
        <v>229</v>
      </c>
      <c r="B200" s="6" t="n">
        <v>1</v>
      </c>
      <c r="C200" s="6" t="n">
        <v>1148253</v>
      </c>
      <c r="D200" s="6" t="n">
        <v>0.290225563909774</v>
      </c>
      <c r="E200" s="6" t="n">
        <v>0.0851357193769645</v>
      </c>
      <c r="F200" s="6"/>
      <c r="G200" s="6" t="n">
        <v>7.50551003301169E-008</v>
      </c>
      <c r="H200" s="6" t="n">
        <v>1</v>
      </c>
      <c r="I200" s="15" t="n">
        <v>1</v>
      </c>
      <c r="J200" s="15" t="n">
        <v>0.693877551020408</v>
      </c>
      <c r="K200" s="15"/>
      <c r="L200" s="15" t="n">
        <v>1</v>
      </c>
      <c r="M200" s="15" t="n">
        <v>1</v>
      </c>
      <c r="N200" s="15" t="n">
        <v>1.05367121277235E-008</v>
      </c>
      <c r="O200" s="15" t="n">
        <v>0.664211164155072</v>
      </c>
    </row>
    <row r="201" customFormat="false" ht="12.75" hidden="false" customHeight="false" outlineLevel="0" collapsed="false">
      <c r="A201" s="6" t="s">
        <v>230</v>
      </c>
      <c r="B201" s="6" t="n">
        <v>1</v>
      </c>
      <c r="C201" s="6" t="n">
        <v>7945298</v>
      </c>
      <c r="D201" s="6" t="n">
        <v>0.424725274725275</v>
      </c>
      <c r="E201" s="6" t="n">
        <v>0.0704522955482905</v>
      </c>
      <c r="F201" s="6"/>
      <c r="G201" s="6" t="n">
        <v>9.78574048714857E-007</v>
      </c>
      <c r="H201" s="6" t="n">
        <v>1</v>
      </c>
      <c r="I201" s="15" t="n">
        <v>1</v>
      </c>
      <c r="J201" s="15" t="n">
        <v>0.693877551020408</v>
      </c>
      <c r="K201" s="15"/>
      <c r="L201" s="15" t="n">
        <v>1</v>
      </c>
      <c r="M201" s="15" t="n">
        <v>1</v>
      </c>
      <c r="N201" s="15" t="n">
        <v>1.05367121277235E-008</v>
      </c>
      <c r="O201" s="15" t="n">
        <v>0.664211164155072</v>
      </c>
    </row>
    <row r="202" customFormat="false" ht="12.75" hidden="false" customHeight="false" outlineLevel="0" collapsed="false">
      <c r="A202" s="6" t="s">
        <v>231</v>
      </c>
      <c r="B202" s="6" t="n">
        <v>1</v>
      </c>
      <c r="C202" s="6" t="n">
        <v>1685401</v>
      </c>
      <c r="D202" s="6" t="n">
        <v>0</v>
      </c>
      <c r="E202" s="6" t="n">
        <v>0.0190957981584029</v>
      </c>
      <c r="F202" s="6"/>
      <c r="G202" s="6" t="n">
        <v>3.26758137987897E-012</v>
      </c>
      <c r="H202" s="6" t="n">
        <v>0</v>
      </c>
      <c r="I202" s="15" t="n">
        <v>0.116805874276456</v>
      </c>
      <c r="J202" s="15" t="n">
        <v>0.693877551020408</v>
      </c>
      <c r="K202" s="15"/>
      <c r="L202" s="15" t="n">
        <v>0</v>
      </c>
      <c r="M202" s="15" t="n">
        <v>0.116805874276456</v>
      </c>
      <c r="N202" s="15" t="n">
        <v>-0.363667303421034</v>
      </c>
      <c r="O202" s="15" t="n">
        <v>-1.50554530541816</v>
      </c>
    </row>
    <row r="203" customFormat="false" ht="12.75" hidden="false" customHeight="false" outlineLevel="0" collapsed="false">
      <c r="A203" s="6" t="s">
        <v>232</v>
      </c>
      <c r="B203" s="6" t="n">
        <v>1</v>
      </c>
      <c r="C203" s="6" t="n">
        <v>18136081</v>
      </c>
      <c r="D203" s="6" t="n">
        <v>0.270103092783505</v>
      </c>
      <c r="E203" s="6" t="n">
        <v>0.0509878017590525</v>
      </c>
      <c r="F203" s="6"/>
      <c r="G203" s="6" t="n">
        <v>6.14030526894406E-010</v>
      </c>
      <c r="H203" s="6" t="n">
        <v>1</v>
      </c>
      <c r="I203" s="15" t="n">
        <v>1</v>
      </c>
      <c r="J203" s="15" t="n">
        <v>0.693877551020408</v>
      </c>
      <c r="K203" s="15"/>
      <c r="L203" s="15" t="n">
        <v>1</v>
      </c>
      <c r="M203" s="15" t="n">
        <v>1</v>
      </c>
      <c r="N203" s="15" t="n">
        <v>1.05367121277235E-008</v>
      </c>
      <c r="O203" s="15" t="n">
        <v>0.664211164155072</v>
      </c>
    </row>
    <row r="204" customFormat="false" ht="12.75" hidden="false" customHeight="false" outlineLevel="0" collapsed="false">
      <c r="A204" s="6" t="s">
        <v>233</v>
      </c>
      <c r="B204" s="6" t="n">
        <v>1</v>
      </c>
      <c r="C204" s="6" t="n">
        <v>7195138</v>
      </c>
      <c r="D204" s="6" t="n">
        <v>0</v>
      </c>
      <c r="E204" s="6" t="n">
        <v>0.0221303868527105</v>
      </c>
      <c r="F204" s="6"/>
      <c r="G204" s="6" t="n">
        <v>1.73290869510021E-012</v>
      </c>
      <c r="H204" s="6" t="n">
        <v>1</v>
      </c>
      <c r="I204" s="15" t="n">
        <v>0.964739533223051</v>
      </c>
      <c r="J204" s="15" t="n">
        <v>0.693877551020408</v>
      </c>
      <c r="K204" s="15"/>
      <c r="L204" s="15" t="n">
        <v>1</v>
      </c>
      <c r="M204" s="15" t="n">
        <v>0.964739533223051</v>
      </c>
      <c r="N204" s="15" t="n">
        <v>0.191178474061978</v>
      </c>
      <c r="O204" s="15" t="n">
        <v>0.664211164155072</v>
      </c>
    </row>
    <row r="205" customFormat="false" ht="12.75" hidden="false" customHeight="false" outlineLevel="0" collapsed="false">
      <c r="A205" s="6" t="s">
        <v>234</v>
      </c>
      <c r="B205" s="6" t="n">
        <v>1</v>
      </c>
      <c r="C205" s="6" t="n">
        <v>641367</v>
      </c>
      <c r="D205" s="6" t="n">
        <v>0</v>
      </c>
      <c r="E205" s="6" t="n">
        <v>0.0585817128891722</v>
      </c>
      <c r="F205" s="6"/>
      <c r="G205" s="6" t="n">
        <v>2.88428682897276E-014</v>
      </c>
      <c r="H205" s="6" t="n">
        <v>0</v>
      </c>
      <c r="I205" s="15" t="n">
        <v>0.184940918099102</v>
      </c>
      <c r="J205" s="15" t="n">
        <v>0.693877551020408</v>
      </c>
      <c r="K205" s="15"/>
      <c r="L205" s="15" t="n">
        <v>0</v>
      </c>
      <c r="M205" s="15" t="n">
        <v>0.184940918099102</v>
      </c>
      <c r="N205" s="15" t="n">
        <v>-0.476345381894989</v>
      </c>
      <c r="O205" s="15" t="n">
        <v>-1.50554530541816</v>
      </c>
    </row>
    <row r="206" customFormat="false" ht="12.75" hidden="false" customHeight="false" outlineLevel="0" collapsed="false">
      <c r="A206" s="6" t="s">
        <v>235</v>
      </c>
      <c r="B206" s="6" t="n">
        <v>1</v>
      </c>
      <c r="C206" s="6" t="n">
        <v>11150506</v>
      </c>
      <c r="D206" s="6" t="n">
        <v>0.124419204956118</v>
      </c>
      <c r="E206" s="6" t="n">
        <v>0.0282688311910131</v>
      </c>
      <c r="F206" s="6"/>
      <c r="G206" s="6" t="n">
        <v>3.8555392305473E-012</v>
      </c>
      <c r="H206" s="6" t="n">
        <v>1</v>
      </c>
      <c r="I206" s="15" t="n">
        <v>1</v>
      </c>
      <c r="J206" s="15" t="n">
        <v>0.693877551020408</v>
      </c>
      <c r="K206" s="15"/>
      <c r="L206" s="15" t="n">
        <v>1</v>
      </c>
      <c r="M206" s="15" t="n">
        <v>1</v>
      </c>
      <c r="N206" s="15" t="n">
        <v>1.05367121277235E-008</v>
      </c>
      <c r="O206" s="15" t="n">
        <v>0.664211164155072</v>
      </c>
    </row>
    <row r="207" customFormat="false" ht="12.75" hidden="false" customHeight="false" outlineLevel="0" collapsed="false">
      <c r="A207" s="6" t="s">
        <v>236</v>
      </c>
      <c r="B207" s="6" t="n">
        <v>1</v>
      </c>
      <c r="C207" s="6" t="n">
        <v>3277687</v>
      </c>
      <c r="D207" s="6" t="n">
        <v>0.163815789473684</v>
      </c>
      <c r="E207" s="6" t="n">
        <v>0.0108396118772474</v>
      </c>
      <c r="F207" s="6"/>
      <c r="G207" s="6" t="n">
        <v>8.18184975183888E-013</v>
      </c>
      <c r="H207" s="6" t="n">
        <v>1</v>
      </c>
      <c r="I207" s="15" t="n">
        <v>1</v>
      </c>
      <c r="J207" s="15" t="n">
        <v>0.693877551020408</v>
      </c>
      <c r="K207" s="15"/>
      <c r="L207" s="15" t="n">
        <v>1</v>
      </c>
      <c r="M207" s="15" t="n">
        <v>1</v>
      </c>
      <c r="N207" s="15" t="n">
        <v>1.05367121277235E-008</v>
      </c>
      <c r="O207" s="15" t="n">
        <v>0.664211164155072</v>
      </c>
    </row>
    <row r="208" customFormat="false" ht="12.75" hidden="false" customHeight="false" outlineLevel="0" collapsed="false">
      <c r="A208" s="6" t="s">
        <v>237</v>
      </c>
      <c r="B208" s="6" t="n">
        <v>1</v>
      </c>
      <c r="C208" s="6" t="n">
        <v>3140585</v>
      </c>
      <c r="D208" s="6" t="n">
        <v>0</v>
      </c>
      <c r="E208" s="6" t="n">
        <v>0.0372433830337473</v>
      </c>
      <c r="F208" s="6"/>
      <c r="G208" s="6" t="n">
        <v>1.82145478296565E-012</v>
      </c>
      <c r="H208" s="6" t="n">
        <v>1</v>
      </c>
      <c r="I208" s="15" t="n">
        <v>0.489942811425731</v>
      </c>
      <c r="J208" s="15" t="n">
        <v>0.693877551020408</v>
      </c>
      <c r="K208" s="15"/>
      <c r="L208" s="15" t="n">
        <v>1</v>
      </c>
      <c r="M208" s="15" t="n">
        <v>0.489942811425731</v>
      </c>
      <c r="N208" s="15" t="n">
        <v>1.02032080289225</v>
      </c>
      <c r="O208" s="15" t="n">
        <v>0.664211164155072</v>
      </c>
    </row>
    <row r="209" customFormat="false" ht="12.75" hidden="false" customHeight="false" outlineLevel="0" collapsed="false">
      <c r="A209" s="6" t="s">
        <v>238</v>
      </c>
      <c r="B209" s="6" t="n">
        <v>1</v>
      </c>
      <c r="C209" s="6" t="n">
        <v>12071842</v>
      </c>
      <c r="D209" s="6" t="n">
        <v>0.224868231911835</v>
      </c>
      <c r="E209" s="6" t="n">
        <v>0.0341732303708947</v>
      </c>
      <c r="F209" s="6"/>
      <c r="G209" s="6" t="n">
        <v>7.42322736941945E-009</v>
      </c>
      <c r="H209" s="6" t="n">
        <v>1</v>
      </c>
      <c r="I209" s="15" t="n">
        <v>1</v>
      </c>
      <c r="J209" s="15" t="n">
        <v>0.693877551020408</v>
      </c>
      <c r="K209" s="15"/>
      <c r="L209" s="15" t="n">
        <v>1</v>
      </c>
      <c r="M209" s="15" t="n">
        <v>1</v>
      </c>
      <c r="N209" s="15" t="n">
        <v>1.05367121277235E-008</v>
      </c>
      <c r="O209" s="15" t="n">
        <v>0.664211164155072</v>
      </c>
    </row>
    <row r="210" customFormat="false" ht="12.75" hidden="false" customHeight="false" outlineLevel="0" collapsed="false">
      <c r="A210" s="6" t="s">
        <v>239</v>
      </c>
      <c r="B210" s="6" t="n">
        <v>1</v>
      </c>
      <c r="C210" s="6" t="n">
        <v>989794</v>
      </c>
      <c r="D210" s="6" t="n">
        <v>0</v>
      </c>
      <c r="E210" s="6" t="n">
        <v>0.0757652407576525</v>
      </c>
      <c r="F210" s="6"/>
      <c r="G210" s="6" t="n">
        <v>1.30467382846026E-008</v>
      </c>
      <c r="H210" s="6" t="n">
        <v>1</v>
      </c>
      <c r="I210" s="15" t="n">
        <v>0.891654968570332</v>
      </c>
      <c r="J210" s="15" t="n">
        <v>0.693877551020408</v>
      </c>
      <c r="K210" s="15"/>
      <c r="L210" s="15" t="n">
        <v>1</v>
      </c>
      <c r="M210" s="15" t="n">
        <v>0.891654968570332</v>
      </c>
      <c r="N210" s="15" t="n">
        <v>0.348582903478055</v>
      </c>
      <c r="O210" s="15" t="n">
        <v>0.664211164155072</v>
      </c>
    </row>
    <row r="211" customFormat="false" ht="12.75" hidden="false" customHeight="false" outlineLevel="0" collapsed="false">
      <c r="A211" s="6" t="s">
        <v>240</v>
      </c>
      <c r="B211" s="6" t="n">
        <v>1</v>
      </c>
      <c r="C211" s="6" t="n">
        <v>3673287</v>
      </c>
      <c r="D211" s="6" t="n">
        <v>0</v>
      </c>
      <c r="E211" s="6" t="n">
        <v>0.0212156597627681</v>
      </c>
      <c r="F211" s="6"/>
      <c r="G211" s="6" t="n">
        <v>2.57625046539453E-014</v>
      </c>
      <c r="H211" s="6" t="n">
        <v>0</v>
      </c>
      <c r="I211" s="15" t="n">
        <v>0.465302458113561</v>
      </c>
      <c r="J211" s="15" t="n">
        <v>0.693877551020408</v>
      </c>
      <c r="K211" s="15"/>
      <c r="L211" s="15" t="n">
        <v>0</v>
      </c>
      <c r="M211" s="15" t="n">
        <v>0.465302458113561</v>
      </c>
      <c r="N211" s="15" t="n">
        <v>-0.9328537885265</v>
      </c>
      <c r="O211" s="15" t="n">
        <v>-1.50554530541816</v>
      </c>
    </row>
    <row r="212" customFormat="false" ht="12.75" hidden="false" customHeight="false" outlineLevel="0" collapsed="false">
      <c r="A212" s="6" t="s">
        <v>241</v>
      </c>
      <c r="B212" s="6" t="n">
        <v>1</v>
      </c>
      <c r="C212" s="6" t="n">
        <v>729034</v>
      </c>
      <c r="D212" s="6" t="n">
        <v>0</v>
      </c>
      <c r="E212" s="6" t="n">
        <v>0.0295761623107812</v>
      </c>
      <c r="F212" s="6"/>
      <c r="G212" s="6" t="n">
        <v>8.51096256861615E-012</v>
      </c>
      <c r="H212" s="6" t="n">
        <v>0</v>
      </c>
      <c r="I212" s="15" t="n">
        <v>0.0702413999909675</v>
      </c>
      <c r="J212" s="15" t="n">
        <v>0.693877551020408</v>
      </c>
      <c r="K212" s="15"/>
      <c r="L212" s="15" t="n">
        <v>0</v>
      </c>
      <c r="M212" s="15" t="n">
        <v>0.0702413999909675</v>
      </c>
      <c r="N212" s="15" t="n">
        <v>-0.274859959018778</v>
      </c>
      <c r="O212" s="15" t="n">
        <v>-1.50554530541816</v>
      </c>
    </row>
    <row r="213" customFormat="false" ht="12.75" hidden="false" customHeight="false" outlineLevel="0" collapsed="false">
      <c r="A213" s="6" t="s">
        <v>242</v>
      </c>
      <c r="B213" s="6" t="n">
        <v>1</v>
      </c>
      <c r="C213" s="6" t="n">
        <v>5256051</v>
      </c>
      <c r="D213" s="6" t="n">
        <v>0</v>
      </c>
      <c r="E213" s="6" t="n">
        <v>0.0458630868796215</v>
      </c>
      <c r="F213" s="6"/>
      <c r="G213" s="6" t="n">
        <v>2.94341409435387E-013</v>
      </c>
      <c r="H213" s="6" t="n">
        <v>1</v>
      </c>
      <c r="I213" s="15" t="n">
        <v>0.900957379178251</v>
      </c>
      <c r="J213" s="15" t="n">
        <v>0.693877551020408</v>
      </c>
      <c r="K213" s="15"/>
      <c r="L213" s="15" t="n">
        <v>1</v>
      </c>
      <c r="M213" s="15" t="n">
        <v>0.900957379178251</v>
      </c>
      <c r="N213" s="15" t="n">
        <v>0.331557562840402</v>
      </c>
      <c r="O213" s="15" t="n">
        <v>0.664211164155072</v>
      </c>
    </row>
    <row r="214" customFormat="false" ht="12.75" hidden="false" customHeight="false" outlineLevel="0" collapsed="false">
      <c r="A214" s="6" t="s">
        <v>243</v>
      </c>
      <c r="B214" s="6" t="n">
        <v>1</v>
      </c>
      <c r="C214" s="6" t="n">
        <v>18723991</v>
      </c>
      <c r="D214" s="6" t="n">
        <v>0.006727760393384</v>
      </c>
      <c r="E214" s="6" t="n">
        <v>0.00910524272123237</v>
      </c>
      <c r="F214" s="6"/>
      <c r="G214" s="6" t="n">
        <v>2.38458372944146E-012</v>
      </c>
      <c r="H214" s="6" t="n">
        <v>1</v>
      </c>
      <c r="I214" s="15" t="n">
        <v>1</v>
      </c>
      <c r="J214" s="15" t="n">
        <v>0.693877551020408</v>
      </c>
      <c r="K214" s="15"/>
      <c r="L214" s="15" t="n">
        <v>1</v>
      </c>
      <c r="M214" s="15" t="n">
        <v>1</v>
      </c>
      <c r="N214" s="15" t="n">
        <v>1.05367121277235E-008</v>
      </c>
      <c r="O214" s="15" t="n">
        <v>0.664211164155072</v>
      </c>
    </row>
    <row r="215" customFormat="false" ht="12.75" hidden="false" customHeight="false" outlineLevel="0" collapsed="false">
      <c r="A215" s="6" t="s">
        <v>244</v>
      </c>
      <c r="B215" s="6" t="n">
        <v>1</v>
      </c>
      <c r="C215" s="6" t="n">
        <v>1951408</v>
      </c>
      <c r="D215" s="6" t="n">
        <v>0</v>
      </c>
      <c r="E215" s="6" t="n">
        <v>0.00991343868813166</v>
      </c>
      <c r="F215" s="6"/>
      <c r="G215" s="6" t="n">
        <v>4.16760355861009E-013</v>
      </c>
      <c r="H215" s="6" t="n">
        <v>1</v>
      </c>
      <c r="I215" s="15" t="n">
        <v>0.106081387280924</v>
      </c>
      <c r="J215" s="15" t="n">
        <v>0.693877551020408</v>
      </c>
      <c r="K215" s="15"/>
      <c r="L215" s="15" t="n">
        <v>1</v>
      </c>
      <c r="M215" s="15" t="n">
        <v>0.106081387280924</v>
      </c>
      <c r="N215" s="15" t="n">
        <v>2.90288208206963</v>
      </c>
      <c r="O215" s="15" t="n">
        <v>0.664211164155072</v>
      </c>
    </row>
    <row r="216" customFormat="false" ht="12.75" hidden="false" customHeight="false" outlineLevel="0" collapsed="false">
      <c r="A216" s="6" t="s">
        <v>245</v>
      </c>
      <c r="B216" s="6" t="n">
        <v>1</v>
      </c>
      <c r="C216" s="6" t="n">
        <v>584771</v>
      </c>
      <c r="D216" s="6" t="n">
        <v>0</v>
      </c>
      <c r="E216" s="6" t="n">
        <v>0.0494956071368481</v>
      </c>
      <c r="F216" s="6"/>
      <c r="G216" s="6" t="n">
        <v>5.28659248696466E-009</v>
      </c>
      <c r="H216" s="6" t="n">
        <v>0</v>
      </c>
      <c r="I216" s="15" t="n">
        <v>0.314216345156085</v>
      </c>
      <c r="J216" s="15" t="n">
        <v>0.693877551020408</v>
      </c>
      <c r="K216" s="15"/>
      <c r="L216" s="15" t="n">
        <v>0</v>
      </c>
      <c r="M216" s="15" t="n">
        <v>0.314216345156085</v>
      </c>
      <c r="N216" s="15" t="n">
        <v>-0.676894244637559</v>
      </c>
      <c r="O216" s="15" t="n">
        <v>-1.50554530541816</v>
      </c>
    </row>
    <row r="217" customFormat="false" ht="12.75" hidden="false" customHeight="false" outlineLevel="0" collapsed="false">
      <c r="A217" s="6" t="s">
        <v>246</v>
      </c>
      <c r="B217" s="6" t="n">
        <v>1</v>
      </c>
      <c r="C217" s="6" t="n">
        <v>6618358</v>
      </c>
      <c r="D217" s="6" t="n">
        <v>0.102064896755162</v>
      </c>
      <c r="E217" s="6" t="n">
        <v>0.0646098010772455</v>
      </c>
      <c r="F217" s="6"/>
      <c r="G217" s="6" t="n">
        <v>2.1699894914854E-010</v>
      </c>
      <c r="H217" s="6" t="n">
        <v>1</v>
      </c>
      <c r="I217" s="15" t="n">
        <v>1</v>
      </c>
      <c r="J217" s="15" t="n">
        <v>0.693877551020408</v>
      </c>
      <c r="K217" s="15"/>
      <c r="L217" s="15" t="n">
        <v>1</v>
      </c>
      <c r="M217" s="15" t="n">
        <v>1</v>
      </c>
      <c r="N217" s="15" t="n">
        <v>1.05367121277235E-008</v>
      </c>
      <c r="O217" s="15" t="n">
        <v>0.664211164155072</v>
      </c>
    </row>
    <row r="218" customFormat="false" ht="12.75" hidden="false" customHeight="false" outlineLevel="0" collapsed="false">
      <c r="A218" s="6" t="s">
        <v>247</v>
      </c>
      <c r="B218" s="6" t="n">
        <v>1</v>
      </c>
      <c r="C218" s="6" t="n">
        <v>5430940</v>
      </c>
      <c r="D218" s="6" t="n">
        <v>0</v>
      </c>
      <c r="E218" s="6" t="n">
        <v>0.0152694227003708</v>
      </c>
      <c r="F218" s="6"/>
      <c r="G218" s="6" t="n">
        <v>4.68182221770351E-012</v>
      </c>
      <c r="H218" s="6" t="n">
        <v>1</v>
      </c>
      <c r="I218" s="15" t="n">
        <v>0.764687849966022</v>
      </c>
      <c r="J218" s="15" t="n">
        <v>0.693877551020408</v>
      </c>
      <c r="K218" s="15"/>
      <c r="L218" s="15" t="n">
        <v>1</v>
      </c>
      <c r="M218" s="15" t="n">
        <v>0.764687849966022</v>
      </c>
      <c r="N218" s="15" t="n">
        <v>0.55472799178346</v>
      </c>
      <c r="O218" s="15" t="n">
        <v>0.664211164155072</v>
      </c>
    </row>
    <row r="219" customFormat="false" ht="12.75" hidden="false" customHeight="false" outlineLevel="0" collapsed="false">
      <c r="A219" s="6" t="s">
        <v>248</v>
      </c>
      <c r="B219" s="6" t="n">
        <v>1</v>
      </c>
      <c r="C219" s="6" t="n">
        <v>1828140</v>
      </c>
      <c r="D219" s="6" t="n">
        <v>0.154107142857143</v>
      </c>
      <c r="E219" s="6" t="n">
        <v>0.083450810945235</v>
      </c>
      <c r="F219" s="6"/>
      <c r="G219" s="6" t="n">
        <v>6.85214483647577E-010</v>
      </c>
      <c r="H219" s="6" t="n">
        <v>1</v>
      </c>
      <c r="I219" s="15" t="n">
        <v>1</v>
      </c>
      <c r="J219" s="15" t="n">
        <v>0.693877551020408</v>
      </c>
      <c r="K219" s="15"/>
      <c r="L219" s="15" t="n">
        <v>1</v>
      </c>
      <c r="M219" s="15" t="n">
        <v>1</v>
      </c>
      <c r="N219" s="15" t="n">
        <v>1.05367121277235E-008</v>
      </c>
      <c r="O219" s="15" t="n">
        <v>0.664211164155072</v>
      </c>
    </row>
    <row r="220" customFormat="false" ht="12.75" hidden="false" customHeight="false" outlineLevel="0" collapsed="false">
      <c r="A220" s="6" t="s">
        <v>249</v>
      </c>
      <c r="B220" s="6" t="n">
        <v>1</v>
      </c>
      <c r="C220" s="6" t="n">
        <v>5122871</v>
      </c>
      <c r="D220" s="6" t="n">
        <v>0</v>
      </c>
      <c r="E220" s="6" t="n">
        <v>0.0137079087829872</v>
      </c>
      <c r="F220" s="6"/>
      <c r="G220" s="6" t="n">
        <v>6.22970666540397E-012</v>
      </c>
      <c r="H220" s="6" t="n">
        <v>1</v>
      </c>
      <c r="I220" s="15" t="n">
        <v>0.699835357191071</v>
      </c>
      <c r="J220" s="15" t="n">
        <v>0.693877551020408</v>
      </c>
      <c r="K220" s="15"/>
      <c r="L220" s="15" t="n">
        <v>1</v>
      </c>
      <c r="M220" s="15" t="n">
        <v>0.699835357191071</v>
      </c>
      <c r="N220" s="15" t="n">
        <v>0.654910309395437</v>
      </c>
      <c r="O220" s="15" t="n">
        <v>0.664211164155072</v>
      </c>
    </row>
    <row r="221" customFormat="false" ht="13.5" hidden="false" customHeight="false" outlineLevel="0" collapsed="false">
      <c r="A221" s="7" t="s">
        <v>250</v>
      </c>
      <c r="B221" s="7" t="n">
        <v>1</v>
      </c>
      <c r="C221" s="7" t="n">
        <v>480184</v>
      </c>
      <c r="D221" s="7" t="n">
        <v>0</v>
      </c>
      <c r="E221" s="7" t="n">
        <v>0.0256209952218234</v>
      </c>
      <c r="F221" s="7"/>
      <c r="G221" s="7" t="n">
        <v>2.06863081753292E-013</v>
      </c>
      <c r="H221" s="7" t="n">
        <v>0</v>
      </c>
      <c r="I221" s="16" t="n">
        <v>0.045250394191436</v>
      </c>
      <c r="J221" s="16" t="n">
        <v>0.693877551020408</v>
      </c>
      <c r="K221" s="16"/>
      <c r="L221" s="16" t="n">
        <v>0</v>
      </c>
      <c r="M221" s="16" t="n">
        <v>0.045250394191436</v>
      </c>
      <c r="N221" s="16" t="n">
        <v>-0.217704015488786</v>
      </c>
      <c r="O221" s="16" t="n">
        <v>-1.50554530541816</v>
      </c>
    </row>
    <row r="224" customFormat="false" ht="12.75" hidden="false" customHeight="false" outlineLevel="0" collapsed="false">
      <c r="A224" s="0" t="s">
        <v>408</v>
      </c>
    </row>
    <row r="225" customFormat="false" ht="12.75" hidden="false" customHeight="false" outlineLevel="0" collapsed="false">
      <c r="A225" s="0" t="s">
        <v>109</v>
      </c>
    </row>
    <row r="226" customFormat="false" ht="12.75" hidden="false" customHeight="false" outlineLevel="0" collapsed="false">
      <c r="A226" s="0" t="s">
        <v>405</v>
      </c>
    </row>
    <row r="227" customFormat="false" ht="12.75" hidden="false" customHeight="false" outlineLevel="0" collapsed="false">
      <c r="A227" s="0" t="s">
        <v>406</v>
      </c>
    </row>
    <row r="228" customFormat="false" ht="12.75" hidden="false" customHeight="false" outlineLevel="0" collapsed="false">
      <c r="A228" s="0" t="s">
        <v>112</v>
      </c>
    </row>
    <row r="229" customFormat="false" ht="12.75" hidden="false" customHeight="false" outlineLevel="0" collapsed="false">
      <c r="A229" s="0" t="s">
        <v>409</v>
      </c>
    </row>
    <row r="232" customFormat="false" ht="12.75" hidden="false" customHeight="false" outlineLevel="0" collapsed="false">
      <c r="A232" s="0" t="s">
        <v>371</v>
      </c>
    </row>
    <row r="233" customFormat="false" ht="13.5" hidden="false" customHeight="false" outlineLevel="0" collapsed="false"/>
    <row r="234" customFormat="false" ht="12.75" hidden="false" customHeight="false" outlineLevel="0" collapsed="false">
      <c r="A234" s="8" t="s">
        <v>372</v>
      </c>
      <c r="B234" s="8" t="s">
        <v>113</v>
      </c>
      <c r="C234" s="8" t="s">
        <v>114</v>
      </c>
    </row>
    <row r="235" customFormat="false" ht="12.75" hidden="false" customHeight="false" outlineLevel="0" collapsed="false">
      <c r="A235" s="6" t="s">
        <v>84</v>
      </c>
      <c r="B235" s="6" t="n">
        <v>5338722.3877551</v>
      </c>
      <c r="C235" s="6" t="n">
        <v>5779174.66837188</v>
      </c>
    </row>
    <row r="236" customFormat="false" ht="12.75" hidden="false" customHeight="false" outlineLevel="0" collapsed="false">
      <c r="A236" s="6" t="s">
        <v>105</v>
      </c>
      <c r="B236" s="6" t="n">
        <v>0.0748801382019185</v>
      </c>
      <c r="C236" s="6" t="n">
        <v>0.114610023517382</v>
      </c>
    </row>
    <row r="237" customFormat="false" ht="12.75" hidden="false" customHeight="false" outlineLevel="0" collapsed="false">
      <c r="A237" s="6" t="s">
        <v>100</v>
      </c>
      <c r="B237" s="6" t="n">
        <v>0.0372393142980251</v>
      </c>
      <c r="C237" s="6" t="n">
        <v>0.0269260351740362</v>
      </c>
    </row>
    <row r="238" customFormat="false" ht="13.5" hidden="false" customHeight="false" outlineLevel="0" collapsed="false">
      <c r="A238" s="7" t="s">
        <v>143</v>
      </c>
      <c r="B238" s="7" t="n">
        <v>2.30500166681722E-008</v>
      </c>
      <c r="C238" s="7" t="n">
        <v>1.3983591544212E-007</v>
      </c>
    </row>
    <row r="242" customFormat="false" ht="12.75" hidden="false" customHeight="false" outlineLevel="0" collapsed="false">
      <c r="A242" s="0" t="s">
        <v>374</v>
      </c>
    </row>
    <row r="243" customFormat="false" ht="13.5" hidden="false" customHeight="false" outlineLevel="0" collapsed="false"/>
    <row r="244" customFormat="false" ht="12.75" hidden="false" customHeight="false" outlineLevel="0" collapsed="false">
      <c r="A244" s="8" t="s">
        <v>375</v>
      </c>
      <c r="B244" s="8" t="s">
        <v>135</v>
      </c>
      <c r="C244" s="8" t="s">
        <v>136</v>
      </c>
      <c r="D244" s="8" t="s">
        <v>376</v>
      </c>
      <c r="E244" s="8" t="s">
        <v>377</v>
      </c>
      <c r="F244" s="40"/>
    </row>
    <row r="245" customFormat="false" ht="12.75" hidden="false" customHeight="false" outlineLevel="0" collapsed="false">
      <c r="A245" s="6" t="s">
        <v>80</v>
      </c>
      <c r="B245" s="15" t="n">
        <v>-1.52632428817375</v>
      </c>
      <c r="C245" s="15" t="n">
        <v>0.167679001142652</v>
      </c>
      <c r="D245" s="15" t="n">
        <v>82.8583486807761</v>
      </c>
      <c r="E245" s="15" t="n">
        <v>0.0001</v>
      </c>
      <c r="F245" s="15"/>
    </row>
    <row r="246" customFormat="false" ht="12.75" hidden="false" customHeight="false" outlineLevel="0" collapsed="false">
      <c r="A246" s="6" t="s">
        <v>84</v>
      </c>
      <c r="B246" s="15" t="n">
        <v>1.97970456301345E-007</v>
      </c>
      <c r="C246" s="15" t="n">
        <v>6.33967433420211E-009</v>
      </c>
      <c r="D246" s="15" t="n">
        <v>975.139772716009</v>
      </c>
      <c r="E246" s="15" t="n">
        <v>0.0001</v>
      </c>
      <c r="F246" s="15"/>
    </row>
    <row r="247" customFormat="false" ht="12.75" hidden="false" customHeight="false" outlineLevel="0" collapsed="false">
      <c r="A247" s="6" t="s">
        <v>105</v>
      </c>
      <c r="B247" s="15" t="n">
        <v>8.06199371364346</v>
      </c>
      <c r="C247" s="15" t="n">
        <v>0.484520684728441</v>
      </c>
      <c r="D247" s="15" t="n">
        <v>276.860032635183</v>
      </c>
      <c r="E247" s="15" t="n">
        <v>0.0001</v>
      </c>
      <c r="F247" s="15"/>
    </row>
    <row r="248" customFormat="false" ht="12.75" hidden="false" customHeight="false" outlineLevel="0" collapsed="false">
      <c r="A248" s="6" t="s">
        <v>100</v>
      </c>
      <c r="B248" s="15" t="n">
        <v>16.7601729699549</v>
      </c>
      <c r="C248" s="15" t="n">
        <v>1.92274287901783</v>
      </c>
      <c r="D248" s="15" t="n">
        <v>75.9826733449991</v>
      </c>
      <c r="E248" s="15" t="n">
        <v>0.0001</v>
      </c>
      <c r="F248" s="15"/>
    </row>
    <row r="249" customFormat="false" ht="13.5" hidden="false" customHeight="false" outlineLevel="0" collapsed="false">
      <c r="A249" s="7" t="s">
        <v>143</v>
      </c>
      <c r="B249" s="16" t="n">
        <v>-2736005.00463638</v>
      </c>
      <c r="C249" s="16" t="n">
        <v>300833.105163834</v>
      </c>
      <c r="D249" s="16" t="n">
        <v>82.7146662970594</v>
      </c>
      <c r="E249" s="16" t="n">
        <v>0.0001</v>
      </c>
      <c r="F249" s="15"/>
    </row>
    <row r="252" customFormat="false" ht="13.5" hidden="false" customHeight="false" outlineLevel="0" collapsed="false">
      <c r="A252" s="0" t="s">
        <v>378</v>
      </c>
    </row>
    <row r="253" customFormat="false" ht="12.75" hidden="false" customHeight="false" outlineLevel="0" collapsed="false">
      <c r="A253" s="8" t="s">
        <v>379</v>
      </c>
      <c r="B253" s="8" t="s">
        <v>380</v>
      </c>
      <c r="C253" s="8" t="s">
        <v>381</v>
      </c>
      <c r="D253" s="8" t="s">
        <v>382</v>
      </c>
      <c r="E253" s="8" t="s">
        <v>383</v>
      </c>
      <c r="F253" s="8"/>
      <c r="G253" s="8" t="s">
        <v>384</v>
      </c>
      <c r="H253" s="8" t="s">
        <v>385</v>
      </c>
      <c r="I253" s="8" t="s">
        <v>386</v>
      </c>
      <c r="J253" s="8" t="s">
        <v>387</v>
      </c>
      <c r="K253" s="8"/>
      <c r="L253" s="8" t="s">
        <v>388</v>
      </c>
      <c r="M253" s="8" t="s">
        <v>389</v>
      </c>
    </row>
    <row r="254" customFormat="false" ht="13.5" hidden="false" customHeight="false" outlineLevel="0" collapsed="false">
      <c r="A254" s="7" t="n">
        <v>49</v>
      </c>
      <c r="B254" s="7" t="n">
        <v>-16.126875503499</v>
      </c>
      <c r="C254" s="7" t="n">
        <v>-30.1821837539381</v>
      </c>
      <c r="D254" s="7" t="n">
        <v>22.6122451188926</v>
      </c>
      <c r="E254" s="7" t="n">
        <v>44</v>
      </c>
      <c r="F254" s="7"/>
      <c r="G254" s="7" t="n">
        <v>0.996896646389908</v>
      </c>
      <c r="H254" s="7" t="n">
        <v>28.1106165008781</v>
      </c>
      <c r="I254" s="7" t="n">
        <v>4</v>
      </c>
      <c r="J254" s="7" t="n">
        <v>0.0001</v>
      </c>
      <c r="K254" s="7"/>
      <c r="L254" s="7" t="n">
        <v>0.491010288395607</v>
      </c>
      <c r="M254" s="7" t="n">
        <v>0.465682283463175</v>
      </c>
    </row>
    <row r="256" customFormat="false" ht="12.75" hidden="false" customHeight="false" outlineLevel="0" collapsed="false">
      <c r="A256" s="0" t="s">
        <v>390</v>
      </c>
    </row>
    <row r="257" customFormat="false" ht="13.5" hidden="false" customHeight="false" outlineLevel="0" collapsed="false"/>
    <row r="258" customFormat="false" ht="12.75" hidden="false" customHeight="false" outlineLevel="0" collapsed="false">
      <c r="A258" s="8" t="s">
        <v>63</v>
      </c>
      <c r="B258" s="8"/>
      <c r="C258" s="8" t="s">
        <v>84</v>
      </c>
      <c r="D258" s="8" t="s">
        <v>105</v>
      </c>
      <c r="E258" s="8" t="s">
        <v>100</v>
      </c>
      <c r="F258" s="8"/>
      <c r="G258" s="8" t="s">
        <v>143</v>
      </c>
      <c r="H258" s="8" t="s">
        <v>362</v>
      </c>
      <c r="I258" s="8" t="s">
        <v>410</v>
      </c>
      <c r="J258" s="8" t="s">
        <v>392</v>
      </c>
      <c r="K258" s="8"/>
      <c r="L258" s="8" t="s">
        <v>393</v>
      </c>
      <c r="M258" s="8" t="s">
        <v>394</v>
      </c>
      <c r="N258" s="8" t="s">
        <v>411</v>
      </c>
      <c r="O258" s="8" t="s">
        <v>396</v>
      </c>
    </row>
    <row r="259" customFormat="false" ht="12.75" hidden="false" customHeight="false" outlineLevel="0" collapsed="false">
      <c r="A259" s="6" t="s">
        <v>202</v>
      </c>
      <c r="B259" s="6" t="n">
        <v>1</v>
      </c>
      <c r="C259" s="6" t="n">
        <v>4252982</v>
      </c>
      <c r="D259" s="6" t="n">
        <v>0</v>
      </c>
      <c r="E259" s="6" t="n">
        <v>0.0238518767065552</v>
      </c>
      <c r="F259" s="6"/>
      <c r="G259" s="6" t="n">
        <v>1.16002176106561E-012</v>
      </c>
      <c r="H259" s="6" t="n">
        <v>0</v>
      </c>
      <c r="I259" s="15" t="n">
        <v>0.528692141571025</v>
      </c>
      <c r="J259" s="15" t="n">
        <v>0.693877551020408</v>
      </c>
      <c r="K259" s="15"/>
      <c r="L259" s="15" t="n">
        <v>0</v>
      </c>
      <c r="M259" s="15" t="n">
        <v>0.528692141571025</v>
      </c>
      <c r="N259" s="15" t="n">
        <v>-1.05912955458752</v>
      </c>
      <c r="O259" s="15" t="n">
        <v>-1.50554530541816</v>
      </c>
    </row>
    <row r="260" customFormat="false" ht="12.75" hidden="false" customHeight="false" outlineLevel="0" collapsed="false">
      <c r="A260" s="6" t="s">
        <v>203</v>
      </c>
      <c r="B260" s="6" t="n">
        <v>1</v>
      </c>
      <c r="C260" s="6" t="n">
        <v>4217940</v>
      </c>
      <c r="D260" s="6" t="n">
        <v>0</v>
      </c>
      <c r="E260" s="6" t="n">
        <v>0.0112071877535429</v>
      </c>
      <c r="F260" s="6"/>
      <c r="G260" s="6" t="n">
        <v>1.49200959313964E-012</v>
      </c>
      <c r="H260" s="6" t="n">
        <v>0</v>
      </c>
      <c r="I260" s="15" t="n">
        <v>0.453611921880217</v>
      </c>
      <c r="J260" s="15" t="n">
        <v>0.693877551020408</v>
      </c>
      <c r="K260" s="15"/>
      <c r="L260" s="15" t="n">
        <v>0</v>
      </c>
      <c r="M260" s="15" t="n">
        <v>0.453611921880217</v>
      </c>
      <c r="N260" s="15" t="n">
        <v>-0.91115365732487</v>
      </c>
      <c r="O260" s="15" t="n">
        <v>-1.50554530541816</v>
      </c>
    </row>
    <row r="261" customFormat="false" ht="12.75" hidden="false" customHeight="false" outlineLevel="0" collapsed="false">
      <c r="A261" s="6" t="s">
        <v>204</v>
      </c>
      <c r="B261" s="6" t="n">
        <v>1</v>
      </c>
      <c r="C261" s="6" t="n">
        <v>2483769</v>
      </c>
      <c r="D261" s="6" t="n">
        <v>0</v>
      </c>
      <c r="E261" s="6" t="n">
        <v>0.0402941869973762</v>
      </c>
      <c r="F261" s="6"/>
      <c r="G261" s="6" t="n">
        <v>8.78858354669177E-013</v>
      </c>
      <c r="H261" s="6" t="n">
        <v>0</v>
      </c>
      <c r="I261" s="15" t="n">
        <v>0.502543425113553</v>
      </c>
      <c r="J261" s="15" t="n">
        <v>0.693877551020408</v>
      </c>
      <c r="K261" s="15"/>
      <c r="L261" s="15" t="n">
        <v>0</v>
      </c>
      <c r="M261" s="15" t="n">
        <v>0.502543425113553</v>
      </c>
      <c r="N261" s="15" t="n">
        <v>-1.00509985431588</v>
      </c>
      <c r="O261" s="15" t="n">
        <v>-1.50554530541816</v>
      </c>
    </row>
    <row r="262" customFormat="false" ht="12.75" hidden="false" customHeight="false" outlineLevel="0" collapsed="false">
      <c r="A262" s="6" t="s">
        <v>205</v>
      </c>
      <c r="B262" s="6" t="n">
        <v>1</v>
      </c>
      <c r="C262" s="6" t="n">
        <v>31589153</v>
      </c>
      <c r="D262" s="6" t="n">
        <v>0</v>
      </c>
      <c r="E262" s="6" t="n">
        <v>0.004523030247648</v>
      </c>
      <c r="F262" s="6"/>
      <c r="G262" s="6" t="n">
        <v>1.15838117524707E-012</v>
      </c>
      <c r="H262" s="6" t="n">
        <v>1</v>
      </c>
      <c r="I262" s="15" t="n">
        <v>1</v>
      </c>
      <c r="J262" s="15" t="n">
        <v>0.693877551020408</v>
      </c>
      <c r="K262" s="15"/>
      <c r="L262" s="15" t="n">
        <v>1</v>
      </c>
      <c r="M262" s="15" t="n">
        <v>1</v>
      </c>
      <c r="N262" s="15" t="n">
        <v>1.05367121277235E-008</v>
      </c>
      <c r="O262" s="15" t="n">
        <v>0.664211164155072</v>
      </c>
    </row>
    <row r="263" customFormat="false" ht="12.75" hidden="false" customHeight="false" outlineLevel="0" collapsed="false">
      <c r="A263" s="6" t="s">
        <v>206</v>
      </c>
      <c r="B263" s="6" t="n">
        <v>1</v>
      </c>
      <c r="C263" s="6" t="n">
        <v>3746585</v>
      </c>
      <c r="D263" s="6" t="n">
        <v>0.0147863247863248</v>
      </c>
      <c r="E263" s="6" t="n">
        <v>0.00794454114516863</v>
      </c>
      <c r="F263" s="6"/>
      <c r="G263" s="6" t="n">
        <v>6.58291482583513E-013</v>
      </c>
      <c r="H263" s="6" t="n">
        <v>1</v>
      </c>
      <c r="I263" s="15" t="n">
        <v>0.444178138760467</v>
      </c>
      <c r="J263" s="15" t="n">
        <v>0.693877551020408</v>
      </c>
      <c r="K263" s="15"/>
      <c r="L263" s="15" t="n">
        <v>1</v>
      </c>
      <c r="M263" s="15" t="n">
        <v>0.444178138760467</v>
      </c>
      <c r="N263" s="15" t="n">
        <v>1.11863710863621</v>
      </c>
      <c r="O263" s="15" t="n">
        <v>0.664211164155072</v>
      </c>
    </row>
    <row r="264" customFormat="false" ht="12.75" hidden="false" customHeight="false" outlineLevel="0" collapsed="false">
      <c r="A264" s="6" t="s">
        <v>207</v>
      </c>
      <c r="B264" s="6" t="n">
        <v>1</v>
      </c>
      <c r="C264" s="6" t="n">
        <v>3274662</v>
      </c>
      <c r="D264" s="6" t="n">
        <v>0.357749077490775</v>
      </c>
      <c r="E264" s="6" t="n">
        <v>0.0456124226267046</v>
      </c>
      <c r="F264" s="6"/>
      <c r="G264" s="6" t="n">
        <v>2.67978152112005E-008</v>
      </c>
      <c r="H264" s="6" t="n">
        <v>1</v>
      </c>
      <c r="I264" s="15" t="n">
        <v>0.999999635436901</v>
      </c>
      <c r="J264" s="15" t="n">
        <v>0.693877551020408</v>
      </c>
      <c r="K264" s="15"/>
      <c r="L264" s="15" t="n">
        <v>1</v>
      </c>
      <c r="M264" s="15" t="n">
        <v>0.999999635436901</v>
      </c>
      <c r="N264" s="15" t="n">
        <v>0.000603790718391355</v>
      </c>
      <c r="O264" s="15" t="n">
        <v>0.664211164155072</v>
      </c>
    </row>
    <row r="265" customFormat="false" ht="12.75" hidden="false" customHeight="false" outlineLevel="0" collapsed="false">
      <c r="A265" s="6" t="s">
        <v>208</v>
      </c>
      <c r="B265" s="6" t="n">
        <v>1</v>
      </c>
      <c r="C265" s="6" t="n">
        <v>717197</v>
      </c>
      <c r="D265" s="6" t="n">
        <v>0.219607843137255</v>
      </c>
      <c r="E265" s="6" t="n">
        <v>0.138328875404208</v>
      </c>
      <c r="F265" s="6"/>
      <c r="G265" s="6" t="n">
        <v>2.04082824400193E-008</v>
      </c>
      <c r="H265" s="6" t="n">
        <v>1</v>
      </c>
      <c r="I265" s="15" t="n">
        <v>0.999999265976797</v>
      </c>
      <c r="J265" s="15" t="n">
        <v>0.693877551020408</v>
      </c>
      <c r="K265" s="15"/>
      <c r="L265" s="15" t="n">
        <v>1</v>
      </c>
      <c r="M265" s="15" t="n">
        <v>0.999999265976797</v>
      </c>
      <c r="N265" s="15" t="n">
        <v>0.000856751855692103</v>
      </c>
      <c r="O265" s="15" t="n">
        <v>0.664211164155072</v>
      </c>
    </row>
    <row r="266" customFormat="false" ht="12.75" hidden="false" customHeight="false" outlineLevel="0" collapsed="false">
      <c r="A266" s="6" t="s">
        <v>209</v>
      </c>
      <c r="B266" s="6" t="n">
        <v>1</v>
      </c>
      <c r="C266" s="6" t="n">
        <v>14165570</v>
      </c>
      <c r="D266" s="6" t="n">
        <v>0.111015583019882</v>
      </c>
      <c r="E266" s="6" t="n">
        <v>0.00799421046196813</v>
      </c>
      <c r="F266" s="6"/>
      <c r="G266" s="6" t="n">
        <v>3.65523418920916E-012</v>
      </c>
      <c r="H266" s="6" t="n">
        <v>1</v>
      </c>
      <c r="I266" s="15" t="n">
        <v>0.999955729985429</v>
      </c>
      <c r="J266" s="15" t="n">
        <v>0.693877551020408</v>
      </c>
      <c r="K266" s="15"/>
      <c r="L266" s="15" t="n">
        <v>1</v>
      </c>
      <c r="M266" s="15" t="n">
        <v>0.999955729985429</v>
      </c>
      <c r="N266" s="15" t="n">
        <v>0.00665371884679135</v>
      </c>
      <c r="O266" s="15" t="n">
        <v>0.664211164155072</v>
      </c>
    </row>
    <row r="267" customFormat="false" ht="12.75" hidden="false" customHeight="false" outlineLevel="0" collapsed="false">
      <c r="A267" s="6" t="s">
        <v>210</v>
      </c>
      <c r="B267" s="6" t="n">
        <v>1</v>
      </c>
      <c r="C267" s="6" t="n">
        <v>7200882</v>
      </c>
      <c r="D267" s="6" t="n">
        <v>0.00785562632696391</v>
      </c>
      <c r="E267" s="6" t="n">
        <v>0.0281378236648974</v>
      </c>
      <c r="F267" s="6"/>
      <c r="G267" s="6" t="n">
        <v>9.95886785099514E-013</v>
      </c>
      <c r="H267" s="6" t="n">
        <v>1</v>
      </c>
      <c r="I267" s="15" t="n">
        <v>0.786198267072276</v>
      </c>
      <c r="J267" s="15" t="n">
        <v>0.693877551020408</v>
      </c>
      <c r="K267" s="15"/>
      <c r="L267" s="15" t="n">
        <v>1</v>
      </c>
      <c r="M267" s="15" t="n">
        <v>0.786198267072276</v>
      </c>
      <c r="N267" s="15" t="n">
        <v>0.521482296472055</v>
      </c>
      <c r="O267" s="15" t="n">
        <v>0.664211164155072</v>
      </c>
    </row>
    <row r="268" customFormat="false" ht="12.75" hidden="false" customHeight="false" outlineLevel="0" collapsed="false">
      <c r="A268" s="6" t="s">
        <v>211</v>
      </c>
      <c r="B268" s="6" t="n">
        <v>1</v>
      </c>
      <c r="C268" s="6" t="n">
        <v>1186815</v>
      </c>
      <c r="D268" s="6" t="n">
        <v>0</v>
      </c>
      <c r="E268" s="6" t="n">
        <v>0.00952409571468726</v>
      </c>
      <c r="F268" s="6"/>
      <c r="G268" s="6" t="n">
        <v>4.11770253782566E-011</v>
      </c>
      <c r="H268" s="6" t="n">
        <v>0</v>
      </c>
      <c r="I268" s="15" t="n">
        <v>0.275732060778698</v>
      </c>
      <c r="J268" s="15" t="n">
        <v>0.693877551020408</v>
      </c>
      <c r="K268" s="15"/>
      <c r="L268" s="15" t="n">
        <v>0</v>
      </c>
      <c r="M268" s="15" t="n">
        <v>0.275732060778698</v>
      </c>
      <c r="N268" s="15" t="n">
        <v>-0.617012557418183</v>
      </c>
      <c r="O268" s="15" t="n">
        <v>-1.50554530541816</v>
      </c>
    </row>
    <row r="269" customFormat="false" ht="12.75" hidden="false" customHeight="false" outlineLevel="0" collapsed="false">
      <c r="A269" s="6" t="s">
        <v>212</v>
      </c>
      <c r="B269" s="6" t="n">
        <v>1</v>
      </c>
      <c r="C269" s="6" t="n">
        <v>1163261</v>
      </c>
      <c r="D269" s="6" t="n">
        <v>0</v>
      </c>
      <c r="E269" s="6" t="n">
        <v>0.0261485883128481</v>
      </c>
      <c r="F269" s="6"/>
      <c r="G269" s="6" t="n">
        <v>1.71548959608199E-012</v>
      </c>
      <c r="H269" s="6" t="n">
        <v>0</v>
      </c>
      <c r="I269" s="15" t="n">
        <v>0.345752671350228</v>
      </c>
      <c r="J269" s="15" t="n">
        <v>0.693877551020408</v>
      </c>
      <c r="K269" s="15"/>
      <c r="L269" s="15" t="n">
        <v>0</v>
      </c>
      <c r="M269" s="15" t="n">
        <v>0.345752671350228</v>
      </c>
      <c r="N269" s="15" t="n">
        <v>-0.726962139309654</v>
      </c>
      <c r="O269" s="15" t="n">
        <v>-1.50554530541816</v>
      </c>
    </row>
    <row r="270" customFormat="false" ht="12.75" hidden="false" customHeight="false" outlineLevel="0" collapsed="false">
      <c r="A270" s="6" t="s">
        <v>213</v>
      </c>
      <c r="B270" s="6" t="n">
        <v>1</v>
      </c>
      <c r="C270" s="6" t="n">
        <v>11829940</v>
      </c>
      <c r="D270" s="6" t="n">
        <v>0.0825389755011136</v>
      </c>
      <c r="E270" s="6" t="n">
        <v>0.0281937744250442</v>
      </c>
      <c r="F270" s="6"/>
      <c r="G270" s="6" t="n">
        <v>2.04279325453952E-013</v>
      </c>
      <c r="H270" s="6" t="n">
        <v>1</v>
      </c>
      <c r="I270" s="15" t="n">
        <v>0.999126475763678</v>
      </c>
      <c r="J270" s="15" t="n">
        <v>0.693877551020408</v>
      </c>
      <c r="K270" s="15"/>
      <c r="L270" s="15" t="n">
        <v>1</v>
      </c>
      <c r="M270" s="15" t="n">
        <v>0.999126475763678</v>
      </c>
      <c r="N270" s="15" t="n">
        <v>0.0295683605909133</v>
      </c>
      <c r="O270" s="15" t="n">
        <v>0.664211164155072</v>
      </c>
    </row>
    <row r="271" customFormat="false" ht="12.75" hidden="false" customHeight="false" outlineLevel="0" collapsed="false">
      <c r="A271" s="6" t="s">
        <v>214</v>
      </c>
      <c r="B271" s="6" t="n">
        <v>1</v>
      </c>
      <c r="C271" s="6" t="n">
        <v>5803471</v>
      </c>
      <c r="D271" s="6" t="n">
        <v>0.120414428242517</v>
      </c>
      <c r="E271" s="6" t="n">
        <v>0.03280824193038</v>
      </c>
      <c r="F271" s="6"/>
      <c r="G271" s="6" t="n">
        <v>4.75336844122294E-011</v>
      </c>
      <c r="H271" s="6" t="n">
        <v>1</v>
      </c>
      <c r="I271" s="15" t="n">
        <v>0.956466617446321</v>
      </c>
      <c r="J271" s="15" t="n">
        <v>0.693877551020408</v>
      </c>
      <c r="K271" s="15"/>
      <c r="L271" s="15" t="n">
        <v>1</v>
      </c>
      <c r="M271" s="15" t="n">
        <v>0.956466617446321</v>
      </c>
      <c r="N271" s="15" t="n">
        <v>0.21334196858723</v>
      </c>
      <c r="O271" s="15" t="n">
        <v>0.664211164155072</v>
      </c>
    </row>
    <row r="272" customFormat="false" ht="12.75" hidden="false" customHeight="false" outlineLevel="0" collapsed="false">
      <c r="A272" s="6" t="s">
        <v>215</v>
      </c>
      <c r="B272" s="6" t="n">
        <v>1</v>
      </c>
      <c r="C272" s="6" t="n">
        <v>2841764</v>
      </c>
      <c r="D272" s="6" t="n">
        <v>0</v>
      </c>
      <c r="E272" s="6" t="n">
        <v>0.0369184324665151</v>
      </c>
      <c r="F272" s="6"/>
      <c r="G272" s="6" t="n">
        <v>9.38297197918158E-012</v>
      </c>
      <c r="H272" s="6" t="n">
        <v>1</v>
      </c>
      <c r="I272" s="15" t="n">
        <v>0.507497834345903</v>
      </c>
      <c r="J272" s="15" t="n">
        <v>0.693877551020408</v>
      </c>
      <c r="K272" s="15"/>
      <c r="L272" s="15" t="n">
        <v>1</v>
      </c>
      <c r="M272" s="15" t="n">
        <v>0.507497834345903</v>
      </c>
      <c r="N272" s="15" t="n">
        <v>0.98511509899095</v>
      </c>
      <c r="O272" s="15" t="n">
        <v>0.664211164155072</v>
      </c>
    </row>
    <row r="273" customFormat="false" ht="12.75" hidden="false" customHeight="false" outlineLevel="0" collapsed="false">
      <c r="A273" s="6" t="s">
        <v>216</v>
      </c>
      <c r="B273" s="6" t="n">
        <v>1</v>
      </c>
      <c r="C273" s="6" t="n">
        <v>2565328</v>
      </c>
      <c r="D273" s="6" t="n">
        <v>0.238988095238095</v>
      </c>
      <c r="E273" s="6" t="n">
        <v>0.0706260870607761</v>
      </c>
      <c r="F273" s="6"/>
      <c r="G273" s="6" t="n">
        <v>8.3954224057573E-014</v>
      </c>
      <c r="H273" s="6" t="n">
        <v>1</v>
      </c>
      <c r="I273" s="15" t="n">
        <v>0.99969482868718</v>
      </c>
      <c r="J273" s="15" t="n">
        <v>0.693877551020408</v>
      </c>
      <c r="K273" s="15"/>
      <c r="L273" s="15" t="n">
        <v>1</v>
      </c>
      <c r="M273" s="15" t="n">
        <v>0.99969482868718</v>
      </c>
      <c r="N273" s="15" t="n">
        <v>0.0174718193322724</v>
      </c>
      <c r="O273" s="15" t="n">
        <v>0.664211164155072</v>
      </c>
    </row>
    <row r="274" customFormat="false" ht="12.75" hidden="false" customHeight="false" outlineLevel="0" collapsed="false">
      <c r="A274" s="6" t="s">
        <v>217</v>
      </c>
      <c r="B274" s="6" t="n">
        <v>1</v>
      </c>
      <c r="C274" s="6" t="n">
        <v>3860219</v>
      </c>
      <c r="D274" s="6" t="n">
        <v>0.239415204678363</v>
      </c>
      <c r="E274" s="6" t="n">
        <v>0.0625602364619358</v>
      </c>
      <c r="F274" s="6"/>
      <c r="G274" s="6" t="n">
        <v>4.61685442104148E-011</v>
      </c>
      <c r="H274" s="6" t="n">
        <v>1</v>
      </c>
      <c r="I274" s="15" t="n">
        <v>0.999895485558425</v>
      </c>
      <c r="J274" s="15" t="n">
        <v>0.693877551020408</v>
      </c>
      <c r="K274" s="15"/>
      <c r="L274" s="15" t="n">
        <v>1</v>
      </c>
      <c r="M274" s="15" t="n">
        <v>0.999895485558425</v>
      </c>
      <c r="N274" s="15" t="n">
        <v>0.0102237647657542</v>
      </c>
      <c r="O274" s="15" t="n">
        <v>0.664211164155072</v>
      </c>
    </row>
    <row r="275" customFormat="false" ht="12.75" hidden="false" customHeight="false" outlineLevel="0" collapsed="false">
      <c r="A275" s="6" t="s">
        <v>218</v>
      </c>
      <c r="B275" s="6" t="n">
        <v>1</v>
      </c>
      <c r="C275" s="6" t="n">
        <v>4342334</v>
      </c>
      <c r="D275" s="6" t="n">
        <v>0</v>
      </c>
      <c r="E275" s="6" t="n">
        <v>0.0211147303966919</v>
      </c>
      <c r="F275" s="6"/>
      <c r="G275" s="6" t="n">
        <v>2.56823004434834E-012</v>
      </c>
      <c r="H275" s="6" t="n">
        <v>1</v>
      </c>
      <c r="I275" s="15" t="n">
        <v>0.518734373838855</v>
      </c>
      <c r="J275" s="15" t="n">
        <v>0.693877551020408</v>
      </c>
      <c r="K275" s="15"/>
      <c r="L275" s="15" t="n">
        <v>1</v>
      </c>
      <c r="M275" s="15" t="n">
        <v>0.518734373838855</v>
      </c>
      <c r="N275" s="15" t="n">
        <v>0.963207616776999</v>
      </c>
      <c r="O275" s="15" t="n">
        <v>0.664211164155072</v>
      </c>
    </row>
    <row r="276" customFormat="false" ht="12.75" hidden="false" customHeight="false" outlineLevel="0" collapsed="false">
      <c r="A276" s="6" t="s">
        <v>219</v>
      </c>
      <c r="B276" s="6" t="n">
        <v>1</v>
      </c>
      <c r="C276" s="6" t="n">
        <v>1241382</v>
      </c>
      <c r="D276" s="6" t="n">
        <v>0.292950391644909</v>
      </c>
      <c r="E276" s="6" t="n">
        <v>0.0206121747105353</v>
      </c>
      <c r="F276" s="6"/>
      <c r="G276" s="6" t="n">
        <v>2.65827638003696E-010</v>
      </c>
      <c r="H276" s="6" t="n">
        <v>1</v>
      </c>
      <c r="I276" s="15" t="n">
        <v>0.984394898991846</v>
      </c>
      <c r="J276" s="15" t="n">
        <v>0.693877551020408</v>
      </c>
      <c r="K276" s="15"/>
      <c r="L276" s="15" t="n">
        <v>1</v>
      </c>
      <c r="M276" s="15" t="n">
        <v>0.984394898991846</v>
      </c>
      <c r="N276" s="15" t="n">
        <v>0.125906634331386</v>
      </c>
      <c r="O276" s="15" t="n">
        <v>0.664211164155072</v>
      </c>
    </row>
    <row r="277" customFormat="false" ht="12.75" hidden="false" customHeight="false" outlineLevel="0" collapsed="false">
      <c r="A277" s="6" t="s">
        <v>220</v>
      </c>
      <c r="B277" s="6" t="n">
        <v>1</v>
      </c>
      <c r="C277" s="6" t="n">
        <v>5042438</v>
      </c>
      <c r="D277" s="6" t="n">
        <v>0.059493670886076</v>
      </c>
      <c r="E277" s="6" t="n">
        <v>0.0697797782145526</v>
      </c>
      <c r="F277" s="6"/>
      <c r="G277" s="6" t="n">
        <v>7.3736342600225E-010</v>
      </c>
      <c r="H277" s="6" t="n">
        <v>1</v>
      </c>
      <c r="I277" s="15" t="n">
        <v>0.953110624026448</v>
      </c>
      <c r="J277" s="15" t="n">
        <v>0.693877551020408</v>
      </c>
      <c r="K277" s="15"/>
      <c r="L277" s="15" t="n">
        <v>1</v>
      </c>
      <c r="M277" s="15" t="n">
        <v>0.953110624026448</v>
      </c>
      <c r="N277" s="15" t="n">
        <v>0.221802057886109</v>
      </c>
      <c r="O277" s="15" t="n">
        <v>0.664211164155072</v>
      </c>
    </row>
    <row r="278" customFormat="false" ht="12.75" hidden="false" customHeight="false" outlineLevel="0" collapsed="false">
      <c r="A278" s="6" t="s">
        <v>221</v>
      </c>
      <c r="B278" s="6" t="n">
        <v>1</v>
      </c>
      <c r="C278" s="6" t="n">
        <v>6073550</v>
      </c>
      <c r="D278" s="6" t="n">
        <v>0.163254593175853</v>
      </c>
      <c r="E278" s="6" t="n">
        <v>0.0502082263621112</v>
      </c>
      <c r="F278" s="6"/>
      <c r="G278" s="6" t="n">
        <v>2.60150207336547E-011</v>
      </c>
      <c r="H278" s="6" t="n">
        <v>1</v>
      </c>
      <c r="I278" s="15" t="n">
        <v>0.998070306650878</v>
      </c>
      <c r="J278" s="15" t="n">
        <v>0.693877551020408</v>
      </c>
      <c r="K278" s="15"/>
      <c r="L278" s="15" t="n">
        <v>1</v>
      </c>
      <c r="M278" s="15" t="n">
        <v>0.998070306650878</v>
      </c>
      <c r="N278" s="15" t="n">
        <v>0.0439707205429586</v>
      </c>
      <c r="O278" s="15" t="n">
        <v>0.664211164155072</v>
      </c>
    </row>
    <row r="279" customFormat="false" ht="12.75" hidden="false" customHeight="false" outlineLevel="0" collapsed="false">
      <c r="A279" s="6" t="s">
        <v>222</v>
      </c>
      <c r="B279" s="6" t="n">
        <v>1</v>
      </c>
      <c r="C279" s="6" t="n">
        <v>9549353</v>
      </c>
      <c r="D279" s="6" t="n">
        <v>0</v>
      </c>
      <c r="E279" s="6" t="n">
        <v>0.00796925854450259</v>
      </c>
      <c r="F279" s="6"/>
      <c r="G279" s="6" t="n">
        <v>9.23270469744563E-013</v>
      </c>
      <c r="H279" s="6" t="n">
        <v>1</v>
      </c>
      <c r="I279" s="15" t="n">
        <v>0.806710260338505</v>
      </c>
      <c r="J279" s="15" t="n">
        <v>0.693877551020408</v>
      </c>
      <c r="K279" s="15"/>
      <c r="L279" s="15" t="n">
        <v>1</v>
      </c>
      <c r="M279" s="15" t="n">
        <v>0.806710260338505</v>
      </c>
      <c r="N279" s="15" t="n">
        <v>0.489492013431167</v>
      </c>
      <c r="O279" s="15" t="n">
        <v>0.664211164155072</v>
      </c>
    </row>
    <row r="280" customFormat="false" ht="12.75" hidden="false" customHeight="false" outlineLevel="0" collapsed="false">
      <c r="A280" s="6" t="s">
        <v>223</v>
      </c>
      <c r="B280" s="6" t="n">
        <v>1</v>
      </c>
      <c r="C280" s="6" t="n">
        <v>4609548</v>
      </c>
      <c r="D280" s="6" t="n">
        <v>0</v>
      </c>
      <c r="E280" s="6" t="n">
        <v>0.0231171606433715</v>
      </c>
      <c r="F280" s="6"/>
      <c r="G280" s="6" t="n">
        <v>3.91416523412056E-014</v>
      </c>
      <c r="H280" s="6" t="n">
        <v>0</v>
      </c>
      <c r="I280" s="15" t="n">
        <v>0.549475712411522</v>
      </c>
      <c r="J280" s="15" t="n">
        <v>0.693877551020408</v>
      </c>
      <c r="K280" s="15"/>
      <c r="L280" s="15" t="n">
        <v>0</v>
      </c>
      <c r="M280" s="15" t="n">
        <v>0.549475712411522</v>
      </c>
      <c r="N280" s="15" t="n">
        <v>-1.1043713871198</v>
      </c>
      <c r="O280" s="15" t="n">
        <v>-1.50554530541816</v>
      </c>
    </row>
    <row r="281" customFormat="false" ht="12.75" hidden="false" customHeight="false" outlineLevel="0" collapsed="false">
      <c r="A281" s="6" t="s">
        <v>224</v>
      </c>
      <c r="B281" s="6" t="n">
        <v>1</v>
      </c>
      <c r="C281" s="6" t="n">
        <v>2697243</v>
      </c>
      <c r="D281" s="6" t="n">
        <v>0</v>
      </c>
      <c r="E281" s="6" t="n">
        <v>0.0305028704492417</v>
      </c>
      <c r="F281" s="6"/>
      <c r="G281" s="6" t="n">
        <v>3.31728127610878E-012</v>
      </c>
      <c r="H281" s="6" t="n">
        <v>0</v>
      </c>
      <c r="I281" s="15" t="n">
        <v>0.461065466363825</v>
      </c>
      <c r="J281" s="15" t="n">
        <v>0.693877551020408</v>
      </c>
      <c r="K281" s="15"/>
      <c r="L281" s="15" t="n">
        <v>0</v>
      </c>
      <c r="M281" s="15" t="n">
        <v>0.461065466363825</v>
      </c>
      <c r="N281" s="15" t="n">
        <v>-0.924939424065852</v>
      </c>
      <c r="O281" s="15" t="n">
        <v>-1.50554530541816</v>
      </c>
    </row>
    <row r="282" customFormat="false" ht="12.75" hidden="false" customHeight="false" outlineLevel="0" collapsed="false">
      <c r="A282" s="6" t="s">
        <v>225</v>
      </c>
      <c r="B282" s="6" t="n">
        <v>1</v>
      </c>
      <c r="C282" s="6" t="n">
        <v>5323523</v>
      </c>
      <c r="D282" s="6" t="n">
        <v>0</v>
      </c>
      <c r="E282" s="6" t="n">
        <v>0.0724272745344907</v>
      </c>
      <c r="F282" s="6"/>
      <c r="G282" s="6" t="n">
        <v>1.15835281976731E-010</v>
      </c>
      <c r="H282" s="6" t="n">
        <v>1</v>
      </c>
      <c r="I282" s="15" t="n">
        <v>0.877195321641624</v>
      </c>
      <c r="J282" s="15" t="n">
        <v>0.693877551020408</v>
      </c>
      <c r="K282" s="15"/>
      <c r="L282" s="15" t="n">
        <v>1</v>
      </c>
      <c r="M282" s="15" t="n">
        <v>0.877195321641624</v>
      </c>
      <c r="N282" s="15" t="n">
        <v>0.374161676288008</v>
      </c>
      <c r="O282" s="15" t="n">
        <v>0.664211164155072</v>
      </c>
    </row>
    <row r="283" customFormat="false" ht="12.75" hidden="false" customHeight="false" outlineLevel="0" collapsed="false">
      <c r="A283" s="6" t="s">
        <v>226</v>
      </c>
      <c r="B283" s="6" t="n">
        <v>1</v>
      </c>
      <c r="C283" s="6" t="n">
        <v>870281</v>
      </c>
      <c r="D283" s="6" t="n">
        <v>0</v>
      </c>
      <c r="E283" s="6" t="n">
        <v>0.00796409544263987</v>
      </c>
      <c r="F283" s="6"/>
      <c r="G283" s="6" t="n">
        <v>3.47319888352621E-014</v>
      </c>
      <c r="H283" s="6" t="n">
        <v>0</v>
      </c>
      <c r="I283" s="15" t="n">
        <v>0.255640312631915</v>
      </c>
      <c r="J283" s="15" t="n">
        <v>0.693877551020408</v>
      </c>
      <c r="K283" s="15"/>
      <c r="L283" s="15" t="n">
        <v>0</v>
      </c>
      <c r="M283" s="15" t="n">
        <v>0.255640312631915</v>
      </c>
      <c r="N283" s="15" t="n">
        <v>-0.586034586083635</v>
      </c>
      <c r="O283" s="15" t="n">
        <v>-1.50554530541816</v>
      </c>
    </row>
    <row r="284" customFormat="false" ht="12.75" hidden="false" customHeight="false" outlineLevel="0" collapsed="false">
      <c r="A284" s="6" t="s">
        <v>227</v>
      </c>
      <c r="B284" s="6" t="n">
        <v>1</v>
      </c>
      <c r="C284" s="6" t="n">
        <v>1637112</v>
      </c>
      <c r="D284" s="6" t="n">
        <v>0</v>
      </c>
      <c r="E284" s="6" t="n">
        <v>0.0425053293156057</v>
      </c>
      <c r="F284" s="6"/>
      <c r="G284" s="6" t="n">
        <v>1.27766030104349E-013</v>
      </c>
      <c r="H284" s="6" t="n">
        <v>1</v>
      </c>
      <c r="I284" s="15" t="n">
        <v>0.4582039686956</v>
      </c>
      <c r="J284" s="15" t="n">
        <v>0.693877551020408</v>
      </c>
      <c r="K284" s="15"/>
      <c r="L284" s="15" t="n">
        <v>1</v>
      </c>
      <c r="M284" s="15" t="n">
        <v>0.4582039686956</v>
      </c>
      <c r="N284" s="15" t="n">
        <v>1.0873978913548</v>
      </c>
      <c r="O284" s="15" t="n">
        <v>0.664211164155072</v>
      </c>
    </row>
    <row r="285" customFormat="false" ht="12.75" hidden="false" customHeight="false" outlineLevel="0" collapsed="false">
      <c r="A285" s="6" t="s">
        <v>228</v>
      </c>
      <c r="B285" s="6" t="n">
        <v>1</v>
      </c>
      <c r="C285" s="6" t="n">
        <v>1530108</v>
      </c>
      <c r="D285" s="6" t="n">
        <v>0</v>
      </c>
      <c r="E285" s="6" t="n">
        <v>0.0433497425670366</v>
      </c>
      <c r="F285" s="6"/>
      <c r="G285" s="6" t="n">
        <v>1.76208456848238E-013</v>
      </c>
      <c r="H285" s="6" t="n">
        <v>0</v>
      </c>
      <c r="I285" s="15" t="n">
        <v>0.455876506319465</v>
      </c>
      <c r="J285" s="15" t="n">
        <v>0.693877551020408</v>
      </c>
      <c r="K285" s="15"/>
      <c r="L285" s="15" t="n">
        <v>0</v>
      </c>
      <c r="M285" s="15" t="n">
        <v>0.455876506319465</v>
      </c>
      <c r="N285" s="15" t="n">
        <v>-0.915324035640043</v>
      </c>
      <c r="O285" s="15" t="n">
        <v>-1.50554530541816</v>
      </c>
    </row>
    <row r="286" customFormat="false" ht="12.75" hidden="false" customHeight="false" outlineLevel="0" collapsed="false">
      <c r="A286" s="6" t="s">
        <v>229</v>
      </c>
      <c r="B286" s="6" t="n">
        <v>1</v>
      </c>
      <c r="C286" s="6" t="n">
        <v>1148253</v>
      </c>
      <c r="D286" s="6" t="n">
        <v>0.290225563909774</v>
      </c>
      <c r="E286" s="6" t="n">
        <v>0.0851357193769645</v>
      </c>
      <c r="F286" s="6"/>
      <c r="G286" s="6" t="n">
        <v>7.50551003301169E-008</v>
      </c>
      <c r="H286" s="6" t="n">
        <v>1</v>
      </c>
      <c r="I286" s="15" t="n">
        <v>0.999932228572818</v>
      </c>
      <c r="J286" s="15" t="n">
        <v>0.693877551020408</v>
      </c>
      <c r="K286" s="15"/>
      <c r="L286" s="15" t="n">
        <v>1</v>
      </c>
      <c r="M286" s="15" t="n">
        <v>0.999932228572818</v>
      </c>
      <c r="N286" s="15" t="n">
        <v>0.00823261929517963</v>
      </c>
      <c r="O286" s="15" t="n">
        <v>0.664211164155072</v>
      </c>
    </row>
    <row r="287" customFormat="false" ht="12.75" hidden="false" customHeight="false" outlineLevel="0" collapsed="false">
      <c r="A287" s="6" t="s">
        <v>230</v>
      </c>
      <c r="B287" s="6" t="n">
        <v>1</v>
      </c>
      <c r="C287" s="6" t="n">
        <v>7945298</v>
      </c>
      <c r="D287" s="6" t="n">
        <v>0.424725274725275</v>
      </c>
      <c r="E287" s="6" t="n">
        <v>0.0704522955482905</v>
      </c>
      <c r="F287" s="6"/>
      <c r="G287" s="6" t="n">
        <v>9.78574048714857E-007</v>
      </c>
      <c r="H287" s="6" t="n">
        <v>1</v>
      </c>
      <c r="I287" s="15" t="n">
        <v>0.999250902052528</v>
      </c>
      <c r="J287" s="15" t="n">
        <v>0.693877551020408</v>
      </c>
      <c r="K287" s="15"/>
      <c r="L287" s="15" t="n">
        <v>1</v>
      </c>
      <c r="M287" s="15" t="n">
        <v>0.999250902052528</v>
      </c>
      <c r="N287" s="15" t="n">
        <v>0.0273799108084174</v>
      </c>
      <c r="O287" s="15" t="n">
        <v>0.664211164155072</v>
      </c>
    </row>
    <row r="288" customFormat="false" ht="12.75" hidden="false" customHeight="false" outlineLevel="0" collapsed="false">
      <c r="A288" s="6" t="s">
        <v>231</v>
      </c>
      <c r="B288" s="6" t="n">
        <v>1</v>
      </c>
      <c r="C288" s="6" t="n">
        <v>1685401</v>
      </c>
      <c r="D288" s="6" t="n">
        <v>0</v>
      </c>
      <c r="E288" s="6" t="n">
        <v>0.0190957981584029</v>
      </c>
      <c r="F288" s="6"/>
      <c r="G288" s="6" t="n">
        <v>3.26758137987897E-012</v>
      </c>
      <c r="H288" s="6" t="n">
        <v>0</v>
      </c>
      <c r="I288" s="15" t="n">
        <v>0.341638999592739</v>
      </c>
      <c r="J288" s="15" t="n">
        <v>0.693877551020408</v>
      </c>
      <c r="K288" s="15"/>
      <c r="L288" s="15" t="n">
        <v>0</v>
      </c>
      <c r="M288" s="15" t="n">
        <v>0.341638999592739</v>
      </c>
      <c r="N288" s="15" t="n">
        <v>-0.720363455202602</v>
      </c>
      <c r="O288" s="15" t="n">
        <v>-1.50554530541816</v>
      </c>
    </row>
    <row r="289" customFormat="false" ht="12.75" hidden="false" customHeight="false" outlineLevel="0" collapsed="false">
      <c r="A289" s="6" t="s">
        <v>232</v>
      </c>
      <c r="B289" s="6" t="n">
        <v>1</v>
      </c>
      <c r="C289" s="6" t="n">
        <v>18136081</v>
      </c>
      <c r="D289" s="6" t="n">
        <v>0.270103092783505</v>
      </c>
      <c r="E289" s="6" t="n">
        <v>0.0509878017590525</v>
      </c>
      <c r="F289" s="6"/>
      <c r="G289" s="6" t="n">
        <v>6.14030526894406E-010</v>
      </c>
      <c r="H289" s="6" t="n">
        <v>1</v>
      </c>
      <c r="I289" s="15" t="n">
        <v>1</v>
      </c>
      <c r="J289" s="15" t="n">
        <v>0.693877551020408</v>
      </c>
      <c r="K289" s="15"/>
      <c r="L289" s="15" t="n">
        <v>1</v>
      </c>
      <c r="M289" s="15" t="n">
        <v>1</v>
      </c>
      <c r="N289" s="15" t="n">
        <v>1.05367121277235E-008</v>
      </c>
      <c r="O289" s="15" t="n">
        <v>0.664211164155072</v>
      </c>
    </row>
    <row r="290" customFormat="false" ht="12.75" hidden="false" customHeight="false" outlineLevel="0" collapsed="false">
      <c r="A290" s="6" t="s">
        <v>233</v>
      </c>
      <c r="B290" s="6" t="n">
        <v>1</v>
      </c>
      <c r="C290" s="6" t="n">
        <v>7195138</v>
      </c>
      <c r="D290" s="6" t="n">
        <v>0</v>
      </c>
      <c r="E290" s="6" t="n">
        <v>0.0221303868527105</v>
      </c>
      <c r="F290" s="6"/>
      <c r="G290" s="6" t="n">
        <v>1.73290869510021E-012</v>
      </c>
      <c r="H290" s="6" t="n">
        <v>1</v>
      </c>
      <c r="I290" s="15" t="n">
        <v>0.729619078244384</v>
      </c>
      <c r="J290" s="15" t="n">
        <v>0.693877551020408</v>
      </c>
      <c r="K290" s="15"/>
      <c r="L290" s="15" t="n">
        <v>1</v>
      </c>
      <c r="M290" s="15" t="n">
        <v>0.729619078244384</v>
      </c>
      <c r="N290" s="15" t="n">
        <v>0.608751341651487</v>
      </c>
      <c r="O290" s="15" t="n">
        <v>0.664211164155072</v>
      </c>
    </row>
    <row r="291" customFormat="false" ht="12.75" hidden="false" customHeight="false" outlineLevel="0" collapsed="false">
      <c r="A291" s="6" t="s">
        <v>234</v>
      </c>
      <c r="B291" s="6" t="n">
        <v>1</v>
      </c>
      <c r="C291" s="6" t="n">
        <v>641367</v>
      </c>
      <c r="D291" s="6" t="n">
        <v>0</v>
      </c>
      <c r="E291" s="6" t="n">
        <v>0.0585817128891722</v>
      </c>
      <c r="F291" s="6"/>
      <c r="G291" s="6" t="n">
        <v>2.88428682897276E-014</v>
      </c>
      <c r="H291" s="6" t="n">
        <v>0</v>
      </c>
      <c r="I291" s="15" t="n">
        <v>0.482563668727239</v>
      </c>
      <c r="J291" s="15" t="n">
        <v>0.693877551020408</v>
      </c>
      <c r="K291" s="15"/>
      <c r="L291" s="15" t="n">
        <v>0</v>
      </c>
      <c r="M291" s="15" t="n">
        <v>0.482563668727239</v>
      </c>
      <c r="N291" s="15" t="n">
        <v>-0.965714720175876</v>
      </c>
      <c r="O291" s="15" t="n">
        <v>-1.50554530541816</v>
      </c>
    </row>
    <row r="292" customFormat="false" ht="12.75" hidden="false" customHeight="false" outlineLevel="0" collapsed="false">
      <c r="A292" s="6" t="s">
        <v>235</v>
      </c>
      <c r="B292" s="6" t="n">
        <v>1</v>
      </c>
      <c r="C292" s="6" t="n">
        <v>11150506</v>
      </c>
      <c r="D292" s="6" t="n">
        <v>0.124419204956118</v>
      </c>
      <c r="E292" s="6" t="n">
        <v>0.0282688311910131</v>
      </c>
      <c r="F292" s="6"/>
      <c r="G292" s="6" t="n">
        <v>3.8555392305473E-012</v>
      </c>
      <c r="H292" s="6" t="n">
        <v>1</v>
      </c>
      <c r="I292" s="15" t="n">
        <v>0.999823117140123</v>
      </c>
      <c r="J292" s="15" t="n">
        <v>0.693877551020408</v>
      </c>
      <c r="K292" s="15"/>
      <c r="L292" s="15" t="n">
        <v>1</v>
      </c>
      <c r="M292" s="15" t="n">
        <v>0.999823117140123</v>
      </c>
      <c r="N292" s="15" t="n">
        <v>0.0133009079749733</v>
      </c>
      <c r="O292" s="15" t="n">
        <v>0.664211164155072</v>
      </c>
    </row>
    <row r="293" customFormat="false" ht="12.75" hidden="false" customHeight="false" outlineLevel="0" collapsed="false">
      <c r="A293" s="6" t="s">
        <v>236</v>
      </c>
      <c r="B293" s="6" t="n">
        <v>1</v>
      </c>
      <c r="C293" s="6" t="n">
        <v>3277687</v>
      </c>
      <c r="D293" s="6" t="n">
        <v>0.163815789473684</v>
      </c>
      <c r="E293" s="6" t="n">
        <v>0.0108396118772474</v>
      </c>
      <c r="F293" s="6"/>
      <c r="G293" s="6" t="n">
        <v>8.18184975183888E-013</v>
      </c>
      <c r="H293" s="6" t="n">
        <v>1</v>
      </c>
      <c r="I293" s="15" t="n">
        <v>0.845494228474487</v>
      </c>
      <c r="J293" s="15" t="n">
        <v>0.693877551020408</v>
      </c>
      <c r="K293" s="15"/>
      <c r="L293" s="15" t="n">
        <v>1</v>
      </c>
      <c r="M293" s="15" t="n">
        <v>0.845494228474487</v>
      </c>
      <c r="N293" s="15" t="n">
        <v>0.427481209833457</v>
      </c>
      <c r="O293" s="15" t="n">
        <v>0.664211164155072</v>
      </c>
    </row>
    <row r="294" customFormat="false" ht="12.75" hidden="false" customHeight="false" outlineLevel="0" collapsed="false">
      <c r="A294" s="6" t="s">
        <v>237</v>
      </c>
      <c r="B294" s="6" t="n">
        <v>1</v>
      </c>
      <c r="C294" s="6" t="n">
        <v>3140585</v>
      </c>
      <c r="D294" s="6" t="n">
        <v>0</v>
      </c>
      <c r="E294" s="6" t="n">
        <v>0.0372433830337473</v>
      </c>
      <c r="F294" s="6"/>
      <c r="G294" s="6" t="n">
        <v>1.82145478296565E-012</v>
      </c>
      <c r="H294" s="6" t="n">
        <v>1</v>
      </c>
      <c r="I294" s="15" t="n">
        <v>0.530224403005602</v>
      </c>
      <c r="J294" s="15" t="n">
        <v>0.693877551020408</v>
      </c>
      <c r="K294" s="15"/>
      <c r="L294" s="15" t="n">
        <v>1</v>
      </c>
      <c r="M294" s="15" t="n">
        <v>0.530224403005602</v>
      </c>
      <c r="N294" s="15" t="n">
        <v>0.941272500090324</v>
      </c>
      <c r="O294" s="15" t="n">
        <v>0.664211164155072</v>
      </c>
    </row>
    <row r="295" customFormat="false" ht="12.75" hidden="false" customHeight="false" outlineLevel="0" collapsed="false">
      <c r="A295" s="6" t="s">
        <v>238</v>
      </c>
      <c r="B295" s="6" t="n">
        <v>1</v>
      </c>
      <c r="C295" s="6" t="n">
        <v>12071842</v>
      </c>
      <c r="D295" s="6" t="n">
        <v>0.224868231911835</v>
      </c>
      <c r="E295" s="6" t="n">
        <v>0.0341732303708947</v>
      </c>
      <c r="F295" s="6"/>
      <c r="G295" s="6" t="n">
        <v>7.42322736941945E-009</v>
      </c>
      <c r="H295" s="6" t="n">
        <v>1</v>
      </c>
      <c r="I295" s="15" t="n">
        <v>0.999999999988626</v>
      </c>
      <c r="J295" s="15" t="n">
        <v>0.693877551020408</v>
      </c>
      <c r="K295" s="15"/>
      <c r="L295" s="15" t="n">
        <v>1</v>
      </c>
      <c r="M295" s="15" t="n">
        <v>0.999999999988626</v>
      </c>
      <c r="N295" s="15" t="n">
        <v>3.3725051220427E-006</v>
      </c>
      <c r="O295" s="15" t="n">
        <v>0.664211164155072</v>
      </c>
    </row>
    <row r="296" customFormat="false" ht="12.75" hidden="false" customHeight="false" outlineLevel="0" collapsed="false">
      <c r="A296" s="6" t="s">
        <v>239</v>
      </c>
      <c r="B296" s="6" t="n">
        <v>1</v>
      </c>
      <c r="C296" s="6" t="n">
        <v>989794</v>
      </c>
      <c r="D296" s="6" t="n">
        <v>0</v>
      </c>
      <c r="E296" s="6" t="n">
        <v>0.0757652407576525</v>
      </c>
      <c r="F296" s="6"/>
      <c r="G296" s="6" t="n">
        <v>1.30467382846026E-008</v>
      </c>
      <c r="H296" s="6" t="n">
        <v>1</v>
      </c>
      <c r="I296" s="15" t="n">
        <v>0.596823612721244</v>
      </c>
      <c r="J296" s="15" t="n">
        <v>0.693877551020408</v>
      </c>
      <c r="K296" s="15"/>
      <c r="L296" s="15" t="n">
        <v>1</v>
      </c>
      <c r="M296" s="15" t="n">
        <v>0.596823612721244</v>
      </c>
      <c r="N296" s="15" t="n">
        <v>0.821910532610107</v>
      </c>
      <c r="O296" s="15" t="n">
        <v>0.664211164155072</v>
      </c>
    </row>
    <row r="297" customFormat="false" ht="12.75" hidden="false" customHeight="false" outlineLevel="0" collapsed="false">
      <c r="A297" s="6" t="s">
        <v>240</v>
      </c>
      <c r="B297" s="6" t="n">
        <v>1</v>
      </c>
      <c r="C297" s="6" t="n">
        <v>3673287</v>
      </c>
      <c r="D297" s="6" t="n">
        <v>0</v>
      </c>
      <c r="E297" s="6" t="n">
        <v>0.0212156597627681</v>
      </c>
      <c r="F297" s="6"/>
      <c r="G297" s="6" t="n">
        <v>2.57625046539453E-014</v>
      </c>
      <c r="H297" s="6" t="n">
        <v>0</v>
      </c>
      <c r="I297" s="15" t="n">
        <v>0.473639606576951</v>
      </c>
      <c r="J297" s="15" t="n">
        <v>0.693877551020408</v>
      </c>
      <c r="K297" s="15"/>
      <c r="L297" s="15" t="n">
        <v>0</v>
      </c>
      <c r="M297" s="15" t="n">
        <v>0.473639606576951</v>
      </c>
      <c r="N297" s="15" t="n">
        <v>-0.948598436319448</v>
      </c>
      <c r="O297" s="15" t="n">
        <v>-1.50554530541816</v>
      </c>
    </row>
    <row r="298" customFormat="false" ht="12.75" hidden="false" customHeight="false" outlineLevel="0" collapsed="false">
      <c r="A298" s="6" t="s">
        <v>241</v>
      </c>
      <c r="B298" s="6" t="n">
        <v>1</v>
      </c>
      <c r="C298" s="6" t="n">
        <v>729034</v>
      </c>
      <c r="D298" s="6" t="n">
        <v>0</v>
      </c>
      <c r="E298" s="6" t="n">
        <v>0.0295761623107812</v>
      </c>
      <c r="F298" s="6"/>
      <c r="G298" s="6" t="n">
        <v>8.51096256861615E-012</v>
      </c>
      <c r="H298" s="6" t="n">
        <v>0</v>
      </c>
      <c r="I298" s="15" t="n">
        <v>0.337910491169009</v>
      </c>
      <c r="J298" s="15" t="n">
        <v>0.693877551020408</v>
      </c>
      <c r="K298" s="15"/>
      <c r="L298" s="15" t="n">
        <v>0</v>
      </c>
      <c r="M298" s="15" t="n">
        <v>0.337910491169009</v>
      </c>
      <c r="N298" s="15" t="n">
        <v>-0.71440170874464</v>
      </c>
      <c r="O298" s="15" t="n">
        <v>-1.50554530541816</v>
      </c>
    </row>
    <row r="299" customFormat="false" ht="12.75" hidden="false" customHeight="false" outlineLevel="0" collapsed="false">
      <c r="A299" s="6" t="s">
        <v>242</v>
      </c>
      <c r="B299" s="6" t="n">
        <v>1</v>
      </c>
      <c r="C299" s="6" t="n">
        <v>5256051</v>
      </c>
      <c r="D299" s="6" t="n">
        <v>0</v>
      </c>
      <c r="E299" s="6" t="n">
        <v>0.0458630868796215</v>
      </c>
      <c r="F299" s="6"/>
      <c r="G299" s="6" t="n">
        <v>2.94341409435387E-013</v>
      </c>
      <c r="H299" s="6" t="n">
        <v>1</v>
      </c>
      <c r="I299" s="15" t="n">
        <v>0.734579048268581</v>
      </c>
      <c r="J299" s="15" t="n">
        <v>0.693877551020408</v>
      </c>
      <c r="K299" s="15"/>
      <c r="L299" s="15" t="n">
        <v>1</v>
      </c>
      <c r="M299" s="15" t="n">
        <v>0.734579048268581</v>
      </c>
      <c r="N299" s="15" t="n">
        <v>0.601102220747897</v>
      </c>
      <c r="O299" s="15" t="n">
        <v>0.664211164155072</v>
      </c>
    </row>
    <row r="300" customFormat="false" ht="12.75" hidden="false" customHeight="false" outlineLevel="0" collapsed="false">
      <c r="A300" s="6" t="s">
        <v>243</v>
      </c>
      <c r="B300" s="6" t="n">
        <v>1</v>
      </c>
      <c r="C300" s="6" t="n">
        <v>18723991</v>
      </c>
      <c r="D300" s="6" t="n">
        <v>0.006727760393384</v>
      </c>
      <c r="E300" s="6" t="n">
        <v>0.00910524272123237</v>
      </c>
      <c r="F300" s="6"/>
      <c r="G300" s="6" t="n">
        <v>2.38458372944146E-012</v>
      </c>
      <c r="H300" s="6" t="n">
        <v>1</v>
      </c>
      <c r="I300" s="15" t="n">
        <v>0.999980754622058</v>
      </c>
      <c r="J300" s="15" t="n">
        <v>0.693877551020408</v>
      </c>
      <c r="K300" s="15"/>
      <c r="L300" s="15" t="n">
        <v>1</v>
      </c>
      <c r="M300" s="15" t="n">
        <v>0.999980754622058</v>
      </c>
      <c r="N300" s="15" t="n">
        <v>0.00438699764457949</v>
      </c>
      <c r="O300" s="15" t="n">
        <v>0.664211164155072</v>
      </c>
    </row>
    <row r="301" customFormat="false" ht="12.75" hidden="false" customHeight="false" outlineLevel="0" collapsed="false">
      <c r="A301" s="6" t="s">
        <v>244</v>
      </c>
      <c r="B301" s="6" t="n">
        <v>1</v>
      </c>
      <c r="C301" s="6" t="n">
        <v>1951408</v>
      </c>
      <c r="D301" s="6" t="n">
        <v>0</v>
      </c>
      <c r="E301" s="6" t="n">
        <v>0.00991343868813166</v>
      </c>
      <c r="F301" s="6"/>
      <c r="G301" s="6" t="n">
        <v>4.16760355861009E-013</v>
      </c>
      <c r="H301" s="6" t="n">
        <v>1</v>
      </c>
      <c r="I301" s="15" t="n">
        <v>0.314607986270737</v>
      </c>
      <c r="J301" s="15" t="n">
        <v>0.693877551020408</v>
      </c>
      <c r="K301" s="15"/>
      <c r="L301" s="15" t="n">
        <v>1</v>
      </c>
      <c r="M301" s="15" t="n">
        <v>0.314607986270737</v>
      </c>
      <c r="N301" s="15" t="n">
        <v>1.47599419140001</v>
      </c>
      <c r="O301" s="15" t="n">
        <v>0.664211164155072</v>
      </c>
    </row>
    <row r="302" customFormat="false" ht="12.75" hidden="false" customHeight="false" outlineLevel="0" collapsed="false">
      <c r="A302" s="6" t="s">
        <v>245</v>
      </c>
      <c r="B302" s="6" t="n">
        <v>1</v>
      </c>
      <c r="C302" s="6" t="n">
        <v>584771</v>
      </c>
      <c r="D302" s="6" t="n">
        <v>0</v>
      </c>
      <c r="E302" s="6" t="n">
        <v>0.0494956071368481</v>
      </c>
      <c r="F302" s="6"/>
      <c r="G302" s="6" t="n">
        <v>5.28659248696466E-009</v>
      </c>
      <c r="H302" s="6" t="n">
        <v>0</v>
      </c>
      <c r="I302" s="15" t="n">
        <v>0.423916084603112</v>
      </c>
      <c r="J302" s="15" t="n">
        <v>0.693877551020408</v>
      </c>
      <c r="K302" s="15"/>
      <c r="L302" s="15" t="n">
        <v>0</v>
      </c>
      <c r="M302" s="15" t="n">
        <v>0.423916084603112</v>
      </c>
      <c r="N302" s="15" t="n">
        <v>-0.857821788068033</v>
      </c>
      <c r="O302" s="15" t="n">
        <v>-1.50554530541816</v>
      </c>
    </row>
    <row r="303" customFormat="false" ht="12.75" hidden="false" customHeight="false" outlineLevel="0" collapsed="false">
      <c r="A303" s="6" t="s">
        <v>246</v>
      </c>
      <c r="B303" s="6" t="n">
        <v>1</v>
      </c>
      <c r="C303" s="6" t="n">
        <v>6618358</v>
      </c>
      <c r="D303" s="6" t="n">
        <v>0.102064896755162</v>
      </c>
      <c r="E303" s="6" t="n">
        <v>0.0646098010772455</v>
      </c>
      <c r="F303" s="6"/>
      <c r="G303" s="6" t="n">
        <v>2.1699894914854E-010</v>
      </c>
      <c r="H303" s="6" t="n">
        <v>1</v>
      </c>
      <c r="I303" s="15" t="n">
        <v>0.995523034597627</v>
      </c>
      <c r="J303" s="15" t="n">
        <v>0.693877551020408</v>
      </c>
      <c r="K303" s="15"/>
      <c r="L303" s="15" t="n">
        <v>1</v>
      </c>
      <c r="M303" s="15" t="n">
        <v>0.995523034597627</v>
      </c>
      <c r="N303" s="15" t="n">
        <v>0.0670604112567419</v>
      </c>
      <c r="O303" s="15" t="n">
        <v>0.664211164155072</v>
      </c>
    </row>
    <row r="304" customFormat="false" ht="12.75" hidden="false" customHeight="false" outlineLevel="0" collapsed="false">
      <c r="A304" s="6" t="s">
        <v>247</v>
      </c>
      <c r="B304" s="6" t="n">
        <v>1</v>
      </c>
      <c r="C304" s="6" t="n">
        <v>5430940</v>
      </c>
      <c r="D304" s="6" t="n">
        <v>0</v>
      </c>
      <c r="E304" s="6" t="n">
        <v>0.0152694227003708</v>
      </c>
      <c r="F304" s="6"/>
      <c r="G304" s="6" t="n">
        <v>4.68182221770351E-012</v>
      </c>
      <c r="H304" s="6" t="n">
        <v>1</v>
      </c>
      <c r="I304" s="15" t="n">
        <v>0.560639227255798</v>
      </c>
      <c r="J304" s="15" t="n">
        <v>0.693877551020408</v>
      </c>
      <c r="K304" s="15"/>
      <c r="L304" s="15" t="n">
        <v>1</v>
      </c>
      <c r="M304" s="15" t="n">
        <v>0.560639227255798</v>
      </c>
      <c r="N304" s="15" t="n">
        <v>0.885256040688415</v>
      </c>
      <c r="O304" s="15" t="n">
        <v>0.664211164155072</v>
      </c>
    </row>
    <row r="305" customFormat="false" ht="12.75" hidden="false" customHeight="false" outlineLevel="0" collapsed="false">
      <c r="A305" s="6" t="s">
        <v>248</v>
      </c>
      <c r="B305" s="6" t="n">
        <v>1</v>
      </c>
      <c r="C305" s="6" t="n">
        <v>1828140</v>
      </c>
      <c r="D305" s="6" t="n">
        <v>0.154107142857143</v>
      </c>
      <c r="E305" s="6" t="n">
        <v>0.083450810945235</v>
      </c>
      <c r="F305" s="6"/>
      <c r="G305" s="6" t="n">
        <v>6.85214483647577E-010</v>
      </c>
      <c r="H305" s="6" t="n">
        <v>1</v>
      </c>
      <c r="I305" s="15" t="n">
        <v>0.98732284866156</v>
      </c>
      <c r="J305" s="15" t="n">
        <v>0.693877551020408</v>
      </c>
      <c r="K305" s="15"/>
      <c r="L305" s="15" t="n">
        <v>1</v>
      </c>
      <c r="M305" s="15" t="n">
        <v>0.98732284866156</v>
      </c>
      <c r="N305" s="15" t="n">
        <v>0.113313392902069</v>
      </c>
      <c r="O305" s="15" t="n">
        <v>0.664211164155072</v>
      </c>
    </row>
    <row r="306" customFormat="false" ht="12.75" hidden="false" customHeight="false" outlineLevel="0" collapsed="false">
      <c r="A306" s="6" t="s">
        <v>249</v>
      </c>
      <c r="B306" s="6" t="n">
        <v>1</v>
      </c>
      <c r="C306" s="6" t="n">
        <v>5122871</v>
      </c>
      <c r="D306" s="6" t="n">
        <v>0</v>
      </c>
      <c r="E306" s="6" t="n">
        <v>0.0137079087829872</v>
      </c>
      <c r="F306" s="6"/>
      <c r="G306" s="6" t="n">
        <v>6.22970666540397E-012</v>
      </c>
      <c r="H306" s="6" t="n">
        <v>1</v>
      </c>
      <c r="I306" s="15" t="n">
        <v>0.52943837426993</v>
      </c>
      <c r="J306" s="15" t="n">
        <v>0.693877551020408</v>
      </c>
      <c r="K306" s="15"/>
      <c r="L306" s="15" t="n">
        <v>1</v>
      </c>
      <c r="M306" s="15" t="n">
        <v>0.52943837426993</v>
      </c>
      <c r="N306" s="15" t="n">
        <v>0.942758693072713</v>
      </c>
      <c r="O306" s="15" t="n">
        <v>0.664211164155072</v>
      </c>
    </row>
    <row r="307" customFormat="false" ht="13.5" hidden="false" customHeight="false" outlineLevel="0" collapsed="false">
      <c r="A307" s="7" t="s">
        <v>250</v>
      </c>
      <c r="B307" s="7" t="n">
        <v>1</v>
      </c>
      <c r="C307" s="7" t="n">
        <v>480184</v>
      </c>
      <c r="D307" s="7" t="n">
        <v>0</v>
      </c>
      <c r="E307" s="7" t="n">
        <v>0.0256209952218234</v>
      </c>
      <c r="F307" s="7"/>
      <c r="G307" s="7" t="n">
        <v>2.06863081753292E-013</v>
      </c>
      <c r="H307" s="7" t="n">
        <v>0</v>
      </c>
      <c r="I307" s="16" t="n">
        <v>0.30745874226232</v>
      </c>
      <c r="J307" s="16" t="n">
        <v>0.693877551020408</v>
      </c>
      <c r="K307" s="16"/>
      <c r="L307" s="16" t="n">
        <v>0</v>
      </c>
      <c r="M307" s="16" t="n">
        <v>0.30745874226232</v>
      </c>
      <c r="N307" s="16" t="n">
        <v>-0.666301203112367</v>
      </c>
      <c r="O307" s="16" t="n">
        <v>-1.50554530541816</v>
      </c>
    </row>
    <row r="309" customFormat="false" ht="12.75" hidden="false" customHeight="false" outlineLevel="0" collapsed="false">
      <c r="A309" s="0" t="s">
        <v>412</v>
      </c>
    </row>
    <row r="310" customFormat="false" ht="12.75" hidden="false" customHeight="false" outlineLevel="0" collapsed="false">
      <c r="A310" s="0" t="s">
        <v>109</v>
      </c>
    </row>
    <row r="311" customFormat="false" ht="12.75" hidden="false" customHeight="false" outlineLevel="0" collapsed="false">
      <c r="A311" s="0" t="s">
        <v>405</v>
      </c>
    </row>
    <row r="312" customFormat="false" ht="12.75" hidden="false" customHeight="false" outlineLevel="0" collapsed="false">
      <c r="A312" s="0" t="s">
        <v>406</v>
      </c>
    </row>
    <row r="313" customFormat="false" ht="12.75" hidden="false" customHeight="false" outlineLevel="0" collapsed="false">
      <c r="A313" s="0" t="s">
        <v>112</v>
      </c>
    </row>
    <row r="314" customFormat="false" ht="12.75" hidden="false" customHeight="false" outlineLevel="0" collapsed="false">
      <c r="A314" s="0" t="s">
        <v>413</v>
      </c>
    </row>
    <row r="317" customFormat="false" ht="12.75" hidden="false" customHeight="false" outlineLevel="0" collapsed="false">
      <c r="A317" s="0" t="s">
        <v>371</v>
      </c>
    </row>
    <row r="318" customFormat="false" ht="13.5" hidden="false" customHeight="false" outlineLevel="0" collapsed="false"/>
    <row r="319" customFormat="false" ht="12.75" hidden="false" customHeight="false" outlineLevel="0" collapsed="false">
      <c r="A319" s="8" t="s">
        <v>372</v>
      </c>
      <c r="B319" s="8" t="s">
        <v>113</v>
      </c>
      <c r="C319" s="8" t="s">
        <v>114</v>
      </c>
    </row>
    <row r="320" customFormat="false" ht="12.75" hidden="false" customHeight="false" outlineLevel="0" collapsed="false">
      <c r="A320" s="6" t="s">
        <v>84</v>
      </c>
      <c r="B320" s="6" t="n">
        <v>5338722.3877551</v>
      </c>
      <c r="C320" s="6" t="n">
        <v>5779174.66837188</v>
      </c>
    </row>
    <row r="321" customFormat="false" ht="12.75" hidden="false" customHeight="false" outlineLevel="0" collapsed="false">
      <c r="A321" s="6" t="s">
        <v>105</v>
      </c>
      <c r="B321" s="6" t="n">
        <v>0.0748801382019185</v>
      </c>
      <c r="C321" s="6" t="n">
        <v>0.114610023517382</v>
      </c>
    </row>
    <row r="322" customFormat="false" ht="12.75" hidden="false" customHeight="false" outlineLevel="0" collapsed="false">
      <c r="A322" s="6" t="s">
        <v>100</v>
      </c>
      <c r="B322" s="6" t="n">
        <v>0.0372393142980251</v>
      </c>
      <c r="C322" s="6" t="n">
        <v>0.0269260351740362</v>
      </c>
    </row>
    <row r="323" customFormat="false" ht="13.5" hidden="false" customHeight="false" outlineLevel="0" collapsed="false">
      <c r="A323" s="7" t="s">
        <v>143</v>
      </c>
      <c r="B323" s="7" t="n">
        <v>2.30500166681722E-008</v>
      </c>
      <c r="C323" s="7" t="n">
        <v>1.3983591544212E-007</v>
      </c>
    </row>
    <row r="327" customFormat="false" ht="12.75" hidden="false" customHeight="false" outlineLevel="0" collapsed="false">
      <c r="A327" s="0" t="s">
        <v>374</v>
      </c>
    </row>
    <row r="328" customFormat="false" ht="13.5" hidden="false" customHeight="false" outlineLevel="0" collapsed="false"/>
    <row r="329" customFormat="false" ht="12.75" hidden="false" customHeight="false" outlineLevel="0" collapsed="false">
      <c r="A329" s="8" t="s">
        <v>375</v>
      </c>
      <c r="B329" s="8" t="s">
        <v>135</v>
      </c>
      <c r="C329" s="8" t="s">
        <v>136</v>
      </c>
      <c r="D329" s="8" t="s">
        <v>376</v>
      </c>
      <c r="E329" s="8" t="s">
        <v>377</v>
      </c>
      <c r="F329" s="40"/>
    </row>
    <row r="330" customFormat="false" ht="12.75" hidden="false" customHeight="false" outlineLevel="0" collapsed="false">
      <c r="A330" s="6" t="s">
        <v>80</v>
      </c>
      <c r="B330" s="15" t="n">
        <v>-1.94355636858319</v>
      </c>
      <c r="C330" s="15" t="n">
        <v>0.861642248012323</v>
      </c>
      <c r="D330" s="15" t="n">
        <v>5.08792043944699</v>
      </c>
      <c r="E330" s="15" t="n">
        <v>0.0240930696837627</v>
      </c>
      <c r="F330" s="15"/>
    </row>
    <row r="331" customFormat="false" ht="12.75" hidden="false" customHeight="false" outlineLevel="0" collapsed="false">
      <c r="A331" s="6" t="s">
        <v>84</v>
      </c>
      <c r="B331" s="15" t="n">
        <v>5.58439558346843E-007</v>
      </c>
      <c r="C331" s="15" t="n">
        <v>2.10476523160164E-007</v>
      </c>
      <c r="D331" s="15" t="n">
        <v>7.03955210401138</v>
      </c>
      <c r="E331" s="15" t="n">
        <v>0.00797289707375167</v>
      </c>
      <c r="F331" s="15"/>
    </row>
    <row r="332" customFormat="false" ht="12.75" hidden="false" customHeight="false" outlineLevel="0" collapsed="false">
      <c r="A332" s="6" t="s">
        <v>105</v>
      </c>
      <c r="B332" s="15" t="n">
        <v>3496.30965946718</v>
      </c>
      <c r="C332" s="15" t="n">
        <v>96457123.4907002</v>
      </c>
      <c r="D332" s="15" t="n">
        <v>1.31386628166643E-009</v>
      </c>
      <c r="E332" s="15" t="n">
        <v>0.999971078844202</v>
      </c>
      <c r="F332" s="15"/>
    </row>
    <row r="333" customFormat="false" ht="12.75" hidden="false" customHeight="false" outlineLevel="0" collapsed="false">
      <c r="A333" s="6" t="s">
        <v>100</v>
      </c>
      <c r="B333" s="15" t="n">
        <v>15.5424691419123</v>
      </c>
      <c r="C333" s="15" t="n">
        <v>20.639155181447</v>
      </c>
      <c r="D333" s="15" t="n">
        <v>0.567095491681483</v>
      </c>
      <c r="E333" s="15" t="n">
        <v>0.451415408882073</v>
      </c>
      <c r="F333" s="15"/>
    </row>
    <row r="334" customFormat="false" ht="13.5" hidden="false" customHeight="false" outlineLevel="0" collapsed="false">
      <c r="A334" s="7" t="s">
        <v>143</v>
      </c>
      <c r="B334" s="16" t="n">
        <v>134152382.291257</v>
      </c>
      <c r="C334" s="16" t="n">
        <v>170675924.909758</v>
      </c>
      <c r="D334" s="16" t="n">
        <v>0.61780618045115</v>
      </c>
      <c r="E334" s="16" t="n">
        <v>0.431863693453712</v>
      </c>
      <c r="F334" s="15"/>
    </row>
    <row r="337" customFormat="false" ht="13.5" hidden="false" customHeight="false" outlineLevel="0" collapsed="false">
      <c r="A337" s="0" t="s">
        <v>378</v>
      </c>
    </row>
    <row r="338" customFormat="false" ht="12.75" hidden="false" customHeight="false" outlineLevel="0" collapsed="false">
      <c r="A338" s="8" t="s">
        <v>379</v>
      </c>
      <c r="B338" s="8" t="s">
        <v>380</v>
      </c>
      <c r="C338" s="8" t="s">
        <v>381</v>
      </c>
      <c r="D338" s="8" t="s">
        <v>382</v>
      </c>
      <c r="E338" s="8" t="s">
        <v>383</v>
      </c>
      <c r="F338" s="8"/>
      <c r="G338" s="8" t="s">
        <v>384</v>
      </c>
      <c r="H338" s="8" t="s">
        <v>385</v>
      </c>
      <c r="I338" s="8" t="s">
        <v>386</v>
      </c>
      <c r="J338" s="8" t="s">
        <v>387</v>
      </c>
      <c r="K338" s="8"/>
      <c r="L338" s="8" t="s">
        <v>388</v>
      </c>
      <c r="M338" s="8" t="s">
        <v>389</v>
      </c>
    </row>
    <row r="339" customFormat="false" ht="13.5" hidden="false" customHeight="false" outlineLevel="0" collapsed="false">
      <c r="A339" s="7" t="n">
        <v>49</v>
      </c>
      <c r="B339" s="7" t="n">
        <v>-12.5333790427001</v>
      </c>
      <c r="C339" s="7" t="n">
        <v>-30.1821837539381</v>
      </c>
      <c r="D339" s="7" t="n">
        <v>22.8785224562532</v>
      </c>
      <c r="E339" s="7" t="n">
        <v>44</v>
      </c>
      <c r="F339" s="7"/>
      <c r="G339" s="7" t="n">
        <v>0.996449788268378</v>
      </c>
      <c r="H339" s="7" t="n">
        <v>35.297609422476</v>
      </c>
      <c r="I339" s="7" t="n">
        <v>4</v>
      </c>
      <c r="J339" s="7" t="n">
        <v>0.0001</v>
      </c>
      <c r="K339" s="7"/>
      <c r="L339" s="7" t="n">
        <v>0.59512032768794</v>
      </c>
      <c r="M339" s="7" t="n">
        <v>0.584742471092247</v>
      </c>
    </row>
    <row r="341" customFormat="false" ht="12.75" hidden="false" customHeight="false" outlineLevel="0" collapsed="false">
      <c r="A341" s="0" t="s">
        <v>390</v>
      </c>
    </row>
    <row r="342" customFormat="false" ht="13.5" hidden="false" customHeight="false" outlineLevel="0" collapsed="false"/>
    <row r="343" customFormat="false" ht="12.75" hidden="false" customHeight="false" outlineLevel="0" collapsed="false">
      <c r="A343" s="8" t="s">
        <v>63</v>
      </c>
      <c r="B343" s="8"/>
      <c r="C343" s="8" t="s">
        <v>84</v>
      </c>
      <c r="D343" s="8" t="s">
        <v>105</v>
      </c>
      <c r="E343" s="8" t="s">
        <v>100</v>
      </c>
      <c r="F343" s="8"/>
      <c r="G343" s="8" t="s">
        <v>143</v>
      </c>
      <c r="H343" s="8" t="s">
        <v>362</v>
      </c>
      <c r="I343" s="8" t="s">
        <v>414</v>
      </c>
      <c r="J343" s="8" t="s">
        <v>392</v>
      </c>
      <c r="K343" s="8"/>
      <c r="L343" s="8" t="s">
        <v>393</v>
      </c>
      <c r="M343" s="8" t="s">
        <v>394</v>
      </c>
      <c r="N343" s="8" t="s">
        <v>415</v>
      </c>
      <c r="O343" s="8" t="s">
        <v>396</v>
      </c>
    </row>
    <row r="344" customFormat="false" ht="12.75" hidden="false" customHeight="false" outlineLevel="0" collapsed="false">
      <c r="A344" s="6" t="s">
        <v>202</v>
      </c>
      <c r="B344" s="6" t="n">
        <v>1</v>
      </c>
      <c r="C344" s="6" t="n">
        <v>4252982</v>
      </c>
      <c r="D344" s="6" t="n">
        <v>0</v>
      </c>
      <c r="E344" s="6" t="n">
        <v>0.0238518767065552</v>
      </c>
      <c r="F344" s="6"/>
      <c r="G344" s="6" t="n">
        <v>1.16002176106561E-012</v>
      </c>
      <c r="H344" s="6" t="n">
        <v>0</v>
      </c>
      <c r="I344" s="15" t="n">
        <v>0.638729382460597</v>
      </c>
      <c r="J344" s="15" t="n">
        <v>0.693877551020408</v>
      </c>
      <c r="K344" s="15"/>
      <c r="L344" s="15" t="n">
        <v>0</v>
      </c>
      <c r="M344" s="15" t="n">
        <v>0.638729382460597</v>
      </c>
      <c r="N344" s="15" t="n">
        <v>-1.32966466150889</v>
      </c>
      <c r="O344" s="15" t="n">
        <v>-1.50554530541816</v>
      </c>
    </row>
    <row r="345" customFormat="false" ht="12.75" hidden="false" customHeight="false" outlineLevel="0" collapsed="false">
      <c r="A345" s="6" t="s">
        <v>203</v>
      </c>
      <c r="B345" s="6" t="n">
        <v>1</v>
      </c>
      <c r="C345" s="6" t="n">
        <v>4217940</v>
      </c>
      <c r="D345" s="6" t="n">
        <v>0</v>
      </c>
      <c r="E345" s="6" t="n">
        <v>0.0112071877535429</v>
      </c>
      <c r="F345" s="6"/>
      <c r="G345" s="6" t="n">
        <v>1.49200959313964E-012</v>
      </c>
      <c r="H345" s="6" t="n">
        <v>0</v>
      </c>
      <c r="I345" s="15" t="n">
        <v>0.573278018191832</v>
      </c>
      <c r="J345" s="15" t="n">
        <v>0.693877551020408</v>
      </c>
      <c r="K345" s="15"/>
      <c r="L345" s="15" t="n">
        <v>0</v>
      </c>
      <c r="M345" s="15" t="n">
        <v>0.573278018191832</v>
      </c>
      <c r="N345" s="15" t="n">
        <v>-1.15907125934549</v>
      </c>
      <c r="O345" s="15" t="n">
        <v>-1.50554530541816</v>
      </c>
    </row>
    <row r="346" customFormat="false" ht="12.75" hidden="false" customHeight="false" outlineLevel="0" collapsed="false">
      <c r="A346" s="6" t="s">
        <v>204</v>
      </c>
      <c r="B346" s="6" t="n">
        <v>1</v>
      </c>
      <c r="C346" s="6" t="n">
        <v>2483769</v>
      </c>
      <c r="D346" s="6" t="n">
        <v>0</v>
      </c>
      <c r="E346" s="6" t="n">
        <v>0.0402941869973762</v>
      </c>
      <c r="F346" s="6"/>
      <c r="G346" s="6" t="n">
        <v>8.78858354669177E-013</v>
      </c>
      <c r="H346" s="6" t="n">
        <v>0</v>
      </c>
      <c r="I346" s="15" t="n">
        <v>0.393561741445515</v>
      </c>
      <c r="J346" s="15" t="n">
        <v>0.693877551020408</v>
      </c>
      <c r="K346" s="15"/>
      <c r="L346" s="15" t="n">
        <v>0</v>
      </c>
      <c r="M346" s="15" t="n">
        <v>0.393561741445515</v>
      </c>
      <c r="N346" s="15" t="n">
        <v>-0.805588282784467</v>
      </c>
      <c r="O346" s="15" t="n">
        <v>-1.50554530541816</v>
      </c>
    </row>
    <row r="347" customFormat="false" ht="12.75" hidden="false" customHeight="false" outlineLevel="0" collapsed="false">
      <c r="A347" s="6" t="s">
        <v>205</v>
      </c>
      <c r="B347" s="6" t="n">
        <v>1</v>
      </c>
      <c r="C347" s="6" t="n">
        <v>31589153</v>
      </c>
      <c r="D347" s="6" t="n">
        <v>0</v>
      </c>
      <c r="E347" s="6" t="n">
        <v>0.004523030247648</v>
      </c>
      <c r="F347" s="6"/>
      <c r="G347" s="6" t="n">
        <v>1.15838117524707E-012</v>
      </c>
      <c r="H347" s="6" t="n">
        <v>1</v>
      </c>
      <c r="I347" s="15" t="n">
        <v>0.999999858013068</v>
      </c>
      <c r="J347" s="15" t="n">
        <v>0.693877551020408</v>
      </c>
      <c r="K347" s="15"/>
      <c r="L347" s="15" t="n">
        <v>1</v>
      </c>
      <c r="M347" s="15" t="n">
        <v>0.999999858013068</v>
      </c>
      <c r="N347" s="15" t="n">
        <v>0.000376811560825794</v>
      </c>
      <c r="O347" s="15" t="n">
        <v>0.664211164155072</v>
      </c>
    </row>
    <row r="348" customFormat="false" ht="12.75" hidden="false" customHeight="false" outlineLevel="0" collapsed="false">
      <c r="A348" s="6" t="s">
        <v>206</v>
      </c>
      <c r="B348" s="6" t="n">
        <v>1</v>
      </c>
      <c r="C348" s="6" t="n">
        <v>3746585</v>
      </c>
      <c r="D348" s="6" t="n">
        <v>0.0147863247863248</v>
      </c>
      <c r="E348" s="6" t="n">
        <v>0.00794454114516863</v>
      </c>
      <c r="F348" s="6"/>
      <c r="G348" s="6" t="n">
        <v>6.58291482583513E-013</v>
      </c>
      <c r="H348" s="6" t="n">
        <v>1</v>
      </c>
      <c r="I348" s="15" t="n">
        <v>1</v>
      </c>
      <c r="J348" s="15" t="n">
        <v>0.693877551020408</v>
      </c>
      <c r="K348" s="15"/>
      <c r="L348" s="15" t="n">
        <v>1</v>
      </c>
      <c r="M348" s="15" t="n">
        <v>1</v>
      </c>
      <c r="N348" s="15" t="n">
        <v>1.05367121277235E-008</v>
      </c>
      <c r="O348" s="15" t="n">
        <v>0.664211164155072</v>
      </c>
    </row>
    <row r="349" customFormat="false" ht="12.75" hidden="false" customHeight="false" outlineLevel="0" collapsed="false">
      <c r="A349" s="6" t="s">
        <v>207</v>
      </c>
      <c r="B349" s="6" t="n">
        <v>1</v>
      </c>
      <c r="C349" s="6" t="n">
        <v>3274662</v>
      </c>
      <c r="D349" s="6" t="n">
        <v>0.357749077490775</v>
      </c>
      <c r="E349" s="6" t="n">
        <v>0.0456124226267046</v>
      </c>
      <c r="F349" s="6"/>
      <c r="G349" s="6" t="n">
        <v>2.67978152112005E-008</v>
      </c>
      <c r="H349" s="6" t="n">
        <v>1</v>
      </c>
      <c r="I349" s="15" t="n">
        <v>1</v>
      </c>
      <c r="J349" s="15" t="n">
        <v>0.693877551020408</v>
      </c>
      <c r="K349" s="15"/>
      <c r="L349" s="15" t="n">
        <v>1</v>
      </c>
      <c r="M349" s="15" t="n">
        <v>1</v>
      </c>
      <c r="N349" s="15" t="n">
        <v>1.05367121277235E-008</v>
      </c>
      <c r="O349" s="15" t="n">
        <v>0.664211164155072</v>
      </c>
    </row>
    <row r="350" customFormat="false" ht="12.75" hidden="false" customHeight="false" outlineLevel="0" collapsed="false">
      <c r="A350" s="6" t="s">
        <v>208</v>
      </c>
      <c r="B350" s="6" t="n">
        <v>1</v>
      </c>
      <c r="C350" s="6" t="n">
        <v>717197</v>
      </c>
      <c r="D350" s="6" t="n">
        <v>0.219607843137255</v>
      </c>
      <c r="E350" s="6" t="n">
        <v>0.138328875404208</v>
      </c>
      <c r="F350" s="6"/>
      <c r="G350" s="6" t="n">
        <v>2.04082824400193E-008</v>
      </c>
      <c r="H350" s="6" t="n">
        <v>1</v>
      </c>
      <c r="I350" s="15" t="n">
        <v>1</v>
      </c>
      <c r="J350" s="15" t="n">
        <v>0.693877551020408</v>
      </c>
      <c r="K350" s="15"/>
      <c r="L350" s="15" t="n">
        <v>1</v>
      </c>
      <c r="M350" s="15" t="n">
        <v>1</v>
      </c>
      <c r="N350" s="15" t="n">
        <v>1.05367121277235E-008</v>
      </c>
      <c r="O350" s="15" t="n">
        <v>0.664211164155072</v>
      </c>
    </row>
    <row r="351" customFormat="false" ht="12.75" hidden="false" customHeight="false" outlineLevel="0" collapsed="false">
      <c r="A351" s="6" t="s">
        <v>209</v>
      </c>
      <c r="B351" s="6" t="n">
        <v>1</v>
      </c>
      <c r="C351" s="6" t="n">
        <v>14165570</v>
      </c>
      <c r="D351" s="6" t="n">
        <v>0.111015583019882</v>
      </c>
      <c r="E351" s="6" t="n">
        <v>0.00799421046196813</v>
      </c>
      <c r="F351" s="6"/>
      <c r="G351" s="6" t="n">
        <v>3.65523418920916E-012</v>
      </c>
      <c r="H351" s="6" t="n">
        <v>1</v>
      </c>
      <c r="I351" s="15" t="n">
        <v>1</v>
      </c>
      <c r="J351" s="15" t="n">
        <v>0.693877551020408</v>
      </c>
      <c r="K351" s="15"/>
      <c r="L351" s="15" t="n">
        <v>1</v>
      </c>
      <c r="M351" s="15" t="n">
        <v>1</v>
      </c>
      <c r="N351" s="15" t="n">
        <v>1.05367121277235E-008</v>
      </c>
      <c r="O351" s="15" t="n">
        <v>0.664211164155072</v>
      </c>
    </row>
    <row r="352" customFormat="false" ht="12.75" hidden="false" customHeight="false" outlineLevel="0" collapsed="false">
      <c r="A352" s="6" t="s">
        <v>210</v>
      </c>
      <c r="B352" s="6" t="n">
        <v>1</v>
      </c>
      <c r="C352" s="6" t="n">
        <v>7200882</v>
      </c>
      <c r="D352" s="6" t="n">
        <v>0.00785562632696391</v>
      </c>
      <c r="E352" s="6" t="n">
        <v>0.0281378236648974</v>
      </c>
      <c r="F352" s="6"/>
      <c r="G352" s="6" t="n">
        <v>9.95886785099514E-013</v>
      </c>
      <c r="H352" s="6" t="n">
        <v>1</v>
      </c>
      <c r="I352" s="15" t="n">
        <v>0.999999999999895</v>
      </c>
      <c r="J352" s="15" t="n">
        <v>0.693877551020408</v>
      </c>
      <c r="K352" s="15"/>
      <c r="L352" s="15" t="n">
        <v>1</v>
      </c>
      <c r="M352" s="15" t="n">
        <v>0.999999999999895</v>
      </c>
      <c r="N352" s="15" t="n">
        <v>3.23907511223634E-007</v>
      </c>
      <c r="O352" s="15" t="n">
        <v>0.664211164155072</v>
      </c>
    </row>
    <row r="353" customFormat="false" ht="12.75" hidden="false" customHeight="false" outlineLevel="0" collapsed="false">
      <c r="A353" s="6" t="s">
        <v>211</v>
      </c>
      <c r="B353" s="6" t="n">
        <v>1</v>
      </c>
      <c r="C353" s="6" t="n">
        <v>1186815</v>
      </c>
      <c r="D353" s="6" t="n">
        <v>0</v>
      </c>
      <c r="E353" s="6" t="n">
        <v>0.00952409571468726</v>
      </c>
      <c r="F353" s="6"/>
      <c r="G353" s="6" t="n">
        <v>4.11770253782566E-011</v>
      </c>
      <c r="H353" s="6" t="n">
        <v>0</v>
      </c>
      <c r="I353" s="15" t="n">
        <v>0.0456329991776784</v>
      </c>
      <c r="J353" s="15" t="n">
        <v>0.693877551020408</v>
      </c>
      <c r="K353" s="15"/>
      <c r="L353" s="15" t="n">
        <v>0</v>
      </c>
      <c r="M353" s="15" t="n">
        <v>0.0456329991776784</v>
      </c>
      <c r="N353" s="15" t="n">
        <v>-0.218666271322014</v>
      </c>
      <c r="O353" s="15" t="n">
        <v>-1.50554530541816</v>
      </c>
    </row>
    <row r="354" customFormat="false" ht="12.75" hidden="false" customHeight="false" outlineLevel="0" collapsed="false">
      <c r="A354" s="6" t="s">
        <v>212</v>
      </c>
      <c r="B354" s="6" t="n">
        <v>1</v>
      </c>
      <c r="C354" s="6" t="n">
        <v>1163261</v>
      </c>
      <c r="D354" s="6" t="n">
        <v>0</v>
      </c>
      <c r="E354" s="6" t="n">
        <v>0.0261485883128481</v>
      </c>
      <c r="F354" s="6"/>
      <c r="G354" s="6" t="n">
        <v>1.71548959608199E-012</v>
      </c>
      <c r="H354" s="6" t="n">
        <v>0</v>
      </c>
      <c r="I354" s="15" t="n">
        <v>0.0881630211194268</v>
      </c>
      <c r="J354" s="15" t="n">
        <v>0.693877551020408</v>
      </c>
      <c r="K354" s="15"/>
      <c r="L354" s="15" t="n">
        <v>0</v>
      </c>
      <c r="M354" s="15" t="n">
        <v>0.0881630211194268</v>
      </c>
      <c r="N354" s="15" t="n">
        <v>-0.310945754536744</v>
      </c>
      <c r="O354" s="15" t="n">
        <v>-1.50554530541816</v>
      </c>
    </row>
    <row r="355" customFormat="false" ht="12.75" hidden="false" customHeight="false" outlineLevel="0" collapsed="false">
      <c r="A355" s="6" t="s">
        <v>213</v>
      </c>
      <c r="B355" s="6" t="n">
        <v>1</v>
      </c>
      <c r="C355" s="6" t="n">
        <v>11829940</v>
      </c>
      <c r="D355" s="6" t="n">
        <v>0.0825389755011136</v>
      </c>
      <c r="E355" s="6" t="n">
        <v>0.0281937744250442</v>
      </c>
      <c r="F355" s="6"/>
      <c r="G355" s="6" t="n">
        <v>2.04279325453952E-013</v>
      </c>
      <c r="H355" s="6" t="n">
        <v>1</v>
      </c>
      <c r="I355" s="15" t="n">
        <v>1</v>
      </c>
      <c r="J355" s="15" t="n">
        <v>0.693877551020408</v>
      </c>
      <c r="K355" s="15"/>
      <c r="L355" s="15" t="n">
        <v>1</v>
      </c>
      <c r="M355" s="15" t="n">
        <v>1</v>
      </c>
      <c r="N355" s="15" t="n">
        <v>1.05367121277235E-008</v>
      </c>
      <c r="O355" s="15" t="n">
        <v>0.664211164155072</v>
      </c>
    </row>
    <row r="356" customFormat="false" ht="12.75" hidden="false" customHeight="false" outlineLevel="0" collapsed="false">
      <c r="A356" s="6" t="s">
        <v>214</v>
      </c>
      <c r="B356" s="6" t="n">
        <v>1</v>
      </c>
      <c r="C356" s="6" t="n">
        <v>5803471</v>
      </c>
      <c r="D356" s="6" t="n">
        <v>0.120414428242517</v>
      </c>
      <c r="E356" s="6" t="n">
        <v>0.03280824193038</v>
      </c>
      <c r="F356" s="6"/>
      <c r="G356" s="6" t="n">
        <v>4.75336844122294E-011</v>
      </c>
      <c r="H356" s="6" t="n">
        <v>1</v>
      </c>
      <c r="I356" s="15" t="n">
        <v>1</v>
      </c>
      <c r="J356" s="15" t="n">
        <v>0.693877551020408</v>
      </c>
      <c r="K356" s="15"/>
      <c r="L356" s="15" t="n">
        <v>1</v>
      </c>
      <c r="M356" s="15" t="n">
        <v>1</v>
      </c>
      <c r="N356" s="15" t="n">
        <v>1.05367121277235E-008</v>
      </c>
      <c r="O356" s="15" t="n">
        <v>0.664211164155072</v>
      </c>
    </row>
    <row r="357" customFormat="false" ht="12.75" hidden="false" customHeight="false" outlineLevel="0" collapsed="false">
      <c r="A357" s="6" t="s">
        <v>215</v>
      </c>
      <c r="B357" s="6" t="n">
        <v>1</v>
      </c>
      <c r="C357" s="6" t="n">
        <v>2841764</v>
      </c>
      <c r="D357" s="6" t="n">
        <v>0</v>
      </c>
      <c r="E357" s="6" t="n">
        <v>0.0369184324665151</v>
      </c>
      <c r="F357" s="6"/>
      <c r="G357" s="6" t="n">
        <v>9.38297197918158E-012</v>
      </c>
      <c r="H357" s="6" t="n">
        <v>1</v>
      </c>
      <c r="I357" s="15" t="n">
        <v>0.4476444037829</v>
      </c>
      <c r="J357" s="15" t="n">
        <v>0.693877551020408</v>
      </c>
      <c r="K357" s="15"/>
      <c r="L357" s="15" t="n">
        <v>1</v>
      </c>
      <c r="M357" s="15" t="n">
        <v>0.4476444037829</v>
      </c>
      <c r="N357" s="15" t="n">
        <v>1.11081772092093</v>
      </c>
      <c r="O357" s="15" t="n">
        <v>0.664211164155072</v>
      </c>
    </row>
    <row r="358" customFormat="false" ht="12.75" hidden="false" customHeight="false" outlineLevel="0" collapsed="false">
      <c r="A358" s="6" t="s">
        <v>216</v>
      </c>
      <c r="B358" s="6" t="n">
        <v>1</v>
      </c>
      <c r="C358" s="6" t="n">
        <v>2565328</v>
      </c>
      <c r="D358" s="6" t="n">
        <v>0.238988095238095</v>
      </c>
      <c r="E358" s="6" t="n">
        <v>0.0706260870607761</v>
      </c>
      <c r="F358" s="6"/>
      <c r="G358" s="6" t="n">
        <v>8.3954224057573E-014</v>
      </c>
      <c r="H358" s="6" t="n">
        <v>1</v>
      </c>
      <c r="I358" s="15" t="n">
        <v>1</v>
      </c>
      <c r="J358" s="15" t="n">
        <v>0.693877551020408</v>
      </c>
      <c r="K358" s="15"/>
      <c r="L358" s="15" t="n">
        <v>1</v>
      </c>
      <c r="M358" s="15" t="n">
        <v>1</v>
      </c>
      <c r="N358" s="15" t="n">
        <v>1.05367121277235E-008</v>
      </c>
      <c r="O358" s="15" t="n">
        <v>0.664211164155072</v>
      </c>
    </row>
    <row r="359" customFormat="false" ht="12.75" hidden="false" customHeight="false" outlineLevel="0" collapsed="false">
      <c r="A359" s="6" t="s">
        <v>217</v>
      </c>
      <c r="B359" s="6" t="n">
        <v>1</v>
      </c>
      <c r="C359" s="6" t="n">
        <v>3860219</v>
      </c>
      <c r="D359" s="6" t="n">
        <v>0.239415204678363</v>
      </c>
      <c r="E359" s="6" t="n">
        <v>0.0625602364619358</v>
      </c>
      <c r="F359" s="6"/>
      <c r="G359" s="6" t="n">
        <v>4.61685442104148E-011</v>
      </c>
      <c r="H359" s="6" t="n">
        <v>1</v>
      </c>
      <c r="I359" s="15" t="n">
        <v>1</v>
      </c>
      <c r="J359" s="15" t="n">
        <v>0.693877551020408</v>
      </c>
      <c r="K359" s="15"/>
      <c r="L359" s="15" t="n">
        <v>1</v>
      </c>
      <c r="M359" s="15" t="n">
        <v>1</v>
      </c>
      <c r="N359" s="15" t="n">
        <v>1.05367121277235E-008</v>
      </c>
      <c r="O359" s="15" t="n">
        <v>0.664211164155072</v>
      </c>
    </row>
    <row r="360" customFormat="false" ht="12.75" hidden="false" customHeight="false" outlineLevel="0" collapsed="false">
      <c r="A360" s="6" t="s">
        <v>218</v>
      </c>
      <c r="B360" s="6" t="n">
        <v>1</v>
      </c>
      <c r="C360" s="6" t="n">
        <v>4342334</v>
      </c>
      <c r="D360" s="6" t="n">
        <v>0</v>
      </c>
      <c r="E360" s="6" t="n">
        <v>0.0211147303966919</v>
      </c>
      <c r="F360" s="6"/>
      <c r="G360" s="6" t="n">
        <v>2.56823004434834E-012</v>
      </c>
      <c r="H360" s="6" t="n">
        <v>1</v>
      </c>
      <c r="I360" s="15" t="n">
        <v>0.64088509724625</v>
      </c>
      <c r="J360" s="15" t="n">
        <v>0.693877551020408</v>
      </c>
      <c r="K360" s="15"/>
      <c r="L360" s="15" t="n">
        <v>1</v>
      </c>
      <c r="M360" s="15" t="n">
        <v>0.64088509724625</v>
      </c>
      <c r="N360" s="15" t="n">
        <v>0.748560019201454</v>
      </c>
      <c r="O360" s="15" t="n">
        <v>0.664211164155072</v>
      </c>
    </row>
    <row r="361" customFormat="false" ht="12.75" hidden="false" customHeight="false" outlineLevel="0" collapsed="false">
      <c r="A361" s="6" t="s">
        <v>219</v>
      </c>
      <c r="B361" s="6" t="n">
        <v>1</v>
      </c>
      <c r="C361" s="6" t="n">
        <v>1241382</v>
      </c>
      <c r="D361" s="6" t="n">
        <v>0.292950391644909</v>
      </c>
      <c r="E361" s="6" t="n">
        <v>0.0206121747105353</v>
      </c>
      <c r="F361" s="6"/>
      <c r="G361" s="6" t="n">
        <v>2.65827638003696E-010</v>
      </c>
      <c r="H361" s="6" t="n">
        <v>1</v>
      </c>
      <c r="I361" s="15" t="n">
        <v>1</v>
      </c>
      <c r="J361" s="15" t="n">
        <v>0.693877551020408</v>
      </c>
      <c r="K361" s="15"/>
      <c r="L361" s="15" t="n">
        <v>1</v>
      </c>
      <c r="M361" s="15" t="n">
        <v>1</v>
      </c>
      <c r="N361" s="15" t="n">
        <v>1.05367121277235E-008</v>
      </c>
      <c r="O361" s="15" t="n">
        <v>0.664211164155072</v>
      </c>
    </row>
    <row r="362" customFormat="false" ht="12.75" hidden="false" customHeight="false" outlineLevel="0" collapsed="false">
      <c r="A362" s="6" t="s">
        <v>220</v>
      </c>
      <c r="B362" s="6" t="n">
        <v>1</v>
      </c>
      <c r="C362" s="6" t="n">
        <v>5042438</v>
      </c>
      <c r="D362" s="6" t="n">
        <v>0.059493670886076</v>
      </c>
      <c r="E362" s="6" t="n">
        <v>0.0697797782145526</v>
      </c>
      <c r="F362" s="6"/>
      <c r="G362" s="6" t="n">
        <v>7.3736342600225E-010</v>
      </c>
      <c r="H362" s="6" t="n">
        <v>1</v>
      </c>
      <c r="I362" s="15" t="n">
        <v>1</v>
      </c>
      <c r="J362" s="15" t="n">
        <v>0.693877551020408</v>
      </c>
      <c r="K362" s="15"/>
      <c r="L362" s="15" t="n">
        <v>1</v>
      </c>
      <c r="M362" s="15" t="n">
        <v>1</v>
      </c>
      <c r="N362" s="15" t="n">
        <v>1.05367121277235E-008</v>
      </c>
      <c r="O362" s="15" t="n">
        <v>0.664211164155072</v>
      </c>
    </row>
    <row r="363" customFormat="false" ht="12.75" hidden="false" customHeight="false" outlineLevel="0" collapsed="false">
      <c r="A363" s="6" t="s">
        <v>221</v>
      </c>
      <c r="B363" s="6" t="n">
        <v>1</v>
      </c>
      <c r="C363" s="6" t="n">
        <v>6073550</v>
      </c>
      <c r="D363" s="6" t="n">
        <v>0.163254593175853</v>
      </c>
      <c r="E363" s="6" t="n">
        <v>0.0502082263621112</v>
      </c>
      <c r="F363" s="6"/>
      <c r="G363" s="6" t="n">
        <v>2.60150207336547E-011</v>
      </c>
      <c r="H363" s="6" t="n">
        <v>1</v>
      </c>
      <c r="I363" s="15" t="n">
        <v>1</v>
      </c>
      <c r="J363" s="15" t="n">
        <v>0.693877551020408</v>
      </c>
      <c r="K363" s="15"/>
      <c r="L363" s="15" t="n">
        <v>1</v>
      </c>
      <c r="M363" s="15" t="n">
        <v>1</v>
      </c>
      <c r="N363" s="15" t="n">
        <v>1.05367121277235E-008</v>
      </c>
      <c r="O363" s="15" t="n">
        <v>0.664211164155072</v>
      </c>
    </row>
    <row r="364" customFormat="false" ht="12.75" hidden="false" customHeight="false" outlineLevel="0" collapsed="false">
      <c r="A364" s="6" t="s">
        <v>222</v>
      </c>
      <c r="B364" s="6" t="n">
        <v>1</v>
      </c>
      <c r="C364" s="6" t="n">
        <v>9549353</v>
      </c>
      <c r="D364" s="6" t="n">
        <v>0</v>
      </c>
      <c r="E364" s="6" t="n">
        <v>0.00796925854450259</v>
      </c>
      <c r="F364" s="6"/>
      <c r="G364" s="6" t="n">
        <v>9.23270469744563E-013</v>
      </c>
      <c r="H364" s="6" t="n">
        <v>1</v>
      </c>
      <c r="I364" s="15" t="n">
        <v>0.970637299960648</v>
      </c>
      <c r="J364" s="15" t="n">
        <v>0.693877551020408</v>
      </c>
      <c r="K364" s="15"/>
      <c r="L364" s="15" t="n">
        <v>1</v>
      </c>
      <c r="M364" s="15" t="n">
        <v>0.970637299960648</v>
      </c>
      <c r="N364" s="15" t="n">
        <v>0.173928001191046</v>
      </c>
      <c r="O364" s="15" t="n">
        <v>0.664211164155072</v>
      </c>
    </row>
    <row r="365" customFormat="false" ht="12.75" hidden="false" customHeight="false" outlineLevel="0" collapsed="false">
      <c r="A365" s="6" t="s">
        <v>223</v>
      </c>
      <c r="B365" s="6" t="n">
        <v>1</v>
      </c>
      <c r="C365" s="6" t="n">
        <v>4609548</v>
      </c>
      <c r="D365" s="6" t="n">
        <v>0</v>
      </c>
      <c r="E365" s="6" t="n">
        <v>0.0231171606433715</v>
      </c>
      <c r="F365" s="6"/>
      <c r="G365" s="6" t="n">
        <v>3.91416523412056E-014</v>
      </c>
      <c r="H365" s="6" t="n">
        <v>0</v>
      </c>
      <c r="I365" s="15" t="n">
        <v>0.689620638276506</v>
      </c>
      <c r="J365" s="15" t="n">
        <v>0.693877551020408</v>
      </c>
      <c r="K365" s="15"/>
      <c r="L365" s="15" t="n">
        <v>0</v>
      </c>
      <c r="M365" s="15" t="n">
        <v>0.689620638276506</v>
      </c>
      <c r="N365" s="15" t="n">
        <v>-1.49059172947373</v>
      </c>
      <c r="O365" s="15" t="n">
        <v>-1.50554530541816</v>
      </c>
    </row>
    <row r="366" customFormat="false" ht="12.75" hidden="false" customHeight="false" outlineLevel="0" collapsed="false">
      <c r="A366" s="6" t="s">
        <v>224</v>
      </c>
      <c r="B366" s="6" t="n">
        <v>1</v>
      </c>
      <c r="C366" s="6" t="n">
        <v>2697243</v>
      </c>
      <c r="D366" s="6" t="n">
        <v>0</v>
      </c>
      <c r="E366" s="6" t="n">
        <v>0.0305028704492417</v>
      </c>
      <c r="F366" s="6"/>
      <c r="G366" s="6" t="n">
        <v>3.31728127610878E-012</v>
      </c>
      <c r="H366" s="6" t="n">
        <v>0</v>
      </c>
      <c r="I366" s="15" t="n">
        <v>0.381570901750871</v>
      </c>
      <c r="J366" s="15" t="n">
        <v>0.693877551020408</v>
      </c>
      <c r="K366" s="15"/>
      <c r="L366" s="15" t="n">
        <v>0</v>
      </c>
      <c r="M366" s="15" t="n">
        <v>0.381570901750871</v>
      </c>
      <c r="N366" s="15" t="n">
        <v>-0.785493627936038</v>
      </c>
      <c r="O366" s="15" t="n">
        <v>-1.50554530541816</v>
      </c>
    </row>
    <row r="367" customFormat="false" ht="12.75" hidden="false" customHeight="false" outlineLevel="0" collapsed="false">
      <c r="A367" s="6" t="s">
        <v>225</v>
      </c>
      <c r="B367" s="6" t="n">
        <v>1</v>
      </c>
      <c r="C367" s="6" t="n">
        <v>5323523</v>
      </c>
      <c r="D367" s="6" t="n">
        <v>0</v>
      </c>
      <c r="E367" s="6" t="n">
        <v>0.0724272745344907</v>
      </c>
      <c r="F367" s="6"/>
      <c r="G367" s="6" t="n">
        <v>1.15835281976731E-010</v>
      </c>
      <c r="H367" s="6" t="n">
        <v>1</v>
      </c>
      <c r="I367" s="15" t="n">
        <v>0.892155266168208</v>
      </c>
      <c r="J367" s="15" t="n">
        <v>0.693877551020408</v>
      </c>
      <c r="K367" s="15"/>
      <c r="L367" s="15" t="n">
        <v>1</v>
      </c>
      <c r="M367" s="15" t="n">
        <v>0.892155266168208</v>
      </c>
      <c r="N367" s="15" t="n">
        <v>0.347679632383065</v>
      </c>
      <c r="O367" s="15" t="n">
        <v>0.664211164155072</v>
      </c>
    </row>
    <row r="368" customFormat="false" ht="12.75" hidden="false" customHeight="false" outlineLevel="0" collapsed="false">
      <c r="A368" s="6" t="s">
        <v>226</v>
      </c>
      <c r="B368" s="6" t="n">
        <v>1</v>
      </c>
      <c r="C368" s="6" t="n">
        <v>870281</v>
      </c>
      <c r="D368" s="6" t="n">
        <v>0</v>
      </c>
      <c r="E368" s="6" t="n">
        <v>0.00796409544263987</v>
      </c>
      <c r="F368" s="6"/>
      <c r="G368" s="6" t="n">
        <v>3.47319888352621E-014</v>
      </c>
      <c r="H368" s="6" t="n">
        <v>0</v>
      </c>
      <c r="I368" s="15" t="n">
        <v>0.0224755473354925</v>
      </c>
      <c r="J368" s="15" t="n">
        <v>0.693877551020408</v>
      </c>
      <c r="K368" s="15"/>
      <c r="L368" s="15" t="n">
        <v>0</v>
      </c>
      <c r="M368" s="15" t="n">
        <v>0.0224755473354925</v>
      </c>
      <c r="N368" s="15" t="n">
        <v>-0.151632160623136</v>
      </c>
      <c r="O368" s="15" t="n">
        <v>-1.50554530541816</v>
      </c>
    </row>
    <row r="369" customFormat="false" ht="12.75" hidden="false" customHeight="false" outlineLevel="0" collapsed="false">
      <c r="A369" s="6" t="s">
        <v>227</v>
      </c>
      <c r="B369" s="6" t="n">
        <v>1</v>
      </c>
      <c r="C369" s="6" t="n">
        <v>1637112</v>
      </c>
      <c r="D369" s="6" t="n">
        <v>0</v>
      </c>
      <c r="E369" s="6" t="n">
        <v>0.0425053293156057</v>
      </c>
      <c r="F369" s="6"/>
      <c r="G369" s="6" t="n">
        <v>1.27766030104349E-013</v>
      </c>
      <c r="H369" s="6" t="n">
        <v>1</v>
      </c>
      <c r="I369" s="15" t="n">
        <v>0.235553960284321</v>
      </c>
      <c r="J369" s="15" t="n">
        <v>0.693877551020408</v>
      </c>
      <c r="K369" s="15"/>
      <c r="L369" s="15" t="n">
        <v>1</v>
      </c>
      <c r="M369" s="15" t="n">
        <v>0.235553960284321</v>
      </c>
      <c r="N369" s="15" t="n">
        <v>1.80147488734188</v>
      </c>
      <c r="O369" s="15" t="n">
        <v>0.664211164155072</v>
      </c>
    </row>
    <row r="370" customFormat="false" ht="12.75" hidden="false" customHeight="false" outlineLevel="0" collapsed="false">
      <c r="A370" s="6" t="s">
        <v>228</v>
      </c>
      <c r="B370" s="6" t="n">
        <v>1</v>
      </c>
      <c r="C370" s="6" t="n">
        <v>1530108</v>
      </c>
      <c r="D370" s="6" t="n">
        <v>0</v>
      </c>
      <c r="E370" s="6" t="n">
        <v>0.0433497425670366</v>
      </c>
      <c r="F370" s="6"/>
      <c r="G370" s="6" t="n">
        <v>1.76208456848238E-013</v>
      </c>
      <c r="H370" s="6" t="n">
        <v>0</v>
      </c>
      <c r="I370" s="15" t="n">
        <v>0.219847341632542</v>
      </c>
      <c r="J370" s="15" t="n">
        <v>0.693877551020408</v>
      </c>
      <c r="K370" s="15"/>
      <c r="L370" s="15" t="n">
        <v>0</v>
      </c>
      <c r="M370" s="15" t="n">
        <v>0.219847341632542</v>
      </c>
      <c r="N370" s="15" t="n">
        <v>-0.53084876696336</v>
      </c>
      <c r="O370" s="15" t="n">
        <v>-1.50554530541816</v>
      </c>
    </row>
    <row r="371" customFormat="false" ht="12.75" hidden="false" customHeight="false" outlineLevel="0" collapsed="false">
      <c r="A371" s="6" t="s">
        <v>229</v>
      </c>
      <c r="B371" s="6" t="n">
        <v>1</v>
      </c>
      <c r="C371" s="6" t="n">
        <v>1148253</v>
      </c>
      <c r="D371" s="6" t="n">
        <v>0.290225563909774</v>
      </c>
      <c r="E371" s="6" t="n">
        <v>0.0851357193769645</v>
      </c>
      <c r="F371" s="6"/>
      <c r="G371" s="6" t="n">
        <v>7.50551003301169E-008</v>
      </c>
      <c r="H371" s="6" t="n">
        <v>1</v>
      </c>
      <c r="I371" s="15" t="n">
        <v>1</v>
      </c>
      <c r="J371" s="15" t="n">
        <v>0.693877551020408</v>
      </c>
      <c r="K371" s="15"/>
      <c r="L371" s="15" t="n">
        <v>1</v>
      </c>
      <c r="M371" s="15" t="n">
        <v>1</v>
      </c>
      <c r="N371" s="15" t="n">
        <v>1.05367121277235E-008</v>
      </c>
      <c r="O371" s="15" t="n">
        <v>0.664211164155072</v>
      </c>
    </row>
    <row r="372" customFormat="false" ht="12.75" hidden="false" customHeight="false" outlineLevel="0" collapsed="false">
      <c r="A372" s="6" t="s">
        <v>230</v>
      </c>
      <c r="B372" s="6" t="n">
        <v>1</v>
      </c>
      <c r="C372" s="6" t="n">
        <v>7945298</v>
      </c>
      <c r="D372" s="6" t="n">
        <v>0.424725274725275</v>
      </c>
      <c r="E372" s="6" t="n">
        <v>0.0704522955482905</v>
      </c>
      <c r="F372" s="6"/>
      <c r="G372" s="6" t="n">
        <v>9.78574048714857E-007</v>
      </c>
      <c r="H372" s="6" t="n">
        <v>1</v>
      </c>
      <c r="I372" s="15" t="n">
        <v>1</v>
      </c>
      <c r="J372" s="15" t="n">
        <v>0.693877551020408</v>
      </c>
      <c r="K372" s="15"/>
      <c r="L372" s="15" t="n">
        <v>1</v>
      </c>
      <c r="M372" s="15" t="n">
        <v>1</v>
      </c>
      <c r="N372" s="15" t="n">
        <v>1.05367121277235E-008</v>
      </c>
      <c r="O372" s="15" t="n">
        <v>0.664211164155072</v>
      </c>
    </row>
    <row r="373" customFormat="false" ht="12.75" hidden="false" customHeight="false" outlineLevel="0" collapsed="false">
      <c r="A373" s="6" t="s">
        <v>231</v>
      </c>
      <c r="B373" s="6" t="n">
        <v>1</v>
      </c>
      <c r="C373" s="6" t="n">
        <v>1685401</v>
      </c>
      <c r="D373" s="6" t="n">
        <v>0</v>
      </c>
      <c r="E373" s="6" t="n">
        <v>0.0190957981584029</v>
      </c>
      <c r="F373" s="6"/>
      <c r="G373" s="6" t="n">
        <v>3.26758137987897E-012</v>
      </c>
      <c r="H373" s="6" t="n">
        <v>0</v>
      </c>
      <c r="I373" s="15" t="n">
        <v>0.132112045663747</v>
      </c>
      <c r="J373" s="15" t="n">
        <v>0.693877551020408</v>
      </c>
      <c r="K373" s="15"/>
      <c r="L373" s="15" t="n">
        <v>0</v>
      </c>
      <c r="M373" s="15" t="n">
        <v>0.132112045663747</v>
      </c>
      <c r="N373" s="15" t="n">
        <v>-0.390156977640735</v>
      </c>
      <c r="O373" s="15" t="n">
        <v>-1.50554530541816</v>
      </c>
    </row>
    <row r="374" customFormat="false" ht="12.75" hidden="false" customHeight="false" outlineLevel="0" collapsed="false">
      <c r="A374" s="6" t="s">
        <v>232</v>
      </c>
      <c r="B374" s="6" t="n">
        <v>1</v>
      </c>
      <c r="C374" s="6" t="n">
        <v>18136081</v>
      </c>
      <c r="D374" s="6" t="n">
        <v>0.270103092783505</v>
      </c>
      <c r="E374" s="6" t="n">
        <v>0.0509878017590525</v>
      </c>
      <c r="F374" s="6"/>
      <c r="G374" s="6" t="n">
        <v>6.14030526894406E-010</v>
      </c>
      <c r="H374" s="6" t="n">
        <v>1</v>
      </c>
      <c r="I374" s="15" t="n">
        <v>1</v>
      </c>
      <c r="J374" s="15" t="n">
        <v>0.693877551020408</v>
      </c>
      <c r="K374" s="15"/>
      <c r="L374" s="15" t="n">
        <v>1</v>
      </c>
      <c r="M374" s="15" t="n">
        <v>1</v>
      </c>
      <c r="N374" s="15" t="n">
        <v>1.05367121277235E-008</v>
      </c>
      <c r="O374" s="15" t="n">
        <v>0.664211164155072</v>
      </c>
    </row>
    <row r="375" customFormat="false" ht="12.75" hidden="false" customHeight="false" outlineLevel="0" collapsed="false">
      <c r="A375" s="6" t="s">
        <v>233</v>
      </c>
      <c r="B375" s="6" t="n">
        <v>1</v>
      </c>
      <c r="C375" s="6" t="n">
        <v>7195138</v>
      </c>
      <c r="D375" s="6" t="n">
        <v>0</v>
      </c>
      <c r="E375" s="6" t="n">
        <v>0.0221303868527105</v>
      </c>
      <c r="F375" s="6"/>
      <c r="G375" s="6" t="n">
        <v>1.73290869510021E-012</v>
      </c>
      <c r="H375" s="6" t="n">
        <v>1</v>
      </c>
      <c r="I375" s="15" t="n">
        <v>0.914810371305893</v>
      </c>
      <c r="J375" s="15" t="n">
        <v>0.693877551020408</v>
      </c>
      <c r="K375" s="15"/>
      <c r="L375" s="15" t="n">
        <v>1</v>
      </c>
      <c r="M375" s="15" t="n">
        <v>0.914810371305893</v>
      </c>
      <c r="N375" s="15" t="n">
        <v>0.305160152226132</v>
      </c>
      <c r="O375" s="15" t="n">
        <v>0.664211164155072</v>
      </c>
    </row>
    <row r="376" customFormat="false" ht="12.75" hidden="false" customHeight="false" outlineLevel="0" collapsed="false">
      <c r="A376" s="6" t="s">
        <v>234</v>
      </c>
      <c r="B376" s="6" t="n">
        <v>1</v>
      </c>
      <c r="C376" s="6" t="n">
        <v>641367</v>
      </c>
      <c r="D376" s="6" t="n">
        <v>0</v>
      </c>
      <c r="E376" s="6" t="n">
        <v>0.0585817128891722</v>
      </c>
      <c r="F376" s="6"/>
      <c r="G376" s="6" t="n">
        <v>2.88428682897276E-014</v>
      </c>
      <c r="H376" s="6" t="n">
        <v>0</v>
      </c>
      <c r="I376" s="15" t="n">
        <v>0.140323634955975</v>
      </c>
      <c r="J376" s="15" t="n">
        <v>0.693877551020408</v>
      </c>
      <c r="K376" s="15"/>
      <c r="L376" s="15" t="n">
        <v>0</v>
      </c>
      <c r="M376" s="15" t="n">
        <v>0.140323634955975</v>
      </c>
      <c r="N376" s="15" t="n">
        <v>-0.404015400043365</v>
      </c>
      <c r="O376" s="15" t="n">
        <v>-1.50554530541816</v>
      </c>
    </row>
    <row r="377" customFormat="false" ht="12.75" hidden="false" customHeight="false" outlineLevel="0" collapsed="false">
      <c r="A377" s="6" t="s">
        <v>235</v>
      </c>
      <c r="B377" s="6" t="n">
        <v>1</v>
      </c>
      <c r="C377" s="6" t="n">
        <v>11150506</v>
      </c>
      <c r="D377" s="6" t="n">
        <v>0.124419204956118</v>
      </c>
      <c r="E377" s="6" t="n">
        <v>0.0282688311910131</v>
      </c>
      <c r="F377" s="6"/>
      <c r="G377" s="6" t="n">
        <v>3.8555392305473E-012</v>
      </c>
      <c r="H377" s="6" t="n">
        <v>1</v>
      </c>
      <c r="I377" s="15" t="n">
        <v>1</v>
      </c>
      <c r="J377" s="15" t="n">
        <v>0.693877551020408</v>
      </c>
      <c r="K377" s="15"/>
      <c r="L377" s="15" t="n">
        <v>1</v>
      </c>
      <c r="M377" s="15" t="n">
        <v>1</v>
      </c>
      <c r="N377" s="15" t="n">
        <v>1.05367121277235E-008</v>
      </c>
      <c r="O377" s="15" t="n">
        <v>0.664211164155072</v>
      </c>
    </row>
    <row r="378" customFormat="false" ht="12.75" hidden="false" customHeight="false" outlineLevel="0" collapsed="false">
      <c r="A378" s="6" t="s">
        <v>236</v>
      </c>
      <c r="B378" s="6" t="n">
        <v>1</v>
      </c>
      <c r="C378" s="6" t="n">
        <v>3277687</v>
      </c>
      <c r="D378" s="6" t="n">
        <v>0.163815789473684</v>
      </c>
      <c r="E378" s="6" t="n">
        <v>0.0108396118772474</v>
      </c>
      <c r="F378" s="6"/>
      <c r="G378" s="6" t="n">
        <v>8.18184975183888E-013</v>
      </c>
      <c r="H378" s="6" t="n">
        <v>1</v>
      </c>
      <c r="I378" s="15" t="n">
        <v>1</v>
      </c>
      <c r="J378" s="15" t="n">
        <v>0.693877551020408</v>
      </c>
      <c r="K378" s="15"/>
      <c r="L378" s="15" t="n">
        <v>1</v>
      </c>
      <c r="M378" s="15" t="n">
        <v>1</v>
      </c>
      <c r="N378" s="15" t="n">
        <v>1.05367121277235E-008</v>
      </c>
      <c r="O378" s="15" t="n">
        <v>0.664211164155072</v>
      </c>
    </row>
    <row r="379" customFormat="false" ht="12.75" hidden="false" customHeight="false" outlineLevel="0" collapsed="false">
      <c r="A379" s="6" t="s">
        <v>237</v>
      </c>
      <c r="B379" s="6" t="n">
        <v>1</v>
      </c>
      <c r="C379" s="6" t="n">
        <v>3140585</v>
      </c>
      <c r="D379" s="6" t="n">
        <v>0</v>
      </c>
      <c r="E379" s="6" t="n">
        <v>0.0372433830337473</v>
      </c>
      <c r="F379" s="6"/>
      <c r="G379" s="6" t="n">
        <v>1.82145478296565E-012</v>
      </c>
      <c r="H379" s="6" t="n">
        <v>1</v>
      </c>
      <c r="I379" s="15" t="n">
        <v>0.507893133076751</v>
      </c>
      <c r="J379" s="15" t="n">
        <v>0.693877551020408</v>
      </c>
      <c r="K379" s="15"/>
      <c r="L379" s="15" t="n">
        <v>1</v>
      </c>
      <c r="M379" s="15" t="n">
        <v>0.507893133076751</v>
      </c>
      <c r="N379" s="15" t="n">
        <v>0.984336392854355</v>
      </c>
      <c r="O379" s="15" t="n">
        <v>0.664211164155072</v>
      </c>
    </row>
    <row r="380" customFormat="false" ht="12.75" hidden="false" customHeight="false" outlineLevel="0" collapsed="false">
      <c r="A380" s="6" t="s">
        <v>238</v>
      </c>
      <c r="B380" s="6" t="n">
        <v>1</v>
      </c>
      <c r="C380" s="6" t="n">
        <v>12071842</v>
      </c>
      <c r="D380" s="6" t="n">
        <v>0.224868231911835</v>
      </c>
      <c r="E380" s="6" t="n">
        <v>0.0341732303708947</v>
      </c>
      <c r="F380" s="6"/>
      <c r="G380" s="6" t="n">
        <v>7.42322736941945E-009</v>
      </c>
      <c r="H380" s="6" t="n">
        <v>1</v>
      </c>
      <c r="I380" s="15" t="n">
        <v>1</v>
      </c>
      <c r="J380" s="15" t="n">
        <v>0.693877551020408</v>
      </c>
      <c r="K380" s="15"/>
      <c r="L380" s="15" t="n">
        <v>1</v>
      </c>
      <c r="M380" s="15" t="n">
        <v>1</v>
      </c>
      <c r="N380" s="15" t="n">
        <v>1.05367121277235E-008</v>
      </c>
      <c r="O380" s="15" t="n">
        <v>0.664211164155072</v>
      </c>
    </row>
    <row r="381" customFormat="false" ht="12.75" hidden="false" customHeight="false" outlineLevel="0" collapsed="false">
      <c r="A381" s="6" t="s">
        <v>239</v>
      </c>
      <c r="B381" s="6" t="n">
        <v>1</v>
      </c>
      <c r="C381" s="6" t="n">
        <v>989794</v>
      </c>
      <c r="D381" s="6" t="n">
        <v>0</v>
      </c>
      <c r="E381" s="6" t="n">
        <v>0.0757652407576525</v>
      </c>
      <c r="F381" s="6"/>
      <c r="G381" s="6" t="n">
        <v>1.30467382846026E-008</v>
      </c>
      <c r="H381" s="6" t="n">
        <v>1</v>
      </c>
      <c r="I381" s="15" t="n">
        <v>0.806523482050493</v>
      </c>
      <c r="J381" s="15" t="n">
        <v>0.693877551020408</v>
      </c>
      <c r="K381" s="15"/>
      <c r="L381" s="15" t="n">
        <v>1</v>
      </c>
      <c r="M381" s="15" t="n">
        <v>0.806523482050493</v>
      </c>
      <c r="N381" s="15" t="n">
        <v>0.489785160908667</v>
      </c>
      <c r="O381" s="15" t="n">
        <v>0.664211164155072</v>
      </c>
    </row>
    <row r="382" customFormat="false" ht="12.75" hidden="false" customHeight="false" outlineLevel="0" collapsed="false">
      <c r="A382" s="6" t="s">
        <v>240</v>
      </c>
      <c r="B382" s="6" t="n">
        <v>1</v>
      </c>
      <c r="C382" s="6" t="n">
        <v>3673287</v>
      </c>
      <c r="D382" s="6" t="n">
        <v>0</v>
      </c>
      <c r="E382" s="6" t="n">
        <v>0.0212156597627681</v>
      </c>
      <c r="F382" s="6"/>
      <c r="G382" s="6" t="n">
        <v>2.57625046539453E-014</v>
      </c>
      <c r="H382" s="6" t="n">
        <v>0</v>
      </c>
      <c r="I382" s="15" t="n">
        <v>0.524322257675065</v>
      </c>
      <c r="J382" s="15" t="n">
        <v>0.693877551020408</v>
      </c>
      <c r="K382" s="15"/>
      <c r="L382" s="15" t="n">
        <v>0</v>
      </c>
      <c r="M382" s="15" t="n">
        <v>0.524322257675065</v>
      </c>
      <c r="N382" s="15" t="n">
        <v>-1.04988741951287</v>
      </c>
      <c r="O382" s="15" t="n">
        <v>-1.50554530541816</v>
      </c>
    </row>
    <row r="383" customFormat="false" ht="12.75" hidden="false" customHeight="false" outlineLevel="0" collapsed="false">
      <c r="A383" s="6" t="s">
        <v>241</v>
      </c>
      <c r="B383" s="6" t="n">
        <v>1</v>
      </c>
      <c r="C383" s="6" t="n">
        <v>729034</v>
      </c>
      <c r="D383" s="6" t="n">
        <v>0</v>
      </c>
      <c r="E383" s="6" t="n">
        <v>0.0295761623107812</v>
      </c>
      <c r="F383" s="6"/>
      <c r="G383" s="6" t="n">
        <v>8.51096256861615E-012</v>
      </c>
      <c r="H383" s="6" t="n">
        <v>0</v>
      </c>
      <c r="I383" s="15" t="n">
        <v>0.0533025696881485</v>
      </c>
      <c r="J383" s="15" t="n">
        <v>0.693877551020408</v>
      </c>
      <c r="K383" s="15"/>
      <c r="L383" s="15" t="n">
        <v>0</v>
      </c>
      <c r="M383" s="15" t="n">
        <v>0.0533025696881485</v>
      </c>
      <c r="N383" s="15" t="n">
        <v>-0.237284010565653</v>
      </c>
      <c r="O383" s="15" t="n">
        <v>-1.50554530541816</v>
      </c>
    </row>
    <row r="384" customFormat="false" ht="12.75" hidden="false" customHeight="false" outlineLevel="0" collapsed="false">
      <c r="A384" s="6" t="s">
        <v>242</v>
      </c>
      <c r="B384" s="6" t="n">
        <v>1</v>
      </c>
      <c r="C384" s="6" t="n">
        <v>5256051</v>
      </c>
      <c r="D384" s="6" t="n">
        <v>0</v>
      </c>
      <c r="E384" s="6" t="n">
        <v>0.0458630868796215</v>
      </c>
      <c r="F384" s="6"/>
      <c r="G384" s="6" t="n">
        <v>2.94341409435387E-013</v>
      </c>
      <c r="H384" s="6" t="n">
        <v>1</v>
      </c>
      <c r="I384" s="15" t="n">
        <v>0.833714627798266</v>
      </c>
      <c r="J384" s="15" t="n">
        <v>0.693877551020408</v>
      </c>
      <c r="K384" s="15"/>
      <c r="L384" s="15" t="n">
        <v>1</v>
      </c>
      <c r="M384" s="15" t="n">
        <v>0.833714627798266</v>
      </c>
      <c r="N384" s="15" t="n">
        <v>0.446599582491621</v>
      </c>
      <c r="O384" s="15" t="n">
        <v>0.664211164155072</v>
      </c>
    </row>
    <row r="385" customFormat="false" ht="12.75" hidden="false" customHeight="false" outlineLevel="0" collapsed="false">
      <c r="A385" s="6" t="s">
        <v>243</v>
      </c>
      <c r="B385" s="6" t="n">
        <v>1</v>
      </c>
      <c r="C385" s="6" t="n">
        <v>18723991</v>
      </c>
      <c r="D385" s="6" t="n">
        <v>0.006727760393384</v>
      </c>
      <c r="E385" s="6" t="n">
        <v>0.00910524272123237</v>
      </c>
      <c r="F385" s="6"/>
      <c r="G385" s="6" t="n">
        <v>2.38458372944146E-012</v>
      </c>
      <c r="H385" s="6" t="n">
        <v>1</v>
      </c>
      <c r="I385" s="15" t="n">
        <v>0.999999999999989</v>
      </c>
      <c r="J385" s="15" t="n">
        <v>0.693877551020408</v>
      </c>
      <c r="K385" s="15"/>
      <c r="L385" s="15" t="n">
        <v>1</v>
      </c>
      <c r="M385" s="15" t="n">
        <v>0.999999999999989</v>
      </c>
      <c r="N385" s="15" t="n">
        <v>1.07453801496744E-007</v>
      </c>
      <c r="O385" s="15" t="n">
        <v>0.664211164155072</v>
      </c>
    </row>
    <row r="386" customFormat="false" ht="12.75" hidden="false" customHeight="false" outlineLevel="0" collapsed="false">
      <c r="A386" s="6" t="s">
        <v>244</v>
      </c>
      <c r="B386" s="6" t="n">
        <v>1</v>
      </c>
      <c r="C386" s="6" t="n">
        <v>1951408</v>
      </c>
      <c r="D386" s="6" t="n">
        <v>0</v>
      </c>
      <c r="E386" s="6" t="n">
        <v>0.00991343868813166</v>
      </c>
      <c r="F386" s="6"/>
      <c r="G386" s="6" t="n">
        <v>4.16760355861009E-013</v>
      </c>
      <c r="H386" s="6" t="n">
        <v>1</v>
      </c>
      <c r="I386" s="15" t="n">
        <v>0.133573441998513</v>
      </c>
      <c r="J386" s="15" t="n">
        <v>0.693877551020408</v>
      </c>
      <c r="K386" s="15"/>
      <c r="L386" s="15" t="n">
        <v>1</v>
      </c>
      <c r="M386" s="15" t="n">
        <v>0.133573441998513</v>
      </c>
      <c r="N386" s="15" t="n">
        <v>2.54686437916757</v>
      </c>
      <c r="O386" s="15" t="n">
        <v>0.664211164155072</v>
      </c>
    </row>
    <row r="387" customFormat="false" ht="12.75" hidden="false" customHeight="false" outlineLevel="0" collapsed="false">
      <c r="A387" s="6" t="s">
        <v>245</v>
      </c>
      <c r="B387" s="6" t="n">
        <v>1</v>
      </c>
      <c r="C387" s="6" t="n">
        <v>584771</v>
      </c>
      <c r="D387" s="6" t="n">
        <v>0</v>
      </c>
      <c r="E387" s="6" t="n">
        <v>0.0494956071368481</v>
      </c>
      <c r="F387" s="6"/>
      <c r="G387" s="6" t="n">
        <v>5.28659248696466E-009</v>
      </c>
      <c r="H387" s="6" t="n">
        <v>0</v>
      </c>
      <c r="I387" s="15" t="n">
        <v>0.317094801895318</v>
      </c>
      <c r="J387" s="15" t="n">
        <v>0.693877551020408</v>
      </c>
      <c r="K387" s="15"/>
      <c r="L387" s="15" t="n">
        <v>0</v>
      </c>
      <c r="M387" s="15" t="n">
        <v>0.317094801895318</v>
      </c>
      <c r="N387" s="15" t="n">
        <v>-0.681419177774616</v>
      </c>
      <c r="O387" s="15" t="n">
        <v>-1.50554530541816</v>
      </c>
    </row>
    <row r="388" customFormat="false" ht="12.75" hidden="false" customHeight="false" outlineLevel="0" collapsed="false">
      <c r="A388" s="6" t="s">
        <v>246</v>
      </c>
      <c r="B388" s="6" t="n">
        <v>1</v>
      </c>
      <c r="C388" s="6" t="n">
        <v>6618358</v>
      </c>
      <c r="D388" s="6" t="n">
        <v>0.102064896755162</v>
      </c>
      <c r="E388" s="6" t="n">
        <v>0.0646098010772455</v>
      </c>
      <c r="F388" s="6"/>
      <c r="G388" s="6" t="n">
        <v>2.1699894914854E-010</v>
      </c>
      <c r="H388" s="6" t="n">
        <v>1</v>
      </c>
      <c r="I388" s="15" t="n">
        <v>1</v>
      </c>
      <c r="J388" s="15" t="n">
        <v>0.693877551020408</v>
      </c>
      <c r="K388" s="15"/>
      <c r="L388" s="15" t="n">
        <v>1</v>
      </c>
      <c r="M388" s="15" t="n">
        <v>1</v>
      </c>
      <c r="N388" s="15" t="n">
        <v>1.05367121277235E-008</v>
      </c>
      <c r="O388" s="15" t="n">
        <v>0.664211164155072</v>
      </c>
    </row>
    <row r="389" customFormat="false" ht="12.75" hidden="false" customHeight="false" outlineLevel="0" collapsed="false">
      <c r="A389" s="6" t="s">
        <v>247</v>
      </c>
      <c r="B389" s="6" t="n">
        <v>1</v>
      </c>
      <c r="C389" s="6" t="n">
        <v>5430940</v>
      </c>
      <c r="D389" s="6" t="n">
        <v>0</v>
      </c>
      <c r="E389" s="6" t="n">
        <v>0.0152694227003708</v>
      </c>
      <c r="F389" s="6"/>
      <c r="G389" s="6" t="n">
        <v>4.68182221770351E-012</v>
      </c>
      <c r="H389" s="6" t="n">
        <v>1</v>
      </c>
      <c r="I389" s="15" t="n">
        <v>0.767047836118728</v>
      </c>
      <c r="J389" s="15" t="n">
        <v>0.693877551020408</v>
      </c>
      <c r="K389" s="15"/>
      <c r="L389" s="15" t="n">
        <v>1</v>
      </c>
      <c r="M389" s="15" t="n">
        <v>0.767047836118728</v>
      </c>
      <c r="N389" s="15" t="n">
        <v>0.551089517130477</v>
      </c>
      <c r="O389" s="15" t="n">
        <v>0.664211164155072</v>
      </c>
    </row>
    <row r="390" customFormat="false" ht="12.75" hidden="false" customHeight="false" outlineLevel="0" collapsed="false">
      <c r="A390" s="6" t="s">
        <v>248</v>
      </c>
      <c r="B390" s="6" t="n">
        <v>1</v>
      </c>
      <c r="C390" s="6" t="n">
        <v>1828140</v>
      </c>
      <c r="D390" s="6" t="n">
        <v>0.154107142857143</v>
      </c>
      <c r="E390" s="6" t="n">
        <v>0.083450810945235</v>
      </c>
      <c r="F390" s="6"/>
      <c r="G390" s="6" t="n">
        <v>6.85214483647577E-010</v>
      </c>
      <c r="H390" s="6" t="n">
        <v>1</v>
      </c>
      <c r="I390" s="15" t="n">
        <v>1</v>
      </c>
      <c r="J390" s="15" t="n">
        <v>0.693877551020408</v>
      </c>
      <c r="K390" s="15"/>
      <c r="L390" s="15" t="n">
        <v>1</v>
      </c>
      <c r="M390" s="15" t="n">
        <v>1</v>
      </c>
      <c r="N390" s="15" t="n">
        <v>1.05367121277235E-008</v>
      </c>
      <c r="O390" s="15" t="n">
        <v>0.664211164155072</v>
      </c>
    </row>
    <row r="391" customFormat="false" ht="12.75" hidden="false" customHeight="false" outlineLevel="0" collapsed="false">
      <c r="A391" s="6" t="s">
        <v>249</v>
      </c>
      <c r="B391" s="6" t="n">
        <v>1</v>
      </c>
      <c r="C391" s="6" t="n">
        <v>5122871</v>
      </c>
      <c r="D391" s="6" t="n">
        <v>0</v>
      </c>
      <c r="E391" s="6" t="n">
        <v>0.0137079087829872</v>
      </c>
      <c r="F391" s="6"/>
      <c r="G391" s="6" t="n">
        <v>6.22970666540397E-012</v>
      </c>
      <c r="H391" s="6" t="n">
        <v>1</v>
      </c>
      <c r="I391" s="15" t="n">
        <v>0.724218128282911</v>
      </c>
      <c r="J391" s="15" t="n">
        <v>0.693877551020408</v>
      </c>
      <c r="K391" s="15"/>
      <c r="L391" s="15" t="n">
        <v>1</v>
      </c>
      <c r="M391" s="15" t="n">
        <v>0.724218128282911</v>
      </c>
      <c r="N391" s="15" t="n">
        <v>0.617089506774653</v>
      </c>
      <c r="O391" s="15" t="n">
        <v>0.664211164155072</v>
      </c>
    </row>
    <row r="392" customFormat="false" ht="13.5" hidden="false" customHeight="false" outlineLevel="0" collapsed="false">
      <c r="A392" s="7" t="s">
        <v>250</v>
      </c>
      <c r="B392" s="7" t="n">
        <v>1</v>
      </c>
      <c r="C392" s="7" t="n">
        <v>480184</v>
      </c>
      <c r="D392" s="7" t="n">
        <v>0</v>
      </c>
      <c r="E392" s="7" t="n">
        <v>0.0256209952218234</v>
      </c>
      <c r="F392" s="7"/>
      <c r="G392" s="7" t="n">
        <v>2.06863081753292E-013</v>
      </c>
      <c r="H392" s="7" t="n">
        <v>0</v>
      </c>
      <c r="I392" s="16" t="n">
        <v>0.027696628241902</v>
      </c>
      <c r="J392" s="16" t="n">
        <v>0.693877551020408</v>
      </c>
      <c r="K392" s="16"/>
      <c r="L392" s="16" t="n">
        <v>0</v>
      </c>
      <c r="M392" s="16" t="n">
        <v>0.027696628241902</v>
      </c>
      <c r="N392" s="16" t="n">
        <v>-0.168776724817368</v>
      </c>
      <c r="O392" s="16" t="n">
        <v>-1.50554530541816</v>
      </c>
    </row>
    <row r="394" customFormat="false" ht="12.75" hidden="false" customHeight="false" outlineLevel="0" collapsed="false">
      <c r="A394" s="0" t="s">
        <v>416</v>
      </c>
    </row>
    <row r="395" customFormat="false" ht="12.75" hidden="false" customHeight="false" outlineLevel="0" collapsed="false">
      <c r="A395" s="0" t="s">
        <v>109</v>
      </c>
    </row>
    <row r="396" customFormat="false" ht="12.75" hidden="false" customHeight="false" outlineLevel="0" collapsed="false">
      <c r="A396" s="0" t="s">
        <v>417</v>
      </c>
    </row>
    <row r="397" customFormat="false" ht="12.75" hidden="false" customHeight="false" outlineLevel="0" collapsed="false">
      <c r="A397" s="0" t="s">
        <v>406</v>
      </c>
    </row>
    <row r="398" customFormat="false" ht="12.75" hidden="false" customHeight="false" outlineLevel="0" collapsed="false">
      <c r="A398" s="0" t="s">
        <v>112</v>
      </c>
    </row>
    <row r="399" customFormat="false" ht="12.75" hidden="false" customHeight="false" outlineLevel="0" collapsed="false">
      <c r="A399" s="0" t="s">
        <v>400</v>
      </c>
    </row>
    <row r="402" customFormat="false" ht="12.75" hidden="false" customHeight="false" outlineLevel="0" collapsed="false">
      <c r="A402" s="0" t="s">
        <v>371</v>
      </c>
    </row>
    <row r="403" customFormat="false" ht="13.5" hidden="false" customHeight="false" outlineLevel="0" collapsed="false"/>
    <row r="404" customFormat="false" ht="12.75" hidden="false" customHeight="false" outlineLevel="0" collapsed="false">
      <c r="A404" s="8" t="s">
        <v>372</v>
      </c>
      <c r="B404" s="8" t="s">
        <v>113</v>
      </c>
      <c r="C404" s="8" t="s">
        <v>114</v>
      </c>
    </row>
    <row r="405" customFormat="false" ht="12.75" hidden="false" customHeight="false" outlineLevel="0" collapsed="false">
      <c r="A405" s="6" t="s">
        <v>84</v>
      </c>
      <c r="B405" s="6" t="n">
        <v>5338722.3877551</v>
      </c>
      <c r="C405" s="6" t="n">
        <v>5779174.66837188</v>
      </c>
    </row>
    <row r="406" customFormat="false" ht="12.75" hidden="false" customHeight="false" outlineLevel="0" collapsed="false">
      <c r="A406" s="6" t="s">
        <v>105</v>
      </c>
      <c r="B406" s="6" t="n">
        <v>0.0748801382019185</v>
      </c>
      <c r="C406" s="6" t="n">
        <v>0.114610023517382</v>
      </c>
    </row>
    <row r="407" customFormat="false" ht="12.75" hidden="false" customHeight="false" outlineLevel="0" collapsed="false">
      <c r="A407" s="6" t="s">
        <v>100</v>
      </c>
      <c r="B407" s="6" t="n">
        <v>0.0372393142980251</v>
      </c>
      <c r="C407" s="6" t="n">
        <v>0.0269260351740362</v>
      </c>
    </row>
    <row r="408" customFormat="false" ht="13.5" hidden="false" customHeight="false" outlineLevel="0" collapsed="false">
      <c r="A408" s="7" t="s">
        <v>143</v>
      </c>
      <c r="B408" s="7" t="n">
        <v>2.30500166681722E-008</v>
      </c>
      <c r="C408" s="7" t="n">
        <v>1.3983591544212E-007</v>
      </c>
    </row>
    <row r="412" customFormat="false" ht="12.75" hidden="false" customHeight="false" outlineLevel="0" collapsed="false">
      <c r="A412" s="0" t="s">
        <v>374</v>
      </c>
    </row>
    <row r="413" customFormat="false" ht="13.5" hidden="false" customHeight="false" outlineLevel="0" collapsed="false"/>
    <row r="414" customFormat="false" ht="12.75" hidden="false" customHeight="false" outlineLevel="0" collapsed="false">
      <c r="A414" s="8" t="s">
        <v>375</v>
      </c>
      <c r="B414" s="8" t="s">
        <v>135</v>
      </c>
      <c r="C414" s="8" t="s">
        <v>136</v>
      </c>
      <c r="D414" s="8" t="s">
        <v>376</v>
      </c>
      <c r="E414" s="8" t="s">
        <v>377</v>
      </c>
      <c r="F414" s="40"/>
    </row>
    <row r="415" customFormat="false" ht="12.75" hidden="false" customHeight="false" outlineLevel="0" collapsed="false">
      <c r="A415" s="6" t="s">
        <v>80</v>
      </c>
      <c r="B415" s="15" t="n">
        <v>-5.74771032608481</v>
      </c>
      <c r="C415" s="15" t="n">
        <v>2.36743864132277</v>
      </c>
      <c r="D415" s="15" t="n">
        <v>5.89430060781524</v>
      </c>
      <c r="E415" s="15" t="n">
        <v>0.0151899613729998</v>
      </c>
      <c r="F415" s="15"/>
    </row>
    <row r="416" customFormat="false" ht="12.75" hidden="false" customHeight="false" outlineLevel="0" collapsed="false">
      <c r="A416" s="6" t="s">
        <v>84</v>
      </c>
      <c r="B416" s="15" t="n">
        <v>1.02691401787398E-007</v>
      </c>
      <c r="C416" s="15" t="n">
        <v>1.16976107711705E-007</v>
      </c>
      <c r="D416" s="15" t="n">
        <v>0.770679543635003</v>
      </c>
      <c r="E416" s="15" t="n">
        <v>0.380006913970069</v>
      </c>
      <c r="F416" s="15"/>
    </row>
    <row r="417" customFormat="false" ht="12.75" hidden="false" customHeight="false" outlineLevel="0" collapsed="false">
      <c r="A417" s="6" t="s">
        <v>105</v>
      </c>
      <c r="B417" s="15" t="n">
        <v>7.2477008853849</v>
      </c>
      <c r="C417" s="15" t="n">
        <v>7.58434981009558</v>
      </c>
      <c r="D417" s="15" t="n">
        <v>0.913195603576729</v>
      </c>
      <c r="E417" s="15" t="n">
        <v>0.339267957583629</v>
      </c>
      <c r="F417" s="15"/>
    </row>
    <row r="418" customFormat="false" ht="12.75" hidden="false" customHeight="false" outlineLevel="0" collapsed="false">
      <c r="A418" s="6" t="s">
        <v>100</v>
      </c>
      <c r="B418" s="15" t="n">
        <v>20.1437420796573</v>
      </c>
      <c r="C418" s="15" t="n">
        <v>27.4404230594552</v>
      </c>
      <c r="D418" s="15" t="n">
        <v>0.538888230611089</v>
      </c>
      <c r="E418" s="15" t="n">
        <v>0.462893848295</v>
      </c>
      <c r="F418" s="15"/>
    </row>
    <row r="419" customFormat="false" ht="13.5" hidden="false" customHeight="false" outlineLevel="0" collapsed="false">
      <c r="A419" s="7" t="s">
        <v>143</v>
      </c>
      <c r="B419" s="16" t="n">
        <v>-574046.178871347</v>
      </c>
      <c r="C419" s="16" t="n">
        <v>3118301.54905044</v>
      </c>
      <c r="D419" s="16" t="n">
        <v>0.0338888974737088</v>
      </c>
      <c r="E419" s="16" t="n">
        <v>0.853943342663295</v>
      </c>
      <c r="F419" s="15"/>
    </row>
    <row r="422" customFormat="false" ht="13.5" hidden="false" customHeight="false" outlineLevel="0" collapsed="false">
      <c r="A422" s="0" t="s">
        <v>378</v>
      </c>
    </row>
    <row r="423" customFormat="false" ht="12.75" hidden="false" customHeight="false" outlineLevel="0" collapsed="false">
      <c r="A423" s="8" t="s">
        <v>379</v>
      </c>
      <c r="B423" s="8" t="s">
        <v>380</v>
      </c>
      <c r="C423" s="8" t="s">
        <v>381</v>
      </c>
      <c r="D423" s="8" t="s">
        <v>382</v>
      </c>
      <c r="E423" s="8" t="s">
        <v>383</v>
      </c>
      <c r="F423" s="8"/>
      <c r="G423" s="8" t="s">
        <v>384</v>
      </c>
      <c r="H423" s="8" t="s">
        <v>385</v>
      </c>
      <c r="I423" s="8" t="s">
        <v>386</v>
      </c>
      <c r="J423" s="8" t="s">
        <v>387</v>
      </c>
      <c r="K423" s="8"/>
      <c r="L423" s="8" t="s">
        <v>388</v>
      </c>
      <c r="M423" s="8" t="s">
        <v>389</v>
      </c>
    </row>
    <row r="424" customFormat="false" ht="13.5" hidden="false" customHeight="false" outlineLevel="0" collapsed="false">
      <c r="A424" s="7" t="n">
        <v>49</v>
      </c>
      <c r="B424" s="7" t="n">
        <v>-6.85220640450361</v>
      </c>
      <c r="C424" s="7" t="n">
        <v>-8.53885653882466</v>
      </c>
      <c r="D424" s="7" t="n">
        <v>1.29999979846112</v>
      </c>
      <c r="E424" s="7" t="n">
        <v>44</v>
      </c>
      <c r="F424" s="7"/>
      <c r="G424" s="7" t="n">
        <v>1</v>
      </c>
      <c r="H424" s="7" t="n">
        <v>3.37330026864209</v>
      </c>
      <c r="I424" s="7" t="n">
        <v>4</v>
      </c>
      <c r="J424" s="7" t="n">
        <v>0.497402852499853</v>
      </c>
      <c r="K424" s="7"/>
      <c r="L424" s="7" t="n">
        <v>0.796770835251452</v>
      </c>
      <c r="M424" s="7" t="n">
        <v>0.197526463485146</v>
      </c>
    </row>
    <row r="426" customFormat="false" ht="12.75" hidden="false" customHeight="false" outlineLevel="0" collapsed="false">
      <c r="A426" s="0" t="s">
        <v>390</v>
      </c>
    </row>
    <row r="427" customFormat="false" ht="13.5" hidden="false" customHeight="false" outlineLevel="0" collapsed="false"/>
    <row r="428" customFormat="false" ht="12.75" hidden="false" customHeight="false" outlineLevel="0" collapsed="false">
      <c r="A428" s="8" t="s">
        <v>63</v>
      </c>
      <c r="B428" s="8"/>
      <c r="C428" s="8" t="s">
        <v>84</v>
      </c>
      <c r="D428" s="8" t="s">
        <v>105</v>
      </c>
      <c r="E428" s="8" t="s">
        <v>100</v>
      </c>
      <c r="F428" s="8"/>
      <c r="G428" s="8" t="s">
        <v>143</v>
      </c>
      <c r="H428" s="8" t="s">
        <v>117</v>
      </c>
      <c r="I428" s="8" t="s">
        <v>401</v>
      </c>
      <c r="J428" s="8" t="s">
        <v>392</v>
      </c>
      <c r="K428" s="8"/>
      <c r="L428" s="8" t="s">
        <v>418</v>
      </c>
      <c r="M428" s="8" t="s">
        <v>394</v>
      </c>
      <c r="N428" s="8" t="s">
        <v>402</v>
      </c>
      <c r="O428" s="8" t="s">
        <v>396</v>
      </c>
    </row>
    <row r="429" customFormat="false" ht="12.75" hidden="false" customHeight="false" outlineLevel="0" collapsed="false">
      <c r="A429" s="6" t="s">
        <v>8</v>
      </c>
      <c r="B429" s="6" t="n">
        <v>1</v>
      </c>
      <c r="C429" s="6" t="n">
        <v>4252982</v>
      </c>
      <c r="D429" s="6" t="n">
        <v>0</v>
      </c>
      <c r="E429" s="6" t="n">
        <v>0.0238518767065552</v>
      </c>
      <c r="F429" s="6"/>
      <c r="G429" s="6" t="n">
        <v>1.16002176106561E-012</v>
      </c>
      <c r="H429" s="6" t="n">
        <v>0</v>
      </c>
      <c r="I429" s="15" t="n">
        <v>0.00791931084648601</v>
      </c>
      <c r="J429" s="15" t="n">
        <v>0.0420042833674684</v>
      </c>
      <c r="K429" s="15"/>
      <c r="L429" s="15" t="n">
        <v>0</v>
      </c>
      <c r="M429" s="15" t="n">
        <v>0.00791931084648601</v>
      </c>
      <c r="N429" s="15" t="n">
        <v>-0.0893449884370316</v>
      </c>
      <c r="O429" s="15" t="n">
        <v>-0.209394372692423</v>
      </c>
    </row>
    <row r="430" customFormat="false" ht="12.75" hidden="false" customHeight="false" outlineLevel="0" collapsed="false">
      <c r="A430" s="6" t="s">
        <v>9</v>
      </c>
      <c r="B430" s="6" t="n">
        <v>1</v>
      </c>
      <c r="C430" s="6" t="n">
        <v>4217940</v>
      </c>
      <c r="D430" s="6" t="n">
        <v>0</v>
      </c>
      <c r="E430" s="6" t="n">
        <v>0.0112071877535429</v>
      </c>
      <c r="F430" s="6"/>
      <c r="G430" s="6" t="n">
        <v>1.49200959313964E-012</v>
      </c>
      <c r="H430" s="6" t="n">
        <v>0</v>
      </c>
      <c r="I430" s="15" t="n">
        <v>0.00612757174387916</v>
      </c>
      <c r="J430" s="15" t="n">
        <v>0.0420042833674684</v>
      </c>
      <c r="K430" s="15"/>
      <c r="L430" s="15" t="n">
        <v>0</v>
      </c>
      <c r="M430" s="15" t="n">
        <v>0.00612757174387916</v>
      </c>
      <c r="N430" s="15" t="n">
        <v>-0.078519745100205</v>
      </c>
      <c r="O430" s="15" t="n">
        <v>-0.209394372692423</v>
      </c>
    </row>
    <row r="431" customFormat="false" ht="12.75" hidden="false" customHeight="false" outlineLevel="0" collapsed="false">
      <c r="A431" s="6" t="s">
        <v>10</v>
      </c>
      <c r="B431" s="6" t="n">
        <v>1</v>
      </c>
      <c r="C431" s="6" t="n">
        <v>2483769</v>
      </c>
      <c r="D431" s="6" t="n">
        <v>0</v>
      </c>
      <c r="E431" s="6" t="n">
        <v>0.0402941869973762</v>
      </c>
      <c r="F431" s="6"/>
      <c r="G431" s="6" t="n">
        <v>8.78858354669177E-013</v>
      </c>
      <c r="H431" s="6" t="n">
        <v>0</v>
      </c>
      <c r="I431" s="15" t="n">
        <v>0.0091848427244699</v>
      </c>
      <c r="J431" s="15" t="n">
        <v>0.0420042833674684</v>
      </c>
      <c r="K431" s="15"/>
      <c r="L431" s="15" t="n">
        <v>0</v>
      </c>
      <c r="M431" s="15" t="n">
        <v>0.0091848427244699</v>
      </c>
      <c r="N431" s="15" t="n">
        <v>-0.0962807669721898</v>
      </c>
      <c r="O431" s="15" t="n">
        <v>-0.209394372692423</v>
      </c>
    </row>
    <row r="432" customFormat="false" ht="12.75" hidden="false" customHeight="false" outlineLevel="0" collapsed="false">
      <c r="A432" s="6" t="s">
        <v>11</v>
      </c>
      <c r="B432" s="6" t="n">
        <v>1</v>
      </c>
      <c r="C432" s="6" t="n">
        <v>31589153</v>
      </c>
      <c r="D432" s="6" t="n">
        <v>0</v>
      </c>
      <c r="E432" s="6" t="n">
        <v>0.004523030247648</v>
      </c>
      <c r="F432" s="6"/>
      <c r="G432" s="6" t="n">
        <v>1.15838117524707E-012</v>
      </c>
      <c r="H432" s="6" t="n">
        <v>0.0211415213324095</v>
      </c>
      <c r="I432" s="15" t="n">
        <v>0.0822119484539546</v>
      </c>
      <c r="J432" s="15" t="n">
        <v>0.0420042833674684</v>
      </c>
      <c r="K432" s="15"/>
      <c r="L432" s="15" t="n">
        <v>0.0211415213324095</v>
      </c>
      <c r="M432" s="15" t="n">
        <v>0.0822119484539546</v>
      </c>
      <c r="N432" s="15" t="n">
        <v>-0.222327040578635</v>
      </c>
      <c r="O432" s="15" t="n">
        <v>-0.104002368776176</v>
      </c>
    </row>
    <row r="433" customFormat="false" ht="12.75" hidden="false" customHeight="false" outlineLevel="0" collapsed="false">
      <c r="A433" s="6" t="s">
        <v>12</v>
      </c>
      <c r="B433" s="6" t="n">
        <v>1</v>
      </c>
      <c r="C433" s="6" t="n">
        <v>3746585</v>
      </c>
      <c r="D433" s="6" t="n">
        <v>0.0147863247863248</v>
      </c>
      <c r="E433" s="6" t="n">
        <v>0.00794454114516863</v>
      </c>
      <c r="F433" s="6"/>
      <c r="G433" s="6" t="n">
        <v>6.58291482583513E-013</v>
      </c>
      <c r="H433" s="6" t="n">
        <v>0.00295777769394722</v>
      </c>
      <c r="I433" s="15" t="n">
        <v>0.00608533852702433</v>
      </c>
      <c r="J433" s="15" t="n">
        <v>0.0420042833674684</v>
      </c>
      <c r="K433" s="15"/>
      <c r="L433" s="15" t="n">
        <v>0.00295777769394722</v>
      </c>
      <c r="M433" s="15" t="n">
        <v>0.00608533852702433</v>
      </c>
      <c r="N433" s="15" t="n">
        <v>-0.0402150715503774</v>
      </c>
      <c r="O433" s="15" t="n">
        <v>-0.194649638224047</v>
      </c>
    </row>
    <row r="434" customFormat="false" ht="12.75" hidden="false" customHeight="false" outlineLevel="0" collapsed="false">
      <c r="A434" s="6" t="s">
        <v>13</v>
      </c>
      <c r="B434" s="6" t="n">
        <v>1</v>
      </c>
      <c r="C434" s="6" t="n">
        <v>3274662</v>
      </c>
      <c r="D434" s="6" t="n">
        <v>0.357749077490775</v>
      </c>
      <c r="E434" s="6" t="n">
        <v>0.0456124226267046</v>
      </c>
      <c r="F434" s="6"/>
      <c r="G434" s="6" t="n">
        <v>2.67978152112005E-008</v>
      </c>
      <c r="H434" s="6" t="n">
        <v>0.000259885785260088</v>
      </c>
      <c r="I434" s="15" t="n">
        <v>0.128403303291435</v>
      </c>
      <c r="J434" s="15" t="n">
        <v>0.0420042833674684</v>
      </c>
      <c r="K434" s="15"/>
      <c r="L434" s="15" t="n">
        <v>0.000259885785260088</v>
      </c>
      <c r="M434" s="15" t="n">
        <v>0.128403303291435</v>
      </c>
      <c r="N434" s="15" t="n">
        <v>-0.383045545403757</v>
      </c>
      <c r="O434" s="15" t="n">
        <v>-0.208098823367128</v>
      </c>
    </row>
    <row r="435" customFormat="false" ht="12.75" hidden="false" customHeight="false" outlineLevel="0" collapsed="false">
      <c r="A435" s="6" t="s">
        <v>14</v>
      </c>
      <c r="B435" s="6" t="n">
        <v>1</v>
      </c>
      <c r="C435" s="6" t="n">
        <v>717197</v>
      </c>
      <c r="D435" s="6" t="n">
        <v>0.219607843137255</v>
      </c>
      <c r="E435" s="6" t="n">
        <v>0.138328875404208</v>
      </c>
      <c r="F435" s="6"/>
      <c r="G435" s="6" t="n">
        <v>2.04082824400193E-008</v>
      </c>
      <c r="H435" s="6" t="n">
        <v>0.252590047672857</v>
      </c>
      <c r="I435" s="15" t="n">
        <v>0.21287825367191</v>
      </c>
      <c r="J435" s="15" t="n">
        <v>0.0420042833674684</v>
      </c>
      <c r="K435" s="15"/>
      <c r="L435" s="15" t="n">
        <v>0.252590047672857</v>
      </c>
      <c r="M435" s="15" t="n">
        <v>0.21287825367191</v>
      </c>
      <c r="N435" s="15" t="n">
        <v>0.0970136628228171</v>
      </c>
      <c r="O435" s="15" t="n">
        <v>1.04978517616688</v>
      </c>
    </row>
    <row r="436" customFormat="false" ht="12.75" hidden="false" customHeight="false" outlineLevel="0" collapsed="false">
      <c r="A436" s="6" t="s">
        <v>15</v>
      </c>
      <c r="B436" s="6" t="n">
        <v>1</v>
      </c>
      <c r="C436" s="6" t="n">
        <v>14165570</v>
      </c>
      <c r="D436" s="6" t="n">
        <v>0.111015583019882</v>
      </c>
      <c r="E436" s="6" t="n">
        <v>0.00799421046196813</v>
      </c>
      <c r="F436" s="6"/>
      <c r="G436" s="6" t="n">
        <v>3.65523418920916E-012</v>
      </c>
      <c r="H436" s="6" t="n">
        <v>0.0778335546482334</v>
      </c>
      <c r="I436" s="15" t="n">
        <v>0.0346434402835705</v>
      </c>
      <c r="J436" s="15" t="n">
        <v>0.0420042833674684</v>
      </c>
      <c r="K436" s="15"/>
      <c r="L436" s="15" t="n">
        <v>0.0778335546482334</v>
      </c>
      <c r="M436" s="15" t="n">
        <v>0.0346434402835705</v>
      </c>
      <c r="N436" s="15" t="n">
        <v>0.236172850503425</v>
      </c>
      <c r="O436" s="15" t="n">
        <v>0.178611493457188</v>
      </c>
    </row>
    <row r="437" customFormat="false" ht="12.75" hidden="false" customHeight="false" outlineLevel="0" collapsed="false">
      <c r="A437" s="6" t="s">
        <v>16</v>
      </c>
      <c r="B437" s="6" t="n">
        <v>1</v>
      </c>
      <c r="C437" s="6" t="n">
        <v>7200882</v>
      </c>
      <c r="D437" s="6" t="n">
        <v>0.00785562632696391</v>
      </c>
      <c r="E437" s="6" t="n">
        <v>0.0281378236648974</v>
      </c>
      <c r="F437" s="6"/>
      <c r="G437" s="6" t="n">
        <v>9.95886785099514E-013</v>
      </c>
      <c r="H437" s="6" t="n">
        <v>0.0041858290740556</v>
      </c>
      <c r="I437" s="15" t="n">
        <v>0.0123154847285028</v>
      </c>
      <c r="J437" s="15" t="n">
        <v>0.0420042833674684</v>
      </c>
      <c r="K437" s="15"/>
      <c r="L437" s="15" t="n">
        <v>0.0041858290740556</v>
      </c>
      <c r="M437" s="15" t="n">
        <v>0.0123154847285028</v>
      </c>
      <c r="N437" s="15" t="n">
        <v>-0.0737118435539132</v>
      </c>
      <c r="O437" s="15" t="n">
        <v>-0.188527713797382</v>
      </c>
    </row>
    <row r="438" customFormat="false" ht="12.75" hidden="false" customHeight="false" outlineLevel="0" collapsed="false">
      <c r="A438" s="6" t="s">
        <v>17</v>
      </c>
      <c r="B438" s="6" t="n">
        <v>1</v>
      </c>
      <c r="C438" s="6" t="n">
        <v>1186815</v>
      </c>
      <c r="D438" s="6" t="n">
        <v>0</v>
      </c>
      <c r="E438" s="6" t="n">
        <v>0.00952409571468726</v>
      </c>
      <c r="F438" s="6"/>
      <c r="G438" s="6" t="n">
        <v>4.11770253782566E-011</v>
      </c>
      <c r="H438" s="6" t="n">
        <v>0</v>
      </c>
      <c r="I438" s="15" t="n">
        <v>0.00434659106241146</v>
      </c>
      <c r="J438" s="15" t="n">
        <v>0.0420042833674684</v>
      </c>
      <c r="K438" s="15"/>
      <c r="L438" s="15" t="n">
        <v>0</v>
      </c>
      <c r="M438" s="15" t="n">
        <v>0.00434659106241146</v>
      </c>
      <c r="N438" s="15" t="n">
        <v>-0.066072432937521</v>
      </c>
      <c r="O438" s="15" t="n">
        <v>-0.209394372692423</v>
      </c>
    </row>
    <row r="439" customFormat="false" ht="12.75" hidden="false" customHeight="false" outlineLevel="0" collapsed="false">
      <c r="A439" s="6" t="s">
        <v>18</v>
      </c>
      <c r="B439" s="6" t="n">
        <v>1</v>
      </c>
      <c r="C439" s="6" t="n">
        <v>1163261</v>
      </c>
      <c r="D439" s="6" t="n">
        <v>0</v>
      </c>
      <c r="E439" s="6" t="n">
        <v>0.0261485883128481</v>
      </c>
      <c r="F439" s="6"/>
      <c r="G439" s="6" t="n">
        <v>1.71548959608199E-012</v>
      </c>
      <c r="H439" s="6" t="n">
        <v>0</v>
      </c>
      <c r="I439" s="15" t="n">
        <v>0.00605062928729997</v>
      </c>
      <c r="J439" s="15" t="n">
        <v>0.0420042833674684</v>
      </c>
      <c r="K439" s="15"/>
      <c r="L439" s="15" t="n">
        <v>0</v>
      </c>
      <c r="M439" s="15" t="n">
        <v>0.00605062928729997</v>
      </c>
      <c r="N439" s="15" t="n">
        <v>-0.078022190848274</v>
      </c>
      <c r="O439" s="15" t="n">
        <v>-0.209394372692423</v>
      </c>
    </row>
    <row r="440" customFormat="false" ht="12.75" hidden="false" customHeight="false" outlineLevel="0" collapsed="false">
      <c r="A440" s="6" t="s">
        <v>19</v>
      </c>
      <c r="B440" s="6" t="n">
        <v>1</v>
      </c>
      <c r="C440" s="6" t="n">
        <v>11829940</v>
      </c>
      <c r="D440" s="6" t="n">
        <v>0.0825389755011136</v>
      </c>
      <c r="E440" s="6" t="n">
        <v>0.0281937744250442</v>
      </c>
      <c r="F440" s="6"/>
      <c r="G440" s="6" t="n">
        <v>2.04279325453952E-013</v>
      </c>
      <c r="H440" s="6" t="n">
        <v>0.0925020274991467</v>
      </c>
      <c r="I440" s="15" t="n">
        <v>0.0333515254548886</v>
      </c>
      <c r="J440" s="15" t="n">
        <v>0.0420042833674684</v>
      </c>
      <c r="K440" s="15"/>
      <c r="L440" s="15" t="n">
        <v>0.0925020274991467</v>
      </c>
      <c r="M440" s="15" t="n">
        <v>0.0333515254548886</v>
      </c>
      <c r="N440" s="15" t="n">
        <v>0.329432391290378</v>
      </c>
      <c r="O440" s="15" t="n">
        <v>0.251734885281357</v>
      </c>
    </row>
    <row r="441" customFormat="false" ht="12.75" hidden="false" customHeight="false" outlineLevel="0" collapsed="false">
      <c r="A441" s="6" t="s">
        <v>20</v>
      </c>
      <c r="B441" s="6" t="n">
        <v>1</v>
      </c>
      <c r="C441" s="6" t="n">
        <v>5803471</v>
      </c>
      <c r="D441" s="6" t="n">
        <v>0.120414428242517</v>
      </c>
      <c r="E441" s="6" t="n">
        <v>0.03280824193038</v>
      </c>
      <c r="F441" s="6"/>
      <c r="G441" s="6" t="n">
        <v>4.75336844122294E-011</v>
      </c>
      <c r="H441" s="6" t="n">
        <v>0.0425729531743058</v>
      </c>
      <c r="I441" s="15" t="n">
        <v>0.0261307946344568</v>
      </c>
      <c r="J441" s="15" t="n">
        <v>0.0420042833674684</v>
      </c>
      <c r="K441" s="15"/>
      <c r="L441" s="15" t="n">
        <v>0.0425729531743058</v>
      </c>
      <c r="M441" s="15" t="n">
        <v>0.0261307946344568</v>
      </c>
      <c r="N441" s="15" t="n">
        <v>0.103069983485155</v>
      </c>
      <c r="O441" s="15" t="n">
        <v>0.0028348598744114</v>
      </c>
    </row>
    <row r="442" customFormat="false" ht="12.75" hidden="false" customHeight="false" outlineLevel="0" collapsed="false">
      <c r="A442" s="6" t="s">
        <v>21</v>
      </c>
      <c r="B442" s="6" t="n">
        <v>1</v>
      </c>
      <c r="C442" s="6" t="n">
        <v>2841764</v>
      </c>
      <c r="D442" s="6" t="n">
        <v>0</v>
      </c>
      <c r="E442" s="6" t="n">
        <v>0.0369184324665151</v>
      </c>
      <c r="F442" s="6"/>
      <c r="G442" s="6" t="n">
        <v>9.38297197918158E-012</v>
      </c>
      <c r="H442" s="6" t="n">
        <v>0.00107334901207605</v>
      </c>
      <c r="I442" s="15" t="n">
        <v>0.00890484002424733</v>
      </c>
      <c r="J442" s="15" t="n">
        <v>0.0420042833674684</v>
      </c>
      <c r="K442" s="15"/>
      <c r="L442" s="15" t="n">
        <v>0.00107334901207605</v>
      </c>
      <c r="M442" s="15" t="n">
        <v>0.00890484002424733</v>
      </c>
      <c r="N442" s="15" t="n">
        <v>-0.0833630729538784</v>
      </c>
      <c r="O442" s="15" t="n">
        <v>-0.204043650693491</v>
      </c>
    </row>
    <row r="443" customFormat="false" ht="12.75" hidden="false" customHeight="false" outlineLevel="0" collapsed="false">
      <c r="A443" s="6" t="s">
        <v>22</v>
      </c>
      <c r="B443" s="6" t="n">
        <v>1</v>
      </c>
      <c r="C443" s="6" t="n">
        <v>2565328</v>
      </c>
      <c r="D443" s="6" t="n">
        <v>0.238988095238095</v>
      </c>
      <c r="E443" s="6" t="n">
        <v>0.0706260870607761</v>
      </c>
      <c r="F443" s="6"/>
      <c r="G443" s="6" t="n">
        <v>8.3954224057573E-014</v>
      </c>
      <c r="H443" s="6" t="n">
        <v>0.0645640225441334</v>
      </c>
      <c r="I443" s="15" t="n">
        <v>0.0887102603846328</v>
      </c>
      <c r="J443" s="15" t="n">
        <v>0.0420042833674684</v>
      </c>
      <c r="K443" s="15"/>
      <c r="L443" s="15" t="n">
        <v>0.0645640225441334</v>
      </c>
      <c r="M443" s="15" t="n">
        <v>0.0887102603846328</v>
      </c>
      <c r="N443" s="15" t="n">
        <v>-0.0849247558263475</v>
      </c>
      <c r="O443" s="15" t="n">
        <v>0.112461921839643</v>
      </c>
    </row>
    <row r="444" customFormat="false" ht="12.75" hidden="false" customHeight="false" outlineLevel="0" collapsed="false">
      <c r="A444" s="6" t="s">
        <v>23</v>
      </c>
      <c r="B444" s="6" t="n">
        <v>1</v>
      </c>
      <c r="C444" s="6" t="n">
        <v>3860219</v>
      </c>
      <c r="D444" s="6" t="n">
        <v>0.239415204678363</v>
      </c>
      <c r="E444" s="6" t="n">
        <v>0.0625602364619358</v>
      </c>
      <c r="F444" s="6"/>
      <c r="G444" s="6" t="n">
        <v>4.61685442104148E-011</v>
      </c>
      <c r="H444" s="6" t="n">
        <v>0.00845328299918051</v>
      </c>
      <c r="I444" s="15" t="n">
        <v>0.0865964892065168</v>
      </c>
      <c r="J444" s="15" t="n">
        <v>0.0420042833674684</v>
      </c>
      <c r="K444" s="15"/>
      <c r="L444" s="15" t="n">
        <v>0.00845328299918051</v>
      </c>
      <c r="M444" s="15" t="n">
        <v>0.0865964892065168</v>
      </c>
      <c r="N444" s="15" t="n">
        <v>-0.277849580506669</v>
      </c>
      <c r="O444" s="15" t="n">
        <v>-0.167254149150939</v>
      </c>
    </row>
    <row r="445" customFormat="false" ht="12.75" hidden="false" customHeight="false" outlineLevel="0" collapsed="false">
      <c r="A445" s="6" t="s">
        <v>24</v>
      </c>
      <c r="B445" s="6" t="n">
        <v>1</v>
      </c>
      <c r="C445" s="6" t="n">
        <v>4342334</v>
      </c>
      <c r="D445" s="6" t="n">
        <v>0</v>
      </c>
      <c r="E445" s="6" t="n">
        <v>0.0211147303966919</v>
      </c>
      <c r="F445" s="6"/>
      <c r="G445" s="6" t="n">
        <v>2.56823004434834E-012</v>
      </c>
      <c r="H445" s="6" t="n">
        <v>0.0293839643250748</v>
      </c>
      <c r="I445" s="15" t="n">
        <v>0.00756625705691836</v>
      </c>
      <c r="J445" s="15" t="n">
        <v>0.0420042833674684</v>
      </c>
      <c r="K445" s="15"/>
      <c r="L445" s="15" t="n">
        <v>0.0293839643250748</v>
      </c>
      <c r="M445" s="15" t="n">
        <v>0.00756625705691836</v>
      </c>
      <c r="N445" s="15" t="n">
        <v>0.251778013965075</v>
      </c>
      <c r="O445" s="15" t="n">
        <v>-0.0629131978265556</v>
      </c>
    </row>
    <row r="446" customFormat="false" ht="12.75" hidden="false" customHeight="false" outlineLevel="0" collapsed="false">
      <c r="A446" s="6" t="s">
        <v>25</v>
      </c>
      <c r="B446" s="6" t="n">
        <v>1</v>
      </c>
      <c r="C446" s="6" t="n">
        <v>1241382</v>
      </c>
      <c r="D446" s="6" t="n">
        <v>0.292950391644909</v>
      </c>
      <c r="E446" s="6" t="n">
        <v>0.0206121747105353</v>
      </c>
      <c r="F446" s="6"/>
      <c r="G446" s="6" t="n">
        <v>2.65827638003696E-010</v>
      </c>
      <c r="H446" s="6" t="n">
        <v>0.105088318367691</v>
      </c>
      <c r="I446" s="15" t="n">
        <v>0.0438575292270563</v>
      </c>
      <c r="J446" s="15" t="n">
        <v>0.0420042833674684</v>
      </c>
      <c r="K446" s="15"/>
      <c r="L446" s="15" t="n">
        <v>0.105088318367691</v>
      </c>
      <c r="M446" s="15" t="n">
        <v>0.0438575292270563</v>
      </c>
      <c r="N446" s="15" t="n">
        <v>0.299010522008172</v>
      </c>
      <c r="O446" s="15" t="n">
        <v>0.31447845021465</v>
      </c>
    </row>
    <row r="447" customFormat="false" ht="12.75" hidden="false" customHeight="false" outlineLevel="0" collapsed="false">
      <c r="A447" s="6" t="s">
        <v>26</v>
      </c>
      <c r="B447" s="6" t="n">
        <v>1</v>
      </c>
      <c r="C447" s="6" t="n">
        <v>5042438</v>
      </c>
      <c r="D447" s="6" t="n">
        <v>0.059493670886076</v>
      </c>
      <c r="E447" s="6" t="n">
        <v>0.0697797782145526</v>
      </c>
      <c r="F447" s="6"/>
      <c r="G447" s="6" t="n">
        <v>7.3736342600225E-010</v>
      </c>
      <c r="H447" s="6" t="n">
        <v>0.0702579161473665</v>
      </c>
      <c r="I447" s="15" t="n">
        <v>0.0324992120715496</v>
      </c>
      <c r="J447" s="15" t="n">
        <v>0.0420042833674684</v>
      </c>
      <c r="K447" s="15"/>
      <c r="L447" s="15" t="n">
        <v>0.0702579161473665</v>
      </c>
      <c r="M447" s="15" t="n">
        <v>0.0324992120715496</v>
      </c>
      <c r="N447" s="15" t="n">
        <v>0.212938897306541</v>
      </c>
      <c r="O447" s="15" t="n">
        <v>0.140846390842387</v>
      </c>
    </row>
    <row r="448" customFormat="false" ht="12.75" hidden="false" customHeight="false" outlineLevel="0" collapsed="false">
      <c r="A448" s="6" t="s">
        <v>27</v>
      </c>
      <c r="B448" s="6" t="n">
        <v>1</v>
      </c>
      <c r="C448" s="6" t="n">
        <v>6073550</v>
      </c>
      <c r="D448" s="6" t="n">
        <v>0.163254593175853</v>
      </c>
      <c r="E448" s="6" t="n">
        <v>0.0502082263621112</v>
      </c>
      <c r="F448" s="6"/>
      <c r="G448" s="6" t="n">
        <v>2.60150207336547E-011</v>
      </c>
      <c r="H448" s="6" t="n">
        <v>0.103944816167345</v>
      </c>
      <c r="I448" s="15" t="n">
        <v>0.0507181520072246</v>
      </c>
      <c r="J448" s="15" t="n">
        <v>0.0420042833674684</v>
      </c>
      <c r="K448" s="15"/>
      <c r="L448" s="15" t="n">
        <v>0.103944816167345</v>
      </c>
      <c r="M448" s="15" t="n">
        <v>0.0507181520072246</v>
      </c>
      <c r="N448" s="15" t="n">
        <v>0.24257718394069</v>
      </c>
      <c r="O448" s="15" t="n">
        <v>0.308778009528181</v>
      </c>
    </row>
    <row r="449" customFormat="false" ht="12.75" hidden="false" customHeight="false" outlineLevel="0" collapsed="false">
      <c r="A449" s="6" t="s">
        <v>28</v>
      </c>
      <c r="B449" s="6" t="n">
        <v>1</v>
      </c>
      <c r="C449" s="6" t="n">
        <v>9549353</v>
      </c>
      <c r="D449" s="6" t="n">
        <v>0</v>
      </c>
      <c r="E449" s="6" t="n">
        <v>0.00796925854450259</v>
      </c>
      <c r="F449" s="6"/>
      <c r="G449" s="6" t="n">
        <v>9.23270469744563E-013</v>
      </c>
      <c r="H449" s="6" t="n">
        <v>0.00738787711371125</v>
      </c>
      <c r="I449" s="15" t="n">
        <v>0.00988753444306655</v>
      </c>
      <c r="J449" s="15" t="n">
        <v>0.0420042833674684</v>
      </c>
      <c r="K449" s="15"/>
      <c r="L449" s="15" t="n">
        <v>0.00738787711371125</v>
      </c>
      <c r="M449" s="15" t="n">
        <v>0.00988753444306655</v>
      </c>
      <c r="N449" s="15" t="n">
        <v>-0.0252635401557794</v>
      </c>
      <c r="O449" s="15" t="n">
        <v>-0.172565274092627</v>
      </c>
    </row>
    <row r="450" customFormat="false" ht="12.75" hidden="false" customHeight="false" outlineLevel="0" collapsed="false">
      <c r="A450" s="6" t="s">
        <v>29</v>
      </c>
      <c r="B450" s="6" t="n">
        <v>1</v>
      </c>
      <c r="C450" s="6" t="n">
        <v>4609548</v>
      </c>
      <c r="D450" s="6" t="n">
        <v>0</v>
      </c>
      <c r="E450" s="6" t="n">
        <v>0.0231171606433715</v>
      </c>
      <c r="F450" s="6"/>
      <c r="G450" s="6" t="n">
        <v>3.91416523412056E-014</v>
      </c>
      <c r="H450" s="6" t="n">
        <v>0</v>
      </c>
      <c r="I450" s="15" t="n">
        <v>0.00809257119137454</v>
      </c>
      <c r="J450" s="15" t="n">
        <v>0.0420042833674684</v>
      </c>
      <c r="K450" s="15"/>
      <c r="L450" s="15" t="n">
        <v>0</v>
      </c>
      <c r="M450" s="15" t="n">
        <v>0.00809257119137454</v>
      </c>
      <c r="N450" s="15" t="n">
        <v>-0.0903249423132037</v>
      </c>
      <c r="O450" s="15" t="n">
        <v>-0.209394372692423</v>
      </c>
    </row>
    <row r="451" customFormat="false" ht="12.75" hidden="false" customHeight="false" outlineLevel="0" collapsed="false">
      <c r="A451" s="6" t="s">
        <v>30</v>
      </c>
      <c r="B451" s="6" t="n">
        <v>1</v>
      </c>
      <c r="C451" s="6" t="n">
        <v>2697243</v>
      </c>
      <c r="D451" s="6" t="n">
        <v>0</v>
      </c>
      <c r="E451" s="6" t="n">
        <v>0.0305028704492417</v>
      </c>
      <c r="F451" s="6"/>
      <c r="G451" s="6" t="n">
        <v>3.31728127610878E-012</v>
      </c>
      <c r="H451" s="6" t="n">
        <v>0</v>
      </c>
      <c r="I451" s="15" t="n">
        <v>0.00771926732304561</v>
      </c>
      <c r="J451" s="15" t="n">
        <v>0.0420042833674684</v>
      </c>
      <c r="K451" s="15"/>
      <c r="L451" s="15" t="n">
        <v>0</v>
      </c>
      <c r="M451" s="15" t="n">
        <v>0.00771926732304561</v>
      </c>
      <c r="N451" s="15" t="n">
        <v>-0.0882004419374077</v>
      </c>
      <c r="O451" s="15" t="n">
        <v>-0.209394372692423</v>
      </c>
    </row>
    <row r="452" customFormat="false" ht="12.75" hidden="false" customHeight="false" outlineLevel="0" collapsed="false">
      <c r="A452" s="6" t="s">
        <v>31</v>
      </c>
      <c r="B452" s="6" t="n">
        <v>1</v>
      </c>
      <c r="C452" s="6" t="n">
        <v>5323523</v>
      </c>
      <c r="D452" s="6" t="n">
        <v>0</v>
      </c>
      <c r="E452" s="6" t="n">
        <v>0.0724272745344907</v>
      </c>
      <c r="F452" s="6"/>
      <c r="G452" s="6" t="n">
        <v>1.15835281976731E-010</v>
      </c>
      <c r="H452" s="6" t="n">
        <v>0.000759685797103275</v>
      </c>
      <c r="I452" s="15" t="n">
        <v>0.0231544754020593</v>
      </c>
      <c r="J452" s="15" t="n">
        <v>0.0420042833674684</v>
      </c>
      <c r="K452" s="15"/>
      <c r="L452" s="15" t="n">
        <v>0.000759685797103275</v>
      </c>
      <c r="M452" s="15" t="n">
        <v>0.0231544754020593</v>
      </c>
      <c r="N452" s="15" t="n">
        <v>-0.14890749857194</v>
      </c>
      <c r="O452" s="15" t="n">
        <v>-0.205607284372497</v>
      </c>
    </row>
    <row r="453" customFormat="false" ht="12.75" hidden="false" customHeight="false" outlineLevel="0" collapsed="false">
      <c r="A453" s="6" t="s">
        <v>32</v>
      </c>
      <c r="B453" s="6" t="n">
        <v>1</v>
      </c>
      <c r="C453" s="6" t="n">
        <v>870281</v>
      </c>
      <c r="D453" s="6" t="n">
        <v>0</v>
      </c>
      <c r="E453" s="6" t="n">
        <v>0.00796409544263987</v>
      </c>
      <c r="F453" s="6"/>
      <c r="G453" s="6" t="n">
        <v>3.47319888352621E-014</v>
      </c>
      <c r="H453" s="6" t="n">
        <v>0</v>
      </c>
      <c r="I453" s="15" t="n">
        <v>0.00407860512150137</v>
      </c>
      <c r="J453" s="15" t="n">
        <v>0.0420042833674684</v>
      </c>
      <c r="K453" s="15"/>
      <c r="L453" s="15" t="n">
        <v>0</v>
      </c>
      <c r="M453" s="15" t="n">
        <v>0.00407860512150137</v>
      </c>
      <c r="N453" s="15" t="n">
        <v>-0.0639945956059756</v>
      </c>
      <c r="O453" s="15" t="n">
        <v>-0.209394372692423</v>
      </c>
    </row>
    <row r="454" customFormat="false" ht="12.75" hidden="false" customHeight="false" outlineLevel="0" collapsed="false">
      <c r="A454" s="6" t="s">
        <v>33</v>
      </c>
      <c r="B454" s="6" t="n">
        <v>1</v>
      </c>
      <c r="C454" s="6" t="n">
        <v>1637112</v>
      </c>
      <c r="D454" s="6" t="n">
        <v>0</v>
      </c>
      <c r="E454" s="6" t="n">
        <v>0.0425053293156057</v>
      </c>
      <c r="F454" s="6"/>
      <c r="G454" s="6" t="n">
        <v>1.27766030104349E-013</v>
      </c>
      <c r="H454" s="6" t="n">
        <v>0.00199508308555689</v>
      </c>
      <c r="I454" s="15" t="n">
        <v>0.00880687539513708</v>
      </c>
      <c r="J454" s="15" t="n">
        <v>0.0420042833674684</v>
      </c>
      <c r="K454" s="15"/>
      <c r="L454" s="15" t="n">
        <v>0.00199508308555689</v>
      </c>
      <c r="M454" s="15" t="n">
        <v>0.00880687539513708</v>
      </c>
      <c r="N454" s="15" t="n">
        <v>-0.0729073531234055</v>
      </c>
      <c r="O454" s="15" t="n">
        <v>-0.199448740064561</v>
      </c>
    </row>
    <row r="455" customFormat="false" ht="12.75" hidden="false" customHeight="false" outlineLevel="0" collapsed="false">
      <c r="A455" s="6" t="s">
        <v>34</v>
      </c>
      <c r="B455" s="6" t="n">
        <v>1</v>
      </c>
      <c r="C455" s="6" t="n">
        <v>1530108</v>
      </c>
      <c r="D455" s="6" t="n">
        <v>0</v>
      </c>
      <c r="E455" s="6" t="n">
        <v>0.0433497425670366</v>
      </c>
      <c r="F455" s="6"/>
      <c r="G455" s="6" t="n">
        <v>1.76208456848238E-013</v>
      </c>
      <c r="H455" s="6" t="n">
        <v>0</v>
      </c>
      <c r="I455" s="15" t="n">
        <v>0.00885959230915072</v>
      </c>
      <c r="J455" s="15" t="n">
        <v>0.0420042833674684</v>
      </c>
      <c r="K455" s="15"/>
      <c r="L455" s="15" t="n">
        <v>0</v>
      </c>
      <c r="M455" s="15" t="n">
        <v>0.00885959230915072</v>
      </c>
      <c r="N455" s="15" t="n">
        <v>-0.0945451548817295</v>
      </c>
      <c r="O455" s="15" t="n">
        <v>-0.209394372692423</v>
      </c>
    </row>
    <row r="456" customFormat="false" ht="12.75" hidden="false" customHeight="false" outlineLevel="0" collapsed="false">
      <c r="A456" s="6" t="s">
        <v>35</v>
      </c>
      <c r="B456" s="6" t="n">
        <v>1</v>
      </c>
      <c r="C456" s="6" t="n">
        <v>1148253</v>
      </c>
      <c r="D456" s="6" t="n">
        <v>0.290225563909774</v>
      </c>
      <c r="E456" s="6" t="n">
        <v>0.0851357193769645</v>
      </c>
      <c r="F456" s="6"/>
      <c r="G456" s="6" t="n">
        <v>7.50551003301169E-008</v>
      </c>
      <c r="H456" s="6" t="n">
        <v>0.117777368981519</v>
      </c>
      <c r="I456" s="15" t="n">
        <v>0.135350131619432</v>
      </c>
      <c r="J456" s="15" t="n">
        <v>0.0420042833674684</v>
      </c>
      <c r="K456" s="15"/>
      <c r="L456" s="15" t="n">
        <v>0.117777368981519</v>
      </c>
      <c r="M456" s="15" t="n">
        <v>0.135350131619432</v>
      </c>
      <c r="N456" s="15" t="n">
        <v>-0.051367752195464</v>
      </c>
      <c r="O456" s="15" t="n">
        <v>0.377734279866601</v>
      </c>
    </row>
    <row r="457" customFormat="false" ht="12.75" hidden="false" customHeight="false" outlineLevel="0" collapsed="false">
      <c r="A457" s="6" t="s">
        <v>36</v>
      </c>
      <c r="B457" s="6" t="n">
        <v>1</v>
      </c>
      <c r="C457" s="6" t="n">
        <v>7945298</v>
      </c>
      <c r="D457" s="6" t="n">
        <v>0.424725274725275</v>
      </c>
      <c r="E457" s="6" t="n">
        <v>0.0704522955482905</v>
      </c>
      <c r="F457" s="6"/>
      <c r="G457" s="6" t="n">
        <v>9.78574048714857E-007</v>
      </c>
      <c r="H457" s="6" t="n">
        <v>0.273303356469306</v>
      </c>
      <c r="I457" s="15" t="n">
        <v>0.269711141954038</v>
      </c>
      <c r="J457" s="15" t="n">
        <v>0.0420042833674684</v>
      </c>
      <c r="K457" s="15"/>
      <c r="L457" s="15" t="n">
        <v>0.273303356469306</v>
      </c>
      <c r="M457" s="15" t="n">
        <v>0.269711141954038</v>
      </c>
      <c r="N457" s="15" t="n">
        <v>0.00809404253174513</v>
      </c>
      <c r="O457" s="15" t="n">
        <v>1.15304250980291</v>
      </c>
    </row>
    <row r="458" customFormat="false" ht="12.75" hidden="false" customHeight="false" outlineLevel="0" collapsed="false">
      <c r="A458" s="6" t="s">
        <v>37</v>
      </c>
      <c r="B458" s="6" t="n">
        <v>1</v>
      </c>
      <c r="C458" s="6" t="n">
        <v>1685401</v>
      </c>
      <c r="D458" s="6" t="n">
        <v>0</v>
      </c>
      <c r="E458" s="6" t="n">
        <v>0.0190957981584029</v>
      </c>
      <c r="F458" s="6"/>
      <c r="G458" s="6" t="n">
        <v>3.26758137987897E-012</v>
      </c>
      <c r="H458" s="6" t="n">
        <v>0</v>
      </c>
      <c r="I458" s="15" t="n">
        <v>0.00554126837533495</v>
      </c>
      <c r="J458" s="15" t="n">
        <v>0.0420042833674684</v>
      </c>
      <c r="K458" s="15"/>
      <c r="L458" s="15" t="n">
        <v>0</v>
      </c>
      <c r="M458" s="15" t="n">
        <v>0.00554126837533495</v>
      </c>
      <c r="N458" s="15" t="n">
        <v>-0.0746468025230115</v>
      </c>
      <c r="O458" s="15" t="n">
        <v>-0.209394372692423</v>
      </c>
    </row>
    <row r="459" customFormat="false" ht="12.75" hidden="false" customHeight="false" outlineLevel="0" collapsed="false">
      <c r="A459" s="6" t="s">
        <v>38</v>
      </c>
      <c r="B459" s="6" t="n">
        <v>1</v>
      </c>
      <c r="C459" s="6" t="n">
        <v>18136081</v>
      </c>
      <c r="D459" s="6" t="n">
        <v>0.270103092783505</v>
      </c>
      <c r="E459" s="6" t="n">
        <v>0.0509878017590525</v>
      </c>
      <c r="F459" s="6"/>
      <c r="G459" s="6" t="n">
        <v>6.14030526894406E-010</v>
      </c>
      <c r="H459" s="6" t="n">
        <v>0.331822037089797</v>
      </c>
      <c r="I459" s="15" t="n">
        <v>0.288859075596109</v>
      </c>
      <c r="J459" s="15" t="n">
        <v>0.0420042833674684</v>
      </c>
      <c r="K459" s="15"/>
      <c r="L459" s="15" t="n">
        <v>0.331822037089797</v>
      </c>
      <c r="M459" s="15" t="n">
        <v>0.288859075596109</v>
      </c>
      <c r="N459" s="15" t="n">
        <v>0.0947923665218586</v>
      </c>
      <c r="O459" s="15" t="n">
        <v>1.44476234018587</v>
      </c>
    </row>
    <row r="460" customFormat="false" ht="12.75" hidden="false" customHeight="false" outlineLevel="0" collapsed="false">
      <c r="A460" s="6" t="s">
        <v>39</v>
      </c>
      <c r="B460" s="6" t="n">
        <v>1</v>
      </c>
      <c r="C460" s="6" t="n">
        <v>7195138</v>
      </c>
      <c r="D460" s="6" t="n">
        <v>0</v>
      </c>
      <c r="E460" s="6" t="n">
        <v>0.0221303868527105</v>
      </c>
      <c r="F460" s="6"/>
      <c r="G460" s="6" t="n">
        <v>1.73290869510021E-012</v>
      </c>
      <c r="H460" s="6" t="n">
        <v>0.000738443042039357</v>
      </c>
      <c r="I460" s="15" t="n">
        <v>0.0103225964901342</v>
      </c>
      <c r="J460" s="15" t="n">
        <v>0.0420042833674684</v>
      </c>
      <c r="K460" s="15"/>
      <c r="L460" s="15" t="n">
        <v>0.000738443042039357</v>
      </c>
      <c r="M460" s="15" t="n">
        <v>0.0103225964901342</v>
      </c>
      <c r="N460" s="15" t="n">
        <v>-0.0948227301893743</v>
      </c>
      <c r="O460" s="15" t="n">
        <v>-0.205713181033844</v>
      </c>
    </row>
    <row r="461" customFormat="false" ht="12.75" hidden="false" customHeight="false" outlineLevel="0" collapsed="false">
      <c r="A461" s="6" t="s">
        <v>40</v>
      </c>
      <c r="B461" s="6" t="n">
        <v>1</v>
      </c>
      <c r="C461" s="6" t="n">
        <v>641367</v>
      </c>
      <c r="D461" s="6" t="n">
        <v>0</v>
      </c>
      <c r="E461" s="6" t="n">
        <v>0.0585817128891722</v>
      </c>
      <c r="F461" s="6"/>
      <c r="G461" s="6" t="n">
        <v>2.88428682897276E-014</v>
      </c>
      <c r="H461" s="6" t="n">
        <v>0</v>
      </c>
      <c r="I461" s="15" t="n">
        <v>0.0109674814206151</v>
      </c>
      <c r="J461" s="15" t="n">
        <v>0.0420042833674684</v>
      </c>
      <c r="K461" s="15"/>
      <c r="L461" s="15" t="n">
        <v>0</v>
      </c>
      <c r="M461" s="15" t="n">
        <v>0.0109674814206151</v>
      </c>
      <c r="N461" s="15" t="n">
        <v>-0.105304800123382</v>
      </c>
      <c r="O461" s="15" t="n">
        <v>-0.209394372692423</v>
      </c>
    </row>
    <row r="462" customFormat="false" ht="12.75" hidden="false" customHeight="false" outlineLevel="0" collapsed="false">
      <c r="A462" s="6" t="s">
        <v>41</v>
      </c>
      <c r="B462" s="6" t="n">
        <v>1</v>
      </c>
      <c r="C462" s="6" t="n">
        <v>11150506</v>
      </c>
      <c r="D462" s="6" t="n">
        <v>0.124419204956118</v>
      </c>
      <c r="E462" s="6" t="n">
        <v>0.0282688311910131</v>
      </c>
      <c r="F462" s="6"/>
      <c r="G462" s="6" t="n">
        <v>3.8555392305473E-012</v>
      </c>
      <c r="H462" s="6" t="n">
        <v>0.0328757643019831</v>
      </c>
      <c r="I462" s="15" t="n">
        <v>0.0418281246276156</v>
      </c>
      <c r="J462" s="15" t="n">
        <v>0.0420042833674684</v>
      </c>
      <c r="K462" s="15"/>
      <c r="L462" s="15" t="n">
        <v>0.0328757643019831</v>
      </c>
      <c r="M462" s="15" t="n">
        <v>0.0418281246276156</v>
      </c>
      <c r="N462" s="15" t="n">
        <v>-0.0447179254564621</v>
      </c>
      <c r="O462" s="15" t="n">
        <v>-0.0455063238814475</v>
      </c>
    </row>
    <row r="463" customFormat="false" ht="12.75" hidden="false" customHeight="false" outlineLevel="0" collapsed="false">
      <c r="A463" s="6" t="s">
        <v>42</v>
      </c>
      <c r="B463" s="6" t="n">
        <v>1</v>
      </c>
      <c r="C463" s="6" t="n">
        <v>3277687</v>
      </c>
      <c r="D463" s="6" t="n">
        <v>0.163815789473684</v>
      </c>
      <c r="E463" s="6" t="n">
        <v>0.0108396118772474</v>
      </c>
      <c r="F463" s="6"/>
      <c r="G463" s="6" t="n">
        <v>8.18184975183888E-013</v>
      </c>
      <c r="H463" s="6" t="n">
        <v>0.0759782565467173</v>
      </c>
      <c r="I463" s="15" t="n">
        <v>0.0178896325467042</v>
      </c>
      <c r="J463" s="15" t="n">
        <v>0.0420042833674684</v>
      </c>
      <c r="K463" s="15"/>
      <c r="L463" s="15" t="n">
        <v>0.0759782565467173</v>
      </c>
      <c r="M463" s="15" t="n">
        <v>0.0178896325467042</v>
      </c>
      <c r="N463" s="15" t="n">
        <v>0.438238200016294</v>
      </c>
      <c r="O463" s="15" t="n">
        <v>0.169362699025302</v>
      </c>
    </row>
    <row r="464" customFormat="false" ht="12.75" hidden="false" customHeight="false" outlineLevel="0" collapsed="false">
      <c r="A464" s="6" t="s">
        <v>43</v>
      </c>
      <c r="B464" s="6" t="n">
        <v>1</v>
      </c>
      <c r="C464" s="6" t="n">
        <v>3140585</v>
      </c>
      <c r="D464" s="6" t="n">
        <v>0</v>
      </c>
      <c r="E464" s="6" t="n">
        <v>0.0372433830337473</v>
      </c>
      <c r="F464" s="6"/>
      <c r="G464" s="6" t="n">
        <v>1.82145478296565E-012</v>
      </c>
      <c r="H464" s="6" t="n">
        <v>0.00529904028492617</v>
      </c>
      <c r="I464" s="15" t="n">
        <v>0.00923955368744339</v>
      </c>
      <c r="J464" s="15" t="n">
        <v>0.0420042833674684</v>
      </c>
      <c r="K464" s="15"/>
      <c r="L464" s="15" t="n">
        <v>0.00529904028492617</v>
      </c>
      <c r="M464" s="15" t="n">
        <v>0.00923955368744339</v>
      </c>
      <c r="N464" s="15" t="n">
        <v>-0.0411853709779072</v>
      </c>
      <c r="O464" s="15" t="n">
        <v>-0.18297827587137</v>
      </c>
    </row>
    <row r="465" customFormat="false" ht="12.75" hidden="false" customHeight="false" outlineLevel="0" collapsed="false">
      <c r="A465" s="6" t="s">
        <v>44</v>
      </c>
      <c r="B465" s="6" t="n">
        <v>1</v>
      </c>
      <c r="C465" s="6" t="n">
        <v>12071842</v>
      </c>
      <c r="D465" s="6" t="n">
        <v>0.224868231911835</v>
      </c>
      <c r="E465" s="6" t="n">
        <v>0.0341732303708947</v>
      </c>
      <c r="F465" s="6"/>
      <c r="G465" s="6" t="n">
        <v>7.42322736941945E-009</v>
      </c>
      <c r="H465" s="6" t="n">
        <v>0.116977230877519</v>
      </c>
      <c r="I465" s="15" t="n">
        <v>0.100277701876229</v>
      </c>
      <c r="J465" s="15" t="n">
        <v>0.0420042833674684</v>
      </c>
      <c r="K465" s="15"/>
      <c r="L465" s="15" t="n">
        <v>0.116977230877519</v>
      </c>
      <c r="M465" s="15" t="n">
        <v>0.100277701876229</v>
      </c>
      <c r="N465" s="15" t="n">
        <v>0.055596543801317</v>
      </c>
      <c r="O465" s="15" t="n">
        <v>0.37374553388828</v>
      </c>
    </row>
    <row r="466" customFormat="false" ht="12.75" hidden="false" customHeight="false" outlineLevel="0" collapsed="false">
      <c r="A466" s="6" t="s">
        <v>45</v>
      </c>
      <c r="B466" s="6" t="n">
        <v>1</v>
      </c>
      <c r="C466" s="6" t="n">
        <v>989794</v>
      </c>
      <c r="D466" s="6" t="n">
        <v>0</v>
      </c>
      <c r="E466" s="6" t="n">
        <v>0.0757652407576525</v>
      </c>
      <c r="F466" s="6"/>
      <c r="G466" s="6" t="n">
        <v>1.30467382846026E-008</v>
      </c>
      <c r="H466" s="6" t="n">
        <v>0.0373661178404778</v>
      </c>
      <c r="I466" s="15" t="n">
        <v>0.0158694770042056</v>
      </c>
      <c r="J466" s="15" t="n">
        <v>0.0420042833674684</v>
      </c>
      <c r="K466" s="15"/>
      <c r="L466" s="15" t="n">
        <v>0.0373661178404778</v>
      </c>
      <c r="M466" s="15" t="n">
        <v>0.0158694770042056</v>
      </c>
      <c r="N466" s="15" t="n">
        <v>0.172013662267708</v>
      </c>
      <c r="O466" s="15" t="n">
        <v>-0.0231215886358867</v>
      </c>
    </row>
    <row r="467" customFormat="false" ht="12.75" hidden="false" customHeight="false" outlineLevel="0" collapsed="false">
      <c r="A467" s="6" t="s">
        <v>46</v>
      </c>
      <c r="B467" s="6" t="n">
        <v>1</v>
      </c>
      <c r="C467" s="6" t="n">
        <v>3673287</v>
      </c>
      <c r="D467" s="6" t="n">
        <v>0</v>
      </c>
      <c r="E467" s="6" t="n">
        <v>0.0212156597627681</v>
      </c>
      <c r="F467" s="6"/>
      <c r="G467" s="6" t="n">
        <v>2.57625046539453E-014</v>
      </c>
      <c r="H467" s="6" t="n">
        <v>0</v>
      </c>
      <c r="I467" s="15" t="n">
        <v>0.00708171280788084</v>
      </c>
      <c r="J467" s="15" t="n">
        <v>0.0420042833674684</v>
      </c>
      <c r="K467" s="15"/>
      <c r="L467" s="15" t="n">
        <v>0</v>
      </c>
      <c r="M467" s="15" t="n">
        <v>0.00708171280788084</v>
      </c>
      <c r="N467" s="15" t="n">
        <v>-0.084452478647732</v>
      </c>
      <c r="O467" s="15" t="n">
        <v>-0.209394372692423</v>
      </c>
    </row>
    <row r="468" customFormat="false" ht="12.75" hidden="false" customHeight="false" outlineLevel="0" collapsed="false">
      <c r="A468" s="6" t="s">
        <v>47</v>
      </c>
      <c r="B468" s="6" t="n">
        <v>1</v>
      </c>
      <c r="C468" s="6" t="n">
        <v>729034</v>
      </c>
      <c r="D468" s="6" t="n">
        <v>0</v>
      </c>
      <c r="E468" s="6" t="n">
        <v>0.0295761623107812</v>
      </c>
      <c r="F468" s="6"/>
      <c r="G468" s="6" t="n">
        <v>8.51096256861615E-012</v>
      </c>
      <c r="H468" s="6" t="n">
        <v>0</v>
      </c>
      <c r="I468" s="15" t="n">
        <v>0.00619945524361546</v>
      </c>
      <c r="J468" s="15" t="n">
        <v>0.0420042833674684</v>
      </c>
      <c r="K468" s="15"/>
      <c r="L468" s="15" t="n">
        <v>0</v>
      </c>
      <c r="M468" s="15" t="n">
        <v>0.00619945524361546</v>
      </c>
      <c r="N468" s="15" t="n">
        <v>-0.0789818222152796</v>
      </c>
      <c r="O468" s="15" t="n">
        <v>-0.209394372692423</v>
      </c>
    </row>
    <row r="469" customFormat="false" ht="12.75" hidden="false" customHeight="false" outlineLevel="0" collapsed="false">
      <c r="A469" s="6" t="s">
        <v>48</v>
      </c>
      <c r="B469" s="6" t="n">
        <v>1</v>
      </c>
      <c r="C469" s="6" t="n">
        <v>5256051</v>
      </c>
      <c r="D469" s="6" t="n">
        <v>0</v>
      </c>
      <c r="E469" s="6" t="n">
        <v>0.0458630868796215</v>
      </c>
      <c r="F469" s="6"/>
      <c r="G469" s="6" t="n">
        <v>2.94341409435387E-013</v>
      </c>
      <c r="H469" s="6" t="n">
        <v>5.80051647196015E-005</v>
      </c>
      <c r="I469" s="15" t="n">
        <v>0.0135984855545793</v>
      </c>
      <c r="J469" s="15" t="n">
        <v>0.0420042833674684</v>
      </c>
      <c r="K469" s="15"/>
      <c r="L469" s="15" t="n">
        <v>5.80051647196015E-005</v>
      </c>
      <c r="M469" s="15" t="n">
        <v>0.0135984855545793</v>
      </c>
      <c r="N469" s="15" t="n">
        <v>-0.116912765937511</v>
      </c>
      <c r="O469" s="15" t="n">
        <v>-0.209105212775727</v>
      </c>
    </row>
    <row r="470" customFormat="false" ht="12.75" hidden="false" customHeight="false" outlineLevel="0" collapsed="false">
      <c r="A470" s="6" t="s">
        <v>49</v>
      </c>
      <c r="B470" s="6" t="n">
        <v>1</v>
      </c>
      <c r="C470" s="6" t="n">
        <v>18723991</v>
      </c>
      <c r="D470" s="6" t="n">
        <v>0.006727760393384</v>
      </c>
      <c r="E470" s="6" t="n">
        <v>0.00910524272123237</v>
      </c>
      <c r="F470" s="6"/>
      <c r="G470" s="6" t="n">
        <v>2.38458372944146E-012</v>
      </c>
      <c r="H470" s="6" t="n">
        <v>0.0247474685546935</v>
      </c>
      <c r="I470" s="15" t="n">
        <v>0.0267854858602859</v>
      </c>
      <c r="J470" s="15" t="n">
        <v>0.0420042833674684</v>
      </c>
      <c r="K470" s="15"/>
      <c r="L470" s="15" t="n">
        <v>0.0247474685546935</v>
      </c>
      <c r="M470" s="15" t="n">
        <v>0.0267854858602859</v>
      </c>
      <c r="N470" s="15" t="n">
        <v>-0.0126227451682119</v>
      </c>
      <c r="O470" s="15" t="n">
        <v>-0.0860264626056895</v>
      </c>
    </row>
    <row r="471" customFormat="false" ht="12.75" hidden="false" customHeight="false" outlineLevel="0" collapsed="false">
      <c r="A471" s="6" t="s">
        <v>50</v>
      </c>
      <c r="B471" s="6" t="n">
        <v>1</v>
      </c>
      <c r="C471" s="6" t="n">
        <v>1951408</v>
      </c>
      <c r="D471" s="6" t="n">
        <v>0</v>
      </c>
      <c r="E471" s="6" t="n">
        <v>0.00991343868813166</v>
      </c>
      <c r="F471" s="6"/>
      <c r="G471" s="6" t="n">
        <v>4.16760355861009E-013</v>
      </c>
      <c r="H471" s="6" t="n">
        <v>0.000622986197117817</v>
      </c>
      <c r="I471" s="15" t="n">
        <v>0.0047369010405539</v>
      </c>
      <c r="J471" s="15" t="n">
        <v>0.0420042833674684</v>
      </c>
      <c r="K471" s="15"/>
      <c r="L471" s="15" t="n">
        <v>0.000622986197117817</v>
      </c>
      <c r="M471" s="15" t="n">
        <v>0.0047369010405539</v>
      </c>
      <c r="N471" s="15" t="n">
        <v>-0.0599155003837151</v>
      </c>
      <c r="O471" s="15" t="n">
        <v>-0.206288741707118</v>
      </c>
    </row>
    <row r="472" customFormat="false" ht="12.75" hidden="false" customHeight="false" outlineLevel="0" collapsed="false">
      <c r="A472" s="6" t="s">
        <v>51</v>
      </c>
      <c r="B472" s="6" t="n">
        <v>1</v>
      </c>
      <c r="C472" s="6" t="n">
        <v>584771</v>
      </c>
      <c r="D472" s="6" t="n">
        <v>0</v>
      </c>
      <c r="E472" s="6" t="n">
        <v>0.0494956071368481</v>
      </c>
      <c r="F472" s="6"/>
      <c r="G472" s="6" t="n">
        <v>5.28659248696466E-009</v>
      </c>
      <c r="H472" s="6" t="n">
        <v>0</v>
      </c>
      <c r="I472" s="15" t="n">
        <v>0.00907003824865172</v>
      </c>
      <c r="J472" s="15" t="n">
        <v>0.0420042833674684</v>
      </c>
      <c r="K472" s="15"/>
      <c r="L472" s="15" t="n">
        <v>0</v>
      </c>
      <c r="M472" s="15" t="n">
        <v>0.00907003824865172</v>
      </c>
      <c r="N472" s="15" t="n">
        <v>-0.0956716092900017</v>
      </c>
      <c r="O472" s="15" t="n">
        <v>-0.209394372692423</v>
      </c>
    </row>
    <row r="473" customFormat="false" ht="12.75" hidden="false" customHeight="false" outlineLevel="0" collapsed="false">
      <c r="A473" s="6" t="s">
        <v>52</v>
      </c>
      <c r="B473" s="6" t="n">
        <v>1</v>
      </c>
      <c r="C473" s="6" t="n">
        <v>6618358</v>
      </c>
      <c r="D473" s="6" t="n">
        <v>0.102064896755162</v>
      </c>
      <c r="E473" s="6" t="n">
        <v>0.0646098010772455</v>
      </c>
      <c r="F473" s="6"/>
      <c r="G473" s="6" t="n">
        <v>2.1699894914854E-010</v>
      </c>
      <c r="H473" s="6" t="n">
        <v>0.0465283677535952</v>
      </c>
      <c r="I473" s="15" t="n">
        <v>0.0462223369508293</v>
      </c>
      <c r="J473" s="15" t="n">
        <v>0.0420042833674684</v>
      </c>
      <c r="K473" s="15"/>
      <c r="L473" s="15" t="n">
        <v>0.0465283677535952</v>
      </c>
      <c r="M473" s="15" t="n">
        <v>0.0462223369508293</v>
      </c>
      <c r="N473" s="15" t="n">
        <v>0.00145752367643308</v>
      </c>
      <c r="O473" s="15" t="n">
        <v>0.0225528859462531</v>
      </c>
    </row>
    <row r="474" customFormat="false" ht="12.75" hidden="false" customHeight="false" outlineLevel="0" collapsed="false">
      <c r="A474" s="6" t="s">
        <v>53</v>
      </c>
      <c r="B474" s="6" t="n">
        <v>1</v>
      </c>
      <c r="C474" s="6" t="n">
        <v>5430940</v>
      </c>
      <c r="D474" s="6" t="n">
        <v>0</v>
      </c>
      <c r="E474" s="6" t="n">
        <v>0.0152694227003708</v>
      </c>
      <c r="F474" s="6"/>
      <c r="G474" s="6" t="n">
        <v>4.68182221770351E-012</v>
      </c>
      <c r="H474" s="6" t="n">
        <v>0.0414276298865866</v>
      </c>
      <c r="I474" s="15" t="n">
        <v>0.00752165605023495</v>
      </c>
      <c r="J474" s="15" t="n">
        <v>0.0420042833674684</v>
      </c>
      <c r="K474" s="15"/>
      <c r="L474" s="15" t="n">
        <v>0.0414276298865866</v>
      </c>
      <c r="M474" s="15" t="n">
        <v>0.00752165605023495</v>
      </c>
      <c r="N474" s="15" t="n">
        <v>0.392427079131879</v>
      </c>
      <c r="O474" s="15" t="n">
        <v>-0.0028746590635483</v>
      </c>
    </row>
    <row r="475" customFormat="false" ht="12.75" hidden="false" customHeight="false" outlineLevel="0" collapsed="false">
      <c r="A475" s="6" t="s">
        <v>54</v>
      </c>
      <c r="B475" s="6" t="n">
        <v>1</v>
      </c>
      <c r="C475" s="6" t="n">
        <v>1828140</v>
      </c>
      <c r="D475" s="6" t="n">
        <v>0.154107142857143</v>
      </c>
      <c r="E475" s="6" t="n">
        <v>0.083450810945235</v>
      </c>
      <c r="F475" s="6"/>
      <c r="G475" s="6" t="n">
        <v>6.85214483647577E-010</v>
      </c>
      <c r="H475" s="6" t="n">
        <v>0.0657245663242686</v>
      </c>
      <c r="I475" s="15" t="n">
        <v>0.0593881797420391</v>
      </c>
      <c r="J475" s="15" t="n">
        <v>0.0420042833674684</v>
      </c>
      <c r="K475" s="15"/>
      <c r="L475" s="15" t="n">
        <v>0.0657245663242686</v>
      </c>
      <c r="M475" s="15" t="n">
        <v>0.0593881797420391</v>
      </c>
      <c r="N475" s="15" t="n">
        <v>0.0268093597514816</v>
      </c>
      <c r="O475" s="15" t="n">
        <v>0.118247316026649</v>
      </c>
    </row>
    <row r="476" customFormat="false" ht="12.75" hidden="false" customHeight="false" outlineLevel="0" collapsed="false">
      <c r="A476" s="6" t="s">
        <v>55</v>
      </c>
      <c r="B476" s="6" t="n">
        <v>1</v>
      </c>
      <c r="C476" s="6" t="n">
        <v>5122871</v>
      </c>
      <c r="D476" s="6" t="n">
        <v>0</v>
      </c>
      <c r="E476" s="6" t="n">
        <v>0.0137079087829872</v>
      </c>
      <c r="F476" s="6"/>
      <c r="G476" s="6" t="n">
        <v>6.22970666540397E-012</v>
      </c>
      <c r="H476" s="6" t="n">
        <v>1.13332512302244E-005</v>
      </c>
      <c r="I476" s="15" t="n">
        <v>0.00706501170451612</v>
      </c>
      <c r="J476" s="15" t="n">
        <v>0.0420042833674684</v>
      </c>
      <c r="K476" s="15"/>
      <c r="L476" s="15" t="n">
        <v>1.13332512302244E-005</v>
      </c>
      <c r="M476" s="15" t="n">
        <v>0.00706501170451612</v>
      </c>
      <c r="N476" s="15" t="n">
        <v>-0.084216814106674</v>
      </c>
      <c r="O476" s="15" t="n">
        <v>-0.20933787562018</v>
      </c>
    </row>
    <row r="477" customFormat="false" ht="13.5" hidden="false" customHeight="false" outlineLevel="0" collapsed="false">
      <c r="A477" s="7" t="s">
        <v>56</v>
      </c>
      <c r="B477" s="7" t="n">
        <v>1</v>
      </c>
      <c r="C477" s="7" t="n">
        <v>480184</v>
      </c>
      <c r="D477" s="7" t="n">
        <v>0</v>
      </c>
      <c r="E477" s="7" t="n">
        <v>0.0256209952218234</v>
      </c>
      <c r="F477" s="7"/>
      <c r="G477" s="7" t="n">
        <v>2.06863081753292E-013</v>
      </c>
      <c r="H477" s="7" t="n">
        <v>0</v>
      </c>
      <c r="I477" s="16" t="n">
        <v>0.00558374073113245</v>
      </c>
      <c r="J477" s="16" t="n">
        <v>0.0420042833674684</v>
      </c>
      <c r="K477" s="16"/>
      <c r="L477" s="16" t="n">
        <v>0</v>
      </c>
      <c r="M477" s="16" t="n">
        <v>0.00558374073113245</v>
      </c>
      <c r="N477" s="16" t="n">
        <v>-0.074933930632164</v>
      </c>
      <c r="O477" s="16" t="n">
        <v>-0.209394372692423</v>
      </c>
    </row>
    <row r="480" customFormat="false" ht="12.75" hidden="false" customHeight="false" outlineLevel="0" collapsed="false">
      <c r="A480" s="0" t="s">
        <v>419</v>
      </c>
    </row>
    <row r="481" customFormat="false" ht="12.75" hidden="false" customHeight="false" outlineLevel="0" collapsed="false">
      <c r="A481" s="0" t="s">
        <v>109</v>
      </c>
    </row>
    <row r="482" customFormat="false" ht="12.75" hidden="false" customHeight="false" outlineLevel="0" collapsed="false">
      <c r="A482" s="0" t="s">
        <v>417</v>
      </c>
    </row>
    <row r="483" customFormat="false" ht="12.75" hidden="false" customHeight="false" outlineLevel="0" collapsed="false">
      <c r="A483" s="0" t="s">
        <v>406</v>
      </c>
    </row>
    <row r="484" customFormat="false" ht="12.75" hidden="false" customHeight="false" outlineLevel="0" collapsed="false">
      <c r="A484" s="0" t="s">
        <v>112</v>
      </c>
    </row>
    <row r="485" customFormat="false" ht="12.75" hidden="false" customHeight="false" outlineLevel="0" collapsed="false">
      <c r="A485" s="0" t="s">
        <v>370</v>
      </c>
    </row>
    <row r="488" customFormat="false" ht="12.75" hidden="false" customHeight="false" outlineLevel="0" collapsed="false">
      <c r="A488" s="0" t="s">
        <v>371</v>
      </c>
    </row>
    <row r="489" customFormat="false" ht="13.5" hidden="false" customHeight="false" outlineLevel="0" collapsed="false"/>
    <row r="490" customFormat="false" ht="12.75" hidden="false" customHeight="false" outlineLevel="0" collapsed="false">
      <c r="A490" s="8" t="s">
        <v>372</v>
      </c>
      <c r="B490" s="8" t="s">
        <v>113</v>
      </c>
      <c r="C490" s="8" t="s">
        <v>114</v>
      </c>
    </row>
    <row r="491" customFormat="false" ht="12.75" hidden="false" customHeight="false" outlineLevel="0" collapsed="false">
      <c r="A491" s="6" t="s">
        <v>84</v>
      </c>
      <c r="B491" s="6" t="n">
        <v>5338722.3877551</v>
      </c>
      <c r="C491" s="6" t="n">
        <v>5779174.66837188</v>
      </c>
    </row>
    <row r="492" customFormat="false" ht="12.75" hidden="false" customHeight="false" outlineLevel="0" collapsed="false">
      <c r="A492" s="6" t="s">
        <v>105</v>
      </c>
      <c r="B492" s="6" t="n">
        <v>0.0748801382019185</v>
      </c>
      <c r="C492" s="6" t="n">
        <v>0.114610023517382</v>
      </c>
    </row>
    <row r="493" customFormat="false" ht="12.75" hidden="false" customHeight="false" outlineLevel="0" collapsed="false">
      <c r="A493" s="6" t="s">
        <v>100</v>
      </c>
      <c r="B493" s="6" t="n">
        <v>0.0372393142980251</v>
      </c>
      <c r="C493" s="6" t="n">
        <v>0.0269260351740362</v>
      </c>
    </row>
    <row r="494" customFormat="false" ht="13.5" hidden="false" customHeight="false" outlineLevel="0" collapsed="false">
      <c r="A494" s="7" t="s">
        <v>143</v>
      </c>
      <c r="B494" s="7" t="n">
        <v>2.30500166681722E-008</v>
      </c>
      <c r="C494" s="7" t="n">
        <v>1.3983591544212E-007</v>
      </c>
    </row>
    <row r="498" customFormat="false" ht="12.75" hidden="false" customHeight="false" outlineLevel="0" collapsed="false">
      <c r="A498" s="0" t="s">
        <v>374</v>
      </c>
    </row>
    <row r="499" customFormat="false" ht="13.5" hidden="false" customHeight="false" outlineLevel="0" collapsed="false"/>
    <row r="500" customFormat="false" ht="12.75" hidden="false" customHeight="false" outlineLevel="0" collapsed="false">
      <c r="A500" s="8" t="s">
        <v>375</v>
      </c>
      <c r="B500" s="8" t="s">
        <v>135</v>
      </c>
      <c r="C500" s="8" t="s">
        <v>136</v>
      </c>
      <c r="D500" s="8" t="s">
        <v>376</v>
      </c>
      <c r="E500" s="8" t="s">
        <v>377</v>
      </c>
      <c r="F500" s="40"/>
    </row>
    <row r="501" customFormat="false" ht="12.75" hidden="false" customHeight="false" outlineLevel="0" collapsed="false">
      <c r="A501" s="6" t="s">
        <v>80</v>
      </c>
      <c r="B501" s="15" t="n">
        <v>-2.89396823812325</v>
      </c>
      <c r="C501" s="15" t="n">
        <v>1.02754307360581</v>
      </c>
      <c r="D501" s="15" t="n">
        <v>7.93208662502158</v>
      </c>
      <c r="E501" s="15" t="n">
        <v>0.00485657615854663</v>
      </c>
      <c r="F501" s="15"/>
    </row>
    <row r="502" customFormat="false" ht="12.75" hidden="false" customHeight="false" outlineLevel="0" collapsed="false">
      <c r="A502" s="6" t="s">
        <v>84</v>
      </c>
      <c r="B502" s="15" t="n">
        <v>4.72748743745993E-008</v>
      </c>
      <c r="C502" s="15" t="n">
        <v>5.82991491598842E-008</v>
      </c>
      <c r="D502" s="15" t="n">
        <v>0.657561433875442</v>
      </c>
      <c r="E502" s="15" t="n">
        <v>0.417422171645975</v>
      </c>
      <c r="F502" s="15"/>
    </row>
    <row r="503" customFormat="false" ht="12.75" hidden="false" customHeight="false" outlineLevel="0" collapsed="false">
      <c r="A503" s="6" t="s">
        <v>105</v>
      </c>
      <c r="B503" s="15" t="n">
        <v>3.48357690795665</v>
      </c>
      <c r="C503" s="15" t="n">
        <v>3.6077432988817</v>
      </c>
      <c r="D503" s="15" t="n">
        <v>0.932351231213791</v>
      </c>
      <c r="E503" s="15" t="n">
        <v>0.334252711970645</v>
      </c>
      <c r="F503" s="15"/>
    </row>
    <row r="504" customFormat="false" ht="12.75" hidden="false" customHeight="false" outlineLevel="0" collapsed="false">
      <c r="A504" s="6" t="s">
        <v>100</v>
      </c>
      <c r="B504" s="15" t="n">
        <v>8.99434911470889</v>
      </c>
      <c r="C504" s="15" t="n">
        <v>13.5616909218319</v>
      </c>
      <c r="D504" s="15" t="n">
        <v>0.439857292465234</v>
      </c>
      <c r="E504" s="15" t="n">
        <v>0.507191342963802</v>
      </c>
      <c r="F504" s="15"/>
    </row>
    <row r="505" customFormat="false" ht="13.5" hidden="false" customHeight="false" outlineLevel="0" collapsed="false">
      <c r="A505" s="7" t="s">
        <v>143</v>
      </c>
      <c r="B505" s="16" t="n">
        <v>-215286.213877428</v>
      </c>
      <c r="C505" s="16" t="n">
        <v>1748728.520177</v>
      </c>
      <c r="D505" s="16" t="n">
        <v>0.0151561067026706</v>
      </c>
      <c r="E505" s="16" t="n">
        <v>0.902019881393085</v>
      </c>
      <c r="F505" s="15"/>
    </row>
    <row r="508" customFormat="false" ht="13.5" hidden="false" customHeight="false" outlineLevel="0" collapsed="false">
      <c r="A508" s="0" t="s">
        <v>378</v>
      </c>
    </row>
    <row r="509" customFormat="false" ht="12.75" hidden="false" customHeight="false" outlineLevel="0" collapsed="false">
      <c r="A509" s="8" t="s">
        <v>379</v>
      </c>
      <c r="B509" s="8" t="s">
        <v>380</v>
      </c>
      <c r="C509" s="8" t="s">
        <v>381</v>
      </c>
      <c r="D509" s="8" t="s">
        <v>382</v>
      </c>
      <c r="E509" s="8" t="s">
        <v>383</v>
      </c>
      <c r="F509" s="8"/>
      <c r="G509" s="8" t="s">
        <v>384</v>
      </c>
      <c r="H509" s="8" t="s">
        <v>385</v>
      </c>
      <c r="I509" s="8" t="s">
        <v>386</v>
      </c>
      <c r="J509" s="8" t="s">
        <v>387</v>
      </c>
      <c r="K509" s="8"/>
      <c r="L509" s="8" t="s">
        <v>388</v>
      </c>
      <c r="M509" s="8" t="s">
        <v>389</v>
      </c>
    </row>
    <row r="510" customFormat="false" ht="13.5" hidden="false" customHeight="false" outlineLevel="0" collapsed="false">
      <c r="A510" s="7" t="n">
        <v>49</v>
      </c>
      <c r="B510" s="7" t="n">
        <v>-6.84135328479339</v>
      </c>
      <c r="C510" s="7" t="n">
        <v>-8.53885653882466</v>
      </c>
      <c r="D510" s="7" t="n">
        <v>1.29184156284853</v>
      </c>
      <c r="E510" s="7" t="n">
        <v>44</v>
      </c>
      <c r="F510" s="7"/>
      <c r="G510" s="7" t="n">
        <v>1</v>
      </c>
      <c r="H510" s="7" t="n">
        <v>3.39500650806254</v>
      </c>
      <c r="I510" s="7" t="n">
        <v>4</v>
      </c>
      <c r="J510" s="7" t="n">
        <v>0.494021311639311</v>
      </c>
      <c r="K510" s="7"/>
      <c r="L510" s="7" t="n">
        <v>0.769833986224684</v>
      </c>
      <c r="M510" s="7" t="n">
        <v>0.198797490777954</v>
      </c>
    </row>
    <row r="512" customFormat="false" ht="12.75" hidden="false" customHeight="false" outlineLevel="0" collapsed="false">
      <c r="A512" s="0" t="s">
        <v>390</v>
      </c>
    </row>
    <row r="513" customFormat="false" ht="13.5" hidden="false" customHeight="false" outlineLevel="0" collapsed="false"/>
    <row r="514" customFormat="false" ht="12.75" hidden="false" customHeight="false" outlineLevel="0" collapsed="false">
      <c r="A514" s="8" t="s">
        <v>63</v>
      </c>
      <c r="B514" s="8"/>
      <c r="C514" s="8" t="s">
        <v>84</v>
      </c>
      <c r="D514" s="8" t="s">
        <v>105</v>
      </c>
      <c r="E514" s="8" t="s">
        <v>100</v>
      </c>
      <c r="F514" s="8"/>
      <c r="G514" s="8" t="s">
        <v>143</v>
      </c>
      <c r="H514" s="8" t="s">
        <v>117</v>
      </c>
      <c r="I514" s="8" t="s">
        <v>391</v>
      </c>
      <c r="J514" s="8" t="s">
        <v>392</v>
      </c>
      <c r="K514" s="8"/>
      <c r="L514" s="8" t="s">
        <v>418</v>
      </c>
      <c r="M514" s="8" t="s">
        <v>394</v>
      </c>
      <c r="N514" s="8" t="s">
        <v>395</v>
      </c>
      <c r="O514" s="8" t="s">
        <v>396</v>
      </c>
    </row>
    <row r="515" customFormat="false" ht="12.75" hidden="false" customHeight="false" outlineLevel="0" collapsed="false">
      <c r="A515" s="6" t="s">
        <v>8</v>
      </c>
      <c r="B515" s="6" t="n">
        <v>1</v>
      </c>
      <c r="C515" s="6" t="n">
        <v>4252982</v>
      </c>
      <c r="D515" s="6" t="n">
        <v>0</v>
      </c>
      <c r="E515" s="6" t="n">
        <v>0.0238518767065552</v>
      </c>
      <c r="F515" s="6"/>
      <c r="G515" s="6" t="n">
        <v>1.16002176106561E-012</v>
      </c>
      <c r="H515" s="6" t="n">
        <v>0</v>
      </c>
      <c r="I515" s="15" t="n">
        <v>0.00659908686693522</v>
      </c>
      <c r="J515" s="15" t="n">
        <v>0.0420042833674684</v>
      </c>
      <c r="K515" s="15"/>
      <c r="L515" s="15" t="n">
        <v>0</v>
      </c>
      <c r="M515" s="15" t="n">
        <v>0.00659908686693522</v>
      </c>
      <c r="N515" s="15" t="n">
        <v>-0.0815041354786516</v>
      </c>
      <c r="O515" s="15" t="n">
        <v>-0.209394372692423</v>
      </c>
    </row>
    <row r="516" customFormat="false" ht="12.75" hidden="false" customHeight="false" outlineLevel="0" collapsed="false">
      <c r="A516" s="6" t="s">
        <v>9</v>
      </c>
      <c r="B516" s="6" t="n">
        <v>1</v>
      </c>
      <c r="C516" s="6" t="n">
        <v>4217940</v>
      </c>
      <c r="D516" s="6" t="n">
        <v>0</v>
      </c>
      <c r="E516" s="6" t="n">
        <v>0.0112071877535429</v>
      </c>
      <c r="F516" s="6"/>
      <c r="G516" s="6" t="n">
        <v>1.49200959313964E-012</v>
      </c>
      <c r="H516" s="6" t="n">
        <v>0</v>
      </c>
      <c r="I516" s="15" t="n">
        <v>0.00474660541236771</v>
      </c>
      <c r="J516" s="15" t="n">
        <v>0.0420042833674684</v>
      </c>
      <c r="K516" s="15"/>
      <c r="L516" s="15" t="n">
        <v>0</v>
      </c>
      <c r="M516" s="15" t="n">
        <v>0.00474660541236771</v>
      </c>
      <c r="N516" s="15" t="n">
        <v>-0.0690597069759938</v>
      </c>
      <c r="O516" s="15" t="n">
        <v>-0.209394372692423</v>
      </c>
    </row>
    <row r="517" customFormat="false" ht="12.75" hidden="false" customHeight="false" outlineLevel="0" collapsed="false">
      <c r="A517" s="6" t="s">
        <v>10</v>
      </c>
      <c r="B517" s="6" t="n">
        <v>1</v>
      </c>
      <c r="C517" s="6" t="n">
        <v>2483769</v>
      </c>
      <c r="D517" s="6" t="n">
        <v>0</v>
      </c>
      <c r="E517" s="6" t="n">
        <v>0.0402941869973762</v>
      </c>
      <c r="F517" s="6"/>
      <c r="G517" s="6" t="n">
        <v>8.78858354669177E-013</v>
      </c>
      <c r="H517" s="6" t="n">
        <v>0</v>
      </c>
      <c r="I517" s="15" t="n">
        <v>0.0078864437222822</v>
      </c>
      <c r="J517" s="15" t="n">
        <v>0.0420042833674684</v>
      </c>
      <c r="K517" s="15"/>
      <c r="L517" s="15" t="n">
        <v>0</v>
      </c>
      <c r="M517" s="15" t="n">
        <v>0.0078864437222822</v>
      </c>
      <c r="N517" s="15" t="n">
        <v>-0.0891579167610464</v>
      </c>
      <c r="O517" s="15" t="n">
        <v>-0.209394372692423</v>
      </c>
    </row>
    <row r="518" customFormat="false" ht="12.75" hidden="false" customHeight="false" outlineLevel="0" collapsed="false">
      <c r="A518" s="6" t="s">
        <v>11</v>
      </c>
      <c r="B518" s="6" t="n">
        <v>1</v>
      </c>
      <c r="C518" s="6" t="n">
        <v>31589153</v>
      </c>
      <c r="D518" s="6" t="n">
        <v>0</v>
      </c>
      <c r="E518" s="6" t="n">
        <v>0.004523030247648</v>
      </c>
      <c r="F518" s="6"/>
      <c r="G518" s="6" t="n">
        <v>1.15838117524707E-012</v>
      </c>
      <c r="H518" s="6" t="n">
        <v>0.0211415213324095</v>
      </c>
      <c r="I518" s="15" t="n">
        <v>0.0869287026038418</v>
      </c>
      <c r="J518" s="15" t="n">
        <v>0.0420042833674684</v>
      </c>
      <c r="K518" s="15"/>
      <c r="L518" s="15" t="n">
        <v>0.0211415213324095</v>
      </c>
      <c r="M518" s="15" t="n">
        <v>0.0869287026038418</v>
      </c>
      <c r="N518" s="15" t="n">
        <v>-0.2335109950947</v>
      </c>
      <c r="O518" s="15" t="n">
        <v>-0.104002368776176</v>
      </c>
    </row>
    <row r="519" customFormat="false" ht="12.75" hidden="false" customHeight="false" outlineLevel="0" collapsed="false">
      <c r="A519" s="6" t="s">
        <v>12</v>
      </c>
      <c r="B519" s="6" t="n">
        <v>1</v>
      </c>
      <c r="C519" s="6" t="n">
        <v>3746585</v>
      </c>
      <c r="D519" s="6" t="n">
        <v>0.0147863247863248</v>
      </c>
      <c r="E519" s="6" t="n">
        <v>0.00794454114516863</v>
      </c>
      <c r="F519" s="6"/>
      <c r="G519" s="6" t="n">
        <v>6.58291482583513E-013</v>
      </c>
      <c r="H519" s="6" t="n">
        <v>0.00295777769394722</v>
      </c>
      <c r="I519" s="15" t="n">
        <v>0.00474496083007037</v>
      </c>
      <c r="J519" s="15" t="n">
        <v>0.0420042833674684</v>
      </c>
      <c r="K519" s="15"/>
      <c r="L519" s="15" t="n">
        <v>0.00295777769394722</v>
      </c>
      <c r="M519" s="15" t="n">
        <v>0.00474496083007037</v>
      </c>
      <c r="N519" s="15" t="n">
        <v>-0.0260067180526934</v>
      </c>
      <c r="O519" s="15" t="n">
        <v>-0.194649638224047</v>
      </c>
    </row>
    <row r="520" customFormat="false" ht="12.75" hidden="false" customHeight="false" outlineLevel="0" collapsed="false">
      <c r="A520" s="6" t="s">
        <v>13</v>
      </c>
      <c r="B520" s="6" t="n">
        <v>1</v>
      </c>
      <c r="C520" s="6" t="n">
        <v>3274662</v>
      </c>
      <c r="D520" s="6" t="n">
        <v>0.357749077490775</v>
      </c>
      <c r="E520" s="6" t="n">
        <v>0.0456124226267046</v>
      </c>
      <c r="F520" s="6"/>
      <c r="G520" s="6" t="n">
        <v>2.67978152112005E-008</v>
      </c>
      <c r="H520" s="6" t="n">
        <v>0.000259885785260088</v>
      </c>
      <c r="I520" s="15" t="n">
        <v>0.138203200609637</v>
      </c>
      <c r="J520" s="15" t="n">
        <v>0.0420042833674684</v>
      </c>
      <c r="K520" s="15"/>
      <c r="L520" s="15" t="n">
        <v>0.000259885785260088</v>
      </c>
      <c r="M520" s="15" t="n">
        <v>0.138203200609637</v>
      </c>
      <c r="N520" s="15" t="n">
        <v>-0.399704620989255</v>
      </c>
      <c r="O520" s="15" t="n">
        <v>-0.208098823367128</v>
      </c>
    </row>
    <row r="521" customFormat="false" ht="12.75" hidden="false" customHeight="false" outlineLevel="0" collapsed="false">
      <c r="A521" s="6" t="s">
        <v>14</v>
      </c>
      <c r="B521" s="6" t="n">
        <v>1</v>
      </c>
      <c r="C521" s="6" t="n">
        <v>717197</v>
      </c>
      <c r="D521" s="6" t="n">
        <v>0.219607843137255</v>
      </c>
      <c r="E521" s="6" t="n">
        <v>0.138328875404208</v>
      </c>
      <c r="F521" s="6"/>
      <c r="G521" s="6" t="n">
        <v>2.04082824400193E-008</v>
      </c>
      <c r="H521" s="6" t="n">
        <v>0.252590047672857</v>
      </c>
      <c r="I521" s="15" t="n">
        <v>0.196204268770978</v>
      </c>
      <c r="J521" s="15" t="n">
        <v>0.0420042833674684</v>
      </c>
      <c r="K521" s="15"/>
      <c r="L521" s="15" t="n">
        <v>0.252590047672857</v>
      </c>
      <c r="M521" s="15" t="n">
        <v>0.196204268770978</v>
      </c>
      <c r="N521" s="15" t="n">
        <v>0.141985014573759</v>
      </c>
      <c r="O521" s="15" t="n">
        <v>1.04978517616688</v>
      </c>
    </row>
    <row r="522" customFormat="false" ht="12.75" hidden="false" customHeight="false" outlineLevel="0" collapsed="false">
      <c r="A522" s="6" t="s">
        <v>15</v>
      </c>
      <c r="B522" s="6" t="n">
        <v>1</v>
      </c>
      <c r="C522" s="6" t="n">
        <v>14165570</v>
      </c>
      <c r="D522" s="6" t="n">
        <v>0.111015583019882</v>
      </c>
      <c r="E522" s="6" t="n">
        <v>0.00799421046196813</v>
      </c>
      <c r="F522" s="6"/>
      <c r="G522" s="6" t="n">
        <v>3.65523418920916E-012</v>
      </c>
      <c r="H522" s="6" t="n">
        <v>0.0778335546482334</v>
      </c>
      <c r="I522" s="15" t="n">
        <v>0.0387264537751521</v>
      </c>
      <c r="J522" s="15" t="n">
        <v>0.0420042833674684</v>
      </c>
      <c r="K522" s="15"/>
      <c r="L522" s="15" t="n">
        <v>0.0778335546482334</v>
      </c>
      <c r="M522" s="15" t="n">
        <v>0.0387264537751521</v>
      </c>
      <c r="N522" s="15" t="n">
        <v>0.202688104446447</v>
      </c>
      <c r="O522" s="15" t="n">
        <v>0.178611493457188</v>
      </c>
    </row>
    <row r="523" customFormat="false" ht="12.75" hidden="false" customHeight="false" outlineLevel="0" collapsed="false">
      <c r="A523" s="6" t="s">
        <v>16</v>
      </c>
      <c r="B523" s="6" t="n">
        <v>1</v>
      </c>
      <c r="C523" s="6" t="n">
        <v>7200882</v>
      </c>
      <c r="D523" s="6" t="n">
        <v>0.00785562632696391</v>
      </c>
      <c r="E523" s="6" t="n">
        <v>0.0281378236648974</v>
      </c>
      <c r="F523" s="6"/>
      <c r="G523" s="6" t="n">
        <v>9.95886785099514E-013</v>
      </c>
      <c r="H523" s="6" t="n">
        <v>0.0041858290740556</v>
      </c>
      <c r="I523" s="15" t="n">
        <v>0.0115100253807969</v>
      </c>
      <c r="J523" s="15" t="n">
        <v>0.0420042833674684</v>
      </c>
      <c r="K523" s="15"/>
      <c r="L523" s="15" t="n">
        <v>0.0041858290740556</v>
      </c>
      <c r="M523" s="15" t="n">
        <v>0.0115100253807969</v>
      </c>
      <c r="N523" s="15" t="n">
        <v>-0.0686650437035519</v>
      </c>
      <c r="O523" s="15" t="n">
        <v>-0.188527713797382</v>
      </c>
    </row>
    <row r="524" customFormat="false" ht="12.75" hidden="false" customHeight="false" outlineLevel="0" collapsed="false">
      <c r="A524" s="6" t="s">
        <v>17</v>
      </c>
      <c r="B524" s="6" t="n">
        <v>1</v>
      </c>
      <c r="C524" s="6" t="n">
        <v>1186815</v>
      </c>
      <c r="D524" s="6" t="n">
        <v>0</v>
      </c>
      <c r="E524" s="6" t="n">
        <v>0.00952409571468726</v>
      </c>
      <c r="F524" s="6"/>
      <c r="G524" s="6" t="n">
        <v>4.11770253782566E-011</v>
      </c>
      <c r="H524" s="6" t="n">
        <v>0</v>
      </c>
      <c r="I524" s="15" t="n">
        <v>0.00295980533536311</v>
      </c>
      <c r="J524" s="15" t="n">
        <v>0.0420042833674684</v>
      </c>
      <c r="K524" s="15"/>
      <c r="L524" s="15" t="n">
        <v>0</v>
      </c>
      <c r="M524" s="15" t="n">
        <v>0.00295980533536311</v>
      </c>
      <c r="N524" s="15" t="n">
        <v>-0.0544847849328529</v>
      </c>
      <c r="O524" s="15" t="n">
        <v>-0.209394372692423</v>
      </c>
    </row>
    <row r="525" customFormat="false" ht="12.75" hidden="false" customHeight="false" outlineLevel="0" collapsed="false">
      <c r="A525" s="6" t="s">
        <v>18</v>
      </c>
      <c r="B525" s="6" t="n">
        <v>1</v>
      </c>
      <c r="C525" s="6" t="n">
        <v>1163261</v>
      </c>
      <c r="D525" s="6" t="n">
        <v>0</v>
      </c>
      <c r="E525" s="6" t="n">
        <v>0.0261485883128481</v>
      </c>
      <c r="F525" s="6"/>
      <c r="G525" s="6" t="n">
        <v>1.71548959608199E-012</v>
      </c>
      <c r="H525" s="6" t="n">
        <v>0</v>
      </c>
      <c r="I525" s="15" t="n">
        <v>0.00461004894419104</v>
      </c>
      <c r="J525" s="15" t="n">
        <v>0.0420042833674684</v>
      </c>
      <c r="K525" s="15"/>
      <c r="L525" s="15" t="n">
        <v>0</v>
      </c>
      <c r="M525" s="15" t="n">
        <v>0.00461004894419104</v>
      </c>
      <c r="N525" s="15" t="n">
        <v>-0.0680543894581622</v>
      </c>
      <c r="O525" s="15" t="n">
        <v>-0.209394372692423</v>
      </c>
    </row>
    <row r="526" customFormat="false" ht="12.75" hidden="false" customHeight="false" outlineLevel="0" collapsed="false">
      <c r="A526" s="6" t="s">
        <v>19</v>
      </c>
      <c r="B526" s="6" t="n">
        <v>1</v>
      </c>
      <c r="C526" s="6" t="n">
        <v>11829940</v>
      </c>
      <c r="D526" s="6" t="n">
        <v>0.0825389755011136</v>
      </c>
      <c r="E526" s="6" t="n">
        <v>0.0281937744250442</v>
      </c>
      <c r="F526" s="6"/>
      <c r="G526" s="6" t="n">
        <v>2.04279325453952E-013</v>
      </c>
      <c r="H526" s="6" t="n">
        <v>0.0925020274991467</v>
      </c>
      <c r="I526" s="15" t="n">
        <v>0.036438958177572</v>
      </c>
      <c r="J526" s="15" t="n">
        <v>0.0420042833674684</v>
      </c>
      <c r="K526" s="15"/>
      <c r="L526" s="15" t="n">
        <v>0.0925020274991467</v>
      </c>
      <c r="M526" s="15" t="n">
        <v>0.036438958177572</v>
      </c>
      <c r="N526" s="15" t="n">
        <v>0.299194963539751</v>
      </c>
      <c r="O526" s="15" t="n">
        <v>0.251734885281357</v>
      </c>
    </row>
    <row r="527" customFormat="false" ht="12.75" hidden="false" customHeight="false" outlineLevel="0" collapsed="false">
      <c r="A527" s="6" t="s">
        <v>20</v>
      </c>
      <c r="B527" s="6" t="n">
        <v>1</v>
      </c>
      <c r="C527" s="6" t="n">
        <v>5803471</v>
      </c>
      <c r="D527" s="6" t="n">
        <v>0.120414428242517</v>
      </c>
      <c r="E527" s="6" t="n">
        <v>0.03280824193038</v>
      </c>
      <c r="F527" s="6"/>
      <c r="G527" s="6" t="n">
        <v>4.75336844122294E-011</v>
      </c>
      <c r="H527" s="6" t="n">
        <v>0.0425729531743058</v>
      </c>
      <c r="I527" s="15" t="n">
        <v>0.0283861723600807</v>
      </c>
      <c r="J527" s="15" t="n">
        <v>0.0420042833674684</v>
      </c>
      <c r="K527" s="15"/>
      <c r="L527" s="15" t="n">
        <v>0.0425729531743058</v>
      </c>
      <c r="M527" s="15" t="n">
        <v>0.0283861723600807</v>
      </c>
      <c r="N527" s="15" t="n">
        <v>0.085424726646379</v>
      </c>
      <c r="O527" s="15" t="n">
        <v>0.0028348598744114</v>
      </c>
    </row>
    <row r="528" customFormat="false" ht="12.75" hidden="false" customHeight="false" outlineLevel="0" collapsed="false">
      <c r="A528" s="6" t="s">
        <v>21</v>
      </c>
      <c r="B528" s="6" t="n">
        <v>1</v>
      </c>
      <c r="C528" s="6" t="n">
        <v>2841764</v>
      </c>
      <c r="D528" s="6" t="n">
        <v>0</v>
      </c>
      <c r="E528" s="6" t="n">
        <v>0.0369184324665151</v>
      </c>
      <c r="F528" s="6"/>
      <c r="G528" s="6" t="n">
        <v>9.38297197918158E-012</v>
      </c>
      <c r="H528" s="6" t="n">
        <v>0.00107334901207605</v>
      </c>
      <c r="I528" s="15" t="n">
        <v>0.00760019760002761</v>
      </c>
      <c r="J528" s="15" t="n">
        <v>0.0420042833674684</v>
      </c>
      <c r="K528" s="15"/>
      <c r="L528" s="15" t="n">
        <v>0.00107334901207605</v>
      </c>
      <c r="M528" s="15" t="n">
        <v>0.00760019760002761</v>
      </c>
      <c r="N528" s="15" t="n">
        <v>-0.0751532491455295</v>
      </c>
      <c r="O528" s="15" t="n">
        <v>-0.204043650693491</v>
      </c>
    </row>
    <row r="529" customFormat="false" ht="12.75" hidden="false" customHeight="false" outlineLevel="0" collapsed="false">
      <c r="A529" s="6" t="s">
        <v>22</v>
      </c>
      <c r="B529" s="6" t="n">
        <v>1</v>
      </c>
      <c r="C529" s="6" t="n">
        <v>2565328</v>
      </c>
      <c r="D529" s="6" t="n">
        <v>0.238988095238095</v>
      </c>
      <c r="E529" s="6" t="n">
        <v>0.0706260870607761</v>
      </c>
      <c r="F529" s="6"/>
      <c r="G529" s="6" t="n">
        <v>8.3954224057573E-014</v>
      </c>
      <c r="H529" s="6" t="n">
        <v>0.0645640225441334</v>
      </c>
      <c r="I529" s="15" t="n">
        <v>0.0959594960990777</v>
      </c>
      <c r="J529" s="15" t="n">
        <v>0.0420042833674684</v>
      </c>
      <c r="K529" s="15"/>
      <c r="L529" s="15" t="n">
        <v>0.0645640225441334</v>
      </c>
      <c r="M529" s="15" t="n">
        <v>0.0959594960990777</v>
      </c>
      <c r="N529" s="15" t="n">
        <v>-0.106593105311211</v>
      </c>
      <c r="O529" s="15" t="n">
        <v>0.112461921839643</v>
      </c>
    </row>
    <row r="530" customFormat="false" ht="12.75" hidden="false" customHeight="false" outlineLevel="0" collapsed="false">
      <c r="A530" s="6" t="s">
        <v>23</v>
      </c>
      <c r="B530" s="6" t="n">
        <v>1</v>
      </c>
      <c r="C530" s="6" t="n">
        <v>3860219</v>
      </c>
      <c r="D530" s="6" t="n">
        <v>0.239415204678363</v>
      </c>
      <c r="E530" s="6" t="n">
        <v>0.0625602364619358</v>
      </c>
      <c r="F530" s="6"/>
      <c r="G530" s="6" t="n">
        <v>4.61685442104148E-011</v>
      </c>
      <c r="H530" s="6" t="n">
        <v>0.00845328299918051</v>
      </c>
      <c r="I530" s="15" t="n">
        <v>0.0942925065564166</v>
      </c>
      <c r="J530" s="15" t="n">
        <v>0.0420042833674684</v>
      </c>
      <c r="K530" s="15"/>
      <c r="L530" s="15" t="n">
        <v>0.00845328299918051</v>
      </c>
      <c r="M530" s="15" t="n">
        <v>0.0942925065564166</v>
      </c>
      <c r="N530" s="15" t="n">
        <v>-0.293733317169415</v>
      </c>
      <c r="O530" s="15" t="n">
        <v>-0.167254149150939</v>
      </c>
    </row>
    <row r="531" customFormat="false" ht="12.75" hidden="false" customHeight="false" outlineLevel="0" collapsed="false">
      <c r="A531" s="6" t="s">
        <v>24</v>
      </c>
      <c r="B531" s="6" t="n">
        <v>1</v>
      </c>
      <c r="C531" s="6" t="n">
        <v>4342334</v>
      </c>
      <c r="D531" s="6" t="n">
        <v>0</v>
      </c>
      <c r="E531" s="6" t="n">
        <v>0.0211147303966919</v>
      </c>
      <c r="F531" s="6"/>
      <c r="G531" s="6" t="n">
        <v>2.56823004434834E-012</v>
      </c>
      <c r="H531" s="6" t="n">
        <v>0.0293839643250748</v>
      </c>
      <c r="I531" s="15" t="n">
        <v>0.0062312332060831</v>
      </c>
      <c r="J531" s="15" t="n">
        <v>0.0420042833674684</v>
      </c>
      <c r="K531" s="15"/>
      <c r="L531" s="15" t="n">
        <v>0.0293839643250748</v>
      </c>
      <c r="M531" s="15" t="n">
        <v>0.0062312332060831</v>
      </c>
      <c r="N531" s="15" t="n">
        <v>0.294220245827667</v>
      </c>
      <c r="O531" s="15" t="n">
        <v>-0.0629131978265556</v>
      </c>
    </row>
    <row r="532" customFormat="false" ht="12.75" hidden="false" customHeight="false" outlineLevel="0" collapsed="false">
      <c r="A532" s="6" t="s">
        <v>25</v>
      </c>
      <c r="B532" s="6" t="n">
        <v>1</v>
      </c>
      <c r="C532" s="6" t="n">
        <v>1241382</v>
      </c>
      <c r="D532" s="6" t="n">
        <v>0.292950391644909</v>
      </c>
      <c r="E532" s="6" t="n">
        <v>0.0206121747105353</v>
      </c>
      <c r="F532" s="6"/>
      <c r="G532" s="6" t="n">
        <v>2.65827638003696E-010</v>
      </c>
      <c r="H532" s="6" t="n">
        <v>0.105088318367691</v>
      </c>
      <c r="I532" s="15" t="n">
        <v>0.0516108970213506</v>
      </c>
      <c r="J532" s="15" t="n">
        <v>0.0420042833674684</v>
      </c>
      <c r="K532" s="15"/>
      <c r="L532" s="15" t="n">
        <v>0.105088318367691</v>
      </c>
      <c r="M532" s="15" t="n">
        <v>0.0516108970213506</v>
      </c>
      <c r="N532" s="15" t="n">
        <v>0.241716599724655</v>
      </c>
      <c r="O532" s="15" t="n">
        <v>0.31447845021465</v>
      </c>
    </row>
    <row r="533" customFormat="false" ht="12.75" hidden="false" customHeight="false" outlineLevel="0" collapsed="false">
      <c r="A533" s="6" t="s">
        <v>26</v>
      </c>
      <c r="B533" s="6" t="n">
        <v>1</v>
      </c>
      <c r="C533" s="6" t="n">
        <v>5042438</v>
      </c>
      <c r="D533" s="6" t="n">
        <v>0.059493670886076</v>
      </c>
      <c r="E533" s="6" t="n">
        <v>0.0697797782145526</v>
      </c>
      <c r="F533" s="6"/>
      <c r="G533" s="6" t="n">
        <v>7.3736342600225E-010</v>
      </c>
      <c r="H533" s="6" t="n">
        <v>0.0702579161473665</v>
      </c>
      <c r="I533" s="15" t="n">
        <v>0.0343131089554154</v>
      </c>
      <c r="J533" s="15" t="n">
        <v>0.0420042833674684</v>
      </c>
      <c r="K533" s="15"/>
      <c r="L533" s="15" t="n">
        <v>0.0702579161473665</v>
      </c>
      <c r="M533" s="15" t="n">
        <v>0.0343131089554154</v>
      </c>
      <c r="N533" s="15" t="n">
        <v>0.197464011611233</v>
      </c>
      <c r="O533" s="15" t="n">
        <v>0.140846390842387</v>
      </c>
    </row>
    <row r="534" customFormat="false" ht="12.75" hidden="false" customHeight="false" outlineLevel="0" collapsed="false">
      <c r="A534" s="6" t="s">
        <v>27</v>
      </c>
      <c r="B534" s="6" t="n">
        <v>1</v>
      </c>
      <c r="C534" s="6" t="n">
        <v>6073550</v>
      </c>
      <c r="D534" s="6" t="n">
        <v>0.163254593175853</v>
      </c>
      <c r="E534" s="6" t="n">
        <v>0.0502082263621112</v>
      </c>
      <c r="F534" s="6"/>
      <c r="G534" s="6" t="n">
        <v>2.60150207336547E-011</v>
      </c>
      <c r="H534" s="6" t="n">
        <v>0.103944816167345</v>
      </c>
      <c r="I534" s="15" t="n">
        <v>0.0563076099342239</v>
      </c>
      <c r="J534" s="15" t="n">
        <v>0.0420042833674684</v>
      </c>
      <c r="K534" s="15"/>
      <c r="L534" s="15" t="n">
        <v>0.103944816167345</v>
      </c>
      <c r="M534" s="15" t="n">
        <v>0.0563076099342239</v>
      </c>
      <c r="N534" s="15" t="n">
        <v>0.206655758004092</v>
      </c>
      <c r="O534" s="15" t="n">
        <v>0.308778009528181</v>
      </c>
    </row>
    <row r="535" customFormat="false" ht="12.75" hidden="false" customHeight="false" outlineLevel="0" collapsed="false">
      <c r="A535" s="6" t="s">
        <v>28</v>
      </c>
      <c r="B535" s="6" t="n">
        <v>1</v>
      </c>
      <c r="C535" s="6" t="n">
        <v>9549353</v>
      </c>
      <c r="D535" s="6" t="n">
        <v>0</v>
      </c>
      <c r="E535" s="6" t="n">
        <v>0.00796925854450259</v>
      </c>
      <c r="F535" s="6"/>
      <c r="G535" s="6" t="n">
        <v>9.23270469744563E-013</v>
      </c>
      <c r="H535" s="6" t="n">
        <v>0.00738787711371125</v>
      </c>
      <c r="I535" s="15" t="n">
        <v>0.00887370617422767</v>
      </c>
      <c r="J535" s="15" t="n">
        <v>0.0420042833674684</v>
      </c>
      <c r="K535" s="15"/>
      <c r="L535" s="15" t="n">
        <v>0.00738787711371125</v>
      </c>
      <c r="M535" s="15" t="n">
        <v>0.00887370617422767</v>
      </c>
      <c r="N535" s="15" t="n">
        <v>-0.0158435255003083</v>
      </c>
      <c r="O535" s="15" t="n">
        <v>-0.172565274092627</v>
      </c>
    </row>
    <row r="536" customFormat="false" ht="12.75" hidden="false" customHeight="false" outlineLevel="0" collapsed="false">
      <c r="A536" s="6" t="s">
        <v>29</v>
      </c>
      <c r="B536" s="6" t="n">
        <v>1</v>
      </c>
      <c r="C536" s="6" t="n">
        <v>4609548</v>
      </c>
      <c r="D536" s="6" t="n">
        <v>0</v>
      </c>
      <c r="E536" s="6" t="n">
        <v>0.0231171606433715</v>
      </c>
      <c r="F536" s="6"/>
      <c r="G536" s="6" t="n">
        <v>3.91416523412056E-014</v>
      </c>
      <c r="H536" s="6" t="n">
        <v>0</v>
      </c>
      <c r="I536" s="15" t="n">
        <v>0.00679108298334075</v>
      </c>
      <c r="J536" s="15" t="n">
        <v>0.0420042833674684</v>
      </c>
      <c r="K536" s="15"/>
      <c r="L536" s="15" t="n">
        <v>0</v>
      </c>
      <c r="M536" s="15" t="n">
        <v>0.00679108298334075</v>
      </c>
      <c r="N536" s="15" t="n">
        <v>-0.0826892806206926</v>
      </c>
      <c r="O536" s="15" t="n">
        <v>-0.209394372692423</v>
      </c>
    </row>
    <row r="537" customFormat="false" ht="12.75" hidden="false" customHeight="false" outlineLevel="0" collapsed="false">
      <c r="A537" s="6" t="s">
        <v>30</v>
      </c>
      <c r="B537" s="6" t="n">
        <v>1</v>
      </c>
      <c r="C537" s="6" t="n">
        <v>2697243</v>
      </c>
      <c r="D537" s="6" t="n">
        <v>0</v>
      </c>
      <c r="E537" s="6" t="n">
        <v>0.0305028704492417</v>
      </c>
      <c r="F537" s="6"/>
      <c r="G537" s="6" t="n">
        <v>3.31728127610878E-012</v>
      </c>
      <c r="H537" s="6" t="n">
        <v>0</v>
      </c>
      <c r="I537" s="15" t="n">
        <v>0.00634946132745795</v>
      </c>
      <c r="J537" s="15" t="n">
        <v>0.0420042833674684</v>
      </c>
      <c r="K537" s="15"/>
      <c r="L537" s="15" t="n">
        <v>0</v>
      </c>
      <c r="M537" s="15" t="n">
        <v>0.00634946132745795</v>
      </c>
      <c r="N537" s="15" t="n">
        <v>-0.0799376920173701</v>
      </c>
      <c r="O537" s="15" t="n">
        <v>-0.209394372692423</v>
      </c>
    </row>
    <row r="538" customFormat="false" ht="12.75" hidden="false" customHeight="false" outlineLevel="0" collapsed="false">
      <c r="A538" s="6" t="s">
        <v>31</v>
      </c>
      <c r="B538" s="6" t="n">
        <v>1</v>
      </c>
      <c r="C538" s="6" t="n">
        <v>5323523</v>
      </c>
      <c r="D538" s="6" t="n">
        <v>0</v>
      </c>
      <c r="E538" s="6" t="n">
        <v>0.0724272745344907</v>
      </c>
      <c r="F538" s="6"/>
      <c r="G538" s="6" t="n">
        <v>1.15835281976731E-010</v>
      </c>
      <c r="H538" s="6" t="n">
        <v>0.000759685797103275</v>
      </c>
      <c r="I538" s="15" t="n">
        <v>0.0232465251947749</v>
      </c>
      <c r="J538" s="15" t="n">
        <v>0.0420042833674684</v>
      </c>
      <c r="K538" s="15"/>
      <c r="L538" s="15" t="n">
        <v>0.000759685797103275</v>
      </c>
      <c r="M538" s="15" t="n">
        <v>0.0232465251947749</v>
      </c>
      <c r="N538" s="15" t="n">
        <v>-0.149230265972732</v>
      </c>
      <c r="O538" s="15" t="n">
        <v>-0.205607284372497</v>
      </c>
    </row>
    <row r="539" customFormat="false" ht="12.75" hidden="false" customHeight="false" outlineLevel="0" collapsed="false">
      <c r="A539" s="6" t="s">
        <v>32</v>
      </c>
      <c r="B539" s="6" t="n">
        <v>1</v>
      </c>
      <c r="C539" s="6" t="n">
        <v>870281</v>
      </c>
      <c r="D539" s="6" t="n">
        <v>0</v>
      </c>
      <c r="E539" s="6" t="n">
        <v>0.00796409544263987</v>
      </c>
      <c r="F539" s="6"/>
      <c r="G539" s="6" t="n">
        <v>3.47319888352621E-014</v>
      </c>
      <c r="H539" s="6" t="n">
        <v>0</v>
      </c>
      <c r="I539" s="15" t="n">
        <v>0.00270802694938122</v>
      </c>
      <c r="J539" s="15" t="n">
        <v>0.0420042833674684</v>
      </c>
      <c r="K539" s="15"/>
      <c r="L539" s="15" t="n">
        <v>0</v>
      </c>
      <c r="M539" s="15" t="n">
        <v>0.00270802694938122</v>
      </c>
      <c r="N539" s="15" t="n">
        <v>-0.0521093108027397</v>
      </c>
      <c r="O539" s="15" t="n">
        <v>-0.209394372692423</v>
      </c>
    </row>
    <row r="540" customFormat="false" ht="12.75" hidden="false" customHeight="false" outlineLevel="0" collapsed="false">
      <c r="A540" s="6" t="s">
        <v>33</v>
      </c>
      <c r="B540" s="6" t="n">
        <v>1</v>
      </c>
      <c r="C540" s="6" t="n">
        <v>1637112</v>
      </c>
      <c r="D540" s="6" t="n">
        <v>0</v>
      </c>
      <c r="E540" s="6" t="n">
        <v>0.0425053293156057</v>
      </c>
      <c r="F540" s="6"/>
      <c r="G540" s="6" t="n">
        <v>1.27766030104349E-013</v>
      </c>
      <c r="H540" s="6" t="n">
        <v>0.00199508308555689</v>
      </c>
      <c r="I540" s="15" t="n">
        <v>0.00746100807541672</v>
      </c>
      <c r="J540" s="15" t="n">
        <v>0.0420042833674684</v>
      </c>
      <c r="K540" s="15"/>
      <c r="L540" s="15" t="n">
        <v>0.00199508308555689</v>
      </c>
      <c r="M540" s="15" t="n">
        <v>0.00746100807541672</v>
      </c>
      <c r="N540" s="15" t="n">
        <v>-0.0635171676627061</v>
      </c>
      <c r="O540" s="15" t="n">
        <v>-0.199448740064561</v>
      </c>
    </row>
    <row r="541" customFormat="false" ht="12.75" hidden="false" customHeight="false" outlineLevel="0" collapsed="false">
      <c r="A541" s="6" t="s">
        <v>34</v>
      </c>
      <c r="B541" s="6" t="n">
        <v>1</v>
      </c>
      <c r="C541" s="6" t="n">
        <v>1530108</v>
      </c>
      <c r="D541" s="6" t="n">
        <v>0</v>
      </c>
      <c r="E541" s="6" t="n">
        <v>0.0433497425670366</v>
      </c>
      <c r="F541" s="6"/>
      <c r="G541" s="6" t="n">
        <v>1.76208456848238E-013</v>
      </c>
      <c r="H541" s="6" t="n">
        <v>0</v>
      </c>
      <c r="I541" s="15" t="n">
        <v>0.00751345430287598</v>
      </c>
      <c r="J541" s="15" t="n">
        <v>0.0420042833674684</v>
      </c>
      <c r="K541" s="15"/>
      <c r="L541" s="15" t="n">
        <v>0</v>
      </c>
      <c r="M541" s="15" t="n">
        <v>0.00751345430287598</v>
      </c>
      <c r="N541" s="15" t="n">
        <v>-0.0870076643686032</v>
      </c>
      <c r="O541" s="15" t="n">
        <v>-0.209394372692423</v>
      </c>
    </row>
    <row r="542" customFormat="false" ht="12.75" hidden="false" customHeight="false" outlineLevel="0" collapsed="false">
      <c r="A542" s="6" t="s">
        <v>35</v>
      </c>
      <c r="B542" s="6" t="n">
        <v>1</v>
      </c>
      <c r="C542" s="6" t="n">
        <v>1148253</v>
      </c>
      <c r="D542" s="6" t="n">
        <v>0.290225563909774</v>
      </c>
      <c r="E542" s="6" t="n">
        <v>0.0851357193769645</v>
      </c>
      <c r="F542" s="6"/>
      <c r="G542" s="6" t="n">
        <v>7.50551003301169E-008</v>
      </c>
      <c r="H542" s="6" t="n">
        <v>0.117777368981519</v>
      </c>
      <c r="I542" s="15" t="n">
        <v>0.140276157455243</v>
      </c>
      <c r="J542" s="15" t="n">
        <v>0.0420042833674684</v>
      </c>
      <c r="K542" s="15"/>
      <c r="L542" s="15" t="n">
        <v>0.117777368981519</v>
      </c>
      <c r="M542" s="15" t="n">
        <v>0.140276157455243</v>
      </c>
      <c r="N542" s="15" t="n">
        <v>-0.0647869771001695</v>
      </c>
      <c r="O542" s="15" t="n">
        <v>0.377734279866601</v>
      </c>
    </row>
    <row r="543" customFormat="false" ht="12.75" hidden="false" customHeight="false" outlineLevel="0" collapsed="false">
      <c r="A543" s="6" t="s">
        <v>36</v>
      </c>
      <c r="B543" s="6" t="n">
        <v>1</v>
      </c>
      <c r="C543" s="6" t="n">
        <v>7945298</v>
      </c>
      <c r="D543" s="6" t="n">
        <v>0.424725274725275</v>
      </c>
      <c r="E543" s="6" t="n">
        <v>0.0704522955482905</v>
      </c>
      <c r="F543" s="6"/>
      <c r="G543" s="6" t="n">
        <v>9.78574048714857E-007</v>
      </c>
      <c r="H543" s="6" t="n">
        <v>0.273303356469306</v>
      </c>
      <c r="I543" s="15" t="n">
        <v>0.269015491466578</v>
      </c>
      <c r="J543" s="15" t="n">
        <v>0.0420042833674684</v>
      </c>
      <c r="K543" s="15"/>
      <c r="L543" s="15" t="n">
        <v>0.273303356469306</v>
      </c>
      <c r="M543" s="15" t="n">
        <v>0.269015491466578</v>
      </c>
      <c r="N543" s="15" t="n">
        <v>0.00966937430368399</v>
      </c>
      <c r="O543" s="15" t="n">
        <v>1.15304250980291</v>
      </c>
    </row>
    <row r="544" customFormat="false" ht="12.75" hidden="false" customHeight="false" outlineLevel="0" collapsed="false">
      <c r="A544" s="6" t="s">
        <v>37</v>
      </c>
      <c r="B544" s="6" t="n">
        <v>1</v>
      </c>
      <c r="C544" s="6" t="n">
        <v>1685401</v>
      </c>
      <c r="D544" s="6" t="n">
        <v>0</v>
      </c>
      <c r="E544" s="6" t="n">
        <v>0.0190957981584029</v>
      </c>
      <c r="F544" s="6"/>
      <c r="G544" s="6" t="n">
        <v>3.26758137987897E-012</v>
      </c>
      <c r="H544" s="6" t="n">
        <v>0</v>
      </c>
      <c r="I544" s="15" t="n">
        <v>0.00411440792836149</v>
      </c>
      <c r="J544" s="15" t="n">
        <v>0.0420042833674684</v>
      </c>
      <c r="K544" s="15"/>
      <c r="L544" s="15" t="n">
        <v>0</v>
      </c>
      <c r="M544" s="15" t="n">
        <v>0.00411440792836149</v>
      </c>
      <c r="N544" s="15" t="n">
        <v>-0.064276015891339</v>
      </c>
      <c r="O544" s="15" t="n">
        <v>-0.209394372692423</v>
      </c>
    </row>
    <row r="545" customFormat="false" ht="12.75" hidden="false" customHeight="false" outlineLevel="0" collapsed="false">
      <c r="A545" s="6" t="s">
        <v>38</v>
      </c>
      <c r="B545" s="6" t="n">
        <v>1</v>
      </c>
      <c r="C545" s="6" t="n">
        <v>18136081</v>
      </c>
      <c r="D545" s="6" t="n">
        <v>0.270103092783505</v>
      </c>
      <c r="E545" s="6" t="n">
        <v>0.0509878017590525</v>
      </c>
      <c r="F545" s="6"/>
      <c r="G545" s="6" t="n">
        <v>6.14030526894406E-010</v>
      </c>
      <c r="H545" s="6" t="n">
        <v>0.331822037089797</v>
      </c>
      <c r="I545" s="15" t="n">
        <v>0.261999669249979</v>
      </c>
      <c r="J545" s="15" t="n">
        <v>0.0420042833674684</v>
      </c>
      <c r="K545" s="15"/>
      <c r="L545" s="15" t="n">
        <v>0.331822037089797</v>
      </c>
      <c r="M545" s="15" t="n">
        <v>0.261999669249979</v>
      </c>
      <c r="N545" s="15" t="n">
        <v>0.158787358069482</v>
      </c>
      <c r="O545" s="15" t="n">
        <v>1.44476234018587</v>
      </c>
    </row>
    <row r="546" customFormat="false" ht="12.75" hidden="false" customHeight="false" outlineLevel="0" collapsed="false">
      <c r="A546" s="6" t="s">
        <v>39</v>
      </c>
      <c r="B546" s="6" t="n">
        <v>1</v>
      </c>
      <c r="C546" s="6" t="n">
        <v>7195138</v>
      </c>
      <c r="D546" s="6" t="n">
        <v>0</v>
      </c>
      <c r="E546" s="6" t="n">
        <v>0.0221303868527105</v>
      </c>
      <c r="F546" s="6"/>
      <c r="G546" s="6" t="n">
        <v>1.73290869510021E-012</v>
      </c>
      <c r="H546" s="6" t="n">
        <v>0.000738443042039357</v>
      </c>
      <c r="I546" s="15" t="n">
        <v>0.00926704623879204</v>
      </c>
      <c r="J546" s="15" t="n">
        <v>0.0420042833674684</v>
      </c>
      <c r="K546" s="15"/>
      <c r="L546" s="15" t="n">
        <v>0.000738443042039357</v>
      </c>
      <c r="M546" s="15" t="n">
        <v>0.00926704623879204</v>
      </c>
      <c r="N546" s="15" t="n">
        <v>-0.0890079788628963</v>
      </c>
      <c r="O546" s="15" t="n">
        <v>-0.205713181033844</v>
      </c>
    </row>
    <row r="547" customFormat="false" ht="12.75" hidden="false" customHeight="false" outlineLevel="0" collapsed="false">
      <c r="A547" s="6" t="s">
        <v>40</v>
      </c>
      <c r="B547" s="6" t="n">
        <v>1</v>
      </c>
      <c r="C547" s="6" t="n">
        <v>641367</v>
      </c>
      <c r="D547" s="6" t="n">
        <v>0</v>
      </c>
      <c r="E547" s="6" t="n">
        <v>0.0585817128891722</v>
      </c>
      <c r="F547" s="6"/>
      <c r="G547" s="6" t="n">
        <v>2.88428682897276E-014</v>
      </c>
      <c r="H547" s="6" t="n">
        <v>0</v>
      </c>
      <c r="I547" s="15" t="n">
        <v>0.00972624619828133</v>
      </c>
      <c r="J547" s="15" t="n">
        <v>0.0420042833674684</v>
      </c>
      <c r="K547" s="15"/>
      <c r="L547" s="15" t="n">
        <v>0</v>
      </c>
      <c r="M547" s="15" t="n">
        <v>0.00972624619828133</v>
      </c>
      <c r="N547" s="15" t="n">
        <v>-0.0991048697189001</v>
      </c>
      <c r="O547" s="15" t="n">
        <v>-0.209394372692423</v>
      </c>
    </row>
    <row r="548" customFormat="false" ht="12.75" hidden="false" customHeight="false" outlineLevel="0" collapsed="false">
      <c r="A548" s="6" t="s">
        <v>41</v>
      </c>
      <c r="B548" s="6" t="n">
        <v>1</v>
      </c>
      <c r="C548" s="6" t="n">
        <v>11150506</v>
      </c>
      <c r="D548" s="6" t="n">
        <v>0.124419204956118</v>
      </c>
      <c r="E548" s="6" t="n">
        <v>0.0282688311910131</v>
      </c>
      <c r="F548" s="6"/>
      <c r="G548" s="6" t="n">
        <v>3.8555392305473E-012</v>
      </c>
      <c r="H548" s="6" t="n">
        <v>0.0328757643019831</v>
      </c>
      <c r="I548" s="15" t="n">
        <v>0.046561703803342</v>
      </c>
      <c r="J548" s="15" t="n">
        <v>0.0420042833674684</v>
      </c>
      <c r="K548" s="15"/>
      <c r="L548" s="15" t="n">
        <v>0.0328757643019831</v>
      </c>
      <c r="M548" s="15" t="n">
        <v>0.046561703803342</v>
      </c>
      <c r="N548" s="15" t="n">
        <v>-0.0649551945631936</v>
      </c>
      <c r="O548" s="15" t="n">
        <v>-0.0455063238814475</v>
      </c>
    </row>
    <row r="549" customFormat="false" ht="12.75" hidden="false" customHeight="false" outlineLevel="0" collapsed="false">
      <c r="A549" s="6" t="s">
        <v>42</v>
      </c>
      <c r="B549" s="6" t="n">
        <v>1</v>
      </c>
      <c r="C549" s="6" t="n">
        <v>3277687</v>
      </c>
      <c r="D549" s="6" t="n">
        <v>0.163815789473684</v>
      </c>
      <c r="E549" s="6" t="n">
        <v>0.0108396118772474</v>
      </c>
      <c r="F549" s="6"/>
      <c r="G549" s="6" t="n">
        <v>8.18184975183888E-013</v>
      </c>
      <c r="H549" s="6" t="n">
        <v>0.0759782565467173</v>
      </c>
      <c r="I549" s="15" t="n">
        <v>0.0191860606673971</v>
      </c>
      <c r="J549" s="15" t="n">
        <v>0.0420042833674684</v>
      </c>
      <c r="K549" s="15"/>
      <c r="L549" s="15" t="n">
        <v>0.0759782565467173</v>
      </c>
      <c r="M549" s="15" t="n">
        <v>0.0191860606673971</v>
      </c>
      <c r="N549" s="15" t="n">
        <v>0.414002000486371</v>
      </c>
      <c r="O549" s="15" t="n">
        <v>0.169362699025302</v>
      </c>
    </row>
    <row r="550" customFormat="false" ht="12.75" hidden="false" customHeight="false" outlineLevel="0" collapsed="false">
      <c r="A550" s="6" t="s">
        <v>43</v>
      </c>
      <c r="B550" s="6" t="n">
        <v>1</v>
      </c>
      <c r="C550" s="6" t="n">
        <v>3140585</v>
      </c>
      <c r="D550" s="6" t="n">
        <v>0</v>
      </c>
      <c r="E550" s="6" t="n">
        <v>0.0372433830337473</v>
      </c>
      <c r="F550" s="6"/>
      <c r="G550" s="6" t="n">
        <v>1.82145478296565E-012</v>
      </c>
      <c r="H550" s="6" t="n">
        <v>0.00529904028492617</v>
      </c>
      <c r="I550" s="15" t="n">
        <v>0.00796494051881047</v>
      </c>
      <c r="J550" s="15" t="n">
        <v>0.0420042833674684</v>
      </c>
      <c r="K550" s="15"/>
      <c r="L550" s="15" t="n">
        <v>0.00529904028492617</v>
      </c>
      <c r="M550" s="15" t="n">
        <v>0.00796494051881047</v>
      </c>
      <c r="N550" s="15" t="n">
        <v>-0.0299908734244508</v>
      </c>
      <c r="O550" s="15" t="n">
        <v>-0.18297827587137</v>
      </c>
    </row>
    <row r="551" customFormat="false" ht="12.75" hidden="false" customHeight="false" outlineLevel="0" collapsed="false">
      <c r="A551" s="6" t="s">
        <v>44</v>
      </c>
      <c r="B551" s="6" t="n">
        <v>1</v>
      </c>
      <c r="C551" s="6" t="n">
        <v>12071842</v>
      </c>
      <c r="D551" s="6" t="n">
        <v>0.224868231911835</v>
      </c>
      <c r="E551" s="6" t="n">
        <v>0.0341732303708947</v>
      </c>
      <c r="F551" s="6"/>
      <c r="G551" s="6" t="n">
        <v>7.42322736941945E-009</v>
      </c>
      <c r="H551" s="6" t="n">
        <v>0.116977230877519</v>
      </c>
      <c r="I551" s="15" t="n">
        <v>0.108571746907544</v>
      </c>
      <c r="J551" s="15" t="n">
        <v>0.0420042833674684</v>
      </c>
      <c r="K551" s="15"/>
      <c r="L551" s="15" t="n">
        <v>0.116977230877519</v>
      </c>
      <c r="M551" s="15" t="n">
        <v>0.108571746907544</v>
      </c>
      <c r="N551" s="15" t="n">
        <v>0.0270184925184231</v>
      </c>
      <c r="O551" s="15" t="n">
        <v>0.37374553388828</v>
      </c>
    </row>
    <row r="552" customFormat="false" ht="12.75" hidden="false" customHeight="false" outlineLevel="0" collapsed="false">
      <c r="A552" s="6" t="s">
        <v>45</v>
      </c>
      <c r="B552" s="6" t="n">
        <v>1</v>
      </c>
      <c r="C552" s="6" t="n">
        <v>989794</v>
      </c>
      <c r="D552" s="6" t="n">
        <v>0</v>
      </c>
      <c r="E552" s="6" t="n">
        <v>0.0757652407576525</v>
      </c>
      <c r="F552" s="6"/>
      <c r="G552" s="6" t="n">
        <v>1.30467382846026E-008</v>
      </c>
      <c r="H552" s="6" t="n">
        <v>0.0373661178404778</v>
      </c>
      <c r="I552" s="15" t="n">
        <v>0.0150593053389887</v>
      </c>
      <c r="J552" s="15" t="n">
        <v>0.0420042833674684</v>
      </c>
      <c r="K552" s="15"/>
      <c r="L552" s="15" t="n">
        <v>0.0373661178404778</v>
      </c>
      <c r="M552" s="15" t="n">
        <v>0.0150593053389887</v>
      </c>
      <c r="N552" s="15" t="n">
        <v>0.183159735033595</v>
      </c>
      <c r="O552" s="15" t="n">
        <v>-0.0231215886358867</v>
      </c>
    </row>
    <row r="553" customFormat="false" ht="12.75" hidden="false" customHeight="false" outlineLevel="0" collapsed="false">
      <c r="A553" s="6" t="s">
        <v>46</v>
      </c>
      <c r="B553" s="6" t="n">
        <v>1</v>
      </c>
      <c r="C553" s="6" t="n">
        <v>3673287</v>
      </c>
      <c r="D553" s="6" t="n">
        <v>0</v>
      </c>
      <c r="E553" s="6" t="n">
        <v>0.0212156597627681</v>
      </c>
      <c r="F553" s="6"/>
      <c r="G553" s="6" t="n">
        <v>2.57625046539453E-014</v>
      </c>
      <c r="H553" s="6" t="n">
        <v>0</v>
      </c>
      <c r="I553" s="15" t="n">
        <v>0.00571139296171774</v>
      </c>
      <c r="J553" s="15" t="n">
        <v>0.0420042833674684</v>
      </c>
      <c r="K553" s="15"/>
      <c r="L553" s="15" t="n">
        <v>0</v>
      </c>
      <c r="M553" s="15" t="n">
        <v>0.00571139296171774</v>
      </c>
      <c r="N553" s="15" t="n">
        <v>-0.0757905030142376</v>
      </c>
      <c r="O553" s="15" t="n">
        <v>-0.209394372692423</v>
      </c>
    </row>
    <row r="554" customFormat="false" ht="12.75" hidden="false" customHeight="false" outlineLevel="0" collapsed="false">
      <c r="A554" s="6" t="s">
        <v>47</v>
      </c>
      <c r="B554" s="6" t="n">
        <v>1</v>
      </c>
      <c r="C554" s="6" t="n">
        <v>729034</v>
      </c>
      <c r="D554" s="6" t="n">
        <v>0</v>
      </c>
      <c r="E554" s="6" t="n">
        <v>0.0295761623107812</v>
      </c>
      <c r="F554" s="6"/>
      <c r="G554" s="6" t="n">
        <v>8.51096256861615E-012</v>
      </c>
      <c r="H554" s="6" t="n">
        <v>0</v>
      </c>
      <c r="I554" s="15" t="n">
        <v>0.00475044260455748</v>
      </c>
      <c r="J554" s="15" t="n">
        <v>0.0420042833674684</v>
      </c>
      <c r="K554" s="15"/>
      <c r="L554" s="15" t="n">
        <v>0</v>
      </c>
      <c r="M554" s="15" t="n">
        <v>0.00475044260455748</v>
      </c>
      <c r="N554" s="15" t="n">
        <v>-0.069087748718714</v>
      </c>
      <c r="O554" s="15" t="n">
        <v>-0.209394372692423</v>
      </c>
    </row>
    <row r="555" customFormat="false" ht="12.75" hidden="false" customHeight="false" outlineLevel="0" collapsed="false">
      <c r="A555" s="6" t="s">
        <v>48</v>
      </c>
      <c r="B555" s="6" t="n">
        <v>1</v>
      </c>
      <c r="C555" s="6" t="n">
        <v>5256051</v>
      </c>
      <c r="D555" s="6" t="n">
        <v>0</v>
      </c>
      <c r="E555" s="6" t="n">
        <v>0.0458630868796215</v>
      </c>
      <c r="F555" s="6"/>
      <c r="G555" s="6" t="n">
        <v>2.94341409435387E-013</v>
      </c>
      <c r="H555" s="6" t="n">
        <v>5.80051647196015E-005</v>
      </c>
      <c r="I555" s="15" t="n">
        <v>0.0127750714276689</v>
      </c>
      <c r="J555" s="15" t="n">
        <v>0.0420042833674684</v>
      </c>
      <c r="K555" s="15"/>
      <c r="L555" s="15" t="n">
        <v>5.80051647196015E-005</v>
      </c>
      <c r="M555" s="15" t="n">
        <v>0.0127750714276689</v>
      </c>
      <c r="N555" s="15" t="n">
        <v>-0.113239308602765</v>
      </c>
      <c r="O555" s="15" t="n">
        <v>-0.209105212775727</v>
      </c>
    </row>
    <row r="556" customFormat="false" ht="12.75" hidden="false" customHeight="false" outlineLevel="0" collapsed="false">
      <c r="A556" s="6" t="s">
        <v>49</v>
      </c>
      <c r="B556" s="6" t="n">
        <v>1</v>
      </c>
      <c r="C556" s="6" t="n">
        <v>18723991</v>
      </c>
      <c r="D556" s="6" t="n">
        <v>0.006727760393384</v>
      </c>
      <c r="E556" s="6" t="n">
        <v>0.00910524272123237</v>
      </c>
      <c r="F556" s="6"/>
      <c r="G556" s="6" t="n">
        <v>2.38458372944146E-012</v>
      </c>
      <c r="H556" s="6" t="n">
        <v>0.0247474685546935</v>
      </c>
      <c r="I556" s="15" t="n">
        <v>0.0284900748308971</v>
      </c>
      <c r="J556" s="15" t="n">
        <v>0.0420042833674684</v>
      </c>
      <c r="K556" s="15"/>
      <c r="L556" s="15" t="n">
        <v>0.0247474685546935</v>
      </c>
      <c r="M556" s="15" t="n">
        <v>0.0284900748308971</v>
      </c>
      <c r="N556" s="15" t="n">
        <v>-0.0224959182787223</v>
      </c>
      <c r="O556" s="15" t="n">
        <v>-0.0860264626056895</v>
      </c>
    </row>
    <row r="557" customFormat="false" ht="12.75" hidden="false" customHeight="false" outlineLevel="0" collapsed="false">
      <c r="A557" s="6" t="s">
        <v>50</v>
      </c>
      <c r="B557" s="6" t="n">
        <v>1</v>
      </c>
      <c r="C557" s="6" t="n">
        <v>1951408</v>
      </c>
      <c r="D557" s="6" t="n">
        <v>0</v>
      </c>
      <c r="E557" s="6" t="n">
        <v>0.00991343868813166</v>
      </c>
      <c r="F557" s="6"/>
      <c r="G557" s="6" t="n">
        <v>4.16760355861009E-013</v>
      </c>
      <c r="H557" s="6" t="n">
        <v>0.000622986197117817</v>
      </c>
      <c r="I557" s="15" t="n">
        <v>0.00333842790287953</v>
      </c>
      <c r="J557" s="15" t="n">
        <v>0.0420042833674684</v>
      </c>
      <c r="K557" s="15"/>
      <c r="L557" s="15" t="n">
        <v>0.000622986197117817</v>
      </c>
      <c r="M557" s="15" t="n">
        <v>0.00333842790287953</v>
      </c>
      <c r="N557" s="15" t="n">
        <v>-0.0470755742348434</v>
      </c>
      <c r="O557" s="15" t="n">
        <v>-0.206288741707118</v>
      </c>
    </row>
    <row r="558" customFormat="false" ht="12.75" hidden="false" customHeight="false" outlineLevel="0" collapsed="false">
      <c r="A558" s="6" t="s">
        <v>51</v>
      </c>
      <c r="B558" s="6" t="n">
        <v>1</v>
      </c>
      <c r="C558" s="6" t="n">
        <v>584771</v>
      </c>
      <c r="D558" s="6" t="n">
        <v>0</v>
      </c>
      <c r="E558" s="6" t="n">
        <v>0.0494956071368481</v>
      </c>
      <c r="F558" s="6"/>
      <c r="G558" s="6" t="n">
        <v>5.28659248696466E-009</v>
      </c>
      <c r="H558" s="6" t="n">
        <v>0</v>
      </c>
      <c r="I558" s="15" t="n">
        <v>0.00771171539683524</v>
      </c>
      <c r="J558" s="15" t="n">
        <v>0.0420042833674684</v>
      </c>
      <c r="K558" s="15"/>
      <c r="L558" s="15" t="n">
        <v>0</v>
      </c>
      <c r="M558" s="15" t="n">
        <v>0.00771171539683524</v>
      </c>
      <c r="N558" s="15" t="n">
        <v>-0.0881569517135203</v>
      </c>
      <c r="O558" s="15" t="n">
        <v>-0.209394372692423</v>
      </c>
    </row>
    <row r="559" customFormat="false" ht="12.75" hidden="false" customHeight="false" outlineLevel="0" collapsed="false">
      <c r="A559" s="6" t="s">
        <v>52</v>
      </c>
      <c r="B559" s="6" t="n">
        <v>1</v>
      </c>
      <c r="C559" s="6" t="n">
        <v>6618358</v>
      </c>
      <c r="D559" s="6" t="n">
        <v>0.102064896755162</v>
      </c>
      <c r="E559" s="6" t="n">
        <v>0.0646098010772455</v>
      </c>
      <c r="F559" s="6"/>
      <c r="G559" s="6" t="n">
        <v>2.1699894914854E-010</v>
      </c>
      <c r="H559" s="6" t="n">
        <v>0.0465283677535952</v>
      </c>
      <c r="I559" s="15" t="n">
        <v>0.0500407094455494</v>
      </c>
      <c r="J559" s="15" t="n">
        <v>0.0420042833674684</v>
      </c>
      <c r="K559" s="15"/>
      <c r="L559" s="15" t="n">
        <v>0.0465283677535952</v>
      </c>
      <c r="M559" s="15" t="n">
        <v>0.0500407094455494</v>
      </c>
      <c r="N559" s="15" t="n">
        <v>-0.01610951748346</v>
      </c>
      <c r="O559" s="15" t="n">
        <v>0.0225528859462531</v>
      </c>
    </row>
    <row r="560" customFormat="false" ht="12.75" hidden="false" customHeight="false" outlineLevel="0" collapsed="false">
      <c r="A560" s="6" t="s">
        <v>53</v>
      </c>
      <c r="B560" s="6" t="n">
        <v>1</v>
      </c>
      <c r="C560" s="6" t="n">
        <v>5430940</v>
      </c>
      <c r="D560" s="6" t="n">
        <v>0</v>
      </c>
      <c r="E560" s="6" t="n">
        <v>0.0152694227003708</v>
      </c>
      <c r="F560" s="6"/>
      <c r="G560" s="6" t="n">
        <v>4.68182221770351E-012</v>
      </c>
      <c r="H560" s="6" t="n">
        <v>0.0414276298865866</v>
      </c>
      <c r="I560" s="15" t="n">
        <v>0.00621171829943823</v>
      </c>
      <c r="J560" s="15" t="n">
        <v>0.0420042833674684</v>
      </c>
      <c r="K560" s="15"/>
      <c r="L560" s="15" t="n">
        <v>0.0414276298865866</v>
      </c>
      <c r="M560" s="15" t="n">
        <v>0.00621171829943823</v>
      </c>
      <c r="N560" s="15" t="n">
        <v>0.448214727975472</v>
      </c>
      <c r="O560" s="15" t="n">
        <v>-0.0028746590635483</v>
      </c>
    </row>
    <row r="561" customFormat="false" ht="12.75" hidden="false" customHeight="false" outlineLevel="0" collapsed="false">
      <c r="A561" s="6" t="s">
        <v>54</v>
      </c>
      <c r="B561" s="6" t="n">
        <v>1</v>
      </c>
      <c r="C561" s="6" t="n">
        <v>1828140</v>
      </c>
      <c r="D561" s="6" t="n">
        <v>0.154107142857143</v>
      </c>
      <c r="E561" s="6" t="n">
        <v>0.083450810945235</v>
      </c>
      <c r="F561" s="6"/>
      <c r="G561" s="6" t="n">
        <v>6.85214483647577E-010</v>
      </c>
      <c r="H561" s="6" t="n">
        <v>0.0657245663242686</v>
      </c>
      <c r="I561" s="15" t="n">
        <v>0.0642227358029377</v>
      </c>
      <c r="J561" s="15" t="n">
        <v>0.0420042833674684</v>
      </c>
      <c r="K561" s="15"/>
      <c r="L561" s="15" t="n">
        <v>0.0657245663242686</v>
      </c>
      <c r="M561" s="15" t="n">
        <v>0.0642227358029377</v>
      </c>
      <c r="N561" s="15" t="n">
        <v>0.00612618743897462</v>
      </c>
      <c r="O561" s="15" t="n">
        <v>0.118247316026649</v>
      </c>
    </row>
    <row r="562" customFormat="false" ht="12.75" hidden="false" customHeight="false" outlineLevel="0" collapsed="false">
      <c r="A562" s="6" t="s">
        <v>55</v>
      </c>
      <c r="B562" s="6" t="n">
        <v>1</v>
      </c>
      <c r="C562" s="6" t="n">
        <v>5122871</v>
      </c>
      <c r="D562" s="6" t="n">
        <v>0</v>
      </c>
      <c r="E562" s="6" t="n">
        <v>0.0137079087829872</v>
      </c>
      <c r="F562" s="6"/>
      <c r="G562" s="6" t="n">
        <v>6.22970666540397E-012</v>
      </c>
      <c r="H562" s="6" t="n">
        <v>1.13332512302244E-005</v>
      </c>
      <c r="I562" s="15" t="n">
        <v>0.00572769246573546</v>
      </c>
      <c r="J562" s="15" t="n">
        <v>0.0420042833674684</v>
      </c>
      <c r="K562" s="15"/>
      <c r="L562" s="15" t="n">
        <v>1.13332512302244E-005</v>
      </c>
      <c r="M562" s="15" t="n">
        <v>0.00572769246573546</v>
      </c>
      <c r="N562" s="15" t="n">
        <v>-0.0757490157785263</v>
      </c>
      <c r="O562" s="15" t="n">
        <v>-0.20933787562018</v>
      </c>
    </row>
    <row r="563" customFormat="false" ht="13.5" hidden="false" customHeight="false" outlineLevel="0" collapsed="false">
      <c r="A563" s="7" t="s">
        <v>56</v>
      </c>
      <c r="B563" s="7" t="n">
        <v>1</v>
      </c>
      <c r="C563" s="7" t="n">
        <v>480184</v>
      </c>
      <c r="D563" s="7" t="n">
        <v>0</v>
      </c>
      <c r="E563" s="7" t="n">
        <v>0.0256209952218234</v>
      </c>
      <c r="F563" s="7"/>
      <c r="G563" s="7" t="n">
        <v>2.06863081753292E-013</v>
      </c>
      <c r="H563" s="7" t="n">
        <v>0</v>
      </c>
      <c r="I563" s="16" t="n">
        <v>0.00413528061182022</v>
      </c>
      <c r="J563" s="16" t="n">
        <v>0.0420042833674684</v>
      </c>
      <c r="K563" s="16"/>
      <c r="L563" s="16" t="n">
        <v>0</v>
      </c>
      <c r="M563" s="16" t="n">
        <v>0.00413528061182022</v>
      </c>
      <c r="N563" s="16" t="n">
        <v>-0.0644395233281324</v>
      </c>
      <c r="O563" s="16" t="n">
        <v>-0.209394372692423</v>
      </c>
    </row>
    <row r="566" customFormat="false" ht="12.75" hidden="false" customHeight="false" outlineLevel="0" collapsed="false">
      <c r="A566" s="0" t="s">
        <v>420</v>
      </c>
    </row>
    <row r="567" customFormat="false" ht="12.75" hidden="false" customHeight="false" outlineLevel="0" collapsed="false">
      <c r="A567" s="0" t="s">
        <v>109</v>
      </c>
    </row>
    <row r="568" customFormat="false" ht="12.75" hidden="false" customHeight="false" outlineLevel="0" collapsed="false">
      <c r="A568" s="0" t="s">
        <v>417</v>
      </c>
    </row>
    <row r="569" customFormat="false" ht="12.75" hidden="false" customHeight="false" outlineLevel="0" collapsed="false">
      <c r="A569" s="0" t="s">
        <v>406</v>
      </c>
    </row>
    <row r="570" customFormat="false" ht="12.75" hidden="false" customHeight="false" outlineLevel="0" collapsed="false">
      <c r="A570" s="0" t="s">
        <v>112</v>
      </c>
    </row>
    <row r="571" customFormat="false" ht="12.75" hidden="false" customHeight="false" outlineLevel="0" collapsed="false">
      <c r="A571" s="0" t="s">
        <v>413</v>
      </c>
    </row>
    <row r="574" customFormat="false" ht="12.75" hidden="false" customHeight="false" outlineLevel="0" collapsed="false">
      <c r="A574" s="0" t="s">
        <v>371</v>
      </c>
    </row>
    <row r="575" customFormat="false" ht="13.5" hidden="false" customHeight="false" outlineLevel="0" collapsed="false"/>
    <row r="576" customFormat="false" ht="12.75" hidden="false" customHeight="false" outlineLevel="0" collapsed="false">
      <c r="A576" s="8" t="s">
        <v>372</v>
      </c>
      <c r="B576" s="8" t="s">
        <v>113</v>
      </c>
      <c r="C576" s="8" t="s">
        <v>114</v>
      </c>
    </row>
    <row r="577" customFormat="false" ht="12.75" hidden="false" customHeight="false" outlineLevel="0" collapsed="false">
      <c r="A577" s="6" t="s">
        <v>84</v>
      </c>
      <c r="B577" s="6" t="n">
        <v>5338722.3877551</v>
      </c>
      <c r="C577" s="6" t="n">
        <v>5779174.66837188</v>
      </c>
    </row>
    <row r="578" customFormat="false" ht="12.75" hidden="false" customHeight="false" outlineLevel="0" collapsed="false">
      <c r="A578" s="6" t="s">
        <v>105</v>
      </c>
      <c r="B578" s="6" t="n">
        <v>0.0748801382019185</v>
      </c>
      <c r="C578" s="6" t="n">
        <v>0.114610023517382</v>
      </c>
    </row>
    <row r="579" customFormat="false" ht="12.75" hidden="false" customHeight="false" outlineLevel="0" collapsed="false">
      <c r="A579" s="6" t="s">
        <v>100</v>
      </c>
      <c r="B579" s="6" t="n">
        <v>0.0372393142980251</v>
      </c>
      <c r="C579" s="6" t="n">
        <v>0.0269260351740362</v>
      </c>
    </row>
    <row r="580" customFormat="false" ht="13.5" hidden="false" customHeight="false" outlineLevel="0" collapsed="false">
      <c r="A580" s="7" t="s">
        <v>143</v>
      </c>
      <c r="B580" s="7" t="n">
        <v>2.30500166681722E-008</v>
      </c>
      <c r="C580" s="7" t="n">
        <v>1.3983591544212E-007</v>
      </c>
    </row>
    <row r="584" customFormat="false" ht="12.75" hidden="false" customHeight="false" outlineLevel="0" collapsed="false">
      <c r="A584" s="0" t="s">
        <v>374</v>
      </c>
    </row>
    <row r="585" customFormat="false" ht="13.5" hidden="false" customHeight="false" outlineLevel="0" collapsed="false"/>
    <row r="586" customFormat="false" ht="12.75" hidden="false" customHeight="false" outlineLevel="0" collapsed="false">
      <c r="A586" s="8" t="s">
        <v>375</v>
      </c>
      <c r="B586" s="8" t="s">
        <v>135</v>
      </c>
      <c r="C586" s="8" t="s">
        <v>136</v>
      </c>
      <c r="D586" s="8" t="s">
        <v>376</v>
      </c>
      <c r="E586" s="8" t="s">
        <v>377</v>
      </c>
      <c r="F586" s="40"/>
    </row>
    <row r="587" customFormat="false" ht="12.75" hidden="false" customHeight="false" outlineLevel="0" collapsed="false">
      <c r="A587" s="6" t="s">
        <v>80</v>
      </c>
      <c r="B587" s="15" t="n">
        <v>-1.91854255286911</v>
      </c>
      <c r="C587" s="15" t="n">
        <v>0.667135217681757</v>
      </c>
      <c r="D587" s="15" t="n">
        <v>8.27018334254893</v>
      </c>
      <c r="E587" s="15" t="n">
        <v>0.00403014381852915</v>
      </c>
      <c r="F587" s="15"/>
    </row>
    <row r="588" customFormat="false" ht="12.75" hidden="false" customHeight="false" outlineLevel="0" collapsed="false">
      <c r="A588" s="6" t="s">
        <v>84</v>
      </c>
      <c r="B588" s="15" t="n">
        <v>3.17828162611102E-008</v>
      </c>
      <c r="C588" s="15" t="n">
        <v>4.33126911546135E-008</v>
      </c>
      <c r="D588" s="15" t="n">
        <v>0.538461202964811</v>
      </c>
      <c r="E588" s="15" t="n">
        <v>0.463071157386298</v>
      </c>
      <c r="F588" s="15"/>
    </row>
    <row r="589" customFormat="false" ht="12.75" hidden="false" customHeight="false" outlineLevel="0" collapsed="false">
      <c r="A589" s="6" t="s">
        <v>105</v>
      </c>
      <c r="B589" s="15" t="n">
        <v>2.48131755258945</v>
      </c>
      <c r="C589" s="15" t="n">
        <v>2.5748613849444</v>
      </c>
      <c r="D589" s="15" t="n">
        <v>0.928660528916801</v>
      </c>
      <c r="E589" s="15" t="n">
        <v>0.335211236039425</v>
      </c>
      <c r="F589" s="15"/>
    </row>
    <row r="590" customFormat="false" ht="12.75" hidden="false" customHeight="false" outlineLevel="0" collapsed="false">
      <c r="A590" s="6" t="s">
        <v>100</v>
      </c>
      <c r="B590" s="15" t="n">
        <v>5.8810010241598</v>
      </c>
      <c r="C590" s="15" t="n">
        <v>9.76553600689086</v>
      </c>
      <c r="D590" s="15" t="n">
        <v>0.362668919777594</v>
      </c>
      <c r="E590" s="15" t="n">
        <v>0.547027709359255</v>
      </c>
      <c r="F590" s="15"/>
    </row>
    <row r="591" customFormat="false" ht="13.5" hidden="false" customHeight="false" outlineLevel="0" collapsed="false">
      <c r="A591" s="7" t="s">
        <v>143</v>
      </c>
      <c r="B591" s="16" t="n">
        <v>-77676.1918531249</v>
      </c>
      <c r="C591" s="16" t="n">
        <v>1528719.96563319</v>
      </c>
      <c r="D591" s="16" t="n">
        <v>0.00258178442279237</v>
      </c>
      <c r="E591" s="16" t="n">
        <v>0.959475916093164</v>
      </c>
      <c r="F591" s="15"/>
    </row>
    <row r="594" customFormat="false" ht="13.5" hidden="false" customHeight="false" outlineLevel="0" collapsed="false">
      <c r="A594" s="0" t="s">
        <v>378</v>
      </c>
    </row>
    <row r="595" customFormat="false" ht="12.75" hidden="false" customHeight="false" outlineLevel="0" collapsed="false">
      <c r="A595" s="8" t="s">
        <v>379</v>
      </c>
      <c r="B595" s="8" t="s">
        <v>380</v>
      </c>
      <c r="C595" s="8" t="s">
        <v>381</v>
      </c>
      <c r="D595" s="8" t="s">
        <v>382</v>
      </c>
      <c r="E595" s="8" t="s">
        <v>383</v>
      </c>
      <c r="F595" s="8"/>
      <c r="G595" s="8" t="s">
        <v>384</v>
      </c>
      <c r="H595" s="8" t="s">
        <v>385</v>
      </c>
      <c r="I595" s="8" t="s">
        <v>386</v>
      </c>
      <c r="J595" s="8" t="s">
        <v>387</v>
      </c>
      <c r="K595" s="8"/>
      <c r="L595" s="8" t="s">
        <v>388</v>
      </c>
      <c r="M595" s="8" t="s">
        <v>389</v>
      </c>
    </row>
    <row r="596" customFormat="false" ht="13.5" hidden="false" customHeight="false" outlineLevel="0" collapsed="false">
      <c r="A596" s="7" t="n">
        <v>49</v>
      </c>
      <c r="B596" s="7" t="n">
        <v>-6.8382584072</v>
      </c>
      <c r="C596" s="7" t="n">
        <v>-8.53885653882466</v>
      </c>
      <c r="D596" s="7" t="n">
        <v>1.30764868507876</v>
      </c>
      <c r="E596" s="7" t="n">
        <v>44</v>
      </c>
      <c r="F596" s="7"/>
      <c r="G596" s="7" t="n">
        <v>1</v>
      </c>
      <c r="H596" s="7" t="n">
        <v>3.40119626324932</v>
      </c>
      <c r="I596" s="7" t="n">
        <v>4</v>
      </c>
      <c r="J596" s="7" t="n">
        <v>0.493059784820542</v>
      </c>
      <c r="K596" s="7"/>
      <c r="L596" s="7" t="n">
        <v>0.740074196166719</v>
      </c>
      <c r="M596" s="7" t="n">
        <v>0.19915993715228</v>
      </c>
    </row>
    <row r="598" customFormat="false" ht="12.75" hidden="false" customHeight="false" outlineLevel="0" collapsed="false">
      <c r="A598" s="0" t="s">
        <v>390</v>
      </c>
    </row>
    <row r="599" customFormat="false" ht="13.5" hidden="false" customHeight="false" outlineLevel="0" collapsed="false"/>
    <row r="600" customFormat="false" ht="12.75" hidden="false" customHeight="false" outlineLevel="0" collapsed="false">
      <c r="A600" s="8" t="s">
        <v>63</v>
      </c>
      <c r="B600" s="8"/>
      <c r="C600" s="8" t="s">
        <v>84</v>
      </c>
      <c r="D600" s="8" t="s">
        <v>105</v>
      </c>
      <c r="E600" s="8" t="s">
        <v>100</v>
      </c>
      <c r="F600" s="8"/>
      <c r="G600" s="8" t="s">
        <v>143</v>
      </c>
      <c r="H600" s="8" t="s">
        <v>117</v>
      </c>
      <c r="I600" s="8" t="s">
        <v>414</v>
      </c>
      <c r="J600" s="8" t="s">
        <v>392</v>
      </c>
      <c r="K600" s="8"/>
      <c r="L600" s="8" t="s">
        <v>418</v>
      </c>
      <c r="M600" s="8" t="s">
        <v>394</v>
      </c>
      <c r="N600" s="8" t="s">
        <v>415</v>
      </c>
      <c r="O600" s="8" t="s">
        <v>396</v>
      </c>
    </row>
    <row r="601" customFormat="false" ht="12.75" hidden="false" customHeight="false" outlineLevel="0" collapsed="false">
      <c r="A601" s="6" t="s">
        <v>8</v>
      </c>
      <c r="B601" s="6" t="n">
        <v>1</v>
      </c>
      <c r="C601" s="6" t="n">
        <v>4252982</v>
      </c>
      <c r="D601" s="6" t="n">
        <v>0</v>
      </c>
      <c r="E601" s="6" t="n">
        <v>0.0238518767065552</v>
      </c>
      <c r="F601" s="6"/>
      <c r="G601" s="6" t="n">
        <v>1.16002176106561E-012</v>
      </c>
      <c r="H601" s="6" t="n">
        <v>0</v>
      </c>
      <c r="I601" s="15" t="n">
        <v>0.00567795060656061</v>
      </c>
      <c r="J601" s="15" t="n">
        <v>0.0420042833674684</v>
      </c>
      <c r="K601" s="15"/>
      <c r="L601" s="15" t="n">
        <v>0</v>
      </c>
      <c r="M601" s="15" t="n">
        <v>0.00567795060656061</v>
      </c>
      <c r="N601" s="15" t="n">
        <v>-0.0755670154703483</v>
      </c>
      <c r="O601" s="15" t="n">
        <v>-0.209394372692423</v>
      </c>
    </row>
    <row r="602" customFormat="false" ht="12.75" hidden="false" customHeight="false" outlineLevel="0" collapsed="false">
      <c r="A602" s="6" t="s">
        <v>9</v>
      </c>
      <c r="B602" s="6" t="n">
        <v>1</v>
      </c>
      <c r="C602" s="6" t="n">
        <v>4217940</v>
      </c>
      <c r="D602" s="6" t="n">
        <v>0</v>
      </c>
      <c r="E602" s="6" t="n">
        <v>0.0112071877535429</v>
      </c>
      <c r="F602" s="6"/>
      <c r="G602" s="6" t="n">
        <v>1.49200959313964E-012</v>
      </c>
      <c r="H602" s="6" t="n">
        <v>0</v>
      </c>
      <c r="I602" s="15" t="n">
        <v>0.00378550057181622</v>
      </c>
      <c r="J602" s="15" t="n">
        <v>0.0420042833674684</v>
      </c>
      <c r="K602" s="15"/>
      <c r="L602" s="15" t="n">
        <v>0</v>
      </c>
      <c r="M602" s="15" t="n">
        <v>0.00378550057181622</v>
      </c>
      <c r="N602" s="15" t="n">
        <v>-0.0616432075642033</v>
      </c>
      <c r="O602" s="15" t="n">
        <v>-0.209394372692423</v>
      </c>
    </row>
    <row r="603" customFormat="false" ht="12.75" hidden="false" customHeight="false" outlineLevel="0" collapsed="false">
      <c r="A603" s="6" t="s">
        <v>10</v>
      </c>
      <c r="B603" s="6" t="n">
        <v>1</v>
      </c>
      <c r="C603" s="6" t="n">
        <v>2483769</v>
      </c>
      <c r="D603" s="6" t="n">
        <v>0</v>
      </c>
      <c r="E603" s="6" t="n">
        <v>0.0402941869973762</v>
      </c>
      <c r="F603" s="6"/>
      <c r="G603" s="6" t="n">
        <v>8.78858354669177E-013</v>
      </c>
      <c r="H603" s="6" t="n">
        <v>0</v>
      </c>
      <c r="I603" s="15" t="n">
        <v>0.00697040142545594</v>
      </c>
      <c r="J603" s="15" t="n">
        <v>0.0420042833674684</v>
      </c>
      <c r="K603" s="15"/>
      <c r="L603" s="15" t="n">
        <v>0</v>
      </c>
      <c r="M603" s="15" t="n">
        <v>0.00697040142545594</v>
      </c>
      <c r="N603" s="15" t="n">
        <v>-0.0837814356888619</v>
      </c>
      <c r="O603" s="15" t="n">
        <v>-0.209394372692423</v>
      </c>
    </row>
    <row r="604" customFormat="false" ht="12.75" hidden="false" customHeight="false" outlineLevel="0" collapsed="false">
      <c r="A604" s="6" t="s">
        <v>11</v>
      </c>
      <c r="B604" s="6" t="n">
        <v>1</v>
      </c>
      <c r="C604" s="6" t="n">
        <v>31589153</v>
      </c>
      <c r="D604" s="6" t="n">
        <v>0</v>
      </c>
      <c r="E604" s="6" t="n">
        <v>0.004523030247648</v>
      </c>
      <c r="F604" s="6"/>
      <c r="G604" s="6" t="n">
        <v>1.15838117524707E-012</v>
      </c>
      <c r="H604" s="6" t="n">
        <v>0.0211415213324095</v>
      </c>
      <c r="I604" s="15" t="n">
        <v>0.0880241697039907</v>
      </c>
      <c r="J604" s="15" t="n">
        <v>0.0420042833674684</v>
      </c>
      <c r="K604" s="15"/>
      <c r="L604" s="15" t="n">
        <v>0.0211415213324095</v>
      </c>
      <c r="M604" s="15" t="n">
        <v>0.0880241697039907</v>
      </c>
      <c r="N604" s="15" t="n">
        <v>-0.236059144439013</v>
      </c>
      <c r="O604" s="15" t="n">
        <v>-0.104002368776176</v>
      </c>
    </row>
    <row r="605" customFormat="false" ht="12.75" hidden="false" customHeight="false" outlineLevel="0" collapsed="false">
      <c r="A605" s="6" t="s">
        <v>12</v>
      </c>
      <c r="B605" s="6" t="n">
        <v>1</v>
      </c>
      <c r="C605" s="6" t="n">
        <v>3746585</v>
      </c>
      <c r="D605" s="6" t="n">
        <v>0.0147863247863248</v>
      </c>
      <c r="E605" s="6" t="n">
        <v>0.00794454114516863</v>
      </c>
      <c r="F605" s="6"/>
      <c r="G605" s="6" t="n">
        <v>6.58291482583513E-013</v>
      </c>
      <c r="H605" s="6" t="n">
        <v>0.00295777769394722</v>
      </c>
      <c r="I605" s="15" t="n">
        <v>0.00383902740981782</v>
      </c>
      <c r="J605" s="15" t="n">
        <v>0.0420042833674684</v>
      </c>
      <c r="K605" s="15"/>
      <c r="L605" s="15" t="n">
        <v>0.00295777769394722</v>
      </c>
      <c r="M605" s="15" t="n">
        <v>0.00383902740981782</v>
      </c>
      <c r="N605" s="15" t="n">
        <v>-0.014250287358229</v>
      </c>
      <c r="O605" s="15" t="n">
        <v>-0.194649638224047</v>
      </c>
    </row>
    <row r="606" customFormat="false" ht="12.75" hidden="false" customHeight="false" outlineLevel="0" collapsed="false">
      <c r="A606" s="6" t="s">
        <v>13</v>
      </c>
      <c r="B606" s="6" t="n">
        <v>1</v>
      </c>
      <c r="C606" s="6" t="n">
        <v>3274662</v>
      </c>
      <c r="D606" s="6" t="n">
        <v>0.357749077490775</v>
      </c>
      <c r="E606" s="6" t="n">
        <v>0.0456124226267046</v>
      </c>
      <c r="F606" s="6"/>
      <c r="G606" s="6" t="n">
        <v>2.67978152112005E-008</v>
      </c>
      <c r="H606" s="6" t="n">
        <v>0.000259885785260088</v>
      </c>
      <c r="I606" s="15" t="n">
        <v>0.144283725095415</v>
      </c>
      <c r="J606" s="15" t="n">
        <v>0.0420042833674684</v>
      </c>
      <c r="K606" s="15"/>
      <c r="L606" s="15" t="n">
        <v>0.000259885785260088</v>
      </c>
      <c r="M606" s="15" t="n">
        <v>0.144283725095415</v>
      </c>
      <c r="N606" s="15" t="n">
        <v>-0.409883857504126</v>
      </c>
      <c r="O606" s="15" t="n">
        <v>-0.208098823367128</v>
      </c>
    </row>
    <row r="607" customFormat="false" ht="12.75" hidden="false" customHeight="false" outlineLevel="0" collapsed="false">
      <c r="A607" s="6" t="s">
        <v>14</v>
      </c>
      <c r="B607" s="6" t="n">
        <v>1</v>
      </c>
      <c r="C607" s="6" t="n">
        <v>717197</v>
      </c>
      <c r="D607" s="6" t="n">
        <v>0.219607843137255</v>
      </c>
      <c r="E607" s="6" t="n">
        <v>0.138328875404208</v>
      </c>
      <c r="F607" s="6"/>
      <c r="G607" s="6" t="n">
        <v>2.04082824400193E-008</v>
      </c>
      <c r="H607" s="6" t="n">
        <v>0.252590047672857</v>
      </c>
      <c r="I607" s="15" t="n">
        <v>0.180120810213915</v>
      </c>
      <c r="J607" s="15" t="n">
        <v>0.0420042833674684</v>
      </c>
      <c r="K607" s="15"/>
      <c r="L607" s="15" t="n">
        <v>0.252590047672857</v>
      </c>
      <c r="M607" s="15" t="n">
        <v>0.180120810213915</v>
      </c>
      <c r="N607" s="15" t="n">
        <v>0.188580513523797</v>
      </c>
      <c r="O607" s="15" t="n">
        <v>1.04978517616688</v>
      </c>
    </row>
    <row r="608" customFormat="false" ht="12.75" hidden="false" customHeight="false" outlineLevel="0" collapsed="false">
      <c r="A608" s="6" t="s">
        <v>15</v>
      </c>
      <c r="B608" s="6" t="n">
        <v>1</v>
      </c>
      <c r="C608" s="6" t="n">
        <v>14165570</v>
      </c>
      <c r="D608" s="6" t="n">
        <v>0.111015583019882</v>
      </c>
      <c r="E608" s="6" t="n">
        <v>0.00799421046196813</v>
      </c>
      <c r="F608" s="6"/>
      <c r="G608" s="6" t="n">
        <v>3.65523418920916E-012</v>
      </c>
      <c r="H608" s="6" t="n">
        <v>0.0778335546482334</v>
      </c>
      <c r="I608" s="15" t="n">
        <v>0.043063082466074</v>
      </c>
      <c r="J608" s="15" t="n">
        <v>0.0420042833674684</v>
      </c>
      <c r="K608" s="15"/>
      <c r="L608" s="15" t="n">
        <v>0.0778335546482334</v>
      </c>
      <c r="M608" s="15" t="n">
        <v>0.043063082466074</v>
      </c>
      <c r="N608" s="15" t="n">
        <v>0.171283834526251</v>
      </c>
      <c r="O608" s="15" t="n">
        <v>0.178611493457188</v>
      </c>
    </row>
    <row r="609" customFormat="false" ht="12.75" hidden="false" customHeight="false" outlineLevel="0" collapsed="false">
      <c r="A609" s="6" t="s">
        <v>16</v>
      </c>
      <c r="B609" s="6" t="n">
        <v>1</v>
      </c>
      <c r="C609" s="6" t="n">
        <v>7200882</v>
      </c>
      <c r="D609" s="6" t="n">
        <v>0.00785562632696391</v>
      </c>
      <c r="E609" s="6" t="n">
        <v>0.0281378236648974</v>
      </c>
      <c r="F609" s="6"/>
      <c r="G609" s="6" t="n">
        <v>9.95886785099514E-013</v>
      </c>
      <c r="H609" s="6" t="n">
        <v>0.0041858290740556</v>
      </c>
      <c r="I609" s="15" t="n">
        <v>0.0110775347129606</v>
      </c>
      <c r="J609" s="15" t="n">
        <v>0.0420042833674684</v>
      </c>
      <c r="K609" s="15"/>
      <c r="L609" s="15" t="n">
        <v>0.0041858290740556</v>
      </c>
      <c r="M609" s="15" t="n">
        <v>0.0110775347129606</v>
      </c>
      <c r="N609" s="15" t="n">
        <v>-0.0658451874231397</v>
      </c>
      <c r="O609" s="15" t="n">
        <v>-0.188527713797382</v>
      </c>
    </row>
    <row r="610" customFormat="false" ht="12.75" hidden="false" customHeight="false" outlineLevel="0" collapsed="false">
      <c r="A610" s="6" t="s">
        <v>17</v>
      </c>
      <c r="B610" s="6" t="n">
        <v>1</v>
      </c>
      <c r="C610" s="6" t="n">
        <v>1186815</v>
      </c>
      <c r="D610" s="6" t="n">
        <v>0</v>
      </c>
      <c r="E610" s="6" t="n">
        <v>0.00952409571468726</v>
      </c>
      <c r="F610" s="6"/>
      <c r="G610" s="6" t="n">
        <v>4.11770253782566E-011</v>
      </c>
      <c r="H610" s="6" t="n">
        <v>0</v>
      </c>
      <c r="I610" s="15" t="n">
        <v>0.00202609958906521</v>
      </c>
      <c r="J610" s="15" t="n">
        <v>0.0420042833674684</v>
      </c>
      <c r="K610" s="15"/>
      <c r="L610" s="15" t="n">
        <v>0</v>
      </c>
      <c r="M610" s="15" t="n">
        <v>0.00202609958906521</v>
      </c>
      <c r="N610" s="15" t="n">
        <v>-0.0450578850235549</v>
      </c>
      <c r="O610" s="15" t="n">
        <v>-0.209394372692423</v>
      </c>
    </row>
    <row r="611" customFormat="false" ht="12.75" hidden="false" customHeight="false" outlineLevel="0" collapsed="false">
      <c r="A611" s="6" t="s">
        <v>18</v>
      </c>
      <c r="B611" s="6" t="n">
        <v>1</v>
      </c>
      <c r="C611" s="6" t="n">
        <v>1163261</v>
      </c>
      <c r="D611" s="6" t="n">
        <v>0</v>
      </c>
      <c r="E611" s="6" t="n">
        <v>0.0261485883128481</v>
      </c>
      <c r="F611" s="6"/>
      <c r="G611" s="6" t="n">
        <v>1.71548959608199E-012</v>
      </c>
      <c r="H611" s="6" t="n">
        <v>0</v>
      </c>
      <c r="I611" s="15" t="n">
        <v>0.00359501173449242</v>
      </c>
      <c r="J611" s="15" t="n">
        <v>0.0420042833674684</v>
      </c>
      <c r="K611" s="15"/>
      <c r="L611" s="15" t="n">
        <v>0</v>
      </c>
      <c r="M611" s="15" t="n">
        <v>0.00359501173449242</v>
      </c>
      <c r="N611" s="15" t="n">
        <v>-0.0600664837810876</v>
      </c>
      <c r="O611" s="15" t="n">
        <v>-0.209394372692423</v>
      </c>
    </row>
    <row r="612" customFormat="false" ht="12.75" hidden="false" customHeight="false" outlineLevel="0" collapsed="false">
      <c r="A612" s="6" t="s">
        <v>19</v>
      </c>
      <c r="B612" s="6" t="n">
        <v>1</v>
      </c>
      <c r="C612" s="6" t="n">
        <v>11829940</v>
      </c>
      <c r="D612" s="6" t="n">
        <v>0.0825389755011136</v>
      </c>
      <c r="E612" s="6" t="n">
        <v>0.0281937744250442</v>
      </c>
      <c r="F612" s="6"/>
      <c r="G612" s="6" t="n">
        <v>2.04279325453952E-013</v>
      </c>
      <c r="H612" s="6" t="n">
        <v>0.0925020274991467</v>
      </c>
      <c r="I612" s="15" t="n">
        <v>0.0396267159855652</v>
      </c>
      <c r="J612" s="15" t="n">
        <v>0.0420042833674684</v>
      </c>
      <c r="K612" s="15"/>
      <c r="L612" s="15" t="n">
        <v>0.0925020274991467</v>
      </c>
      <c r="M612" s="15" t="n">
        <v>0.0396267159855652</v>
      </c>
      <c r="N612" s="15" t="n">
        <v>0.271043416408406</v>
      </c>
      <c r="O612" s="15" t="n">
        <v>0.251734885281357</v>
      </c>
    </row>
    <row r="613" customFormat="false" ht="12.75" hidden="false" customHeight="false" outlineLevel="0" collapsed="false">
      <c r="A613" s="6" t="s">
        <v>20</v>
      </c>
      <c r="B613" s="6" t="n">
        <v>1</v>
      </c>
      <c r="C613" s="6" t="n">
        <v>5803471</v>
      </c>
      <c r="D613" s="6" t="n">
        <v>0.120414428242517</v>
      </c>
      <c r="E613" s="6" t="n">
        <v>0.03280824193038</v>
      </c>
      <c r="F613" s="6"/>
      <c r="G613" s="6" t="n">
        <v>4.75336844122294E-011</v>
      </c>
      <c r="H613" s="6" t="n">
        <v>0.0425729531743058</v>
      </c>
      <c r="I613" s="15" t="n">
        <v>0.0313108156799668</v>
      </c>
      <c r="J613" s="15" t="n">
        <v>0.0420042833674684</v>
      </c>
      <c r="K613" s="15"/>
      <c r="L613" s="15" t="n">
        <v>0.0425729531743058</v>
      </c>
      <c r="M613" s="15" t="n">
        <v>0.0313108156799668</v>
      </c>
      <c r="N613" s="15" t="n">
        <v>0.0646668057041272</v>
      </c>
      <c r="O613" s="15" t="n">
        <v>0.0028348598744114</v>
      </c>
    </row>
    <row r="614" customFormat="false" ht="12.75" hidden="false" customHeight="false" outlineLevel="0" collapsed="false">
      <c r="A614" s="6" t="s">
        <v>21</v>
      </c>
      <c r="B614" s="6" t="n">
        <v>1</v>
      </c>
      <c r="C614" s="6" t="n">
        <v>2841764</v>
      </c>
      <c r="D614" s="6" t="n">
        <v>0</v>
      </c>
      <c r="E614" s="6" t="n">
        <v>0.0369184324665151</v>
      </c>
      <c r="F614" s="6"/>
      <c r="G614" s="6" t="n">
        <v>9.38297197918158E-012</v>
      </c>
      <c r="H614" s="6" t="n">
        <v>0.00107334901207605</v>
      </c>
      <c r="I614" s="15" t="n">
        <v>0.00668191402959928</v>
      </c>
      <c r="J614" s="15" t="n">
        <v>0.0420042833674684</v>
      </c>
      <c r="K614" s="15"/>
      <c r="L614" s="15" t="n">
        <v>0.00107334901207605</v>
      </c>
      <c r="M614" s="15" t="n">
        <v>0.00668191402959928</v>
      </c>
      <c r="N614" s="15" t="n">
        <v>-0.0688425811972627</v>
      </c>
      <c r="O614" s="15" t="n">
        <v>-0.204043650693491</v>
      </c>
    </row>
    <row r="615" customFormat="false" ht="12.75" hidden="false" customHeight="false" outlineLevel="0" collapsed="false">
      <c r="A615" s="6" t="s">
        <v>22</v>
      </c>
      <c r="B615" s="6" t="n">
        <v>1</v>
      </c>
      <c r="C615" s="6" t="n">
        <v>2565328</v>
      </c>
      <c r="D615" s="6" t="n">
        <v>0.238988095238095</v>
      </c>
      <c r="E615" s="6" t="n">
        <v>0.0706260870607761</v>
      </c>
      <c r="F615" s="6"/>
      <c r="G615" s="6" t="n">
        <v>8.3954224057573E-014</v>
      </c>
      <c r="H615" s="6" t="n">
        <v>0.0645640225441334</v>
      </c>
      <c r="I615" s="15" t="n">
        <v>0.101243285517072</v>
      </c>
      <c r="J615" s="15" t="n">
        <v>0.0420042833674684</v>
      </c>
      <c r="K615" s="15"/>
      <c r="L615" s="15" t="n">
        <v>0.0645640225441334</v>
      </c>
      <c r="M615" s="15" t="n">
        <v>0.101243285517072</v>
      </c>
      <c r="N615" s="15" t="n">
        <v>-0.121595194376816</v>
      </c>
      <c r="O615" s="15" t="n">
        <v>0.112461921839643</v>
      </c>
    </row>
    <row r="616" customFormat="false" ht="12.75" hidden="false" customHeight="false" outlineLevel="0" collapsed="false">
      <c r="A616" s="6" t="s">
        <v>23</v>
      </c>
      <c r="B616" s="6" t="n">
        <v>1</v>
      </c>
      <c r="C616" s="6" t="n">
        <v>3860219</v>
      </c>
      <c r="D616" s="6" t="n">
        <v>0.239415204678363</v>
      </c>
      <c r="E616" s="6" t="n">
        <v>0.0625602364619358</v>
      </c>
      <c r="F616" s="6"/>
      <c r="G616" s="6" t="n">
        <v>4.61685442104148E-011</v>
      </c>
      <c r="H616" s="6" t="n">
        <v>0.00845328299918051</v>
      </c>
      <c r="I616" s="15" t="n">
        <v>0.100036131670127</v>
      </c>
      <c r="J616" s="15" t="n">
        <v>0.0420042833674684</v>
      </c>
      <c r="K616" s="15"/>
      <c r="L616" s="15" t="n">
        <v>0.00845328299918051</v>
      </c>
      <c r="M616" s="15" t="n">
        <v>0.100036131670127</v>
      </c>
      <c r="N616" s="15" t="n">
        <v>-0.30522715342113</v>
      </c>
      <c r="O616" s="15" t="n">
        <v>-0.167254149150939</v>
      </c>
    </row>
    <row r="617" customFormat="false" ht="12.75" hidden="false" customHeight="false" outlineLevel="0" collapsed="false">
      <c r="A617" s="6" t="s">
        <v>24</v>
      </c>
      <c r="B617" s="6" t="n">
        <v>1</v>
      </c>
      <c r="C617" s="6" t="n">
        <v>4342334</v>
      </c>
      <c r="D617" s="6" t="n">
        <v>0</v>
      </c>
      <c r="E617" s="6" t="n">
        <v>0.0211147303966919</v>
      </c>
      <c r="F617" s="6"/>
      <c r="G617" s="6" t="n">
        <v>2.56823004434834E-012</v>
      </c>
      <c r="H617" s="6" t="n">
        <v>0.0293839643250748</v>
      </c>
      <c r="I617" s="15" t="n">
        <v>0.00529931540731702</v>
      </c>
      <c r="J617" s="15" t="n">
        <v>0.0420042833674684</v>
      </c>
      <c r="K617" s="15"/>
      <c r="L617" s="15" t="n">
        <v>0.0293839643250748</v>
      </c>
      <c r="M617" s="15" t="n">
        <v>0.00529931540731702</v>
      </c>
      <c r="N617" s="15" t="n">
        <v>0.331729601602876</v>
      </c>
      <c r="O617" s="15" t="n">
        <v>-0.0629131978265556</v>
      </c>
    </row>
    <row r="618" customFormat="false" ht="12.75" hidden="false" customHeight="false" outlineLevel="0" collapsed="false">
      <c r="A618" s="6" t="s">
        <v>25</v>
      </c>
      <c r="B618" s="6" t="n">
        <v>1</v>
      </c>
      <c r="C618" s="6" t="n">
        <v>1241382</v>
      </c>
      <c r="D618" s="6" t="n">
        <v>0.292950391644909</v>
      </c>
      <c r="E618" s="6" t="n">
        <v>0.0206121747105353</v>
      </c>
      <c r="F618" s="6"/>
      <c r="G618" s="6" t="n">
        <v>2.65827638003696E-010</v>
      </c>
      <c r="H618" s="6" t="n">
        <v>0.105088318367691</v>
      </c>
      <c r="I618" s="15" t="n">
        <v>0.0605777624211012</v>
      </c>
      <c r="J618" s="15" t="n">
        <v>0.0420042833674684</v>
      </c>
      <c r="K618" s="15"/>
      <c r="L618" s="15" t="n">
        <v>0.105088318367691</v>
      </c>
      <c r="M618" s="15" t="n">
        <v>0.0605777624211012</v>
      </c>
      <c r="N618" s="15" t="n">
        <v>0.186584682017412</v>
      </c>
      <c r="O618" s="15" t="n">
        <v>0.31447845021465</v>
      </c>
    </row>
    <row r="619" customFormat="false" ht="12.75" hidden="false" customHeight="false" outlineLevel="0" collapsed="false">
      <c r="A619" s="6" t="s">
        <v>26</v>
      </c>
      <c r="B619" s="6" t="n">
        <v>1</v>
      </c>
      <c r="C619" s="6" t="n">
        <v>5042438</v>
      </c>
      <c r="D619" s="6" t="n">
        <v>0.059493670886076</v>
      </c>
      <c r="E619" s="6" t="n">
        <v>0.0697797782145526</v>
      </c>
      <c r="F619" s="6"/>
      <c r="G619" s="6" t="n">
        <v>7.3736342600225E-010</v>
      </c>
      <c r="H619" s="6" t="n">
        <v>0.0702579161473665</v>
      </c>
      <c r="I619" s="15" t="n">
        <v>0.0361078976500659</v>
      </c>
      <c r="J619" s="15" t="n">
        <v>0.0420042833674684</v>
      </c>
      <c r="K619" s="15"/>
      <c r="L619" s="15" t="n">
        <v>0.0702579161473665</v>
      </c>
      <c r="M619" s="15" t="n">
        <v>0.0361078976500659</v>
      </c>
      <c r="N619" s="15" t="n">
        <v>0.183052485831958</v>
      </c>
      <c r="O619" s="15" t="n">
        <v>0.140846390842387</v>
      </c>
    </row>
    <row r="620" customFormat="false" ht="12.75" hidden="false" customHeight="false" outlineLevel="0" collapsed="false">
      <c r="A620" s="6" t="s">
        <v>27</v>
      </c>
      <c r="B620" s="6" t="n">
        <v>1</v>
      </c>
      <c r="C620" s="6" t="n">
        <v>6073550</v>
      </c>
      <c r="D620" s="6" t="n">
        <v>0.163254593175853</v>
      </c>
      <c r="E620" s="6" t="n">
        <v>0.0502082263621112</v>
      </c>
      <c r="F620" s="6"/>
      <c r="G620" s="6" t="n">
        <v>2.60150207336547E-011</v>
      </c>
      <c r="H620" s="6" t="n">
        <v>0.103944816167345</v>
      </c>
      <c r="I620" s="15" t="n">
        <v>0.0615743076988647</v>
      </c>
      <c r="J620" s="15" t="n">
        <v>0.0420042833674684</v>
      </c>
      <c r="K620" s="15"/>
      <c r="L620" s="15" t="n">
        <v>0.103944816167345</v>
      </c>
      <c r="M620" s="15" t="n">
        <v>0.0615743076988647</v>
      </c>
      <c r="N620" s="15" t="n">
        <v>0.176264138331175</v>
      </c>
      <c r="O620" s="15" t="n">
        <v>0.308778009528181</v>
      </c>
    </row>
    <row r="621" customFormat="false" ht="12.75" hidden="false" customHeight="false" outlineLevel="0" collapsed="false">
      <c r="A621" s="6" t="s">
        <v>28</v>
      </c>
      <c r="B621" s="6" t="n">
        <v>1</v>
      </c>
      <c r="C621" s="6" t="n">
        <v>9549353</v>
      </c>
      <c r="D621" s="6" t="n">
        <v>0</v>
      </c>
      <c r="E621" s="6" t="n">
        <v>0.00796925854450259</v>
      </c>
      <c r="F621" s="6"/>
      <c r="G621" s="6" t="n">
        <v>9.23270469744563E-013</v>
      </c>
      <c r="H621" s="6" t="n">
        <v>0.00738787711371125</v>
      </c>
      <c r="I621" s="15" t="n">
        <v>0.00824737400654863</v>
      </c>
      <c r="J621" s="15" t="n">
        <v>0.0420042833674684</v>
      </c>
      <c r="K621" s="15"/>
      <c r="L621" s="15" t="n">
        <v>0.00738787711371125</v>
      </c>
      <c r="M621" s="15" t="n">
        <v>0.00824737400654863</v>
      </c>
      <c r="N621" s="15" t="n">
        <v>-0.00950352642538265</v>
      </c>
      <c r="O621" s="15" t="n">
        <v>-0.172565274092627</v>
      </c>
    </row>
    <row r="622" customFormat="false" ht="12.75" hidden="false" customHeight="false" outlineLevel="0" collapsed="false">
      <c r="A622" s="6" t="s">
        <v>29</v>
      </c>
      <c r="B622" s="6" t="n">
        <v>1</v>
      </c>
      <c r="C622" s="6" t="n">
        <v>4609548</v>
      </c>
      <c r="D622" s="6" t="n">
        <v>0</v>
      </c>
      <c r="E622" s="6" t="n">
        <v>0.0231171606433715</v>
      </c>
      <c r="F622" s="6"/>
      <c r="G622" s="6" t="n">
        <v>3.91416523412056E-014</v>
      </c>
      <c r="H622" s="6" t="n">
        <v>0</v>
      </c>
      <c r="I622" s="15" t="n">
        <v>0.00588686257073275</v>
      </c>
      <c r="J622" s="15" t="n">
        <v>0.0420042833674684</v>
      </c>
      <c r="K622" s="15"/>
      <c r="L622" s="15" t="n">
        <v>0</v>
      </c>
      <c r="M622" s="15" t="n">
        <v>0.00588686257073275</v>
      </c>
      <c r="N622" s="15" t="n">
        <v>-0.0769527318544421</v>
      </c>
      <c r="O622" s="15" t="n">
        <v>-0.209394372692423</v>
      </c>
    </row>
    <row r="623" customFormat="false" ht="12.75" hidden="false" customHeight="false" outlineLevel="0" collapsed="false">
      <c r="A623" s="6" t="s">
        <v>30</v>
      </c>
      <c r="B623" s="6" t="n">
        <v>1</v>
      </c>
      <c r="C623" s="6" t="n">
        <v>2697243</v>
      </c>
      <c r="D623" s="6" t="n">
        <v>0</v>
      </c>
      <c r="E623" s="6" t="n">
        <v>0.0305028704492417</v>
      </c>
      <c r="F623" s="6"/>
      <c r="G623" s="6" t="n">
        <v>3.31728127610878E-012</v>
      </c>
      <c r="H623" s="6" t="n">
        <v>0</v>
      </c>
      <c r="I623" s="15" t="n">
        <v>0.00538107344372877</v>
      </c>
      <c r="J623" s="15" t="n">
        <v>0.0420042833674684</v>
      </c>
      <c r="K623" s="15"/>
      <c r="L623" s="15" t="n">
        <v>0</v>
      </c>
      <c r="M623" s="15" t="n">
        <v>0.00538107344372877</v>
      </c>
      <c r="N623" s="15" t="n">
        <v>-0.0735539669373447</v>
      </c>
      <c r="O623" s="15" t="n">
        <v>-0.209394372692423</v>
      </c>
    </row>
    <row r="624" customFormat="false" ht="12.75" hidden="false" customHeight="false" outlineLevel="0" collapsed="false">
      <c r="A624" s="6" t="s">
        <v>31</v>
      </c>
      <c r="B624" s="6" t="n">
        <v>1</v>
      </c>
      <c r="C624" s="6" t="n">
        <v>5323523</v>
      </c>
      <c r="D624" s="6" t="n">
        <v>0</v>
      </c>
      <c r="E624" s="6" t="n">
        <v>0.0724272745344907</v>
      </c>
      <c r="F624" s="6"/>
      <c r="G624" s="6" t="n">
        <v>1.15835281976731E-010</v>
      </c>
      <c r="H624" s="6" t="n">
        <v>0.000759685797103275</v>
      </c>
      <c r="I624" s="15" t="n">
        <v>0.0233721838174523</v>
      </c>
      <c r="J624" s="15" t="n">
        <v>0.0420042833674684</v>
      </c>
      <c r="K624" s="15"/>
      <c r="L624" s="15" t="n">
        <v>0.000759685797103275</v>
      </c>
      <c r="M624" s="15" t="n">
        <v>0.0233721838174523</v>
      </c>
      <c r="N624" s="15" t="n">
        <v>-0.149669859296306</v>
      </c>
      <c r="O624" s="15" t="n">
        <v>-0.205607284372497</v>
      </c>
    </row>
    <row r="625" customFormat="false" ht="12.75" hidden="false" customHeight="false" outlineLevel="0" collapsed="false">
      <c r="A625" s="6" t="s">
        <v>32</v>
      </c>
      <c r="B625" s="6" t="n">
        <v>1</v>
      </c>
      <c r="C625" s="6" t="n">
        <v>870281</v>
      </c>
      <c r="D625" s="6" t="n">
        <v>0</v>
      </c>
      <c r="E625" s="6" t="n">
        <v>0.00796409544263987</v>
      </c>
      <c r="F625" s="6"/>
      <c r="G625" s="6" t="n">
        <v>3.47319888352621E-014</v>
      </c>
      <c r="H625" s="6" t="n">
        <v>0</v>
      </c>
      <c r="I625" s="15" t="n">
        <v>0.00179623243730115</v>
      </c>
      <c r="J625" s="15" t="n">
        <v>0.0420042833674684</v>
      </c>
      <c r="K625" s="15"/>
      <c r="L625" s="15" t="n">
        <v>0</v>
      </c>
      <c r="M625" s="15" t="n">
        <v>0.00179623243730115</v>
      </c>
      <c r="N625" s="15" t="n">
        <v>-0.0424200977621996</v>
      </c>
      <c r="O625" s="15" t="n">
        <v>-0.209394372692423</v>
      </c>
    </row>
    <row r="626" customFormat="false" ht="12.75" hidden="false" customHeight="false" outlineLevel="0" collapsed="false">
      <c r="A626" s="6" t="s">
        <v>33</v>
      </c>
      <c r="B626" s="6" t="n">
        <v>1</v>
      </c>
      <c r="C626" s="6" t="n">
        <v>1637112</v>
      </c>
      <c r="D626" s="6" t="n">
        <v>0</v>
      </c>
      <c r="E626" s="6" t="n">
        <v>0.0425053293156057</v>
      </c>
      <c r="F626" s="6"/>
      <c r="G626" s="6" t="n">
        <v>1.27766030104349E-013</v>
      </c>
      <c r="H626" s="6" t="n">
        <v>0.00199508308555689</v>
      </c>
      <c r="I626" s="15" t="n">
        <v>0.00650216581761541</v>
      </c>
      <c r="J626" s="15" t="n">
        <v>0.0420042833674684</v>
      </c>
      <c r="K626" s="15"/>
      <c r="L626" s="15" t="n">
        <v>0.00199508308555689</v>
      </c>
      <c r="M626" s="15" t="n">
        <v>0.00650216581761541</v>
      </c>
      <c r="N626" s="15" t="n">
        <v>-0.0560767773480871</v>
      </c>
      <c r="O626" s="15" t="n">
        <v>-0.199448740064561</v>
      </c>
    </row>
    <row r="627" customFormat="false" ht="12.75" hidden="false" customHeight="false" outlineLevel="0" collapsed="false">
      <c r="A627" s="6" t="s">
        <v>34</v>
      </c>
      <c r="B627" s="6" t="n">
        <v>1</v>
      </c>
      <c r="C627" s="6" t="n">
        <v>1530108</v>
      </c>
      <c r="D627" s="6" t="n">
        <v>0</v>
      </c>
      <c r="E627" s="6" t="n">
        <v>0.0433497425670366</v>
      </c>
      <c r="F627" s="6"/>
      <c r="G627" s="6" t="n">
        <v>1.76208456848238E-013</v>
      </c>
      <c r="H627" s="6" t="n">
        <v>0</v>
      </c>
      <c r="I627" s="15" t="n">
        <v>0.00655357317328593</v>
      </c>
      <c r="J627" s="15" t="n">
        <v>0.0420042833674684</v>
      </c>
      <c r="K627" s="15"/>
      <c r="L627" s="15" t="n">
        <v>0</v>
      </c>
      <c r="M627" s="15" t="n">
        <v>0.00655357317328593</v>
      </c>
      <c r="N627" s="15" t="n">
        <v>-0.081220722866499</v>
      </c>
      <c r="O627" s="15" t="n">
        <v>-0.209394372692423</v>
      </c>
    </row>
    <row r="628" customFormat="false" ht="12.75" hidden="false" customHeight="false" outlineLevel="0" collapsed="false">
      <c r="A628" s="6" t="s">
        <v>35</v>
      </c>
      <c r="B628" s="6" t="n">
        <v>1</v>
      </c>
      <c r="C628" s="6" t="n">
        <v>1148253</v>
      </c>
      <c r="D628" s="6" t="n">
        <v>0.290225563909774</v>
      </c>
      <c r="E628" s="6" t="n">
        <v>0.0851357193769645</v>
      </c>
      <c r="F628" s="6"/>
      <c r="G628" s="6" t="n">
        <v>7.50551003301169E-008</v>
      </c>
      <c r="H628" s="6" t="n">
        <v>0.117777368981519</v>
      </c>
      <c r="I628" s="15" t="n">
        <v>0.142489600587073</v>
      </c>
      <c r="J628" s="15" t="n">
        <v>0.0420042833674684</v>
      </c>
      <c r="K628" s="15"/>
      <c r="L628" s="15" t="n">
        <v>0.117777368981519</v>
      </c>
      <c r="M628" s="15" t="n">
        <v>0.142489600587073</v>
      </c>
      <c r="N628" s="15" t="n">
        <v>-0.0706969508600326</v>
      </c>
      <c r="O628" s="15" t="n">
        <v>0.377734279866601</v>
      </c>
    </row>
    <row r="629" customFormat="false" ht="12.75" hidden="false" customHeight="false" outlineLevel="0" collapsed="false">
      <c r="A629" s="6" t="s">
        <v>36</v>
      </c>
      <c r="B629" s="6" t="n">
        <v>1</v>
      </c>
      <c r="C629" s="6" t="n">
        <v>7945298</v>
      </c>
      <c r="D629" s="6" t="n">
        <v>0.424725274725275</v>
      </c>
      <c r="E629" s="6" t="n">
        <v>0.0704522955482905</v>
      </c>
      <c r="F629" s="6"/>
      <c r="G629" s="6" t="n">
        <v>9.78574048714857E-007</v>
      </c>
      <c r="H629" s="6" t="n">
        <v>0.273303356469306</v>
      </c>
      <c r="I629" s="15" t="n">
        <v>0.268479426555246</v>
      </c>
      <c r="J629" s="15" t="n">
        <v>0.0420042833674684</v>
      </c>
      <c r="K629" s="15"/>
      <c r="L629" s="15" t="n">
        <v>0.273303356469306</v>
      </c>
      <c r="M629" s="15" t="n">
        <v>0.268479426555246</v>
      </c>
      <c r="N629" s="15" t="n">
        <v>0.0108850946867599</v>
      </c>
      <c r="O629" s="15" t="n">
        <v>1.15304250980291</v>
      </c>
    </row>
    <row r="630" customFormat="false" ht="12.75" hidden="false" customHeight="false" outlineLevel="0" collapsed="false">
      <c r="A630" s="6" t="s">
        <v>37</v>
      </c>
      <c r="B630" s="6" t="n">
        <v>1</v>
      </c>
      <c r="C630" s="6" t="n">
        <v>1685401</v>
      </c>
      <c r="D630" s="6" t="n">
        <v>0</v>
      </c>
      <c r="E630" s="6" t="n">
        <v>0.0190957981584029</v>
      </c>
      <c r="F630" s="6"/>
      <c r="G630" s="6" t="n">
        <v>3.26758137987897E-012</v>
      </c>
      <c r="H630" s="6" t="n">
        <v>0</v>
      </c>
      <c r="I630" s="15" t="n">
        <v>0.00311973002086177</v>
      </c>
      <c r="J630" s="15" t="n">
        <v>0.0420042833674684</v>
      </c>
      <c r="K630" s="15"/>
      <c r="L630" s="15" t="n">
        <v>0</v>
      </c>
      <c r="M630" s="15" t="n">
        <v>0.00311973002086177</v>
      </c>
      <c r="N630" s="15" t="n">
        <v>-0.0559418733573649</v>
      </c>
      <c r="O630" s="15" t="n">
        <v>-0.209394372692423</v>
      </c>
    </row>
    <row r="631" customFormat="false" ht="12.75" hidden="false" customHeight="false" outlineLevel="0" collapsed="false">
      <c r="A631" s="6" t="s">
        <v>38</v>
      </c>
      <c r="B631" s="6" t="n">
        <v>1</v>
      </c>
      <c r="C631" s="6" t="n">
        <v>18136081</v>
      </c>
      <c r="D631" s="6" t="n">
        <v>0.270103092783505</v>
      </c>
      <c r="E631" s="6" t="n">
        <v>0.0509878017590525</v>
      </c>
      <c r="F631" s="6"/>
      <c r="G631" s="6" t="n">
        <v>6.14030526894406E-010</v>
      </c>
      <c r="H631" s="6" t="n">
        <v>0.331822037089797</v>
      </c>
      <c r="I631" s="15" t="n">
        <v>0.234386607073746</v>
      </c>
      <c r="J631" s="15" t="n">
        <v>0.0420042833674684</v>
      </c>
      <c r="K631" s="15"/>
      <c r="L631" s="15" t="n">
        <v>0.331822037089797</v>
      </c>
      <c r="M631" s="15" t="n">
        <v>0.234386607073746</v>
      </c>
      <c r="N631" s="15" t="n">
        <v>0.230009486831479</v>
      </c>
      <c r="O631" s="15" t="n">
        <v>1.44476234018587</v>
      </c>
    </row>
    <row r="632" customFormat="false" ht="12.75" hidden="false" customHeight="false" outlineLevel="0" collapsed="false">
      <c r="A632" s="6" t="s">
        <v>39</v>
      </c>
      <c r="B632" s="6" t="n">
        <v>1</v>
      </c>
      <c r="C632" s="6" t="n">
        <v>7195138</v>
      </c>
      <c r="D632" s="6" t="n">
        <v>0</v>
      </c>
      <c r="E632" s="6" t="n">
        <v>0.0221303868527105</v>
      </c>
      <c r="F632" s="6"/>
      <c r="G632" s="6" t="n">
        <v>1.73290869510021E-012</v>
      </c>
      <c r="H632" s="6" t="n">
        <v>0.000738443042039357</v>
      </c>
      <c r="I632" s="15" t="n">
        <v>0.00858746730588392</v>
      </c>
      <c r="J632" s="15" t="n">
        <v>0.0420042833674684</v>
      </c>
      <c r="K632" s="15"/>
      <c r="L632" s="15" t="n">
        <v>0.000738443042039357</v>
      </c>
      <c r="M632" s="15" t="n">
        <v>0.00858746730588392</v>
      </c>
      <c r="N632" s="15" t="n">
        <v>-0.0850659822236539</v>
      </c>
      <c r="O632" s="15" t="n">
        <v>-0.205713181033844</v>
      </c>
    </row>
    <row r="633" customFormat="false" ht="12.75" hidden="false" customHeight="false" outlineLevel="0" collapsed="false">
      <c r="A633" s="6" t="s">
        <v>40</v>
      </c>
      <c r="B633" s="6" t="n">
        <v>1</v>
      </c>
      <c r="C633" s="6" t="n">
        <v>641367</v>
      </c>
      <c r="D633" s="6" t="n">
        <v>0</v>
      </c>
      <c r="E633" s="6" t="n">
        <v>0.0585817128891722</v>
      </c>
      <c r="F633" s="6"/>
      <c r="G633" s="6" t="n">
        <v>2.88428682897276E-014</v>
      </c>
      <c r="H633" s="6" t="n">
        <v>0</v>
      </c>
      <c r="I633" s="15" t="n">
        <v>0.00883842647734585</v>
      </c>
      <c r="J633" s="15" t="n">
        <v>0.0420042833674684</v>
      </c>
      <c r="K633" s="15"/>
      <c r="L633" s="15" t="n">
        <v>0</v>
      </c>
      <c r="M633" s="15" t="n">
        <v>0.00883842647734585</v>
      </c>
      <c r="N633" s="15" t="n">
        <v>-0.0944311434592622</v>
      </c>
      <c r="O633" s="15" t="n">
        <v>-0.209394372692423</v>
      </c>
    </row>
    <row r="634" customFormat="false" ht="12.75" hidden="false" customHeight="false" outlineLevel="0" collapsed="false">
      <c r="A634" s="6" t="s">
        <v>41</v>
      </c>
      <c r="B634" s="6" t="n">
        <v>1</v>
      </c>
      <c r="C634" s="6" t="n">
        <v>11150506</v>
      </c>
      <c r="D634" s="6" t="n">
        <v>0.124419204956118</v>
      </c>
      <c r="E634" s="6" t="n">
        <v>0.0282688311910131</v>
      </c>
      <c r="F634" s="6"/>
      <c r="G634" s="6" t="n">
        <v>3.8555392305473E-012</v>
      </c>
      <c r="H634" s="6" t="n">
        <v>0.0328757643019831</v>
      </c>
      <c r="I634" s="15" t="n">
        <v>0.0512098365110542</v>
      </c>
      <c r="J634" s="15" t="n">
        <v>0.0420042833674684</v>
      </c>
      <c r="K634" s="15"/>
      <c r="L634" s="15" t="n">
        <v>0.0328757643019831</v>
      </c>
      <c r="M634" s="15" t="n">
        <v>0.0512098365110542</v>
      </c>
      <c r="N634" s="15" t="n">
        <v>-0.0831758324388704</v>
      </c>
      <c r="O634" s="15" t="n">
        <v>-0.0455063238814475</v>
      </c>
    </row>
    <row r="635" customFormat="false" ht="12.75" hidden="false" customHeight="false" outlineLevel="0" collapsed="false">
      <c r="A635" s="6" t="s">
        <v>42</v>
      </c>
      <c r="B635" s="6" t="n">
        <v>1</v>
      </c>
      <c r="C635" s="6" t="n">
        <v>3277687</v>
      </c>
      <c r="D635" s="6" t="n">
        <v>0.163815789473684</v>
      </c>
      <c r="E635" s="6" t="n">
        <v>0.0108396118772474</v>
      </c>
      <c r="F635" s="6"/>
      <c r="G635" s="6" t="n">
        <v>8.18184975183888E-013</v>
      </c>
      <c r="H635" s="6" t="n">
        <v>0.0759782565467173</v>
      </c>
      <c r="I635" s="15" t="n">
        <v>0.0216036336277533</v>
      </c>
      <c r="J635" s="15" t="n">
        <v>0.0420042833674684</v>
      </c>
      <c r="K635" s="15"/>
      <c r="L635" s="15" t="n">
        <v>0.0759782565467173</v>
      </c>
      <c r="M635" s="15" t="n">
        <v>0.0216036336277533</v>
      </c>
      <c r="N635" s="15" t="n">
        <v>0.374003305742464</v>
      </c>
      <c r="O635" s="15" t="n">
        <v>0.169362699025302</v>
      </c>
    </row>
    <row r="636" customFormat="false" ht="12.75" hidden="false" customHeight="false" outlineLevel="0" collapsed="false">
      <c r="A636" s="6" t="s">
        <v>43</v>
      </c>
      <c r="B636" s="6" t="n">
        <v>1</v>
      </c>
      <c r="C636" s="6" t="n">
        <v>3140585</v>
      </c>
      <c r="D636" s="6" t="n">
        <v>0</v>
      </c>
      <c r="E636" s="6" t="n">
        <v>0.0372433830337473</v>
      </c>
      <c r="F636" s="6"/>
      <c r="G636" s="6" t="n">
        <v>1.82145478296565E-012</v>
      </c>
      <c r="H636" s="6" t="n">
        <v>0.00529904028492617</v>
      </c>
      <c r="I636" s="15" t="n">
        <v>0.00707254230888234</v>
      </c>
      <c r="J636" s="15" t="n">
        <v>0.0420042833674684</v>
      </c>
      <c r="K636" s="15"/>
      <c r="L636" s="15" t="n">
        <v>0.00529904028492617</v>
      </c>
      <c r="M636" s="15" t="n">
        <v>0.00707254230888234</v>
      </c>
      <c r="N636" s="15" t="n">
        <v>-0.0211633859010536</v>
      </c>
      <c r="O636" s="15" t="n">
        <v>-0.18297827587137</v>
      </c>
    </row>
    <row r="637" customFormat="false" ht="12.75" hidden="false" customHeight="false" outlineLevel="0" collapsed="false">
      <c r="A637" s="6" t="s">
        <v>44</v>
      </c>
      <c r="B637" s="6" t="n">
        <v>1</v>
      </c>
      <c r="C637" s="6" t="n">
        <v>12071842</v>
      </c>
      <c r="D637" s="6" t="n">
        <v>0.224868231911835</v>
      </c>
      <c r="E637" s="6" t="n">
        <v>0.0341732303708947</v>
      </c>
      <c r="F637" s="6"/>
      <c r="G637" s="6" t="n">
        <v>7.42322736941945E-009</v>
      </c>
      <c r="H637" s="6" t="n">
        <v>0.116977230877519</v>
      </c>
      <c r="I637" s="15" t="n">
        <v>0.11373889255704</v>
      </c>
      <c r="J637" s="15" t="n">
        <v>0.0420042833674684</v>
      </c>
      <c r="K637" s="15"/>
      <c r="L637" s="15" t="n">
        <v>0.116977230877519</v>
      </c>
      <c r="M637" s="15" t="n">
        <v>0.11373889255704</v>
      </c>
      <c r="N637" s="15" t="n">
        <v>0.0101996877303094</v>
      </c>
      <c r="O637" s="15" t="n">
        <v>0.37374553388828</v>
      </c>
    </row>
    <row r="638" customFormat="false" ht="12.75" hidden="false" customHeight="false" outlineLevel="0" collapsed="false">
      <c r="A638" s="6" t="s">
        <v>45</v>
      </c>
      <c r="B638" s="6" t="n">
        <v>1</v>
      </c>
      <c r="C638" s="6" t="n">
        <v>989794</v>
      </c>
      <c r="D638" s="6" t="n">
        <v>0</v>
      </c>
      <c r="E638" s="6" t="n">
        <v>0.0757652407576525</v>
      </c>
      <c r="F638" s="6"/>
      <c r="G638" s="6" t="n">
        <v>1.30467382846026E-008</v>
      </c>
      <c r="H638" s="6" t="n">
        <v>0.0373661178404778</v>
      </c>
      <c r="I638" s="15" t="n">
        <v>0.0145326976032704</v>
      </c>
      <c r="J638" s="15" t="n">
        <v>0.0420042833674684</v>
      </c>
      <c r="K638" s="15"/>
      <c r="L638" s="15" t="n">
        <v>0.0373661178404778</v>
      </c>
      <c r="M638" s="15" t="n">
        <v>0.0145326976032704</v>
      </c>
      <c r="N638" s="15" t="n">
        <v>0.190799284497126</v>
      </c>
      <c r="O638" s="15" t="n">
        <v>-0.0231215886358867</v>
      </c>
    </row>
    <row r="639" customFormat="false" ht="12.75" hidden="false" customHeight="false" outlineLevel="0" collapsed="false">
      <c r="A639" s="6" t="s">
        <v>46</v>
      </c>
      <c r="B639" s="6" t="n">
        <v>1</v>
      </c>
      <c r="C639" s="6" t="n">
        <v>3673287</v>
      </c>
      <c r="D639" s="6" t="n">
        <v>0</v>
      </c>
      <c r="E639" s="6" t="n">
        <v>0.0212156597627681</v>
      </c>
      <c r="F639" s="6"/>
      <c r="G639" s="6" t="n">
        <v>2.57625046539453E-014</v>
      </c>
      <c r="H639" s="6" t="n">
        <v>0</v>
      </c>
      <c r="I639" s="15" t="n">
        <v>0.00474994796737675</v>
      </c>
      <c r="J639" s="15" t="n">
        <v>0.0420042833674684</v>
      </c>
      <c r="K639" s="15"/>
      <c r="L639" s="15" t="n">
        <v>0</v>
      </c>
      <c r="M639" s="15" t="n">
        <v>0.00474994796737675</v>
      </c>
      <c r="N639" s="15" t="n">
        <v>-0.0690841345961299</v>
      </c>
      <c r="O639" s="15" t="n">
        <v>-0.209394372692423</v>
      </c>
    </row>
    <row r="640" customFormat="false" ht="12.75" hidden="false" customHeight="false" outlineLevel="0" collapsed="false">
      <c r="A640" s="6" t="s">
        <v>47</v>
      </c>
      <c r="B640" s="6" t="n">
        <v>1</v>
      </c>
      <c r="C640" s="6" t="n">
        <v>729034</v>
      </c>
      <c r="D640" s="6" t="n">
        <v>0</v>
      </c>
      <c r="E640" s="6" t="n">
        <v>0.0295761623107812</v>
      </c>
      <c r="F640" s="6"/>
      <c r="G640" s="6" t="n">
        <v>8.51096256861615E-012</v>
      </c>
      <c r="H640" s="6" t="n">
        <v>0</v>
      </c>
      <c r="I640" s="15" t="n">
        <v>0.00372552266555691</v>
      </c>
      <c r="J640" s="15" t="n">
        <v>0.0420042833674684</v>
      </c>
      <c r="K640" s="15"/>
      <c r="L640" s="15" t="n">
        <v>0</v>
      </c>
      <c r="M640" s="15" t="n">
        <v>0.00372552266555691</v>
      </c>
      <c r="N640" s="15" t="n">
        <v>-0.0611510759227753</v>
      </c>
      <c r="O640" s="15" t="n">
        <v>-0.209394372692423</v>
      </c>
    </row>
    <row r="641" customFormat="false" ht="12.75" hidden="false" customHeight="false" outlineLevel="0" collapsed="false">
      <c r="A641" s="6" t="s">
        <v>48</v>
      </c>
      <c r="B641" s="6" t="n">
        <v>1</v>
      </c>
      <c r="C641" s="6" t="n">
        <v>5256051</v>
      </c>
      <c r="D641" s="6" t="n">
        <v>0</v>
      </c>
      <c r="E641" s="6" t="n">
        <v>0.0458630868796215</v>
      </c>
      <c r="F641" s="6"/>
      <c r="G641" s="6" t="n">
        <v>2.94341409435387E-013</v>
      </c>
      <c r="H641" s="6" t="n">
        <v>5.80051647196015E-005</v>
      </c>
      <c r="I641" s="15" t="n">
        <v>0.012268425236787</v>
      </c>
      <c r="J641" s="15" t="n">
        <v>0.0420042833674684</v>
      </c>
      <c r="K641" s="15"/>
      <c r="L641" s="15" t="n">
        <v>5.80051647196015E-005</v>
      </c>
      <c r="M641" s="15" t="n">
        <v>0.012268425236787</v>
      </c>
      <c r="N641" s="15" t="n">
        <v>-0.110921753443085</v>
      </c>
      <c r="O641" s="15" t="n">
        <v>-0.209105212775727</v>
      </c>
    </row>
    <row r="642" customFormat="false" ht="12.75" hidden="false" customHeight="false" outlineLevel="0" collapsed="false">
      <c r="A642" s="6" t="s">
        <v>49</v>
      </c>
      <c r="B642" s="6" t="n">
        <v>1</v>
      </c>
      <c r="C642" s="6" t="n">
        <v>18723991</v>
      </c>
      <c r="D642" s="6" t="n">
        <v>0.006727760393384</v>
      </c>
      <c r="E642" s="6" t="n">
        <v>0.00910524272123237</v>
      </c>
      <c r="F642" s="6"/>
      <c r="G642" s="6" t="n">
        <v>2.38458372944146E-012</v>
      </c>
      <c r="H642" s="6" t="n">
        <v>0.0247474685546935</v>
      </c>
      <c r="I642" s="15" t="n">
        <v>0.0301512267912615</v>
      </c>
      <c r="J642" s="15" t="n">
        <v>0.0420042833674684</v>
      </c>
      <c r="K642" s="15"/>
      <c r="L642" s="15" t="n">
        <v>0.0247474685546935</v>
      </c>
      <c r="M642" s="15" t="n">
        <v>0.0301512267912615</v>
      </c>
      <c r="N642" s="15" t="n">
        <v>-0.0316003146090373</v>
      </c>
      <c r="O642" s="15" t="n">
        <v>-0.0860264626056895</v>
      </c>
    </row>
    <row r="643" customFormat="false" ht="12.75" hidden="false" customHeight="false" outlineLevel="0" collapsed="false">
      <c r="A643" s="6" t="s">
        <v>50</v>
      </c>
      <c r="B643" s="6" t="n">
        <v>1</v>
      </c>
      <c r="C643" s="6" t="n">
        <v>1951408</v>
      </c>
      <c r="D643" s="6" t="n">
        <v>0</v>
      </c>
      <c r="E643" s="6" t="n">
        <v>0.00991343868813166</v>
      </c>
      <c r="F643" s="6"/>
      <c r="G643" s="6" t="n">
        <v>4.16760355861009E-013</v>
      </c>
      <c r="H643" s="6" t="n">
        <v>0.000622986197117817</v>
      </c>
      <c r="I643" s="15" t="n">
        <v>0.00238420131971669</v>
      </c>
      <c r="J643" s="15" t="n">
        <v>0.0420042833674684</v>
      </c>
      <c r="K643" s="15"/>
      <c r="L643" s="15" t="n">
        <v>0.000622986197117817</v>
      </c>
      <c r="M643" s="15" t="n">
        <v>0.00238420131971669</v>
      </c>
      <c r="N643" s="15" t="n">
        <v>-0.0361126438437939</v>
      </c>
      <c r="O643" s="15" t="n">
        <v>-0.206288741707118</v>
      </c>
    </row>
    <row r="644" customFormat="false" ht="12.75" hidden="false" customHeight="false" outlineLevel="0" collapsed="false">
      <c r="A644" s="6" t="s">
        <v>51</v>
      </c>
      <c r="B644" s="6" t="n">
        <v>1</v>
      </c>
      <c r="C644" s="6" t="n">
        <v>584771</v>
      </c>
      <c r="D644" s="6" t="n">
        <v>0</v>
      </c>
      <c r="E644" s="6" t="n">
        <v>0.0494956071368481</v>
      </c>
      <c r="F644" s="6"/>
      <c r="G644" s="6" t="n">
        <v>5.28659248696466E-009</v>
      </c>
      <c r="H644" s="6" t="n">
        <v>0</v>
      </c>
      <c r="I644" s="15" t="n">
        <v>0.00674314027866694</v>
      </c>
      <c r="J644" s="15" t="n">
        <v>0.0420042833674684</v>
      </c>
      <c r="K644" s="15"/>
      <c r="L644" s="15" t="n">
        <v>0</v>
      </c>
      <c r="M644" s="15" t="n">
        <v>0.00674314027866694</v>
      </c>
      <c r="N644" s="15" t="n">
        <v>-0.0823948961479158</v>
      </c>
      <c r="O644" s="15" t="n">
        <v>-0.209394372692423</v>
      </c>
    </row>
    <row r="645" customFormat="false" ht="12.75" hidden="false" customHeight="false" outlineLevel="0" collapsed="false">
      <c r="A645" s="6" t="s">
        <v>52</v>
      </c>
      <c r="B645" s="6" t="n">
        <v>1</v>
      </c>
      <c r="C645" s="6" t="n">
        <v>6618358</v>
      </c>
      <c r="D645" s="6" t="n">
        <v>0.102064896755162</v>
      </c>
      <c r="E645" s="6" t="n">
        <v>0.0646098010772455</v>
      </c>
      <c r="F645" s="6"/>
      <c r="G645" s="6" t="n">
        <v>2.1699894914854E-010</v>
      </c>
      <c r="H645" s="6" t="n">
        <v>0.0465283677535952</v>
      </c>
      <c r="I645" s="15" t="n">
        <v>0.053399979035979</v>
      </c>
      <c r="J645" s="15" t="n">
        <v>0.0420042833674684</v>
      </c>
      <c r="K645" s="15"/>
      <c r="L645" s="15" t="n">
        <v>0.0465283677535952</v>
      </c>
      <c r="M645" s="15" t="n">
        <v>0.053399979035979</v>
      </c>
      <c r="N645" s="15" t="n">
        <v>-0.0305636196135669</v>
      </c>
      <c r="O645" s="15" t="n">
        <v>0.0225528859462531</v>
      </c>
    </row>
    <row r="646" customFormat="false" ht="12.75" hidden="false" customHeight="false" outlineLevel="0" collapsed="false">
      <c r="A646" s="6" t="s">
        <v>53</v>
      </c>
      <c r="B646" s="6" t="n">
        <v>1</v>
      </c>
      <c r="C646" s="6" t="n">
        <v>5430940</v>
      </c>
      <c r="D646" s="6" t="n">
        <v>0</v>
      </c>
      <c r="E646" s="6" t="n">
        <v>0.0152694227003708</v>
      </c>
      <c r="F646" s="6"/>
      <c r="G646" s="6" t="n">
        <v>4.68182221770351E-012</v>
      </c>
      <c r="H646" s="6" t="n">
        <v>0.0414276298865866</v>
      </c>
      <c r="I646" s="15" t="n">
        <v>0.00530549810884999</v>
      </c>
      <c r="J646" s="15" t="n">
        <v>0.0420042833674684</v>
      </c>
      <c r="K646" s="15"/>
      <c r="L646" s="15" t="n">
        <v>0.0414276298865866</v>
      </c>
      <c r="M646" s="15" t="n">
        <v>0.00530549810884999</v>
      </c>
      <c r="N646" s="15" t="n">
        <v>0.497239283414638</v>
      </c>
      <c r="O646" s="15" t="n">
        <v>-0.0028746590635483</v>
      </c>
    </row>
    <row r="647" customFormat="false" ht="12.75" hidden="false" customHeight="false" outlineLevel="0" collapsed="false">
      <c r="A647" s="6" t="s">
        <v>54</v>
      </c>
      <c r="B647" s="6" t="n">
        <v>1</v>
      </c>
      <c r="C647" s="6" t="n">
        <v>1828140</v>
      </c>
      <c r="D647" s="6" t="n">
        <v>0.154107142857143</v>
      </c>
      <c r="E647" s="6" t="n">
        <v>0.083450810945235</v>
      </c>
      <c r="F647" s="6"/>
      <c r="G647" s="6" t="n">
        <v>6.85214483647577E-010</v>
      </c>
      <c r="H647" s="6" t="n">
        <v>0.0657245663242686</v>
      </c>
      <c r="I647" s="15" t="n">
        <v>0.0682855897375026</v>
      </c>
      <c r="J647" s="15" t="n">
        <v>0.0420042833674684</v>
      </c>
      <c r="K647" s="15"/>
      <c r="L647" s="15" t="n">
        <v>0.0657245663242686</v>
      </c>
      <c r="M647" s="15" t="n">
        <v>0.0682855897375026</v>
      </c>
      <c r="N647" s="15" t="n">
        <v>-0.0101533091617649</v>
      </c>
      <c r="O647" s="15" t="n">
        <v>0.118247316026649</v>
      </c>
    </row>
    <row r="648" customFormat="false" ht="12.75" hidden="false" customHeight="false" outlineLevel="0" collapsed="false">
      <c r="A648" s="6" t="s">
        <v>55</v>
      </c>
      <c r="B648" s="6" t="n">
        <v>1</v>
      </c>
      <c r="C648" s="6" t="n">
        <v>5122871</v>
      </c>
      <c r="D648" s="6" t="n">
        <v>0</v>
      </c>
      <c r="E648" s="6" t="n">
        <v>0.0137079087829872</v>
      </c>
      <c r="F648" s="6"/>
      <c r="G648" s="6" t="n">
        <v>6.22970666540397E-012</v>
      </c>
      <c r="H648" s="6" t="n">
        <v>1.13332512302244E-005</v>
      </c>
      <c r="I648" s="15" t="n">
        <v>0.00479889626441975</v>
      </c>
      <c r="J648" s="15" t="n">
        <v>0.0420042833674684</v>
      </c>
      <c r="K648" s="15"/>
      <c r="L648" s="15" t="n">
        <v>1.13332512302244E-005</v>
      </c>
      <c r="M648" s="15" t="n">
        <v>0.00479889626441975</v>
      </c>
      <c r="N648" s="15" t="n">
        <v>-0.0692768923331223</v>
      </c>
      <c r="O648" s="15" t="n">
        <v>-0.20933787562018</v>
      </c>
    </row>
    <row r="649" customFormat="false" ht="13.5" hidden="false" customHeight="false" outlineLevel="0" collapsed="false">
      <c r="A649" s="7" t="s">
        <v>56</v>
      </c>
      <c r="B649" s="7" t="n">
        <v>1</v>
      </c>
      <c r="C649" s="7" t="n">
        <v>480184</v>
      </c>
      <c r="D649" s="7" t="n">
        <v>0</v>
      </c>
      <c r="E649" s="7" t="n">
        <v>0.0256209952218234</v>
      </c>
      <c r="F649" s="7"/>
      <c r="G649" s="7" t="n">
        <v>2.06863081753292E-013</v>
      </c>
      <c r="H649" s="7" t="n">
        <v>0</v>
      </c>
      <c r="I649" s="16" t="n">
        <v>0.00312098557238206</v>
      </c>
      <c r="J649" s="16" t="n">
        <v>0.0420042833674684</v>
      </c>
      <c r="K649" s="16"/>
      <c r="L649" s="16" t="n">
        <v>0</v>
      </c>
      <c r="M649" s="16" t="n">
        <v>0.00312098557238206</v>
      </c>
      <c r="N649" s="16" t="n">
        <v>-0.0559531645094307</v>
      </c>
      <c r="O649" s="16" t="n">
        <v>-0.209394372692423</v>
      </c>
    </row>
    <row r="652" customFormat="false" ht="12.75" hidden="false" customHeight="false" outlineLevel="0" collapsed="false">
      <c r="A652" s="0" t="s">
        <v>421</v>
      </c>
    </row>
    <row r="653" customFormat="false" ht="12.75" hidden="false" customHeight="false" outlineLevel="0" collapsed="false">
      <c r="A653" s="0" t="s">
        <v>109</v>
      </c>
    </row>
    <row r="654" customFormat="false" ht="12.75" hidden="false" customHeight="false" outlineLevel="0" collapsed="false">
      <c r="A654" s="0" t="s">
        <v>422</v>
      </c>
    </row>
    <row r="655" customFormat="false" ht="12.75" hidden="false" customHeight="false" outlineLevel="0" collapsed="false">
      <c r="A655" s="0" t="s">
        <v>423</v>
      </c>
    </row>
    <row r="656" customFormat="false" ht="12.75" hidden="false" customHeight="false" outlineLevel="0" collapsed="false">
      <c r="A656" s="0" t="s">
        <v>112</v>
      </c>
    </row>
    <row r="658" customFormat="false" ht="13.5" hidden="false" customHeight="false" outlineLevel="0" collapsed="false"/>
    <row r="659" customFormat="false" ht="12.75" hidden="false" customHeight="false" outlineLevel="0" collapsed="false">
      <c r="A659" s="8"/>
      <c r="B659" s="8" t="s">
        <v>113</v>
      </c>
      <c r="C659" s="8" t="s">
        <v>114</v>
      </c>
      <c r="D659" s="8" t="s">
        <v>115</v>
      </c>
      <c r="E659" s="8" t="s">
        <v>116</v>
      </c>
      <c r="F659" s="40"/>
    </row>
    <row r="660" customFormat="false" ht="12.75" hidden="false" customHeight="false" outlineLevel="0" collapsed="false">
      <c r="A660" s="6" t="s">
        <v>117</v>
      </c>
      <c r="B660" s="6" t="n">
        <v>0.0420042833674684</v>
      </c>
      <c r="C660" s="6" t="n">
        <v>0.0729789206014218</v>
      </c>
      <c r="D660" s="6" t="n">
        <v>0</v>
      </c>
      <c r="E660" s="6" t="n">
        <v>0.331822037089797</v>
      </c>
      <c r="F660" s="6"/>
    </row>
    <row r="661" customFormat="false" ht="12.75" hidden="false" customHeight="false" outlineLevel="0" collapsed="false">
      <c r="A661" s="6" t="s">
        <v>84</v>
      </c>
      <c r="B661" s="6" t="n">
        <v>5338722.3877551</v>
      </c>
      <c r="C661" s="6" t="n">
        <v>5779174.66837188</v>
      </c>
      <c r="D661" s="6" t="n">
        <v>480184</v>
      </c>
      <c r="E661" s="6" t="n">
        <v>31589153</v>
      </c>
      <c r="F661" s="6"/>
    </row>
    <row r="662" customFormat="false" ht="12.75" hidden="false" customHeight="false" outlineLevel="0" collapsed="false">
      <c r="A662" s="6" t="s">
        <v>105</v>
      </c>
      <c r="B662" s="6" t="n">
        <v>0.0748801382019185</v>
      </c>
      <c r="C662" s="6" t="n">
        <v>0.114610023517382</v>
      </c>
      <c r="D662" s="6" t="n">
        <v>0</v>
      </c>
      <c r="E662" s="6" t="n">
        <v>0.424725274725275</v>
      </c>
      <c r="F662" s="6"/>
    </row>
    <row r="663" customFormat="false" ht="12.75" hidden="false" customHeight="false" outlineLevel="0" collapsed="false">
      <c r="A663" s="6" t="s">
        <v>100</v>
      </c>
      <c r="B663" s="6" t="n">
        <v>0.0372393142980251</v>
      </c>
      <c r="C663" s="6" t="n">
        <v>0.0269260351740362</v>
      </c>
      <c r="D663" s="6" t="n">
        <v>0.004523030247648</v>
      </c>
      <c r="E663" s="6" t="n">
        <v>0.138328875404208</v>
      </c>
      <c r="F663" s="6"/>
    </row>
    <row r="664" customFormat="false" ht="13.5" hidden="false" customHeight="false" outlineLevel="0" collapsed="false">
      <c r="A664" s="7" t="s">
        <v>143</v>
      </c>
      <c r="B664" s="7" t="n">
        <v>2.30500166681722E-008</v>
      </c>
      <c r="C664" s="7" t="n">
        <v>1.3983591544212E-007</v>
      </c>
      <c r="D664" s="7" t="n">
        <v>2.57625046539453E-014</v>
      </c>
      <c r="E664" s="7" t="n">
        <v>9.78574048714857E-007</v>
      </c>
      <c r="F664" s="6"/>
    </row>
    <row r="667" customFormat="false" ht="12.75" hidden="false" customHeight="false" outlineLevel="0" collapsed="false">
      <c r="A667" s="0" t="s">
        <v>118</v>
      </c>
    </row>
    <row r="668" customFormat="false" ht="12.75" hidden="false" customHeight="false" outlineLevel="0" collapsed="false">
      <c r="A668" s="0" t="s">
        <v>119</v>
      </c>
    </row>
    <row r="669" customFormat="false" ht="12.75" hidden="false" customHeight="false" outlineLevel="0" collapsed="false">
      <c r="A669" s="0" t="s">
        <v>120</v>
      </c>
    </row>
    <row r="672" customFormat="false" ht="12.75" hidden="false" customHeight="false" outlineLevel="0" collapsed="false">
      <c r="A672" s="0" t="s">
        <v>121</v>
      </c>
    </row>
    <row r="673" customFormat="false" ht="13.5" hidden="false" customHeight="false" outlineLevel="0" collapsed="false"/>
    <row r="674" customFormat="false" ht="12.75" hidden="false" customHeight="false" outlineLevel="0" collapsed="false">
      <c r="A674" s="9"/>
      <c r="B674" s="9" t="s">
        <v>122</v>
      </c>
      <c r="C674" s="9" t="s">
        <v>123</v>
      </c>
      <c r="D674" s="9" t="s">
        <v>124</v>
      </c>
      <c r="E674" s="9" t="s">
        <v>125</v>
      </c>
      <c r="F674" s="9"/>
      <c r="G674" s="9" t="s">
        <v>126</v>
      </c>
    </row>
    <row r="675" customFormat="false" ht="12.75" hidden="false" customHeight="false" outlineLevel="0" collapsed="false">
      <c r="A675" s="10" t="s">
        <v>127</v>
      </c>
      <c r="B675" s="10" t="n">
        <v>4</v>
      </c>
      <c r="C675" s="11" t="n">
        <v>0.167419389272787</v>
      </c>
      <c r="D675" s="11" t="n">
        <v>0.0418548473181968</v>
      </c>
      <c r="E675" s="11" t="n">
        <v>20.8740743568338</v>
      </c>
      <c r="F675" s="11"/>
      <c r="G675" s="11" t="n">
        <v>0.0001</v>
      </c>
    </row>
    <row r="676" customFormat="false" ht="12.75" hidden="false" customHeight="false" outlineLevel="0" collapsed="false">
      <c r="A676" s="10" t="s">
        <v>128</v>
      </c>
      <c r="B676" s="10" t="n">
        <v>44</v>
      </c>
      <c r="C676" s="11" t="n">
        <v>0.088224907630347</v>
      </c>
      <c r="D676" s="11" t="n">
        <v>0.00200511153705334</v>
      </c>
      <c r="E676" s="11"/>
      <c r="F676" s="11"/>
      <c r="G676" s="11"/>
    </row>
    <row r="677" customFormat="false" ht="13.5" hidden="false" customHeight="false" outlineLevel="0" collapsed="false">
      <c r="A677" s="12" t="s">
        <v>72</v>
      </c>
      <c r="B677" s="12" t="n">
        <v>48</v>
      </c>
      <c r="C677" s="13" t="n">
        <v>0.255644296903134</v>
      </c>
      <c r="D677" s="13"/>
      <c r="E677" s="13"/>
      <c r="F677" s="13"/>
      <c r="G677" s="13"/>
    </row>
    <row r="680" customFormat="false" ht="12.75" hidden="false" customHeight="false" outlineLevel="0" collapsed="false">
      <c r="A680" s="0" t="s">
        <v>129</v>
      </c>
    </row>
    <row r="681" customFormat="false" ht="13.5" hidden="false" customHeight="false" outlineLevel="0" collapsed="false"/>
    <row r="682" customFormat="false" ht="12.75" hidden="false" customHeight="false" outlineLevel="0" collapsed="false">
      <c r="A682" s="8" t="s">
        <v>130</v>
      </c>
      <c r="B682" s="8" t="s">
        <v>122</v>
      </c>
      <c r="C682" s="14" t="s">
        <v>131</v>
      </c>
      <c r="D682" s="14" t="s">
        <v>132</v>
      </c>
      <c r="E682" s="14" t="s">
        <v>125</v>
      </c>
      <c r="F682" s="14"/>
      <c r="G682" s="14" t="s">
        <v>133</v>
      </c>
    </row>
    <row r="683" customFormat="false" ht="12.75" hidden="false" customHeight="false" outlineLevel="0" collapsed="false">
      <c r="A683" s="6" t="s">
        <v>84</v>
      </c>
      <c r="B683" s="6" t="n">
        <v>1</v>
      </c>
      <c r="C683" s="15" t="n">
        <v>0.0181823416089512</v>
      </c>
      <c r="D683" s="15" t="n">
        <v>0.0181823416089512</v>
      </c>
      <c r="E683" s="15" t="n">
        <v>9.06799510797864</v>
      </c>
      <c r="F683" s="15"/>
      <c r="G683" s="15" t="n">
        <v>0.00429847469822777</v>
      </c>
    </row>
    <row r="684" customFormat="false" ht="12.75" hidden="false" customHeight="false" outlineLevel="0" collapsed="false">
      <c r="A684" s="6" t="s">
        <v>105</v>
      </c>
      <c r="B684" s="6" t="n">
        <v>1</v>
      </c>
      <c r="C684" s="15" t="n">
        <v>0.126322833398973</v>
      </c>
      <c r="D684" s="15" t="n">
        <v>0.126322833398973</v>
      </c>
      <c r="E684" s="15" t="n">
        <v>63.0004022542377</v>
      </c>
      <c r="F684" s="15"/>
      <c r="G684" s="15" t="n">
        <v>0.0001</v>
      </c>
    </row>
    <row r="685" customFormat="false" ht="12.75" hidden="false" customHeight="false" outlineLevel="0" collapsed="false">
      <c r="A685" s="6" t="s">
        <v>100</v>
      </c>
      <c r="B685" s="6" t="n">
        <v>1</v>
      </c>
      <c r="C685" s="15" t="n">
        <v>0.0170784127429364</v>
      </c>
      <c r="D685" s="15" t="n">
        <v>0.0170784127429364</v>
      </c>
      <c r="E685" s="15" t="n">
        <v>8.51743777208244</v>
      </c>
      <c r="F685" s="15"/>
      <c r="G685" s="15" t="n">
        <v>0.0055239736718071</v>
      </c>
    </row>
    <row r="686" customFormat="false" ht="13.5" hidden="false" customHeight="false" outlineLevel="0" collapsed="false">
      <c r="A686" s="7" t="s">
        <v>143</v>
      </c>
      <c r="B686" s="7" t="n">
        <v>1</v>
      </c>
      <c r="C686" s="16" t="n">
        <v>0.00583580152192625</v>
      </c>
      <c r="D686" s="16" t="n">
        <v>0.00583580152192625</v>
      </c>
      <c r="E686" s="16" t="n">
        <v>2.91046229303652</v>
      </c>
      <c r="F686" s="16"/>
      <c r="G686" s="16" t="n">
        <v>0.095057047300429</v>
      </c>
    </row>
    <row r="689" customFormat="false" ht="12.75" hidden="false" customHeight="false" outlineLevel="0" collapsed="false">
      <c r="A689" s="0" t="s">
        <v>134</v>
      </c>
    </row>
    <row r="690" customFormat="false" ht="13.5" hidden="false" customHeight="false" outlineLevel="0" collapsed="false"/>
    <row r="691" customFormat="false" ht="12.75" hidden="false" customHeight="false" outlineLevel="0" collapsed="false">
      <c r="A691" s="8"/>
      <c r="B691" s="8" t="s">
        <v>135</v>
      </c>
      <c r="C691" s="14" t="s">
        <v>136</v>
      </c>
      <c r="D691" s="14" t="s">
        <v>137</v>
      </c>
      <c r="E691" s="14" t="s">
        <v>138</v>
      </c>
      <c r="F691" s="14"/>
      <c r="G691" s="14" t="s">
        <v>139</v>
      </c>
      <c r="H691" s="14" t="s">
        <v>140</v>
      </c>
    </row>
    <row r="692" customFormat="false" ht="12.75" hidden="false" customHeight="false" outlineLevel="0" collapsed="false">
      <c r="A692" s="6" t="s">
        <v>80</v>
      </c>
      <c r="B692" s="6" t="n">
        <v>-0.0344358295568345</v>
      </c>
      <c r="C692" s="15" t="n">
        <v>0.0142330362596571</v>
      </c>
      <c r="D692" s="15" t="n">
        <v>-2.41942962335038</v>
      </c>
      <c r="E692" s="15" t="n">
        <v>0.0197456815362717</v>
      </c>
      <c r="F692" s="15"/>
      <c r="G692" s="15" t="n">
        <v>-0.0631206282545021</v>
      </c>
      <c r="H692" s="15" t="n">
        <v>-0.00575103085916689</v>
      </c>
    </row>
    <row r="693" customFormat="false" ht="12.75" hidden="false" customHeight="false" outlineLevel="0" collapsed="false">
      <c r="A693" s="6" t="s">
        <v>84</v>
      </c>
      <c r="B693" s="6" t="n">
        <v>3.83059002571643E-009</v>
      </c>
      <c r="C693" s="15" t="n">
        <v>1.19814970438945E-009</v>
      </c>
      <c r="D693" s="15" t="n">
        <v>3.19708798632005</v>
      </c>
      <c r="E693" s="15" t="n">
        <v>0.00257160425113343</v>
      </c>
      <c r="F693" s="15"/>
      <c r="G693" s="15" t="n">
        <v>1.4158780518913E-009</v>
      </c>
      <c r="H693" s="15" t="n">
        <v>6.24530199954157E-009</v>
      </c>
    </row>
    <row r="694" customFormat="false" ht="12.75" hidden="false" customHeight="false" outlineLevel="0" collapsed="false">
      <c r="A694" s="6" t="s">
        <v>105</v>
      </c>
      <c r="B694" s="6" t="n">
        <v>0.299385051156733</v>
      </c>
      <c r="C694" s="15" t="n">
        <v>0.0725375355430764</v>
      </c>
      <c r="D694" s="15" t="n">
        <v>4.12731214143528</v>
      </c>
      <c r="E694" s="15" t="n">
        <v>0.000160836493855478</v>
      </c>
      <c r="F694" s="15"/>
      <c r="G694" s="15" t="n">
        <v>0.15319525952557</v>
      </c>
      <c r="H694" s="15" t="n">
        <v>0.445574842787895</v>
      </c>
    </row>
    <row r="695" customFormat="false" ht="12.75" hidden="false" customHeight="false" outlineLevel="0" collapsed="false">
      <c r="A695" s="6" t="s">
        <v>100</v>
      </c>
      <c r="B695" s="6" t="n">
        <v>0.845880266142697</v>
      </c>
      <c r="C695" s="15" t="n">
        <v>0.289259025317561</v>
      </c>
      <c r="D695" s="15" t="n">
        <v>2.92430034020219</v>
      </c>
      <c r="E695" s="15" t="n">
        <v>0.00543822434582071</v>
      </c>
      <c r="F695" s="15"/>
      <c r="G695" s="15" t="n">
        <v>0.262917027565402</v>
      </c>
      <c r="H695" s="15" t="n">
        <v>1.42884350471999</v>
      </c>
    </row>
    <row r="696" customFormat="false" ht="13.5" hidden="false" customHeight="false" outlineLevel="0" collapsed="false">
      <c r="A696" s="7" t="s">
        <v>143</v>
      </c>
      <c r="B696" s="7" t="n">
        <v>89876.7723222606</v>
      </c>
      <c r="C696" s="16" t="n">
        <v>52682.5125141829</v>
      </c>
      <c r="D696" s="16" t="n">
        <v>1.70600770603081</v>
      </c>
      <c r="E696" s="16" t="n">
        <v>0.09505704730043</v>
      </c>
      <c r="F696" s="16"/>
      <c r="G696" s="16" t="n">
        <v>-16297.8511936002</v>
      </c>
      <c r="H696" s="16" t="n">
        <v>196051.395838121</v>
      </c>
    </row>
    <row r="699" customFormat="false" ht="12.75" hidden="false" customHeight="false" outlineLevel="0" collapsed="false">
      <c r="A699" s="0" t="s">
        <v>147</v>
      </c>
    </row>
    <row r="700" customFormat="false" ht="13.5" hidden="false" customHeight="false" outlineLevel="0" collapsed="false"/>
    <row r="701" customFormat="false" ht="12.75" hidden="false" customHeight="false" outlineLevel="0" collapsed="false">
      <c r="A701" s="17" t="s">
        <v>148</v>
      </c>
      <c r="B701" s="17" t="s">
        <v>149</v>
      </c>
      <c r="C701" s="17" t="s">
        <v>84</v>
      </c>
      <c r="D701" s="17" t="s">
        <v>117</v>
      </c>
      <c r="E701" s="18" t="s">
        <v>150</v>
      </c>
      <c r="F701" s="18"/>
      <c r="G701" s="18" t="s">
        <v>128</v>
      </c>
      <c r="H701" s="18" t="s">
        <v>151</v>
      </c>
      <c r="I701" s="18" t="s">
        <v>152</v>
      </c>
      <c r="J701" s="18" t="s">
        <v>153</v>
      </c>
      <c r="K701" s="41"/>
    </row>
    <row r="702" customFormat="false" ht="12.75" hidden="false" customHeight="false" outlineLevel="0" collapsed="false">
      <c r="A702" s="10" t="s">
        <v>8</v>
      </c>
      <c r="B702" s="10" t="n">
        <v>1</v>
      </c>
      <c r="C702" s="10" t="n">
        <v>4252982</v>
      </c>
      <c r="D702" s="10" t="n">
        <v>0</v>
      </c>
      <c r="E702" s="11" t="n">
        <v>0.00203153694747244</v>
      </c>
      <c r="F702" s="11"/>
      <c r="G702" s="11" t="n">
        <v>-0.00203153694747244</v>
      </c>
      <c r="H702" s="11" t="n">
        <v>-0.0473859659198185</v>
      </c>
      <c r="I702" s="11" t="n">
        <v>-0.0896445943031416</v>
      </c>
      <c r="J702" s="11" t="n">
        <v>0.0937076681980865</v>
      </c>
      <c r="K702" s="11"/>
    </row>
    <row r="703" customFormat="false" ht="12.75" hidden="false" customHeight="false" outlineLevel="0" collapsed="false">
      <c r="A703" s="10" t="s">
        <v>9</v>
      </c>
      <c r="B703" s="10" t="n">
        <v>1</v>
      </c>
      <c r="C703" s="10" t="n">
        <v>4217940</v>
      </c>
      <c r="D703" s="10" t="n">
        <v>0</v>
      </c>
      <c r="E703" s="11" t="n">
        <v>-0.00879855760707958</v>
      </c>
      <c r="F703" s="11"/>
      <c r="G703" s="11" t="n">
        <v>0.00879855760707958</v>
      </c>
      <c r="H703" s="11" t="n">
        <v>0.20522794401124</v>
      </c>
      <c r="I703" s="11" t="n">
        <v>-0.101071354465983</v>
      </c>
      <c r="J703" s="11" t="n">
        <v>0.083474239251824</v>
      </c>
      <c r="K703" s="11"/>
    </row>
    <row r="704" customFormat="false" ht="12.75" hidden="false" customHeight="false" outlineLevel="0" collapsed="false">
      <c r="A704" s="10" t="s">
        <v>10</v>
      </c>
      <c r="B704" s="10" t="n">
        <v>1</v>
      </c>
      <c r="C704" s="10" t="n">
        <v>2483769</v>
      </c>
      <c r="D704" s="10" t="n">
        <v>0</v>
      </c>
      <c r="E704" s="11" t="n">
        <v>0.00916260781104561</v>
      </c>
      <c r="F704" s="11"/>
      <c r="G704" s="11" t="n">
        <v>-0.00916260781104561</v>
      </c>
      <c r="H704" s="11" t="n">
        <v>-0.213719480716835</v>
      </c>
      <c r="I704" s="11" t="n">
        <v>-0.0827094812597515</v>
      </c>
      <c r="J704" s="11" t="n">
        <v>0.101034696881843</v>
      </c>
      <c r="K704" s="11"/>
    </row>
    <row r="705" customFormat="false" ht="12.75" hidden="false" customHeight="false" outlineLevel="0" collapsed="false">
      <c r="A705" s="10" t="s">
        <v>11</v>
      </c>
      <c r="B705" s="10" t="n">
        <v>1</v>
      </c>
      <c r="C705" s="10" t="n">
        <v>31589153</v>
      </c>
      <c r="D705" s="10" t="n">
        <v>0.0211415213324095</v>
      </c>
      <c r="E705" s="11" t="n">
        <v>0.0903953109870089</v>
      </c>
      <c r="F705" s="11"/>
      <c r="G705" s="11" t="n">
        <v>-0.0692537896545994</v>
      </c>
      <c r="H705" s="11" t="n">
        <v>-1.61535714153468</v>
      </c>
      <c r="I705" s="11" t="n">
        <v>-0.0194204827816598</v>
      </c>
      <c r="J705" s="11" t="n">
        <v>0.200211104755678</v>
      </c>
      <c r="K705" s="11"/>
    </row>
    <row r="706" customFormat="false" ht="12.75" hidden="false" customHeight="false" outlineLevel="0" collapsed="false">
      <c r="A706" s="10" t="s">
        <v>12</v>
      </c>
      <c r="B706" s="10" t="n">
        <v>1</v>
      </c>
      <c r="C706" s="10" t="n">
        <v>3746585</v>
      </c>
      <c r="D706" s="10" t="n">
        <v>0.00295777769394722</v>
      </c>
      <c r="E706" s="11" t="n">
        <v>-0.00893720407939124</v>
      </c>
      <c r="F706" s="11"/>
      <c r="G706" s="11" t="n">
        <v>0.0118949817733385</v>
      </c>
      <c r="H706" s="11" t="n">
        <v>0.277452596483448</v>
      </c>
      <c r="I706" s="11" t="n">
        <v>-0.101539135272156</v>
      </c>
      <c r="J706" s="11" t="n">
        <v>0.0836647271133732</v>
      </c>
      <c r="K706" s="11"/>
    </row>
    <row r="707" customFormat="false" ht="12.75" hidden="false" customHeight="false" outlineLevel="0" collapsed="false">
      <c r="A707" s="10" t="s">
        <v>13</v>
      </c>
      <c r="B707" s="10" t="n">
        <v>1</v>
      </c>
      <c r="C707" s="10" t="n">
        <v>3274662</v>
      </c>
      <c r="D707" s="10" t="n">
        <v>0.000259885785260088</v>
      </c>
      <c r="E707" s="11" t="n">
        <v>0.126203933231169</v>
      </c>
      <c r="F707" s="11"/>
      <c r="G707" s="11" t="n">
        <v>-0.125944047445909</v>
      </c>
      <c r="H707" s="11" t="n">
        <v>-2.93766763508832</v>
      </c>
      <c r="I707" s="11" t="n">
        <v>0.0264981723165979</v>
      </c>
      <c r="J707" s="11" t="n">
        <v>0.22590969414574</v>
      </c>
      <c r="K707" s="11"/>
    </row>
    <row r="708" customFormat="false" ht="12.75" hidden="false" customHeight="false" outlineLevel="0" collapsed="false">
      <c r="A708" s="10" t="s">
        <v>14</v>
      </c>
      <c r="B708" s="10" t="n">
        <v>1</v>
      </c>
      <c r="C708" s="10" t="n">
        <v>717197</v>
      </c>
      <c r="D708" s="10" t="n">
        <v>0.252590047672857</v>
      </c>
      <c r="E708" s="11" t="n">
        <v>0.152902659966387</v>
      </c>
      <c r="F708" s="11"/>
      <c r="G708" s="11" t="n">
        <v>0.0996873877064696</v>
      </c>
      <c r="H708" s="11" t="n">
        <v>2.32522630827449</v>
      </c>
      <c r="I708" s="11" t="n">
        <v>0.0487184738493819</v>
      </c>
      <c r="J708" s="11" t="n">
        <v>0.257086846083393</v>
      </c>
      <c r="K708" s="11"/>
    </row>
    <row r="709" customFormat="false" ht="12.75" hidden="false" customHeight="false" outlineLevel="0" collapsed="false">
      <c r="A709" s="10" t="s">
        <v>15</v>
      </c>
      <c r="B709" s="10" t="n">
        <v>1</v>
      </c>
      <c r="C709" s="10" t="n">
        <v>14165570</v>
      </c>
      <c r="D709" s="10" t="n">
        <v>0.0778335546482334</v>
      </c>
      <c r="E709" s="11" t="n">
        <v>0.0598255409891766</v>
      </c>
      <c r="F709" s="11"/>
      <c r="G709" s="11" t="n">
        <v>0.0180080136590568</v>
      </c>
      <c r="H709" s="11" t="n">
        <v>0.420040168402244</v>
      </c>
      <c r="I709" s="11" t="n">
        <v>-0.0344181771618979</v>
      </c>
      <c r="J709" s="11" t="n">
        <v>0.154069259140251</v>
      </c>
      <c r="K709" s="11"/>
    </row>
    <row r="710" customFormat="false" ht="12.75" hidden="false" customHeight="false" outlineLevel="0" collapsed="false">
      <c r="A710" s="10" t="s">
        <v>16</v>
      </c>
      <c r="B710" s="10" t="n">
        <v>1</v>
      </c>
      <c r="C710" s="10" t="n">
        <v>7200882</v>
      </c>
      <c r="D710" s="10" t="n">
        <v>0.0041858290740556</v>
      </c>
      <c r="E710" s="11" t="n">
        <v>0.0193009735759223</v>
      </c>
      <c r="F710" s="11"/>
      <c r="G710" s="11" t="n">
        <v>-0.0151151445018667</v>
      </c>
      <c r="H710" s="11" t="n">
        <v>-0.352563473250988</v>
      </c>
      <c r="I710" s="11" t="n">
        <v>-0.0723240126281216</v>
      </c>
      <c r="J710" s="11" t="n">
        <v>0.110925959779966</v>
      </c>
      <c r="K710" s="11"/>
    </row>
    <row r="711" customFormat="false" ht="12.75" hidden="false" customHeight="false" outlineLevel="0" collapsed="false">
      <c r="A711" s="10" t="s">
        <v>17</v>
      </c>
      <c r="B711" s="10" t="n">
        <v>1</v>
      </c>
      <c r="C711" s="10" t="n">
        <v>1186815</v>
      </c>
      <c r="D711" s="10" t="n">
        <v>0</v>
      </c>
      <c r="E711" s="11" t="n">
        <v>-0.0218296823794208</v>
      </c>
      <c r="F711" s="11"/>
      <c r="G711" s="11" t="n">
        <v>0.0218296823794208</v>
      </c>
      <c r="H711" s="11" t="n">
        <v>0.509181280979752</v>
      </c>
      <c r="I711" s="11" t="n">
        <v>-0.114985824507307</v>
      </c>
      <c r="J711" s="11" t="n">
        <v>0.0713264597484651</v>
      </c>
      <c r="K711" s="11"/>
    </row>
    <row r="712" customFormat="false" ht="12.75" hidden="false" customHeight="false" outlineLevel="0" collapsed="false">
      <c r="A712" s="10" t="s">
        <v>18</v>
      </c>
      <c r="B712" s="10" t="n">
        <v>1</v>
      </c>
      <c r="C712" s="10" t="n">
        <v>1163261</v>
      </c>
      <c r="D712" s="10" t="n">
        <v>0</v>
      </c>
      <c r="E712" s="11" t="n">
        <v>-0.00786112454893399</v>
      </c>
      <c r="F712" s="11"/>
      <c r="G712" s="11" t="n">
        <v>0.00786112454893399</v>
      </c>
      <c r="H712" s="11" t="n">
        <v>0.183362148756733</v>
      </c>
      <c r="I712" s="11" t="n">
        <v>-0.0999987570901823</v>
      </c>
      <c r="J712" s="11" t="n">
        <v>0.0842765079923143</v>
      </c>
      <c r="K712" s="11"/>
    </row>
    <row r="713" customFormat="false" ht="12.75" hidden="false" customHeight="false" outlineLevel="0" collapsed="false">
      <c r="A713" s="10" t="s">
        <v>19</v>
      </c>
      <c r="B713" s="10" t="n">
        <v>1</v>
      </c>
      <c r="C713" s="10" t="n">
        <v>11829940</v>
      </c>
      <c r="D713" s="10" t="n">
        <v>0.0925020274991467</v>
      </c>
      <c r="E713" s="11" t="n">
        <v>0.0594393317890045</v>
      </c>
      <c r="F713" s="11"/>
      <c r="G713" s="11" t="n">
        <v>0.0330626957101422</v>
      </c>
      <c r="H713" s="11" t="n">
        <v>0.771193344077441</v>
      </c>
      <c r="I713" s="11" t="n">
        <v>-0.0329433709616996</v>
      </c>
      <c r="J713" s="11" t="n">
        <v>0.151822034539709</v>
      </c>
      <c r="K713" s="11"/>
    </row>
    <row r="714" customFormat="false" ht="12.75" hidden="false" customHeight="false" outlineLevel="0" collapsed="false">
      <c r="A714" s="10" t="s">
        <v>20</v>
      </c>
      <c r="B714" s="10" t="n">
        <v>1</v>
      </c>
      <c r="C714" s="10" t="n">
        <v>5803471</v>
      </c>
      <c r="D714" s="10" t="n">
        <v>0.0425729531743058</v>
      </c>
      <c r="E714" s="11" t="n">
        <v>0.0516012849195702</v>
      </c>
      <c r="F714" s="11"/>
      <c r="G714" s="11" t="n">
        <v>-0.00902833174526441</v>
      </c>
      <c r="H714" s="11" t="n">
        <v>-0.210587467250444</v>
      </c>
      <c r="I714" s="11" t="n">
        <v>-0.0400126946741138</v>
      </c>
      <c r="J714" s="11" t="n">
        <v>0.143215264513254</v>
      </c>
      <c r="K714" s="11"/>
    </row>
    <row r="715" customFormat="false" ht="12.75" hidden="false" customHeight="false" outlineLevel="0" collapsed="false">
      <c r="A715" s="10" t="s">
        <v>21</v>
      </c>
      <c r="B715" s="10" t="n">
        <v>1</v>
      </c>
      <c r="C715" s="10" t="n">
        <v>2841764</v>
      </c>
      <c r="D715" s="10" t="n">
        <v>0.00107334901207605</v>
      </c>
      <c r="E715" s="11" t="n">
        <v>0.00767922006858876</v>
      </c>
      <c r="F715" s="11"/>
      <c r="G715" s="11" t="n">
        <v>-0.00660587105651271</v>
      </c>
      <c r="H715" s="11" t="n">
        <v>-0.154083134517481</v>
      </c>
      <c r="I715" s="11" t="n">
        <v>-0.0840808151802737</v>
      </c>
      <c r="J715" s="11" t="n">
        <v>0.0994392553174513</v>
      </c>
      <c r="K715" s="11"/>
    </row>
    <row r="716" customFormat="false" ht="12.75" hidden="false" customHeight="false" outlineLevel="0" collapsed="false">
      <c r="A716" s="10" t="s">
        <v>22</v>
      </c>
      <c r="B716" s="10" t="n">
        <v>1</v>
      </c>
      <c r="C716" s="10" t="n">
        <v>2565328</v>
      </c>
      <c r="D716" s="10" t="n">
        <v>0.0645640225441334</v>
      </c>
      <c r="E716" s="11" t="n">
        <v>0.106681574276485</v>
      </c>
      <c r="F716" s="11"/>
      <c r="G716" s="11" t="n">
        <v>-0.0421175517323517</v>
      </c>
      <c r="H716" s="11" t="n">
        <v>-0.982399494874315</v>
      </c>
      <c r="I716" s="11" t="n">
        <v>0.0122724902657222</v>
      </c>
      <c r="J716" s="11" t="n">
        <v>0.201090658287248</v>
      </c>
      <c r="K716" s="11"/>
    </row>
    <row r="717" customFormat="false" ht="12.75" hidden="false" customHeight="false" outlineLevel="0" collapsed="false">
      <c r="A717" s="10" t="s">
        <v>23</v>
      </c>
      <c r="B717" s="10" t="n">
        <v>1</v>
      </c>
      <c r="C717" s="10" t="n">
        <v>3860219</v>
      </c>
      <c r="D717" s="10" t="n">
        <v>0.00845328299918051</v>
      </c>
      <c r="E717" s="11" t="n">
        <v>0.104951039090086</v>
      </c>
      <c r="F717" s="11"/>
      <c r="G717" s="11" t="n">
        <v>-0.096497756090906</v>
      </c>
      <c r="H717" s="11" t="n">
        <v>-2.25082757522662</v>
      </c>
      <c r="I717" s="11" t="n">
        <v>0.0108847822373001</v>
      </c>
      <c r="J717" s="11" t="n">
        <v>0.199017295942873</v>
      </c>
      <c r="K717" s="11"/>
    </row>
    <row r="718" customFormat="false" ht="12.75" hidden="false" customHeight="false" outlineLevel="0" collapsed="false">
      <c r="A718" s="10" t="s">
        <v>24</v>
      </c>
      <c r="B718" s="10" t="n">
        <v>1</v>
      </c>
      <c r="C718" s="10" t="n">
        <v>4342334</v>
      </c>
      <c r="D718" s="10" t="n">
        <v>0.0293839643250748</v>
      </c>
      <c r="E718" s="11" t="n">
        <v>5.86363436068252E-005</v>
      </c>
      <c r="F718" s="11"/>
      <c r="G718" s="11" t="n">
        <v>0.029325327981468</v>
      </c>
      <c r="H718" s="11" t="n">
        <v>0.684018567344423</v>
      </c>
      <c r="I718" s="11" t="n">
        <v>-0.0916876263841889</v>
      </c>
      <c r="J718" s="11" t="n">
        <v>0.0918048990714026</v>
      </c>
      <c r="K718" s="11"/>
    </row>
    <row r="719" customFormat="false" ht="12.75" hidden="false" customHeight="false" outlineLevel="0" collapsed="false">
      <c r="A719" s="10" t="s">
        <v>25</v>
      </c>
      <c r="B719" s="10" t="n">
        <v>1</v>
      </c>
      <c r="C719" s="10" t="n">
        <v>1241382</v>
      </c>
      <c r="D719" s="10" t="n">
        <v>0.105088318367691</v>
      </c>
      <c r="E719" s="11" t="n">
        <v>0.0754836874994905</v>
      </c>
      <c r="F719" s="11"/>
      <c r="G719" s="11" t="n">
        <v>0.0296046308682006</v>
      </c>
      <c r="H719" s="11" t="n">
        <v>0.690533357581679</v>
      </c>
      <c r="I719" s="11" t="n">
        <v>-0.0248993279990159</v>
      </c>
      <c r="J719" s="11" t="n">
        <v>0.175866702997997</v>
      </c>
      <c r="K719" s="11"/>
    </row>
    <row r="720" customFormat="false" ht="12.75" hidden="false" customHeight="false" outlineLevel="0" collapsed="false">
      <c r="A720" s="10" t="s">
        <v>26</v>
      </c>
      <c r="B720" s="10" t="n">
        <v>1</v>
      </c>
      <c r="C720" s="10" t="n">
        <v>5042438</v>
      </c>
      <c r="D720" s="10" t="n">
        <v>0.0702579161473665</v>
      </c>
      <c r="E720" s="11" t="n">
        <v>0.0617828080652504</v>
      </c>
      <c r="F720" s="11"/>
      <c r="G720" s="11" t="n">
        <v>0.00847510808211605</v>
      </c>
      <c r="H720" s="11" t="n">
        <v>0.197683425470353</v>
      </c>
      <c r="I720" s="11" t="n">
        <v>-0.031520972604602</v>
      </c>
      <c r="J720" s="11" t="n">
        <v>0.155086588735103</v>
      </c>
      <c r="K720" s="11"/>
    </row>
    <row r="721" customFormat="false" ht="12.75" hidden="false" customHeight="false" outlineLevel="0" collapsed="false">
      <c r="A721" s="10" t="s">
        <v>27</v>
      </c>
      <c r="B721" s="10" t="n">
        <v>1</v>
      </c>
      <c r="C721" s="10" t="n">
        <v>6073550</v>
      </c>
      <c r="D721" s="10" t="n">
        <v>0.103944816167345</v>
      </c>
      <c r="E721" s="11" t="n">
        <v>0.0801779212472107</v>
      </c>
      <c r="F721" s="11"/>
      <c r="G721" s="11" t="n">
        <v>0.0237668949201341</v>
      </c>
      <c r="H721" s="11" t="n">
        <v>0.554367113089718</v>
      </c>
      <c r="I721" s="11" t="n">
        <v>-0.0119096069296894</v>
      </c>
      <c r="J721" s="11" t="n">
        <v>0.172265449424111</v>
      </c>
      <c r="K721" s="11"/>
    </row>
    <row r="722" customFormat="false" ht="12.75" hidden="false" customHeight="false" outlineLevel="0" collapsed="false">
      <c r="A722" s="10" t="s">
        <v>28</v>
      </c>
      <c r="B722" s="10" t="n">
        <v>1</v>
      </c>
      <c r="C722" s="10" t="n">
        <v>9549353</v>
      </c>
      <c r="D722" s="10" t="n">
        <v>0.00738787711371125</v>
      </c>
      <c r="E722" s="11" t="n">
        <v>0.0088849483161644</v>
      </c>
      <c r="F722" s="11"/>
      <c r="G722" s="11" t="n">
        <v>-0.00149707120245315</v>
      </c>
      <c r="H722" s="11" t="n">
        <v>-0.0349194559652224</v>
      </c>
      <c r="I722" s="11" t="n">
        <v>-0.083653887673535</v>
      </c>
      <c r="J722" s="11" t="n">
        <v>0.101423784305864</v>
      </c>
      <c r="K722" s="11"/>
    </row>
    <row r="723" customFormat="false" ht="12.75" hidden="false" customHeight="false" outlineLevel="0" collapsed="false">
      <c r="A723" s="10" t="s">
        <v>29</v>
      </c>
      <c r="B723" s="10" t="n">
        <v>1</v>
      </c>
      <c r="C723" s="10" t="n">
        <v>4609548</v>
      </c>
      <c r="D723" s="10" t="n">
        <v>0</v>
      </c>
      <c r="E723" s="11" t="n">
        <v>0.00277581255043061</v>
      </c>
      <c r="F723" s="11"/>
      <c r="G723" s="11" t="n">
        <v>-0.00277581255043061</v>
      </c>
      <c r="H723" s="11" t="n">
        <v>-0.0647463286740416</v>
      </c>
      <c r="I723" s="11" t="n">
        <v>-0.0888933539577626</v>
      </c>
      <c r="J723" s="11" t="n">
        <v>0.0944449790586239</v>
      </c>
      <c r="K723" s="11"/>
    </row>
    <row r="724" customFormat="false" ht="12.75" hidden="false" customHeight="false" outlineLevel="0" collapsed="false">
      <c r="A724" s="10" t="s">
        <v>30</v>
      </c>
      <c r="B724" s="10" t="n">
        <v>1</v>
      </c>
      <c r="C724" s="10" t="n">
        <v>2697243</v>
      </c>
      <c r="D724" s="10" t="n">
        <v>0</v>
      </c>
      <c r="E724" s="11" t="n">
        <v>0.00169827689615374</v>
      </c>
      <c r="F724" s="11"/>
      <c r="G724" s="11" t="n">
        <v>-0.00169827689615374</v>
      </c>
      <c r="H724" s="11" t="n">
        <v>-0.0396126150812464</v>
      </c>
      <c r="I724" s="11" t="n">
        <v>-0.0900464558247161</v>
      </c>
      <c r="J724" s="11" t="n">
        <v>0.0934430096170236</v>
      </c>
      <c r="K724" s="11"/>
    </row>
    <row r="725" customFormat="false" ht="12.75" hidden="false" customHeight="false" outlineLevel="0" collapsed="false">
      <c r="A725" s="10" t="s">
        <v>31</v>
      </c>
      <c r="B725" s="10" t="n">
        <v>1</v>
      </c>
      <c r="C725" s="10" t="n">
        <v>5323523</v>
      </c>
      <c r="D725" s="10" t="n">
        <v>0.000759685797103275</v>
      </c>
      <c r="E725" s="11" t="n">
        <v>0.0472316177091278</v>
      </c>
      <c r="F725" s="11"/>
      <c r="G725" s="11" t="n">
        <v>-0.0464719319120246</v>
      </c>
      <c r="H725" s="11" t="n">
        <v>-1.08396619837564</v>
      </c>
      <c r="I725" s="11" t="n">
        <v>-0.0478462611522015</v>
      </c>
      <c r="J725" s="11" t="n">
        <v>0.142309496570457</v>
      </c>
      <c r="K725" s="11"/>
    </row>
    <row r="726" customFormat="false" ht="12.75" hidden="false" customHeight="false" outlineLevel="0" collapsed="false">
      <c r="A726" s="10" t="s">
        <v>32</v>
      </c>
      <c r="B726" s="10" t="n">
        <v>1</v>
      </c>
      <c r="C726" s="10" t="n">
        <v>870281</v>
      </c>
      <c r="D726" s="10" t="n">
        <v>0</v>
      </c>
      <c r="E726" s="11" t="n">
        <v>-0.0243654655444589</v>
      </c>
      <c r="F726" s="11"/>
      <c r="G726" s="11" t="n">
        <v>0.0243654655444589</v>
      </c>
      <c r="H726" s="11" t="n">
        <v>0.568328880922762</v>
      </c>
      <c r="I726" s="11" t="n">
        <v>-0.11778331738156</v>
      </c>
      <c r="J726" s="11" t="n">
        <v>0.0690523862926421</v>
      </c>
      <c r="K726" s="11"/>
    </row>
    <row r="727" customFormat="false" ht="12.75" hidden="false" customHeight="false" outlineLevel="0" collapsed="false">
      <c r="A727" s="10" t="s">
        <v>33</v>
      </c>
      <c r="B727" s="10" t="n">
        <v>1</v>
      </c>
      <c r="C727" s="10" t="n">
        <v>1637112</v>
      </c>
      <c r="D727" s="10" t="n">
        <v>0.00199508308555689</v>
      </c>
      <c r="E727" s="11" t="n">
        <v>0.00778970609851211</v>
      </c>
      <c r="F727" s="11"/>
      <c r="G727" s="11" t="n">
        <v>-0.00579462301295523</v>
      </c>
      <c r="H727" s="11" t="n">
        <v>-0.13516062750014</v>
      </c>
      <c r="I727" s="11" t="n">
        <v>-0.0842520319279451</v>
      </c>
      <c r="J727" s="11" t="n">
        <v>0.0998314441249693</v>
      </c>
      <c r="K727" s="11"/>
    </row>
    <row r="728" customFormat="false" ht="12.75" hidden="false" customHeight="false" outlineLevel="0" collapsed="false">
      <c r="A728" s="10" t="s">
        <v>34</v>
      </c>
      <c r="B728" s="10" t="n">
        <v>1</v>
      </c>
      <c r="C728" s="10" t="n">
        <v>1530108</v>
      </c>
      <c r="D728" s="10" t="n">
        <v>0</v>
      </c>
      <c r="E728" s="11" t="n">
        <v>0.00809409450310412</v>
      </c>
      <c r="F728" s="11"/>
      <c r="G728" s="11" t="n">
        <v>-0.00809409450310412</v>
      </c>
      <c r="H728" s="11" t="n">
        <v>-0.188796214980524</v>
      </c>
      <c r="I728" s="11" t="n">
        <v>-0.0839907703310207</v>
      </c>
      <c r="J728" s="11" t="n">
        <v>0.100178959337229</v>
      </c>
      <c r="K728" s="11"/>
    </row>
    <row r="729" customFormat="false" ht="12.75" hidden="false" customHeight="false" outlineLevel="0" collapsed="false">
      <c r="A729" s="10" t="s">
        <v>35</v>
      </c>
      <c r="B729" s="10" t="n">
        <v>1</v>
      </c>
      <c r="C729" s="10" t="n">
        <v>1148253</v>
      </c>
      <c r="D729" s="10" t="n">
        <v>0.117777368981519</v>
      </c>
      <c r="E729" s="11" t="n">
        <v>0.135612187358915</v>
      </c>
      <c r="F729" s="11"/>
      <c r="G729" s="11" t="n">
        <v>-0.0178348183773963</v>
      </c>
      <c r="H729" s="11" t="n">
        <v>-0.416000357201933</v>
      </c>
      <c r="I729" s="11" t="n">
        <v>0.0397006577327439</v>
      </c>
      <c r="J729" s="11" t="n">
        <v>0.231523716985086</v>
      </c>
      <c r="K729" s="11"/>
    </row>
    <row r="730" customFormat="false" ht="12.75" hidden="false" customHeight="false" outlineLevel="0" collapsed="false">
      <c r="A730" s="10" t="s">
        <v>36</v>
      </c>
      <c r="B730" s="10" t="n">
        <v>1</v>
      </c>
      <c r="C730" s="10" t="n">
        <v>7945298</v>
      </c>
      <c r="D730" s="10" t="n">
        <v>0.273303356469306</v>
      </c>
      <c r="E730" s="11" t="n">
        <v>0.270701031300064</v>
      </c>
      <c r="F730" s="11"/>
      <c r="G730" s="11" t="n">
        <v>0.00260232516924253</v>
      </c>
      <c r="H730" s="11" t="n">
        <v>0.0606997041995407</v>
      </c>
      <c r="I730" s="11" t="n">
        <v>0.143231971071455</v>
      </c>
      <c r="J730" s="11" t="n">
        <v>0.398170091528672</v>
      </c>
      <c r="K730" s="11"/>
    </row>
    <row r="731" customFormat="false" ht="12.75" hidden="false" customHeight="false" outlineLevel="0" collapsed="false">
      <c r="A731" s="10" t="s">
        <v>37</v>
      </c>
      <c r="B731" s="10" t="n">
        <v>1</v>
      </c>
      <c r="C731" s="10" t="n">
        <v>1685401</v>
      </c>
      <c r="D731" s="10" t="n">
        <v>0</v>
      </c>
      <c r="E731" s="11" t="n">
        <v>-0.0118266967887972</v>
      </c>
      <c r="F731" s="11"/>
      <c r="G731" s="11" t="n">
        <v>0.0118266967887972</v>
      </c>
      <c r="H731" s="11" t="n">
        <v>0.275859836896017</v>
      </c>
      <c r="I731" s="11" t="n">
        <v>-0.104130269083326</v>
      </c>
      <c r="J731" s="11" t="n">
        <v>0.080476875505732</v>
      </c>
      <c r="K731" s="11"/>
    </row>
    <row r="732" customFormat="false" ht="12.75" hidden="false" customHeight="false" outlineLevel="0" collapsed="false">
      <c r="A732" s="10" t="s">
        <v>38</v>
      </c>
      <c r="B732" s="10" t="n">
        <v>1</v>
      </c>
      <c r="C732" s="10" t="n">
        <v>18136081</v>
      </c>
      <c r="D732" s="10" t="n">
        <v>0.331822037089797</v>
      </c>
      <c r="E732" s="11" t="n">
        <v>0.159085652081775</v>
      </c>
      <c r="F732" s="11"/>
      <c r="G732" s="11" t="n">
        <v>0.172736385008022</v>
      </c>
      <c r="H732" s="11" t="n">
        <v>4.02910735307407</v>
      </c>
      <c r="I732" s="11" t="n">
        <v>0.0601265679276548</v>
      </c>
      <c r="J732" s="11" t="n">
        <v>0.258044736235896</v>
      </c>
      <c r="K732" s="11"/>
    </row>
    <row r="733" customFormat="false" ht="12.75" hidden="false" customHeight="false" outlineLevel="0" collapsed="false">
      <c r="A733" s="10" t="s">
        <v>39</v>
      </c>
      <c r="B733" s="10" t="n">
        <v>1</v>
      </c>
      <c r="C733" s="10" t="n">
        <v>7195138</v>
      </c>
      <c r="D733" s="10" t="n">
        <v>0.000738443042039357</v>
      </c>
      <c r="E733" s="11" t="n">
        <v>0.0118456075686706</v>
      </c>
      <c r="F733" s="11"/>
      <c r="G733" s="11" t="n">
        <v>-0.0111071645266313</v>
      </c>
      <c r="H733" s="11" t="n">
        <v>-0.259076617031063</v>
      </c>
      <c r="I733" s="11" t="n">
        <v>-0.079894616544529</v>
      </c>
      <c r="J733" s="11" t="n">
        <v>0.10358583168187</v>
      </c>
      <c r="K733" s="11"/>
    </row>
    <row r="734" customFormat="false" ht="12.75" hidden="false" customHeight="false" outlineLevel="0" collapsed="false">
      <c r="A734" s="10" t="s">
        <v>40</v>
      </c>
      <c r="B734" s="10" t="n">
        <v>1</v>
      </c>
      <c r="C734" s="10" t="n">
        <v>641367</v>
      </c>
      <c r="D734" s="10" t="n">
        <v>0</v>
      </c>
      <c r="E734" s="11" t="n">
        <v>0.0175741019582812</v>
      </c>
      <c r="F734" s="11"/>
      <c r="G734" s="11" t="n">
        <v>-0.0175741019582812</v>
      </c>
      <c r="H734" s="11" t="n">
        <v>-0.409919099676051</v>
      </c>
      <c r="I734" s="11" t="n">
        <v>-0.0755331903627019</v>
      </c>
      <c r="J734" s="11" t="n">
        <v>0.110681394279264</v>
      </c>
      <c r="K734" s="11"/>
    </row>
    <row r="735" customFormat="false" ht="12.75" hidden="false" customHeight="false" outlineLevel="0" collapsed="false">
      <c r="A735" s="10" t="s">
        <v>41</v>
      </c>
      <c r="B735" s="10" t="n">
        <v>1</v>
      </c>
      <c r="C735" s="10" t="n">
        <v>11150506</v>
      </c>
      <c r="D735" s="10" t="n">
        <v>0.0328757643019831</v>
      </c>
      <c r="E735" s="11" t="n">
        <v>0.0694388305239428</v>
      </c>
      <c r="F735" s="11"/>
      <c r="G735" s="11" t="n">
        <v>-0.0365630662219597</v>
      </c>
      <c r="H735" s="11" t="n">
        <v>-0.852840117957723</v>
      </c>
      <c r="I735" s="11" t="n">
        <v>-0.0230215381587633</v>
      </c>
      <c r="J735" s="11" t="n">
        <v>0.161899199206649</v>
      </c>
      <c r="K735" s="11"/>
    </row>
    <row r="736" customFormat="false" ht="12.75" hidden="false" customHeight="false" outlineLevel="0" collapsed="false">
      <c r="A736" s="10" t="s">
        <v>42</v>
      </c>
      <c r="B736" s="10" t="n">
        <v>1</v>
      </c>
      <c r="C736" s="10" t="n">
        <v>3277687</v>
      </c>
      <c r="D736" s="10" t="n">
        <v>0.0759782565467173</v>
      </c>
      <c r="E736" s="11" t="n">
        <v>0.0363327314000797</v>
      </c>
      <c r="F736" s="11"/>
      <c r="G736" s="11" t="n">
        <v>0.0396455251466377</v>
      </c>
      <c r="H736" s="11" t="n">
        <v>0.924739028649829</v>
      </c>
      <c r="I736" s="11" t="n">
        <v>-0.0587442137131758</v>
      </c>
      <c r="J736" s="11" t="n">
        <v>0.131409676513335</v>
      </c>
      <c r="K736" s="11"/>
    </row>
    <row r="737" customFormat="false" ht="12.75" hidden="false" customHeight="false" outlineLevel="0" collapsed="false">
      <c r="A737" s="10" t="s">
        <v>43</v>
      </c>
      <c r="B737" s="10" t="n">
        <v>1</v>
      </c>
      <c r="C737" s="10" t="n">
        <v>3140585</v>
      </c>
      <c r="D737" s="10" t="n">
        <v>0.00529904028492617</v>
      </c>
      <c r="E737" s="11" t="n">
        <v>0.00909807047819755</v>
      </c>
      <c r="F737" s="11"/>
      <c r="G737" s="11" t="n">
        <v>-0.00379903019327137</v>
      </c>
      <c r="H737" s="11" t="n">
        <v>-0.0886130648476241</v>
      </c>
      <c r="I737" s="11" t="n">
        <v>-0.082641979650248</v>
      </c>
      <c r="J737" s="11" t="n">
        <v>0.100838120606643</v>
      </c>
      <c r="K737" s="11"/>
    </row>
    <row r="738" customFormat="false" ht="12.75" hidden="false" customHeight="false" outlineLevel="0" collapsed="false">
      <c r="A738" s="10" t="s">
        <v>44</v>
      </c>
      <c r="B738" s="10" t="n">
        <v>1</v>
      </c>
      <c r="C738" s="10" t="n">
        <v>12071842</v>
      </c>
      <c r="D738" s="10" t="n">
        <v>0.116977230877519</v>
      </c>
      <c r="E738" s="11" t="n">
        <v>0.108702272032105</v>
      </c>
      <c r="F738" s="11"/>
      <c r="G738" s="11" t="n">
        <v>0.00827495884541456</v>
      </c>
      <c r="H738" s="11" t="n">
        <v>0.193014908404485</v>
      </c>
      <c r="I738" s="11" t="n">
        <v>0.014068957248569</v>
      </c>
      <c r="J738" s="11" t="n">
        <v>0.203335586815641</v>
      </c>
      <c r="K738" s="11"/>
    </row>
    <row r="739" customFormat="false" ht="12.75" hidden="false" customHeight="false" outlineLevel="0" collapsed="false">
      <c r="A739" s="10" t="s">
        <v>45</v>
      </c>
      <c r="B739" s="10" t="n">
        <v>1</v>
      </c>
      <c r="C739" s="10" t="n">
        <v>989794</v>
      </c>
      <c r="D739" s="10" t="n">
        <v>0.0373661178404778</v>
      </c>
      <c r="E739" s="11" t="n">
        <v>0.0346165862098814</v>
      </c>
      <c r="F739" s="11"/>
      <c r="G739" s="11" t="n">
        <v>0.00274953163059634</v>
      </c>
      <c r="H739" s="11" t="n">
        <v>0.0641333214761389</v>
      </c>
      <c r="I739" s="11" t="n">
        <v>-0.0605005181538788</v>
      </c>
      <c r="J739" s="11" t="n">
        <v>0.129733690573642</v>
      </c>
      <c r="K739" s="11"/>
    </row>
    <row r="740" customFormat="false" ht="12.75" hidden="false" customHeight="false" outlineLevel="0" collapsed="false">
      <c r="A740" s="10" t="s">
        <v>46</v>
      </c>
      <c r="B740" s="10" t="n">
        <v>1</v>
      </c>
      <c r="C740" s="10" t="n">
        <v>3673287</v>
      </c>
      <c r="D740" s="10" t="n">
        <v>0</v>
      </c>
      <c r="E740" s="11" t="n">
        <v>-0.00241906277106673</v>
      </c>
      <c r="F740" s="11"/>
      <c r="G740" s="11" t="n">
        <v>0.00241906277106673</v>
      </c>
      <c r="H740" s="11" t="n">
        <v>0.0564250756897581</v>
      </c>
      <c r="I740" s="11" t="n">
        <v>-0.094234101445449</v>
      </c>
      <c r="J740" s="11" t="n">
        <v>0.0893959759033156</v>
      </c>
      <c r="K740" s="11"/>
    </row>
    <row r="741" customFormat="false" ht="12.75" hidden="false" customHeight="false" outlineLevel="0" collapsed="false">
      <c r="A741" s="10" t="s">
        <v>47</v>
      </c>
      <c r="B741" s="10" t="n">
        <v>1</v>
      </c>
      <c r="C741" s="10" t="n">
        <v>729034</v>
      </c>
      <c r="D741" s="10" t="n">
        <v>0</v>
      </c>
      <c r="E741" s="11" t="n">
        <v>-0.00662454220325811</v>
      </c>
      <c r="F741" s="11"/>
      <c r="G741" s="11" t="n">
        <v>0.00662454220325811</v>
      </c>
      <c r="H741" s="11" t="n">
        <v>0.154518642384796</v>
      </c>
      <c r="I741" s="11" t="n">
        <v>-0.0987874485934761</v>
      </c>
      <c r="J741" s="11" t="n">
        <v>0.0855383641869598</v>
      </c>
      <c r="K741" s="11"/>
    </row>
    <row r="742" customFormat="false" ht="12.75" hidden="false" customHeight="false" outlineLevel="0" collapsed="false">
      <c r="A742" s="10" t="s">
        <v>48</v>
      </c>
      <c r="B742" s="10" t="n">
        <v>1</v>
      </c>
      <c r="C742" s="10" t="n">
        <v>5256051</v>
      </c>
      <c r="D742" s="10" t="n">
        <v>5.80051647196015E-005</v>
      </c>
      <c r="E742" s="11" t="n">
        <v>0.0244926535687381</v>
      </c>
      <c r="F742" s="11"/>
      <c r="G742" s="11" t="n">
        <v>-0.0244346484040185</v>
      </c>
      <c r="H742" s="11" t="n">
        <v>-0.569942583607029</v>
      </c>
      <c r="I742" s="11" t="n">
        <v>-0.0676355314407691</v>
      </c>
      <c r="J742" s="11" t="n">
        <v>0.116620838578245</v>
      </c>
      <c r="K742" s="11"/>
    </row>
    <row r="743" customFormat="false" ht="12.75" hidden="false" customHeight="false" outlineLevel="0" collapsed="false">
      <c r="A743" s="10" t="s">
        <v>49</v>
      </c>
      <c r="B743" s="10" t="n">
        <v>1</v>
      </c>
      <c r="C743" s="10" t="n">
        <v>18723991</v>
      </c>
      <c r="D743" s="10" t="n">
        <v>0.0247474685546935</v>
      </c>
      <c r="E743" s="11" t="n">
        <v>0.0470044539539321</v>
      </c>
      <c r="F743" s="11"/>
      <c r="G743" s="11" t="n">
        <v>-0.0222569853992386</v>
      </c>
      <c r="H743" s="11" t="n">
        <v>-0.519148201029967</v>
      </c>
      <c r="I743" s="11" t="n">
        <v>-0.0495769812223122</v>
      </c>
      <c r="J743" s="11" t="n">
        <v>0.143585889130176</v>
      </c>
      <c r="K743" s="11"/>
    </row>
    <row r="744" customFormat="false" ht="12.75" hidden="false" customHeight="false" outlineLevel="0" collapsed="false">
      <c r="A744" s="10" t="s">
        <v>50</v>
      </c>
      <c r="B744" s="10" t="n">
        <v>1</v>
      </c>
      <c r="C744" s="10" t="n">
        <v>1951408</v>
      </c>
      <c r="D744" s="10" t="n">
        <v>0.000622986197117817</v>
      </c>
      <c r="E744" s="11" t="n">
        <v>-0.0185751659229495</v>
      </c>
      <c r="F744" s="11"/>
      <c r="G744" s="11" t="n">
        <v>0.0191981521200673</v>
      </c>
      <c r="H744" s="11" t="n">
        <v>0.447800362782895</v>
      </c>
      <c r="I744" s="11" t="n">
        <v>-0.111451773850622</v>
      </c>
      <c r="J744" s="11" t="n">
        <v>0.0743014420047226</v>
      </c>
      <c r="K744" s="11"/>
    </row>
    <row r="745" customFormat="false" ht="12.75" hidden="false" customHeight="false" outlineLevel="0" collapsed="false">
      <c r="A745" s="10" t="s">
        <v>51</v>
      </c>
      <c r="B745" s="10" t="n">
        <v>1</v>
      </c>
      <c r="C745" s="10" t="n">
        <v>584771</v>
      </c>
      <c r="D745" s="10" t="n">
        <v>0</v>
      </c>
      <c r="E745" s="11" t="n">
        <v>0.0101466876102167</v>
      </c>
      <c r="F745" s="11"/>
      <c r="G745" s="11" t="n">
        <v>-0.0101466876102167</v>
      </c>
      <c r="H745" s="11" t="n">
        <v>-0.236673319623836</v>
      </c>
      <c r="I745" s="11" t="n">
        <v>-0.0823671465205861</v>
      </c>
      <c r="J745" s="11" t="n">
        <v>0.102660521741019</v>
      </c>
      <c r="K745" s="11"/>
    </row>
    <row r="746" customFormat="false" ht="12.75" hidden="false" customHeight="false" outlineLevel="0" collapsed="false">
      <c r="A746" s="10" t="s">
        <v>52</v>
      </c>
      <c r="B746" s="10" t="n">
        <v>1</v>
      </c>
      <c r="C746" s="10" t="n">
        <v>6618358</v>
      </c>
      <c r="D746" s="10" t="n">
        <v>0.0465283677535952</v>
      </c>
      <c r="E746" s="11" t="n">
        <v>0.0761447498167308</v>
      </c>
      <c r="F746" s="11"/>
      <c r="G746" s="11" t="n">
        <v>-0.0296163820631356</v>
      </c>
      <c r="H746" s="11" t="n">
        <v>-0.690807456324209</v>
      </c>
      <c r="I746" s="11" t="n">
        <v>-0.0164577650615244</v>
      </c>
      <c r="J746" s="11" t="n">
        <v>0.168747264694986</v>
      </c>
      <c r="K746" s="11"/>
    </row>
    <row r="747" customFormat="false" ht="12.75" hidden="false" customHeight="false" outlineLevel="0" collapsed="false">
      <c r="A747" s="10" t="s">
        <v>53</v>
      </c>
      <c r="B747" s="10" t="n">
        <v>1</v>
      </c>
      <c r="C747" s="10" t="n">
        <v>5430940</v>
      </c>
      <c r="D747" s="10" t="n">
        <v>0.0414276298865866</v>
      </c>
      <c r="E747" s="11" t="n">
        <v>-0.000715600837865598</v>
      </c>
      <c r="F747" s="11"/>
      <c r="G747" s="11" t="n">
        <v>0.0421432307244522</v>
      </c>
      <c r="H747" s="11" t="n">
        <v>0.982998461999203</v>
      </c>
      <c r="I747" s="11" t="n">
        <v>-0.0926273544526488</v>
      </c>
      <c r="J747" s="11" t="n">
        <v>0.0911961527769176</v>
      </c>
      <c r="K747" s="11"/>
    </row>
    <row r="748" customFormat="false" ht="12.75" hidden="false" customHeight="false" outlineLevel="0" collapsed="false">
      <c r="A748" s="10" t="s">
        <v>54</v>
      </c>
      <c r="B748" s="10" t="n">
        <v>1</v>
      </c>
      <c r="C748" s="10" t="n">
        <v>1828140</v>
      </c>
      <c r="D748" s="10" t="n">
        <v>0.0657245663242686</v>
      </c>
      <c r="E748" s="11" t="n">
        <v>0.0893553791790003</v>
      </c>
      <c r="F748" s="11"/>
      <c r="G748" s="11" t="n">
        <v>-0.0236308128547318</v>
      </c>
      <c r="H748" s="11" t="n">
        <v>-0.551192974356245</v>
      </c>
      <c r="I748" s="11" t="n">
        <v>-0.00480126833559445</v>
      </c>
      <c r="J748" s="11" t="n">
        <v>0.183512026693595</v>
      </c>
      <c r="K748" s="11"/>
    </row>
    <row r="749" customFormat="false" ht="12.75" hidden="false" customHeight="false" outlineLevel="0" collapsed="false">
      <c r="A749" s="10" t="s">
        <v>55</v>
      </c>
      <c r="B749" s="10" t="n">
        <v>1</v>
      </c>
      <c r="C749" s="10" t="n">
        <v>5122871</v>
      </c>
      <c r="D749" s="10" t="n">
        <v>1.13332512302244E-005</v>
      </c>
      <c r="E749" s="11" t="n">
        <v>-0.00321640156566189</v>
      </c>
      <c r="F749" s="11"/>
      <c r="G749" s="11" t="n">
        <v>0.00322773481689211</v>
      </c>
      <c r="H749" s="11" t="n">
        <v>0.075287497095122</v>
      </c>
      <c r="I749" s="11" t="n">
        <v>-0.095229649216934</v>
      </c>
      <c r="J749" s="11" t="n">
        <v>0.0887968460856102</v>
      </c>
      <c r="K749" s="11"/>
    </row>
    <row r="750" customFormat="false" ht="13.5" hidden="false" customHeight="false" outlineLevel="0" collapsed="false">
      <c r="A750" s="12" t="s">
        <v>56</v>
      </c>
      <c r="B750" s="12" t="n">
        <v>1</v>
      </c>
      <c r="C750" s="12" t="n">
        <v>480184</v>
      </c>
      <c r="D750" s="12" t="n">
        <v>0</v>
      </c>
      <c r="E750" s="13" t="n">
        <v>-0.010924128666663</v>
      </c>
      <c r="F750" s="13"/>
      <c r="G750" s="13" t="n">
        <v>0.010924128666663</v>
      </c>
      <c r="H750" s="13" t="n">
        <v>0.254807272565855</v>
      </c>
      <c r="I750" s="13" t="n">
        <v>-0.10327357622172</v>
      </c>
      <c r="J750" s="13" t="n">
        <v>0.0814253188883937</v>
      </c>
      <c r="K750" s="11"/>
    </row>
    <row r="752" customFormat="false" ht="12.75" hidden="false" customHeight="false" outlineLevel="0" collapsed="false">
      <c r="A752" s="0" t="s">
        <v>424</v>
      </c>
    </row>
    <row r="754" customFormat="false" ht="12.75" hidden="false" customHeight="false" outlineLevel="0" collapsed="false">
      <c r="A754" s="0" t="s">
        <v>155</v>
      </c>
    </row>
    <row r="756" customFormat="false" ht="12.75" hidden="false" customHeight="false" outlineLevel="0" collapsed="false">
      <c r="A756" s="0" t="s">
        <v>425</v>
      </c>
    </row>
    <row r="757" customFormat="false" ht="12.75" hidden="false" customHeight="false" outlineLevel="0" collapsed="false">
      <c r="A757" s="0" t="s">
        <v>157</v>
      </c>
    </row>
    <row r="759" customFormat="false" ht="12.75" hidden="false" customHeight="false" outlineLevel="0" collapsed="false">
      <c r="A759" s="0" t="s">
        <v>158</v>
      </c>
    </row>
    <row r="760" customFormat="false" ht="12.75" hidden="false" customHeight="false" outlineLevel="0" collapsed="false">
      <c r="A760" s="0" t="s">
        <v>159</v>
      </c>
    </row>
    <row r="762" customFormat="false" ht="12.75" hidden="false" customHeight="false" outlineLevel="0" collapsed="false">
      <c r="A762" s="0" t="s">
        <v>426</v>
      </c>
    </row>
    <row r="764" customFormat="false" ht="12.75" hidden="false" customHeight="false" outlineLevel="0" collapsed="false">
      <c r="A764" s="0" t="s">
        <v>427</v>
      </c>
    </row>
    <row r="765" customFormat="false" ht="12.75" hidden="false" customHeight="false" outlineLevel="0" collapsed="false">
      <c r="A765" s="0" t="s">
        <v>109</v>
      </c>
    </row>
    <row r="766" customFormat="false" ht="12.75" hidden="false" customHeight="false" outlineLevel="0" collapsed="false">
      <c r="A766" s="0" t="s">
        <v>428</v>
      </c>
    </row>
    <row r="767" customFormat="false" ht="12.75" hidden="false" customHeight="false" outlineLevel="0" collapsed="false">
      <c r="A767" s="0" t="s">
        <v>429</v>
      </c>
    </row>
    <row r="768" customFormat="false" ht="12.75" hidden="false" customHeight="false" outlineLevel="0" collapsed="false">
      <c r="A768" s="0" t="s">
        <v>112</v>
      </c>
    </row>
    <row r="769" customFormat="false" ht="12.75" hidden="false" customHeight="false" outlineLevel="0" collapsed="false">
      <c r="A769" s="0" t="s">
        <v>400</v>
      </c>
    </row>
    <row r="772" customFormat="false" ht="12.75" hidden="false" customHeight="false" outlineLevel="0" collapsed="false">
      <c r="A772" s="0" t="s">
        <v>371</v>
      </c>
    </row>
    <row r="773" customFormat="false" ht="13.5" hidden="false" customHeight="false" outlineLevel="0" collapsed="false"/>
    <row r="774" customFormat="false" ht="12.75" hidden="false" customHeight="false" outlineLevel="0" collapsed="false">
      <c r="A774" s="8" t="s">
        <v>372</v>
      </c>
      <c r="B774" s="8" t="s">
        <v>113</v>
      </c>
      <c r="C774" s="8" t="s">
        <v>114</v>
      </c>
    </row>
    <row r="775" customFormat="false" ht="12.75" hidden="false" customHeight="false" outlineLevel="0" collapsed="false">
      <c r="A775" s="6" t="s">
        <v>84</v>
      </c>
      <c r="B775" s="6" t="n">
        <v>5338722.3877551</v>
      </c>
      <c r="C775" s="6" t="n">
        <v>5779174.66837188</v>
      </c>
    </row>
    <row r="776" customFormat="false" ht="12.75" hidden="false" customHeight="false" outlineLevel="0" collapsed="false">
      <c r="A776" s="6" t="s">
        <v>105</v>
      </c>
      <c r="B776" s="6" t="n">
        <v>0.0748801382019185</v>
      </c>
      <c r="C776" s="6" t="n">
        <v>0.114610023517382</v>
      </c>
    </row>
    <row r="777" customFormat="false" ht="12.75" hidden="false" customHeight="false" outlineLevel="0" collapsed="false">
      <c r="A777" s="6" t="s">
        <v>100</v>
      </c>
      <c r="B777" s="6" t="n">
        <v>0.0372393142980251</v>
      </c>
      <c r="C777" s="6" t="n">
        <v>0.0269260351740362</v>
      </c>
    </row>
    <row r="778" customFormat="false" ht="13.5" hidden="false" customHeight="false" outlineLevel="0" collapsed="false">
      <c r="A778" s="7" t="s">
        <v>143</v>
      </c>
      <c r="B778" s="7" t="n">
        <v>2.30500166681722E-008</v>
      </c>
      <c r="C778" s="7" t="n">
        <v>1.3983591544212E-007</v>
      </c>
    </row>
    <row r="782" customFormat="false" ht="12.75" hidden="false" customHeight="false" outlineLevel="0" collapsed="false">
      <c r="A782" s="0" t="s">
        <v>374</v>
      </c>
    </row>
    <row r="783" customFormat="false" ht="13.5" hidden="false" customHeight="false" outlineLevel="0" collapsed="false"/>
    <row r="784" customFormat="false" ht="12.75" hidden="false" customHeight="false" outlineLevel="0" collapsed="false">
      <c r="A784" s="8" t="s">
        <v>375</v>
      </c>
      <c r="B784" s="8" t="s">
        <v>135</v>
      </c>
      <c r="C784" s="8" t="s">
        <v>136</v>
      </c>
      <c r="D784" s="8" t="s">
        <v>376</v>
      </c>
      <c r="E784" s="8" t="s">
        <v>377</v>
      </c>
    </row>
    <row r="785" customFormat="false" ht="12.75" hidden="false" customHeight="false" outlineLevel="0" collapsed="false">
      <c r="A785" s="6" t="s">
        <v>80</v>
      </c>
      <c r="B785" s="15" t="n">
        <v>-4.46290532525789</v>
      </c>
      <c r="C785" s="15" t="n">
        <v>2.17583045416389</v>
      </c>
      <c r="D785" s="15" t="n">
        <v>4.20712335267394</v>
      </c>
      <c r="E785" s="15" t="n">
        <v>0.0402545517323232</v>
      </c>
    </row>
    <row r="786" customFormat="false" ht="12.75" hidden="false" customHeight="false" outlineLevel="0" collapsed="false">
      <c r="A786" s="6" t="s">
        <v>84</v>
      </c>
      <c r="B786" s="15" t="n">
        <v>9.07715696787552E-007</v>
      </c>
      <c r="C786" s="15" t="n">
        <v>3.72589485345092E-007</v>
      </c>
      <c r="D786" s="15" t="n">
        <v>5.93524296242582</v>
      </c>
      <c r="E786" s="15" t="n">
        <v>0.0148410232846226</v>
      </c>
    </row>
    <row r="787" customFormat="false" ht="12.75" hidden="false" customHeight="false" outlineLevel="0" collapsed="false">
      <c r="A787" s="6" t="s">
        <v>105</v>
      </c>
      <c r="B787" s="15" t="n">
        <v>3567.86831034432</v>
      </c>
      <c r="C787" s="15" t="n">
        <v>483458662.24595</v>
      </c>
      <c r="D787" s="15" t="n">
        <v>5.44626714949397E-011</v>
      </c>
      <c r="E787" s="15" t="n">
        <v>0.999994111705381</v>
      </c>
    </row>
    <row r="788" customFormat="false" ht="12.75" hidden="false" customHeight="false" outlineLevel="0" collapsed="false">
      <c r="A788" s="6" t="s">
        <v>100</v>
      </c>
      <c r="B788" s="15" t="n">
        <v>42.6882469503693</v>
      </c>
      <c r="C788" s="15" t="n">
        <v>44.6457177632764</v>
      </c>
      <c r="D788" s="15" t="n">
        <v>0.91423326991546</v>
      </c>
      <c r="E788" s="15" t="n">
        <v>0.338993704252642</v>
      </c>
    </row>
    <row r="789" customFormat="false" ht="13.5" hidden="false" customHeight="false" outlineLevel="0" collapsed="false">
      <c r="A789" s="7" t="s">
        <v>143</v>
      </c>
      <c r="B789" s="16" t="n">
        <v>178953868.083153</v>
      </c>
      <c r="C789" s="16" t="n">
        <v>259320717.966833</v>
      </c>
      <c r="D789" s="16" t="n">
        <v>0.476220130284329</v>
      </c>
      <c r="E789" s="16" t="n">
        <v>0.490139450564925</v>
      </c>
    </row>
    <row r="792" customFormat="false" ht="13.5" hidden="false" customHeight="false" outlineLevel="0" collapsed="false">
      <c r="A792" s="0" t="s">
        <v>378</v>
      </c>
    </row>
    <row r="793" customFormat="false" ht="12.75" hidden="false" customHeight="false" outlineLevel="0" collapsed="false">
      <c r="A793" s="8" t="s">
        <v>379</v>
      </c>
      <c r="B793" s="8" t="s">
        <v>380</v>
      </c>
      <c r="C793" s="8" t="s">
        <v>381</v>
      </c>
      <c r="D793" s="8" t="s">
        <v>382</v>
      </c>
      <c r="E793" s="8" t="s">
        <v>383</v>
      </c>
      <c r="F793" s="8" t="s">
        <v>384</v>
      </c>
      <c r="G793" s="8" t="s">
        <v>385</v>
      </c>
      <c r="H793" s="8" t="s">
        <v>386</v>
      </c>
      <c r="I793" s="8" t="s">
        <v>387</v>
      </c>
      <c r="J793" s="8" t="s">
        <v>388</v>
      </c>
      <c r="K793" s="8"/>
      <c r="L793" s="8" t="s">
        <v>389</v>
      </c>
    </row>
    <row r="794" customFormat="false" ht="13.5" hidden="false" customHeight="false" outlineLevel="0" collapsed="false">
      <c r="A794" s="7" t="n">
        <v>49</v>
      </c>
      <c r="B794" s="7" t="n">
        <v>-12.2294997612363</v>
      </c>
      <c r="C794" s="7" t="n">
        <v>-30.1821837539381</v>
      </c>
      <c r="D794" s="7" t="n">
        <v>24.7516418118058</v>
      </c>
      <c r="E794" s="7" t="n">
        <v>44</v>
      </c>
      <c r="F794" s="7" t="n">
        <v>0.991541633276936</v>
      </c>
      <c r="G794" s="7" t="n">
        <v>35.9053679854035</v>
      </c>
      <c r="H794" s="7" t="n">
        <v>4</v>
      </c>
      <c r="I794" s="7" t="n">
        <v>0.0001</v>
      </c>
      <c r="J794" s="7" t="n">
        <v>0.61324603812711</v>
      </c>
      <c r="K794" s="7"/>
      <c r="L794" s="7" t="n">
        <v>0.594810638589375</v>
      </c>
    </row>
    <row r="796" customFormat="false" ht="12.75" hidden="false" customHeight="false" outlineLevel="0" collapsed="false">
      <c r="A796" s="0" t="s">
        <v>390</v>
      </c>
    </row>
    <row r="797" customFormat="false" ht="13.5" hidden="false" customHeight="false" outlineLevel="0" collapsed="false"/>
    <row r="798" customFormat="false" ht="12.75" hidden="false" customHeight="false" outlineLevel="0" collapsed="false">
      <c r="A798" s="8" t="s">
        <v>63</v>
      </c>
      <c r="B798" s="8"/>
      <c r="C798" s="8" t="s">
        <v>84</v>
      </c>
      <c r="D798" s="8" t="s">
        <v>105</v>
      </c>
      <c r="E798" s="8" t="s">
        <v>100</v>
      </c>
      <c r="F798" s="8" t="s">
        <v>143</v>
      </c>
      <c r="G798" s="8" t="s">
        <v>362</v>
      </c>
      <c r="H798" s="8" t="s">
        <v>401</v>
      </c>
      <c r="I798" s="8" t="s">
        <v>392</v>
      </c>
      <c r="J798" s="8" t="s">
        <v>393</v>
      </c>
      <c r="K798" s="8"/>
      <c r="L798" s="8" t="s">
        <v>394</v>
      </c>
      <c r="M798" s="8" t="s">
        <v>402</v>
      </c>
      <c r="N798" s="8" t="s">
        <v>396</v>
      </c>
    </row>
    <row r="799" customFormat="false" ht="12.75" hidden="false" customHeight="false" outlineLevel="0" collapsed="false">
      <c r="A799" s="6" t="s">
        <v>202</v>
      </c>
      <c r="B799" s="6" t="n">
        <v>1</v>
      </c>
      <c r="C799" s="6" t="n">
        <v>4252982</v>
      </c>
      <c r="D799" s="6" t="n">
        <v>0</v>
      </c>
      <c r="E799" s="6" t="n">
        <v>0.0238518767065552</v>
      </c>
      <c r="F799" s="6" t="n">
        <v>1.16002176106561E-012</v>
      </c>
      <c r="G799" s="6" t="n">
        <v>0</v>
      </c>
      <c r="H799" s="15" t="n">
        <v>0.602524633226058</v>
      </c>
      <c r="I799" s="15" t="n">
        <v>0.693877551020408</v>
      </c>
      <c r="J799" s="15" t="n">
        <v>0</v>
      </c>
      <c r="K799" s="15"/>
      <c r="L799" s="15" t="n">
        <v>0.602524633226058</v>
      </c>
      <c r="M799" s="15" t="n">
        <v>-1.23121045334628</v>
      </c>
      <c r="N799" s="15" t="n">
        <v>-1.50554530541816</v>
      </c>
    </row>
    <row r="800" customFormat="false" ht="12.75" hidden="false" customHeight="false" outlineLevel="0" collapsed="false">
      <c r="A800" s="6" t="s">
        <v>203</v>
      </c>
      <c r="B800" s="6" t="n">
        <v>1</v>
      </c>
      <c r="C800" s="6" t="n">
        <v>4217940</v>
      </c>
      <c r="D800" s="6" t="n">
        <v>0</v>
      </c>
      <c r="E800" s="6" t="n">
        <v>0.0112071877535429</v>
      </c>
      <c r="F800" s="6" t="n">
        <v>1.49200959313964E-012</v>
      </c>
      <c r="G800" s="6" t="n">
        <v>0</v>
      </c>
      <c r="H800" s="15" t="n">
        <v>0.461194999379346</v>
      </c>
      <c r="I800" s="15" t="n">
        <v>0.693877551020408</v>
      </c>
      <c r="J800" s="15" t="n">
        <v>0</v>
      </c>
      <c r="K800" s="15"/>
      <c r="L800" s="15" t="n">
        <v>0.461194999379346</v>
      </c>
      <c r="M800" s="15" t="n">
        <v>-0.925180532808022</v>
      </c>
      <c r="N800" s="15" t="n">
        <v>-1.50554530541816</v>
      </c>
    </row>
    <row r="801" customFormat="false" ht="12.75" hidden="false" customHeight="false" outlineLevel="0" collapsed="false">
      <c r="A801" s="6" t="s">
        <v>204</v>
      </c>
      <c r="B801" s="6" t="n">
        <v>1</v>
      </c>
      <c r="C801" s="6" t="n">
        <v>2483769</v>
      </c>
      <c r="D801" s="6" t="n">
        <v>0</v>
      </c>
      <c r="E801" s="6" t="n">
        <v>0.0402941869973762</v>
      </c>
      <c r="F801" s="6" t="n">
        <v>8.78858354669177E-013</v>
      </c>
      <c r="G801" s="6" t="n">
        <v>0</v>
      </c>
      <c r="H801" s="15" t="n">
        <v>0.380340380518645</v>
      </c>
      <c r="I801" s="15" t="n">
        <v>0.693877551020408</v>
      </c>
      <c r="J801" s="15" t="n">
        <v>0</v>
      </c>
      <c r="K801" s="15"/>
      <c r="L801" s="15" t="n">
        <v>0.380340380518645</v>
      </c>
      <c r="M801" s="15" t="n">
        <v>-0.783446997202626</v>
      </c>
      <c r="N801" s="15" t="n">
        <v>-1.50554530541816</v>
      </c>
    </row>
    <row r="802" customFormat="false" ht="12.75" hidden="false" customHeight="false" outlineLevel="0" collapsed="false">
      <c r="A802" s="6" t="s">
        <v>205</v>
      </c>
      <c r="B802" s="6" t="n">
        <v>1</v>
      </c>
      <c r="C802" s="6" t="n">
        <v>31589153</v>
      </c>
      <c r="D802" s="6" t="n">
        <v>0</v>
      </c>
      <c r="E802" s="6" t="n">
        <v>0.004523030247648</v>
      </c>
      <c r="F802" s="6" t="n">
        <v>1.15838117524707E-012</v>
      </c>
      <c r="G802" s="6" t="n">
        <v>1</v>
      </c>
      <c r="H802" s="15" t="n">
        <v>0.999999999974804</v>
      </c>
      <c r="I802" s="15" t="n">
        <v>0.693877551020408</v>
      </c>
      <c r="J802" s="15" t="n">
        <v>1</v>
      </c>
      <c r="K802" s="15"/>
      <c r="L802" s="15" t="n">
        <v>0.999999999974804</v>
      </c>
      <c r="M802" s="15" t="n">
        <v>5.01952421710296E-006</v>
      </c>
      <c r="N802" s="15" t="n">
        <v>0.664211164155072</v>
      </c>
    </row>
    <row r="803" customFormat="false" ht="12.75" hidden="false" customHeight="false" outlineLevel="0" collapsed="false">
      <c r="A803" s="6" t="s">
        <v>206</v>
      </c>
      <c r="B803" s="6" t="n">
        <v>1</v>
      </c>
      <c r="C803" s="6" t="n">
        <v>3746585</v>
      </c>
      <c r="D803" s="6" t="n">
        <v>0.0147863247863248</v>
      </c>
      <c r="E803" s="6" t="n">
        <v>0.00794454114516863</v>
      </c>
      <c r="F803" s="6" t="n">
        <v>6.58291482583513E-013</v>
      </c>
      <c r="G803" s="6" t="n">
        <v>1</v>
      </c>
      <c r="H803" s="15" t="n">
        <v>1</v>
      </c>
      <c r="I803" s="15" t="n">
        <v>0.693877551020408</v>
      </c>
      <c r="J803" s="15" t="n">
        <v>1</v>
      </c>
      <c r="K803" s="15"/>
      <c r="L803" s="15" t="n">
        <v>1</v>
      </c>
      <c r="M803" s="15" t="n">
        <v>1.05367121277235E-008</v>
      </c>
      <c r="N803" s="15" t="n">
        <v>0.664211164155072</v>
      </c>
    </row>
    <row r="804" customFormat="false" ht="12.75" hidden="false" customHeight="false" outlineLevel="0" collapsed="false">
      <c r="A804" s="6" t="s">
        <v>207</v>
      </c>
      <c r="B804" s="6" t="n">
        <v>1</v>
      </c>
      <c r="C804" s="6" t="n">
        <v>3274662</v>
      </c>
      <c r="D804" s="6" t="n">
        <v>0.357749077490775</v>
      </c>
      <c r="E804" s="6" t="n">
        <v>0.0456124226267046</v>
      </c>
      <c r="F804" s="6" t="n">
        <v>2.67978152112005E-008</v>
      </c>
      <c r="G804" s="6" t="n">
        <v>1</v>
      </c>
      <c r="H804" s="15" t="n">
        <v>1</v>
      </c>
      <c r="I804" s="15" t="n">
        <v>0.693877551020408</v>
      </c>
      <c r="J804" s="15" t="n">
        <v>1</v>
      </c>
      <c r="K804" s="15"/>
      <c r="L804" s="15" t="n">
        <v>1</v>
      </c>
      <c r="M804" s="15" t="n">
        <v>1.05367121277235E-008</v>
      </c>
      <c r="N804" s="15" t="n">
        <v>0.664211164155072</v>
      </c>
    </row>
    <row r="805" customFormat="false" ht="12.75" hidden="false" customHeight="false" outlineLevel="0" collapsed="false">
      <c r="A805" s="6" t="s">
        <v>208</v>
      </c>
      <c r="B805" s="6" t="n">
        <v>1</v>
      </c>
      <c r="C805" s="6" t="n">
        <v>717197</v>
      </c>
      <c r="D805" s="6" t="n">
        <v>0.219607843137255</v>
      </c>
      <c r="E805" s="6" t="n">
        <v>0.138328875404208</v>
      </c>
      <c r="F805" s="6" t="n">
        <v>2.04082824400193E-008</v>
      </c>
      <c r="G805" s="6" t="n">
        <v>1</v>
      </c>
      <c r="H805" s="15" t="n">
        <v>1</v>
      </c>
      <c r="I805" s="15" t="n">
        <v>0.693877551020408</v>
      </c>
      <c r="J805" s="15" t="n">
        <v>1</v>
      </c>
      <c r="K805" s="15"/>
      <c r="L805" s="15" t="n">
        <v>1</v>
      </c>
      <c r="M805" s="15" t="n">
        <v>1.05367121277235E-008</v>
      </c>
      <c r="N805" s="15" t="n">
        <v>0.664211164155072</v>
      </c>
    </row>
    <row r="806" customFormat="false" ht="12.75" hidden="false" customHeight="false" outlineLevel="0" collapsed="false">
      <c r="A806" s="6" t="s">
        <v>209</v>
      </c>
      <c r="B806" s="6" t="n">
        <v>1</v>
      </c>
      <c r="C806" s="6" t="n">
        <v>14165570</v>
      </c>
      <c r="D806" s="6" t="n">
        <v>0.111015583019882</v>
      </c>
      <c r="E806" s="6" t="n">
        <v>0.00799421046196813</v>
      </c>
      <c r="F806" s="6" t="n">
        <v>3.65523418920916E-012</v>
      </c>
      <c r="G806" s="6" t="n">
        <v>1</v>
      </c>
      <c r="H806" s="15" t="n">
        <v>1</v>
      </c>
      <c r="I806" s="15" t="n">
        <v>0.693877551020408</v>
      </c>
      <c r="J806" s="15" t="n">
        <v>1</v>
      </c>
      <c r="K806" s="15"/>
      <c r="L806" s="15" t="n">
        <v>1</v>
      </c>
      <c r="M806" s="15" t="n">
        <v>1.05367121277235E-008</v>
      </c>
      <c r="N806" s="15" t="n">
        <v>0.664211164155072</v>
      </c>
    </row>
    <row r="807" customFormat="false" ht="12.75" hidden="false" customHeight="false" outlineLevel="0" collapsed="false">
      <c r="A807" s="6" t="s">
        <v>210</v>
      </c>
      <c r="B807" s="6" t="n">
        <v>1</v>
      </c>
      <c r="C807" s="6" t="n">
        <v>7200882</v>
      </c>
      <c r="D807" s="6" t="n">
        <v>0.00785562632696391</v>
      </c>
      <c r="E807" s="6" t="n">
        <v>0.0281378236648974</v>
      </c>
      <c r="F807" s="6" t="n">
        <v>9.95886785099514E-013</v>
      </c>
      <c r="G807" s="6" t="n">
        <v>1</v>
      </c>
      <c r="H807" s="15" t="n">
        <v>0.999999999999931</v>
      </c>
      <c r="I807" s="15" t="n">
        <v>0.693877551020408</v>
      </c>
      <c r="J807" s="15" t="n">
        <v>1</v>
      </c>
      <c r="K807" s="15"/>
      <c r="L807" s="15" t="n">
        <v>0.999999999999931</v>
      </c>
      <c r="M807" s="15" t="n">
        <v>2.62995996992639E-007</v>
      </c>
      <c r="N807" s="15" t="n">
        <v>0.664211164155072</v>
      </c>
    </row>
    <row r="808" customFormat="false" ht="12.75" hidden="false" customHeight="false" outlineLevel="0" collapsed="false">
      <c r="A808" s="6" t="s">
        <v>211</v>
      </c>
      <c r="B808" s="6" t="n">
        <v>1</v>
      </c>
      <c r="C808" s="6" t="n">
        <v>1186815</v>
      </c>
      <c r="D808" s="6" t="n">
        <v>0</v>
      </c>
      <c r="E808" s="6" t="n">
        <v>0.00952409571468726</v>
      </c>
      <c r="F808" s="6" t="n">
        <v>4.11770253782566E-011</v>
      </c>
      <c r="G808" s="6" t="n">
        <v>0</v>
      </c>
      <c r="H808" s="15" t="n">
        <v>0.0487218464707527</v>
      </c>
      <c r="I808" s="15" t="n">
        <v>0.693877551020408</v>
      </c>
      <c r="J808" s="15" t="n">
        <v>0</v>
      </c>
      <c r="K808" s="15"/>
      <c r="L808" s="15" t="n">
        <v>0.0487218464707527</v>
      </c>
      <c r="M808" s="15" t="n">
        <v>-0.226312273704893</v>
      </c>
      <c r="N808" s="15" t="n">
        <v>-1.50554530541816</v>
      </c>
    </row>
    <row r="809" customFormat="false" ht="12.75" hidden="false" customHeight="false" outlineLevel="0" collapsed="false">
      <c r="A809" s="6" t="s">
        <v>212</v>
      </c>
      <c r="B809" s="6" t="n">
        <v>1</v>
      </c>
      <c r="C809" s="6" t="n">
        <v>1163261</v>
      </c>
      <c r="D809" s="6" t="n">
        <v>0</v>
      </c>
      <c r="E809" s="6" t="n">
        <v>0.0261485883128481</v>
      </c>
      <c r="F809" s="6" t="n">
        <v>1.71548959608199E-012</v>
      </c>
      <c r="G809" s="6" t="n">
        <v>0</v>
      </c>
      <c r="H809" s="15" t="n">
        <v>0.0919169266220145</v>
      </c>
      <c r="I809" s="15" t="n">
        <v>0.693877551020408</v>
      </c>
      <c r="J809" s="15" t="n">
        <v>0</v>
      </c>
      <c r="K809" s="15"/>
      <c r="L809" s="15" t="n">
        <v>0.0919169266220145</v>
      </c>
      <c r="M809" s="15" t="n">
        <v>-0.318152219312513</v>
      </c>
      <c r="N809" s="15" t="n">
        <v>-1.50554530541816</v>
      </c>
    </row>
    <row r="810" customFormat="false" ht="12.75" hidden="false" customHeight="false" outlineLevel="0" collapsed="false">
      <c r="A810" s="6" t="s">
        <v>213</v>
      </c>
      <c r="B810" s="6" t="n">
        <v>1</v>
      </c>
      <c r="C810" s="6" t="n">
        <v>11829940</v>
      </c>
      <c r="D810" s="6" t="n">
        <v>0.0825389755011136</v>
      </c>
      <c r="E810" s="6" t="n">
        <v>0.0281937744250442</v>
      </c>
      <c r="F810" s="6" t="n">
        <v>2.04279325453952E-013</v>
      </c>
      <c r="G810" s="6" t="n">
        <v>1</v>
      </c>
      <c r="H810" s="15" t="n">
        <v>1</v>
      </c>
      <c r="I810" s="15" t="n">
        <v>0.693877551020408</v>
      </c>
      <c r="J810" s="15" t="n">
        <v>1</v>
      </c>
      <c r="K810" s="15"/>
      <c r="L810" s="15" t="n">
        <v>1</v>
      </c>
      <c r="M810" s="15" t="n">
        <v>1.05367121277235E-008</v>
      </c>
      <c r="N810" s="15" t="n">
        <v>0.664211164155072</v>
      </c>
    </row>
    <row r="811" customFormat="false" ht="12.75" hidden="false" customHeight="false" outlineLevel="0" collapsed="false">
      <c r="A811" s="6" t="s">
        <v>214</v>
      </c>
      <c r="B811" s="6" t="n">
        <v>1</v>
      </c>
      <c r="C811" s="6" t="n">
        <v>5803471</v>
      </c>
      <c r="D811" s="6" t="n">
        <v>0.120414428242517</v>
      </c>
      <c r="E811" s="6" t="n">
        <v>0.03280824193038</v>
      </c>
      <c r="F811" s="6" t="n">
        <v>4.75336844122294E-011</v>
      </c>
      <c r="G811" s="6" t="n">
        <v>1</v>
      </c>
      <c r="H811" s="15" t="n">
        <v>1</v>
      </c>
      <c r="I811" s="15" t="n">
        <v>0.693877551020408</v>
      </c>
      <c r="J811" s="15" t="n">
        <v>1</v>
      </c>
      <c r="K811" s="15"/>
      <c r="L811" s="15" t="n">
        <v>1</v>
      </c>
      <c r="M811" s="15" t="n">
        <v>1.05367121277235E-008</v>
      </c>
      <c r="N811" s="15" t="n">
        <v>0.664211164155072</v>
      </c>
    </row>
    <row r="812" customFormat="false" ht="12.75" hidden="false" customHeight="false" outlineLevel="0" collapsed="false">
      <c r="A812" s="6" t="s">
        <v>215</v>
      </c>
      <c r="B812" s="6" t="n">
        <v>1</v>
      </c>
      <c r="C812" s="6" t="n">
        <v>2841764</v>
      </c>
      <c r="D812" s="6" t="n">
        <v>0</v>
      </c>
      <c r="E812" s="6" t="n">
        <v>0.0369184324665151</v>
      </c>
      <c r="F812" s="6" t="n">
        <v>9.38297197918158E-012</v>
      </c>
      <c r="G812" s="6" t="n">
        <v>1</v>
      </c>
      <c r="H812" s="15" t="n">
        <v>0.424157520192652</v>
      </c>
      <c r="I812" s="15" t="n">
        <v>0.693877551020408</v>
      </c>
      <c r="J812" s="15" t="n">
        <v>1</v>
      </c>
      <c r="K812" s="15"/>
      <c r="L812" s="15" t="n">
        <v>0.424157520192652</v>
      </c>
      <c r="M812" s="15" t="n">
        <v>1.16516723643774</v>
      </c>
      <c r="N812" s="15" t="n">
        <v>0.664211164155072</v>
      </c>
    </row>
    <row r="813" customFormat="false" ht="12.75" hidden="false" customHeight="false" outlineLevel="0" collapsed="false">
      <c r="A813" s="6" t="s">
        <v>216</v>
      </c>
      <c r="B813" s="6" t="n">
        <v>1</v>
      </c>
      <c r="C813" s="6" t="n">
        <v>2565328</v>
      </c>
      <c r="D813" s="6" t="n">
        <v>0.238988095238095</v>
      </c>
      <c r="E813" s="6" t="n">
        <v>0.0706260870607761</v>
      </c>
      <c r="F813" s="6" t="n">
        <v>8.3954224057573E-014</v>
      </c>
      <c r="G813" s="6" t="n">
        <v>1</v>
      </c>
      <c r="H813" s="15" t="n">
        <v>1</v>
      </c>
      <c r="I813" s="15" t="n">
        <v>0.693877551020408</v>
      </c>
      <c r="J813" s="15" t="n">
        <v>1</v>
      </c>
      <c r="K813" s="15"/>
      <c r="L813" s="15" t="n">
        <v>1</v>
      </c>
      <c r="M813" s="15" t="n">
        <v>1.05367121277235E-008</v>
      </c>
      <c r="N813" s="15" t="n">
        <v>0.664211164155072</v>
      </c>
    </row>
    <row r="814" customFormat="false" ht="12.75" hidden="false" customHeight="false" outlineLevel="0" collapsed="false">
      <c r="A814" s="6" t="s">
        <v>217</v>
      </c>
      <c r="B814" s="6" t="n">
        <v>1</v>
      </c>
      <c r="C814" s="6" t="n">
        <v>3860219</v>
      </c>
      <c r="D814" s="6" t="n">
        <v>0.239415204678363</v>
      </c>
      <c r="E814" s="6" t="n">
        <v>0.0625602364619358</v>
      </c>
      <c r="F814" s="6" t="n">
        <v>4.61685442104148E-011</v>
      </c>
      <c r="G814" s="6" t="n">
        <v>1</v>
      </c>
      <c r="H814" s="15" t="n">
        <v>1</v>
      </c>
      <c r="I814" s="15" t="n">
        <v>0.693877551020408</v>
      </c>
      <c r="J814" s="15" t="n">
        <v>1</v>
      </c>
      <c r="K814" s="15"/>
      <c r="L814" s="15" t="n">
        <v>1</v>
      </c>
      <c r="M814" s="15" t="n">
        <v>1.05367121277235E-008</v>
      </c>
      <c r="N814" s="15" t="n">
        <v>0.664211164155072</v>
      </c>
    </row>
    <row r="815" customFormat="false" ht="12.75" hidden="false" customHeight="false" outlineLevel="0" collapsed="false">
      <c r="A815" s="6" t="s">
        <v>218</v>
      </c>
      <c r="B815" s="6" t="n">
        <v>1</v>
      </c>
      <c r="C815" s="6" t="n">
        <v>4342334</v>
      </c>
      <c r="D815" s="6" t="n">
        <v>0</v>
      </c>
      <c r="E815" s="6" t="n">
        <v>0.0211147303966919</v>
      </c>
      <c r="F815" s="6" t="n">
        <v>2.56823004434834E-012</v>
      </c>
      <c r="G815" s="6" t="n">
        <v>1</v>
      </c>
      <c r="H815" s="15" t="n">
        <v>0.593996061216805</v>
      </c>
      <c r="I815" s="15" t="n">
        <v>0.693877551020408</v>
      </c>
      <c r="J815" s="15" t="n">
        <v>1</v>
      </c>
      <c r="K815" s="15"/>
      <c r="L815" s="15" t="n">
        <v>0.593996061216805</v>
      </c>
      <c r="M815" s="15" t="n">
        <v>0.82674835759623</v>
      </c>
      <c r="N815" s="15" t="n">
        <v>0.664211164155072</v>
      </c>
    </row>
    <row r="816" customFormat="false" ht="12.75" hidden="false" customHeight="false" outlineLevel="0" collapsed="false">
      <c r="A816" s="6" t="s">
        <v>219</v>
      </c>
      <c r="B816" s="6" t="n">
        <v>1</v>
      </c>
      <c r="C816" s="6" t="n">
        <v>1241382</v>
      </c>
      <c r="D816" s="6" t="n">
        <v>0.292950391644909</v>
      </c>
      <c r="E816" s="6" t="n">
        <v>0.0206121747105353</v>
      </c>
      <c r="F816" s="6" t="n">
        <v>2.65827638003696E-010</v>
      </c>
      <c r="G816" s="6" t="n">
        <v>1</v>
      </c>
      <c r="H816" s="15" t="n">
        <v>1</v>
      </c>
      <c r="I816" s="15" t="n">
        <v>0.693877551020408</v>
      </c>
      <c r="J816" s="15" t="n">
        <v>1</v>
      </c>
      <c r="K816" s="15"/>
      <c r="L816" s="15" t="n">
        <v>1</v>
      </c>
      <c r="M816" s="15" t="n">
        <v>1.05367121277235E-008</v>
      </c>
      <c r="N816" s="15" t="n">
        <v>0.664211164155072</v>
      </c>
    </row>
    <row r="817" customFormat="false" ht="12.75" hidden="false" customHeight="false" outlineLevel="0" collapsed="false">
      <c r="A817" s="6" t="s">
        <v>220</v>
      </c>
      <c r="B817" s="6" t="n">
        <v>1</v>
      </c>
      <c r="C817" s="6" t="n">
        <v>5042438</v>
      </c>
      <c r="D817" s="6" t="n">
        <v>0.059493670886076</v>
      </c>
      <c r="E817" s="6" t="n">
        <v>0.0697797782145526</v>
      </c>
      <c r="F817" s="6" t="n">
        <v>7.3736342600225E-010</v>
      </c>
      <c r="G817" s="6" t="n">
        <v>1</v>
      </c>
      <c r="H817" s="15" t="n">
        <v>1</v>
      </c>
      <c r="I817" s="15" t="n">
        <v>0.693877551020408</v>
      </c>
      <c r="J817" s="15" t="n">
        <v>1</v>
      </c>
      <c r="K817" s="15"/>
      <c r="L817" s="15" t="n">
        <v>1</v>
      </c>
      <c r="M817" s="15" t="n">
        <v>1.05367121277235E-008</v>
      </c>
      <c r="N817" s="15" t="n">
        <v>0.664211164155072</v>
      </c>
    </row>
    <row r="818" customFormat="false" ht="12.75" hidden="false" customHeight="false" outlineLevel="0" collapsed="false">
      <c r="A818" s="6" t="s">
        <v>221</v>
      </c>
      <c r="B818" s="6" t="n">
        <v>1</v>
      </c>
      <c r="C818" s="6" t="n">
        <v>6073550</v>
      </c>
      <c r="D818" s="6" t="n">
        <v>0.163254593175853</v>
      </c>
      <c r="E818" s="6" t="n">
        <v>0.0502082263621112</v>
      </c>
      <c r="F818" s="6" t="n">
        <v>2.60150207336547E-011</v>
      </c>
      <c r="G818" s="6" t="n">
        <v>1</v>
      </c>
      <c r="H818" s="15" t="n">
        <v>1</v>
      </c>
      <c r="I818" s="15" t="n">
        <v>0.693877551020408</v>
      </c>
      <c r="J818" s="15" t="n">
        <v>1</v>
      </c>
      <c r="K818" s="15"/>
      <c r="L818" s="15" t="n">
        <v>1</v>
      </c>
      <c r="M818" s="15" t="n">
        <v>1.05367121277235E-008</v>
      </c>
      <c r="N818" s="15" t="n">
        <v>0.664211164155072</v>
      </c>
    </row>
    <row r="819" customFormat="false" ht="12.75" hidden="false" customHeight="false" outlineLevel="0" collapsed="false">
      <c r="A819" s="6" t="s">
        <v>222</v>
      </c>
      <c r="B819" s="6" t="n">
        <v>1</v>
      </c>
      <c r="C819" s="6" t="n">
        <v>9549353</v>
      </c>
      <c r="D819" s="6" t="n">
        <v>0</v>
      </c>
      <c r="E819" s="6" t="n">
        <v>0.00796925854450259</v>
      </c>
      <c r="F819" s="6" t="n">
        <v>9.23270469744563E-013</v>
      </c>
      <c r="G819" s="6" t="n">
        <v>1</v>
      </c>
      <c r="H819" s="15" t="n">
        <v>0.989497159880155</v>
      </c>
      <c r="I819" s="15" t="n">
        <v>0.693877551020408</v>
      </c>
      <c r="J819" s="15" t="n">
        <v>1</v>
      </c>
      <c r="K819" s="15"/>
      <c r="L819" s="15" t="n">
        <v>0.989497159880155</v>
      </c>
      <c r="M819" s="15" t="n">
        <v>0.103025825075214</v>
      </c>
      <c r="N819" s="15" t="n">
        <v>0.664211164155072</v>
      </c>
    </row>
    <row r="820" customFormat="false" ht="12.75" hidden="false" customHeight="false" outlineLevel="0" collapsed="false">
      <c r="A820" s="6" t="s">
        <v>223</v>
      </c>
      <c r="B820" s="6" t="n">
        <v>1</v>
      </c>
      <c r="C820" s="6" t="n">
        <v>4609548</v>
      </c>
      <c r="D820" s="6" t="n">
        <v>0</v>
      </c>
      <c r="E820" s="6" t="n">
        <v>0.0231171606433715</v>
      </c>
      <c r="F820" s="6" t="n">
        <v>3.91416523412056E-014</v>
      </c>
      <c r="G820" s="6" t="n">
        <v>0</v>
      </c>
      <c r="H820" s="15" t="n">
        <v>0.669979383955244</v>
      </c>
      <c r="I820" s="15" t="n">
        <v>0.693877551020408</v>
      </c>
      <c r="J820" s="15" t="n">
        <v>0</v>
      </c>
      <c r="K820" s="15"/>
      <c r="L820" s="15" t="n">
        <v>0.669979383955244</v>
      </c>
      <c r="M820" s="15" t="n">
        <v>-1.42482059587282</v>
      </c>
      <c r="N820" s="15" t="n">
        <v>-1.50554530541816</v>
      </c>
    </row>
    <row r="821" customFormat="false" ht="12.75" hidden="false" customHeight="false" outlineLevel="0" collapsed="false">
      <c r="A821" s="6" t="s">
        <v>224</v>
      </c>
      <c r="B821" s="6" t="n">
        <v>1</v>
      </c>
      <c r="C821" s="6" t="n">
        <v>2697243</v>
      </c>
      <c r="D821" s="6" t="n">
        <v>0</v>
      </c>
      <c r="E821" s="6" t="n">
        <v>0.0305028704492417</v>
      </c>
      <c r="F821" s="6" t="n">
        <v>3.31728127610878E-012</v>
      </c>
      <c r="G821" s="6" t="n">
        <v>0</v>
      </c>
      <c r="H821" s="15" t="n">
        <v>0.329186254037572</v>
      </c>
      <c r="I821" s="15" t="n">
        <v>0.693877551020408</v>
      </c>
      <c r="J821" s="15" t="n">
        <v>0</v>
      </c>
      <c r="K821" s="15"/>
      <c r="L821" s="15" t="n">
        <v>0.329186254037572</v>
      </c>
      <c r="M821" s="15" t="n">
        <v>-0.700518919727553</v>
      </c>
      <c r="N821" s="15" t="n">
        <v>-1.50554530541816</v>
      </c>
    </row>
    <row r="822" customFormat="false" ht="12.75" hidden="false" customHeight="false" outlineLevel="0" collapsed="false">
      <c r="A822" s="6" t="s">
        <v>225</v>
      </c>
      <c r="B822" s="6" t="n">
        <v>1</v>
      </c>
      <c r="C822" s="6" t="n">
        <v>5323523</v>
      </c>
      <c r="D822" s="6" t="n">
        <v>0</v>
      </c>
      <c r="E822" s="6" t="n">
        <v>0.0724272745344907</v>
      </c>
      <c r="F822" s="6" t="n">
        <v>1.15835281976731E-010</v>
      </c>
      <c r="G822" s="6" t="n">
        <v>1</v>
      </c>
      <c r="H822" s="15" t="n">
        <v>0.970167276659932</v>
      </c>
      <c r="I822" s="15" t="n">
        <v>0.693877551020408</v>
      </c>
      <c r="J822" s="15" t="n">
        <v>1</v>
      </c>
      <c r="K822" s="15"/>
      <c r="L822" s="15" t="n">
        <v>0.970167276659932</v>
      </c>
      <c r="M822" s="15" t="n">
        <v>0.175357013061788</v>
      </c>
      <c r="N822" s="15" t="n">
        <v>0.664211164155072</v>
      </c>
    </row>
    <row r="823" customFormat="false" ht="12.75" hidden="false" customHeight="false" outlineLevel="0" collapsed="false">
      <c r="A823" s="6" t="s">
        <v>226</v>
      </c>
      <c r="B823" s="6" t="n">
        <v>1</v>
      </c>
      <c r="C823" s="6" t="n">
        <v>870281</v>
      </c>
      <c r="D823" s="6" t="n">
        <v>0</v>
      </c>
      <c r="E823" s="6" t="n">
        <v>0.00796409544263987</v>
      </c>
      <c r="F823" s="6" t="n">
        <v>3.47319888352621E-014</v>
      </c>
      <c r="G823" s="6" t="n">
        <v>0</v>
      </c>
      <c r="H823" s="15" t="n">
        <v>0.0344576772117299</v>
      </c>
      <c r="I823" s="15" t="n">
        <v>0.693877551020408</v>
      </c>
      <c r="J823" s="15" t="n">
        <v>0</v>
      </c>
      <c r="K823" s="15"/>
      <c r="L823" s="15" t="n">
        <v>0.0344576772117299</v>
      </c>
      <c r="M823" s="15" t="n">
        <v>-0.188911041189808</v>
      </c>
      <c r="N823" s="15" t="n">
        <v>-1.50554530541816</v>
      </c>
    </row>
    <row r="824" customFormat="false" ht="12.75" hidden="false" customHeight="false" outlineLevel="0" collapsed="false">
      <c r="A824" s="6" t="s">
        <v>227</v>
      </c>
      <c r="B824" s="6" t="n">
        <v>1</v>
      </c>
      <c r="C824" s="6" t="n">
        <v>1637112</v>
      </c>
      <c r="D824" s="6" t="n">
        <v>0</v>
      </c>
      <c r="E824" s="6" t="n">
        <v>0.0425053293156057</v>
      </c>
      <c r="F824" s="6" t="n">
        <v>1.27766030104349E-013</v>
      </c>
      <c r="G824" s="6" t="n">
        <v>1</v>
      </c>
      <c r="H824" s="15" t="n">
        <v>0.238236510089682</v>
      </c>
      <c r="I824" s="15" t="n">
        <v>0.693877551020408</v>
      </c>
      <c r="J824" s="15" t="n">
        <v>1</v>
      </c>
      <c r="K824" s="15"/>
      <c r="L824" s="15" t="n">
        <v>0.238236510089682</v>
      </c>
      <c r="M824" s="15" t="n">
        <v>1.78815811375083</v>
      </c>
      <c r="N824" s="15" t="n">
        <v>0.664211164155072</v>
      </c>
    </row>
    <row r="825" customFormat="false" ht="12.75" hidden="false" customHeight="false" outlineLevel="0" collapsed="false">
      <c r="A825" s="6" t="s">
        <v>228</v>
      </c>
      <c r="B825" s="6" t="n">
        <v>1</v>
      </c>
      <c r="C825" s="6" t="n">
        <v>1530108</v>
      </c>
      <c r="D825" s="6" t="n">
        <v>0</v>
      </c>
      <c r="E825" s="6" t="n">
        <v>0.0433497425670366</v>
      </c>
      <c r="F825" s="6" t="n">
        <v>1.76208456848238E-013</v>
      </c>
      <c r="G825" s="6" t="n">
        <v>0</v>
      </c>
      <c r="H825" s="15" t="n">
        <v>0.227330547367623</v>
      </c>
      <c r="I825" s="15" t="n">
        <v>0.693877551020408</v>
      </c>
      <c r="J825" s="15" t="n">
        <v>0</v>
      </c>
      <c r="K825" s="15"/>
      <c r="L825" s="15" t="n">
        <v>0.227330547367623</v>
      </c>
      <c r="M825" s="15" t="n">
        <v>-0.54241542009679</v>
      </c>
      <c r="N825" s="15" t="n">
        <v>-1.50554530541816</v>
      </c>
    </row>
    <row r="826" customFormat="false" ht="12.75" hidden="false" customHeight="false" outlineLevel="0" collapsed="false">
      <c r="A826" s="6" t="s">
        <v>229</v>
      </c>
      <c r="B826" s="6" t="n">
        <v>1</v>
      </c>
      <c r="C826" s="6" t="n">
        <v>1148253</v>
      </c>
      <c r="D826" s="6" t="n">
        <v>0.290225563909774</v>
      </c>
      <c r="E826" s="6" t="n">
        <v>0.0851357193769645</v>
      </c>
      <c r="F826" s="6" t="n">
        <v>7.50551003301169E-008</v>
      </c>
      <c r="G826" s="6" t="n">
        <v>1</v>
      </c>
      <c r="H826" s="15" t="n">
        <v>1</v>
      </c>
      <c r="I826" s="15" t="n">
        <v>0.693877551020408</v>
      </c>
      <c r="J826" s="15" t="n">
        <v>1</v>
      </c>
      <c r="K826" s="15"/>
      <c r="L826" s="15" t="n">
        <v>1</v>
      </c>
      <c r="M826" s="15" t="n">
        <v>1.05367121277235E-008</v>
      </c>
      <c r="N826" s="15" t="n">
        <v>0.664211164155072</v>
      </c>
    </row>
    <row r="827" customFormat="false" ht="12.75" hidden="false" customHeight="false" outlineLevel="0" collapsed="false">
      <c r="A827" s="6" t="s">
        <v>230</v>
      </c>
      <c r="B827" s="6" t="n">
        <v>1</v>
      </c>
      <c r="C827" s="6" t="n">
        <v>7945298</v>
      </c>
      <c r="D827" s="6" t="n">
        <v>0.424725274725275</v>
      </c>
      <c r="E827" s="6" t="n">
        <v>0.0704522955482905</v>
      </c>
      <c r="F827" s="6" t="n">
        <v>9.78574048714857E-007</v>
      </c>
      <c r="G827" s="6" t="n">
        <v>1</v>
      </c>
      <c r="H827" s="15" t="n">
        <v>1</v>
      </c>
      <c r="I827" s="15" t="n">
        <v>0.693877551020408</v>
      </c>
      <c r="J827" s="15" t="n">
        <v>1</v>
      </c>
      <c r="K827" s="15"/>
      <c r="L827" s="15" t="n">
        <v>1</v>
      </c>
      <c r="M827" s="15" t="n">
        <v>1.05367121277235E-008</v>
      </c>
      <c r="N827" s="15" t="n">
        <v>0.664211164155072</v>
      </c>
    </row>
    <row r="828" customFormat="false" ht="12.75" hidden="false" customHeight="false" outlineLevel="0" collapsed="false">
      <c r="A828" s="6" t="s">
        <v>231</v>
      </c>
      <c r="B828" s="6" t="n">
        <v>1</v>
      </c>
      <c r="C828" s="6" t="n">
        <v>1685401</v>
      </c>
      <c r="D828" s="6" t="n">
        <v>0</v>
      </c>
      <c r="E828" s="6" t="n">
        <v>0.0190957981584029</v>
      </c>
      <c r="F828" s="6" t="n">
        <v>3.26758137987897E-012</v>
      </c>
      <c r="G828" s="6" t="n">
        <v>0</v>
      </c>
      <c r="H828" s="15" t="n">
        <v>0.1074276968614</v>
      </c>
      <c r="I828" s="15" t="n">
        <v>0.693877551020408</v>
      </c>
      <c r="J828" s="15" t="n">
        <v>0</v>
      </c>
      <c r="K828" s="15"/>
      <c r="L828" s="15" t="n">
        <v>0.1074276968614</v>
      </c>
      <c r="M828" s="15" t="n">
        <v>-0.346925664899952</v>
      </c>
      <c r="N828" s="15" t="n">
        <v>-1.50554530541816</v>
      </c>
    </row>
    <row r="829" customFormat="false" ht="12.75" hidden="false" customHeight="false" outlineLevel="0" collapsed="false">
      <c r="A829" s="6" t="s">
        <v>232</v>
      </c>
      <c r="B829" s="6" t="n">
        <v>1</v>
      </c>
      <c r="C829" s="6" t="n">
        <v>18136081</v>
      </c>
      <c r="D829" s="6" t="n">
        <v>0.270103092783505</v>
      </c>
      <c r="E829" s="6" t="n">
        <v>0.0509878017590525</v>
      </c>
      <c r="F829" s="6" t="n">
        <v>6.14030526894406E-010</v>
      </c>
      <c r="G829" s="6" t="n">
        <v>1</v>
      </c>
      <c r="H829" s="15" t="n">
        <v>1</v>
      </c>
      <c r="I829" s="15" t="n">
        <v>0.693877551020408</v>
      </c>
      <c r="J829" s="15" t="n">
        <v>1</v>
      </c>
      <c r="K829" s="15"/>
      <c r="L829" s="15" t="n">
        <v>1</v>
      </c>
      <c r="M829" s="15" t="n">
        <v>1.05367121277235E-008</v>
      </c>
      <c r="N829" s="15" t="n">
        <v>0.664211164155072</v>
      </c>
    </row>
    <row r="830" customFormat="false" ht="12.75" hidden="false" customHeight="false" outlineLevel="0" collapsed="false">
      <c r="A830" s="6" t="s">
        <v>233</v>
      </c>
      <c r="B830" s="6" t="n">
        <v>1</v>
      </c>
      <c r="C830" s="6" t="n">
        <v>7195138</v>
      </c>
      <c r="D830" s="6" t="n">
        <v>0</v>
      </c>
      <c r="E830" s="6" t="n">
        <v>0.0221303868527105</v>
      </c>
      <c r="F830" s="6" t="n">
        <v>1.73290869510021E-012</v>
      </c>
      <c r="G830" s="6" t="n">
        <v>1</v>
      </c>
      <c r="H830" s="15" t="n">
        <v>0.953169225948292</v>
      </c>
      <c r="I830" s="15" t="n">
        <v>0.693877551020408</v>
      </c>
      <c r="J830" s="15" t="n">
        <v>1</v>
      </c>
      <c r="K830" s="15"/>
      <c r="L830" s="15" t="n">
        <v>0.953169225948292</v>
      </c>
      <c r="M830" s="15" t="n">
        <v>0.221656597277444</v>
      </c>
      <c r="N830" s="15" t="n">
        <v>0.664211164155072</v>
      </c>
    </row>
    <row r="831" customFormat="false" ht="12.75" hidden="false" customHeight="false" outlineLevel="0" collapsed="false">
      <c r="A831" s="6" t="s">
        <v>234</v>
      </c>
      <c r="B831" s="6" t="n">
        <v>1</v>
      </c>
      <c r="C831" s="6" t="n">
        <v>641367</v>
      </c>
      <c r="D831" s="6" t="n">
        <v>0</v>
      </c>
      <c r="E831" s="6" t="n">
        <v>0.0585817128891722</v>
      </c>
      <c r="F831" s="6" t="n">
        <v>2.88428682897276E-014</v>
      </c>
      <c r="G831" s="6" t="n">
        <v>0</v>
      </c>
      <c r="H831" s="15" t="n">
        <v>0.201013714522268</v>
      </c>
      <c r="I831" s="15" t="n">
        <v>0.693877551020408</v>
      </c>
      <c r="J831" s="15" t="n">
        <v>0</v>
      </c>
      <c r="K831" s="15"/>
      <c r="L831" s="15" t="n">
        <v>0.201013714522268</v>
      </c>
      <c r="M831" s="15" t="n">
        <v>-0.501583431297547</v>
      </c>
      <c r="N831" s="15" t="n">
        <v>-1.50554530541816</v>
      </c>
    </row>
    <row r="832" customFormat="false" ht="12.75" hidden="false" customHeight="false" outlineLevel="0" collapsed="false">
      <c r="A832" s="6" t="s">
        <v>235</v>
      </c>
      <c r="B832" s="6" t="n">
        <v>1</v>
      </c>
      <c r="C832" s="6" t="n">
        <v>11150506</v>
      </c>
      <c r="D832" s="6" t="n">
        <v>0.124419204956118</v>
      </c>
      <c r="E832" s="6" t="n">
        <v>0.0282688311910131</v>
      </c>
      <c r="F832" s="6" t="n">
        <v>3.8555392305473E-012</v>
      </c>
      <c r="G832" s="6" t="n">
        <v>1</v>
      </c>
      <c r="H832" s="15" t="n">
        <v>1</v>
      </c>
      <c r="I832" s="15" t="n">
        <v>0.693877551020408</v>
      </c>
      <c r="J832" s="15" t="n">
        <v>1</v>
      </c>
      <c r="K832" s="15"/>
      <c r="L832" s="15" t="n">
        <v>1</v>
      </c>
      <c r="M832" s="15" t="n">
        <v>1.05367121277235E-008</v>
      </c>
      <c r="N832" s="15" t="n">
        <v>0.664211164155072</v>
      </c>
    </row>
    <row r="833" customFormat="false" ht="12.75" hidden="false" customHeight="false" outlineLevel="0" collapsed="false">
      <c r="A833" s="6" t="s">
        <v>236</v>
      </c>
      <c r="B833" s="6" t="n">
        <v>1</v>
      </c>
      <c r="C833" s="6" t="n">
        <v>3277687</v>
      </c>
      <c r="D833" s="6" t="n">
        <v>0.163815789473684</v>
      </c>
      <c r="E833" s="6" t="n">
        <v>0.0108396118772474</v>
      </c>
      <c r="F833" s="6" t="n">
        <v>8.18184975183888E-013</v>
      </c>
      <c r="G833" s="6" t="n">
        <v>1</v>
      </c>
      <c r="H833" s="15" t="n">
        <v>1</v>
      </c>
      <c r="I833" s="15" t="n">
        <v>0.693877551020408</v>
      </c>
      <c r="J833" s="15" t="n">
        <v>1</v>
      </c>
      <c r="K833" s="15"/>
      <c r="L833" s="15" t="n">
        <v>1</v>
      </c>
      <c r="M833" s="15" t="n">
        <v>1.05367121277235E-008</v>
      </c>
      <c r="N833" s="15" t="n">
        <v>0.664211164155072</v>
      </c>
    </row>
    <row r="834" customFormat="false" ht="12.75" hidden="false" customHeight="false" outlineLevel="0" collapsed="false">
      <c r="A834" s="6" t="s">
        <v>237</v>
      </c>
      <c r="B834" s="6" t="n">
        <v>1</v>
      </c>
      <c r="C834" s="6" t="n">
        <v>3140585</v>
      </c>
      <c r="D834" s="6" t="n">
        <v>0</v>
      </c>
      <c r="E834" s="6" t="n">
        <v>0.0372433830337473</v>
      </c>
      <c r="F834" s="6" t="n">
        <v>1.82145478296565E-012</v>
      </c>
      <c r="G834" s="6" t="n">
        <v>1</v>
      </c>
      <c r="H834" s="15" t="n">
        <v>0.494508637037971</v>
      </c>
      <c r="I834" s="15" t="n">
        <v>0.693877551020408</v>
      </c>
      <c r="J834" s="15" t="n">
        <v>1</v>
      </c>
      <c r="K834" s="15"/>
      <c r="L834" s="15" t="n">
        <v>0.494508637037971</v>
      </c>
      <c r="M834" s="15" t="n">
        <v>1.01104370394454</v>
      </c>
      <c r="N834" s="15" t="n">
        <v>0.664211164155072</v>
      </c>
    </row>
    <row r="835" customFormat="false" ht="12.75" hidden="false" customHeight="false" outlineLevel="0" collapsed="false">
      <c r="A835" s="6" t="s">
        <v>238</v>
      </c>
      <c r="B835" s="6" t="n">
        <v>1</v>
      </c>
      <c r="C835" s="6" t="n">
        <v>12071842</v>
      </c>
      <c r="D835" s="6" t="n">
        <v>0.224868231911835</v>
      </c>
      <c r="E835" s="6" t="n">
        <v>0.0341732303708947</v>
      </c>
      <c r="F835" s="6" t="n">
        <v>7.42322736941945E-009</v>
      </c>
      <c r="G835" s="6" t="n">
        <v>1</v>
      </c>
      <c r="H835" s="15" t="n">
        <v>1</v>
      </c>
      <c r="I835" s="15" t="n">
        <v>0.693877551020408</v>
      </c>
      <c r="J835" s="15" t="n">
        <v>1</v>
      </c>
      <c r="K835" s="15"/>
      <c r="L835" s="15" t="n">
        <v>1</v>
      </c>
      <c r="M835" s="15" t="n">
        <v>1.05367121277235E-008</v>
      </c>
      <c r="N835" s="15" t="n">
        <v>0.664211164155072</v>
      </c>
    </row>
    <row r="836" customFormat="false" ht="12.75" hidden="false" customHeight="false" outlineLevel="0" collapsed="false">
      <c r="A836" s="6" t="s">
        <v>239</v>
      </c>
      <c r="B836" s="6" t="n">
        <v>1</v>
      </c>
      <c r="C836" s="6" t="n">
        <v>989794</v>
      </c>
      <c r="D836" s="6" t="n">
        <v>0</v>
      </c>
      <c r="E836" s="6" t="n">
        <v>0.0757652407576525</v>
      </c>
      <c r="F836" s="6" t="n">
        <v>1.30467382846026E-008</v>
      </c>
      <c r="G836" s="6" t="n">
        <v>1</v>
      </c>
      <c r="H836" s="15" t="n">
        <v>0.881278765210066</v>
      </c>
      <c r="I836" s="15" t="n">
        <v>0.693877551020408</v>
      </c>
      <c r="J836" s="15" t="n">
        <v>1</v>
      </c>
      <c r="K836" s="15"/>
      <c r="L836" s="15" t="n">
        <v>0.881278765210066</v>
      </c>
      <c r="M836" s="15" t="n">
        <v>0.367035058819467</v>
      </c>
      <c r="N836" s="15" t="n">
        <v>0.664211164155072</v>
      </c>
    </row>
    <row r="837" customFormat="false" ht="12.75" hidden="false" customHeight="false" outlineLevel="0" collapsed="false">
      <c r="A837" s="6" t="s">
        <v>240</v>
      </c>
      <c r="B837" s="6" t="n">
        <v>1</v>
      </c>
      <c r="C837" s="6" t="n">
        <v>3673287</v>
      </c>
      <c r="D837" s="6" t="n">
        <v>0</v>
      </c>
      <c r="E837" s="6" t="n">
        <v>0.0212156597627681</v>
      </c>
      <c r="F837" s="6" t="n">
        <v>2.57625046539453E-014</v>
      </c>
      <c r="G837" s="6" t="n">
        <v>0</v>
      </c>
      <c r="H837" s="15" t="n">
        <v>0.444494427285367</v>
      </c>
      <c r="I837" s="15" t="n">
        <v>0.693877551020408</v>
      </c>
      <c r="J837" s="15" t="n">
        <v>0</v>
      </c>
      <c r="K837" s="15"/>
      <c r="L837" s="15" t="n">
        <v>0.444494427285367</v>
      </c>
      <c r="M837" s="15" t="n">
        <v>-0.894517724237981</v>
      </c>
      <c r="N837" s="15" t="n">
        <v>-1.50554530541816</v>
      </c>
    </row>
    <row r="838" customFormat="false" ht="12.75" hidden="false" customHeight="false" outlineLevel="0" collapsed="false">
      <c r="A838" s="6" t="s">
        <v>241</v>
      </c>
      <c r="B838" s="6" t="n">
        <v>1</v>
      </c>
      <c r="C838" s="6" t="n">
        <v>729034</v>
      </c>
      <c r="D838" s="6" t="n">
        <v>0</v>
      </c>
      <c r="E838" s="6" t="n">
        <v>0.0295761623107812</v>
      </c>
      <c r="F838" s="6" t="n">
        <v>8.51096256861615E-012</v>
      </c>
      <c r="G838" s="6" t="n">
        <v>0</v>
      </c>
      <c r="H838" s="15" t="n">
        <v>0.0732998064061763</v>
      </c>
      <c r="I838" s="15" t="n">
        <v>0.693877551020408</v>
      </c>
      <c r="J838" s="15" t="n">
        <v>0</v>
      </c>
      <c r="K838" s="15"/>
      <c r="L838" s="15" t="n">
        <v>0.0732998064061763</v>
      </c>
      <c r="M838" s="15" t="n">
        <v>-0.281243042129893</v>
      </c>
      <c r="N838" s="15" t="n">
        <v>-1.50554530541816</v>
      </c>
    </row>
    <row r="839" customFormat="false" ht="12.75" hidden="false" customHeight="false" outlineLevel="0" collapsed="false">
      <c r="A839" s="6" t="s">
        <v>242</v>
      </c>
      <c r="B839" s="6" t="n">
        <v>1</v>
      </c>
      <c r="C839" s="6" t="n">
        <v>5256051</v>
      </c>
      <c r="D839" s="6" t="n">
        <v>0</v>
      </c>
      <c r="E839" s="6" t="n">
        <v>0.0458630868796215</v>
      </c>
      <c r="F839" s="6" t="n">
        <v>2.94341409435387E-013</v>
      </c>
      <c r="G839" s="6" t="n">
        <v>1</v>
      </c>
      <c r="H839" s="15" t="n">
        <v>0.906018529959219</v>
      </c>
      <c r="I839" s="15" t="n">
        <v>0.693877551020408</v>
      </c>
      <c r="J839" s="15" t="n">
        <v>1</v>
      </c>
      <c r="K839" s="15"/>
      <c r="L839" s="15" t="n">
        <v>0.906018529959219</v>
      </c>
      <c r="M839" s="15" t="n">
        <v>0.322071708393218</v>
      </c>
      <c r="N839" s="15" t="n">
        <v>0.664211164155072</v>
      </c>
    </row>
    <row r="840" customFormat="false" ht="12.75" hidden="false" customHeight="false" outlineLevel="0" collapsed="false">
      <c r="A840" s="6" t="s">
        <v>243</v>
      </c>
      <c r="B840" s="6" t="n">
        <v>1</v>
      </c>
      <c r="C840" s="6" t="n">
        <v>18723991</v>
      </c>
      <c r="D840" s="6" t="n">
        <v>0.006727760393384</v>
      </c>
      <c r="E840" s="6" t="n">
        <v>0.00910524272123237</v>
      </c>
      <c r="F840" s="6" t="n">
        <v>2.38458372944146E-012</v>
      </c>
      <c r="G840" s="6" t="n">
        <v>1</v>
      </c>
      <c r="H840" s="15" t="n">
        <v>1</v>
      </c>
      <c r="I840" s="15" t="n">
        <v>0.693877551020408</v>
      </c>
      <c r="J840" s="15" t="n">
        <v>1</v>
      </c>
      <c r="K840" s="15"/>
      <c r="L840" s="15" t="n">
        <v>1</v>
      </c>
      <c r="M840" s="15" t="n">
        <v>1.49011611938477E-008</v>
      </c>
      <c r="N840" s="15" t="n">
        <v>0.664211164155072</v>
      </c>
    </row>
    <row r="841" customFormat="false" ht="12.75" hidden="false" customHeight="false" outlineLevel="0" collapsed="false">
      <c r="A841" s="6" t="s">
        <v>244</v>
      </c>
      <c r="B841" s="6" t="n">
        <v>1</v>
      </c>
      <c r="C841" s="6" t="n">
        <v>1951408</v>
      </c>
      <c r="D841" s="6" t="n">
        <v>0</v>
      </c>
      <c r="E841" s="6" t="n">
        <v>0.00991343868813166</v>
      </c>
      <c r="F841" s="6" t="n">
        <v>4.16760355861009E-013</v>
      </c>
      <c r="G841" s="6" t="n">
        <v>1</v>
      </c>
      <c r="H841" s="15" t="n">
        <v>0.0937809123565002</v>
      </c>
      <c r="I841" s="15" t="n">
        <v>0.693877551020408</v>
      </c>
      <c r="J841" s="15" t="n">
        <v>1</v>
      </c>
      <c r="K841" s="15"/>
      <c r="L841" s="15" t="n">
        <v>0.0937809123565002</v>
      </c>
      <c r="M841" s="15" t="n">
        <v>3.10856087068737</v>
      </c>
      <c r="N841" s="15" t="n">
        <v>0.664211164155072</v>
      </c>
    </row>
    <row r="842" customFormat="false" ht="12.75" hidden="false" customHeight="false" outlineLevel="0" collapsed="false">
      <c r="A842" s="6" t="s">
        <v>245</v>
      </c>
      <c r="B842" s="6" t="n">
        <v>1</v>
      </c>
      <c r="C842" s="6" t="n">
        <v>584771</v>
      </c>
      <c r="D842" s="6" t="n">
        <v>0</v>
      </c>
      <c r="E842" s="6" t="n">
        <v>0.0494956071368481</v>
      </c>
      <c r="F842" s="6" t="n">
        <v>5.28659248696466E-009</v>
      </c>
      <c r="G842" s="6" t="n">
        <v>0</v>
      </c>
      <c r="H842" s="15" t="n">
        <v>0.29459664992986</v>
      </c>
      <c r="I842" s="15" t="n">
        <v>0.693877551020408</v>
      </c>
      <c r="J842" s="15" t="n">
        <v>0</v>
      </c>
      <c r="K842" s="15"/>
      <c r="L842" s="15" t="n">
        <v>0.29459664992986</v>
      </c>
      <c r="M842" s="15" t="n">
        <v>-0.64624194510139</v>
      </c>
      <c r="N842" s="15" t="n">
        <v>-1.50554530541816</v>
      </c>
    </row>
    <row r="843" customFormat="false" ht="12.75" hidden="false" customHeight="false" outlineLevel="0" collapsed="false">
      <c r="A843" s="6" t="s">
        <v>246</v>
      </c>
      <c r="B843" s="6" t="n">
        <v>1</v>
      </c>
      <c r="C843" s="6" t="n">
        <v>6618358</v>
      </c>
      <c r="D843" s="6" t="n">
        <v>0.102064896755162</v>
      </c>
      <c r="E843" s="6" t="n">
        <v>0.0646098010772455</v>
      </c>
      <c r="F843" s="6" t="n">
        <v>2.1699894914854E-010</v>
      </c>
      <c r="G843" s="6" t="n">
        <v>1</v>
      </c>
      <c r="H843" s="15" t="n">
        <v>1</v>
      </c>
      <c r="I843" s="15" t="n">
        <v>0.693877551020408</v>
      </c>
      <c r="J843" s="15" t="n">
        <v>1</v>
      </c>
      <c r="K843" s="15"/>
      <c r="L843" s="15" t="n">
        <v>1</v>
      </c>
      <c r="M843" s="15" t="n">
        <v>1.05367121277235E-008</v>
      </c>
      <c r="N843" s="15" t="n">
        <v>0.664211164155072</v>
      </c>
    </row>
    <row r="844" customFormat="false" ht="12.75" hidden="false" customHeight="false" outlineLevel="0" collapsed="false">
      <c r="A844" s="6" t="s">
        <v>247</v>
      </c>
      <c r="B844" s="6" t="n">
        <v>1</v>
      </c>
      <c r="C844" s="6" t="n">
        <v>5430940</v>
      </c>
      <c r="D844" s="6" t="n">
        <v>0</v>
      </c>
      <c r="E844" s="6" t="n">
        <v>0.0152694227003708</v>
      </c>
      <c r="F844" s="6" t="n">
        <v>4.68182221770351E-012</v>
      </c>
      <c r="G844" s="6" t="n">
        <v>1</v>
      </c>
      <c r="H844" s="15" t="n">
        <v>0.753897235975992</v>
      </c>
      <c r="I844" s="15" t="n">
        <v>0.693877551020408</v>
      </c>
      <c r="J844" s="15" t="n">
        <v>1</v>
      </c>
      <c r="K844" s="15"/>
      <c r="L844" s="15" t="n">
        <v>0.753897235975992</v>
      </c>
      <c r="M844" s="15" t="n">
        <v>0.571349919013084</v>
      </c>
      <c r="N844" s="15" t="n">
        <v>0.664211164155072</v>
      </c>
    </row>
    <row r="845" customFormat="false" ht="12.75" hidden="false" customHeight="false" outlineLevel="0" collapsed="false">
      <c r="A845" s="6" t="s">
        <v>248</v>
      </c>
      <c r="B845" s="6" t="n">
        <v>1</v>
      </c>
      <c r="C845" s="6" t="n">
        <v>1828140</v>
      </c>
      <c r="D845" s="6" t="n">
        <v>0.154107142857143</v>
      </c>
      <c r="E845" s="6" t="n">
        <v>0.083450810945235</v>
      </c>
      <c r="F845" s="6" t="n">
        <v>6.85214483647577E-010</v>
      </c>
      <c r="G845" s="6" t="n">
        <v>1</v>
      </c>
      <c r="H845" s="15" t="n">
        <v>1</v>
      </c>
      <c r="I845" s="15" t="n">
        <v>0.693877551020408</v>
      </c>
      <c r="J845" s="15" t="n">
        <v>1</v>
      </c>
      <c r="K845" s="15"/>
      <c r="L845" s="15" t="n">
        <v>1</v>
      </c>
      <c r="M845" s="15" t="n">
        <v>1.05367121277235E-008</v>
      </c>
      <c r="N845" s="15" t="n">
        <v>0.664211164155072</v>
      </c>
    </row>
    <row r="846" customFormat="false" ht="12.75" hidden="false" customHeight="false" outlineLevel="0" collapsed="false">
      <c r="A846" s="6" t="s">
        <v>249</v>
      </c>
      <c r="B846" s="6" t="n">
        <v>1</v>
      </c>
      <c r="C846" s="6" t="n">
        <v>5122871</v>
      </c>
      <c r="D846" s="6" t="n">
        <v>0</v>
      </c>
      <c r="E846" s="6" t="n">
        <v>0.0137079087829872</v>
      </c>
      <c r="F846" s="6" t="n">
        <v>6.22970666540397E-012</v>
      </c>
      <c r="G846" s="6" t="n">
        <v>1</v>
      </c>
      <c r="H846" s="15" t="n">
        <v>0.684274614880202</v>
      </c>
      <c r="I846" s="15" t="n">
        <v>0.693877551020408</v>
      </c>
      <c r="J846" s="15" t="n">
        <v>1</v>
      </c>
      <c r="K846" s="15"/>
      <c r="L846" s="15" t="n">
        <v>0.684274614880202</v>
      </c>
      <c r="M846" s="15" t="n">
        <v>0.679265467338936</v>
      </c>
      <c r="N846" s="15" t="n">
        <v>0.664211164155072</v>
      </c>
    </row>
    <row r="847" customFormat="false" ht="13.5" hidden="false" customHeight="false" outlineLevel="0" collapsed="false">
      <c r="A847" s="7" t="s">
        <v>250</v>
      </c>
      <c r="B847" s="7" t="n">
        <v>1</v>
      </c>
      <c r="C847" s="7" t="n">
        <v>480184</v>
      </c>
      <c r="D847" s="7" t="n">
        <v>0</v>
      </c>
      <c r="E847" s="7" t="n">
        <v>0.0256209952218234</v>
      </c>
      <c r="F847" s="7" t="n">
        <v>2.06863081753292E-013</v>
      </c>
      <c r="G847" s="7" t="n">
        <v>0</v>
      </c>
      <c r="H847" s="16" t="n">
        <v>0.050532606823673</v>
      </c>
      <c r="I847" s="16" t="n">
        <v>0.693877551020408</v>
      </c>
      <c r="J847" s="16" t="n">
        <v>0</v>
      </c>
      <c r="K847" s="16"/>
      <c r="L847" s="16" t="n">
        <v>0.050532606823673</v>
      </c>
      <c r="M847" s="16" t="n">
        <v>-0.230699059505529</v>
      </c>
      <c r="N847" s="16" t="n">
        <v>-1.50554530541816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8" activeCellId="0" sqref="H58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430</v>
      </c>
      <c r="B1" s="0" t="s">
        <v>431</v>
      </c>
      <c r="C1" s="0" t="s">
        <v>432</v>
      </c>
      <c r="D1" s="0" t="s">
        <v>433</v>
      </c>
      <c r="E1" s="0" t="s">
        <v>434</v>
      </c>
      <c r="F1" s="0" t="s">
        <v>435</v>
      </c>
      <c r="G1" s="0" t="s">
        <v>436</v>
      </c>
      <c r="H1" s="0" t="s">
        <v>437</v>
      </c>
      <c r="I1" s="0" t="s">
        <v>438</v>
      </c>
      <c r="J1" s="0" t="s">
        <v>439</v>
      </c>
      <c r="K1" s="0" t="s">
        <v>440</v>
      </c>
      <c r="L1" s="0" t="s">
        <v>441</v>
      </c>
      <c r="M1" s="0" t="s">
        <v>442</v>
      </c>
      <c r="N1" s="0" t="s">
        <v>443</v>
      </c>
      <c r="O1" s="0" t="s">
        <v>444</v>
      </c>
      <c r="P1" s="0" t="s">
        <v>445</v>
      </c>
      <c r="Q1" s="0" t="s">
        <v>251</v>
      </c>
    </row>
    <row r="2" customFormat="false" ht="12.75" hidden="false" customHeight="false" outlineLevel="0" collapsed="false">
      <c r="A2" s="42" t="n">
        <v>50628</v>
      </c>
      <c r="B2" s="42" t="n">
        <v>24930</v>
      </c>
      <c r="C2" s="42" t="n">
        <v>5724</v>
      </c>
      <c r="D2" s="42" t="n">
        <v>2417</v>
      </c>
      <c r="E2" s="42" t="n">
        <v>4996</v>
      </c>
      <c r="F2" s="42" t="n">
        <v>6461</v>
      </c>
      <c r="G2" s="0" t="n">
        <v>387</v>
      </c>
      <c r="H2" s="42" t="n">
        <v>4945</v>
      </c>
      <c r="I2" s="42" t="n">
        <v>25698</v>
      </c>
      <c r="J2" s="42" t="n">
        <v>4713</v>
      </c>
      <c r="K2" s="42" t="n">
        <v>1209</v>
      </c>
      <c r="L2" s="42" t="n">
        <v>5041</v>
      </c>
      <c r="M2" s="42" t="n">
        <v>4247</v>
      </c>
      <c r="N2" s="42" t="n">
        <v>5351</v>
      </c>
      <c r="O2" s="42" t="n">
        <v>5137</v>
      </c>
      <c r="P2" s="1" t="s">
        <v>258</v>
      </c>
      <c r="Q2" s="0" t="s">
        <v>8</v>
      </c>
    </row>
    <row r="3" customFormat="false" ht="12.75" hidden="false" customHeight="false" outlineLevel="0" collapsed="false">
      <c r="A3" s="42" t="n">
        <v>4123</v>
      </c>
      <c r="B3" s="42" t="n">
        <v>2030</v>
      </c>
      <c r="C3" s="0" t="n">
        <v>234</v>
      </c>
      <c r="D3" s="0" t="n">
        <v>204</v>
      </c>
      <c r="E3" s="0" t="n">
        <v>676</v>
      </c>
      <c r="F3" s="0" t="n">
        <v>399</v>
      </c>
      <c r="G3" s="0" t="n">
        <v>0</v>
      </c>
      <c r="H3" s="0" t="n">
        <v>517</v>
      </c>
      <c r="I3" s="42" t="n">
        <v>2093</v>
      </c>
      <c r="J3" s="0" t="n">
        <v>457</v>
      </c>
      <c r="K3" s="0" t="n">
        <v>101</v>
      </c>
      <c r="L3" s="0" t="n">
        <v>332</v>
      </c>
      <c r="M3" s="0" t="n">
        <v>123</v>
      </c>
      <c r="N3" s="0" t="n">
        <v>295</v>
      </c>
      <c r="O3" s="0" t="n">
        <v>785</v>
      </c>
      <c r="P3" s="0" t="s">
        <v>446</v>
      </c>
      <c r="Q3" s="0" t="s">
        <v>447</v>
      </c>
    </row>
    <row r="4" customFormat="false" ht="12.75" hidden="false" customHeight="false" outlineLevel="0" collapsed="false">
      <c r="A4" s="42" t="n">
        <v>39653</v>
      </c>
      <c r="B4" s="42" t="n">
        <v>25603</v>
      </c>
      <c r="C4" s="42" t="n">
        <v>2899</v>
      </c>
      <c r="D4" s="42" t="n">
        <v>2823</v>
      </c>
      <c r="E4" s="42" t="n">
        <v>5359</v>
      </c>
      <c r="F4" s="42" t="n">
        <v>9005</v>
      </c>
      <c r="G4" s="42" t="n">
        <v>1826</v>
      </c>
      <c r="H4" s="42" t="n">
        <v>3691</v>
      </c>
      <c r="I4" s="42" t="n">
        <v>14050</v>
      </c>
      <c r="J4" s="42" t="n">
        <v>1619</v>
      </c>
      <c r="K4" s="0" t="n">
        <v>315</v>
      </c>
      <c r="L4" s="42" t="n">
        <v>2707</v>
      </c>
      <c r="M4" s="42" t="n">
        <v>1668</v>
      </c>
      <c r="N4" s="42" t="n">
        <v>2299</v>
      </c>
      <c r="O4" s="42" t="n">
        <v>5442</v>
      </c>
      <c r="P4" s="1" t="s">
        <v>261</v>
      </c>
      <c r="Q4" s="0" t="s">
        <v>9</v>
      </c>
    </row>
    <row r="5" customFormat="false" ht="12.75" hidden="false" customHeight="false" outlineLevel="0" collapsed="false">
      <c r="A5" s="42" t="n">
        <v>26653</v>
      </c>
      <c r="B5" s="42" t="n">
        <v>9002</v>
      </c>
      <c r="C5" s="0" t="n">
        <v>700</v>
      </c>
      <c r="D5" s="0" t="n">
        <v>776</v>
      </c>
      <c r="E5" s="42" t="n">
        <v>1964</v>
      </c>
      <c r="F5" s="42" t="n">
        <v>2638</v>
      </c>
      <c r="G5" s="0" t="n">
        <v>831</v>
      </c>
      <c r="H5" s="42" t="n">
        <v>2093</v>
      </c>
      <c r="I5" s="42" t="n">
        <v>17651</v>
      </c>
      <c r="J5" s="42" t="n">
        <v>1130</v>
      </c>
      <c r="K5" s="0" t="n">
        <v>663</v>
      </c>
      <c r="L5" s="42" t="n">
        <v>5022</v>
      </c>
      <c r="M5" s="42" t="n">
        <v>3220</v>
      </c>
      <c r="N5" s="42" t="n">
        <v>4371</v>
      </c>
      <c r="O5" s="42" t="n">
        <v>3245</v>
      </c>
      <c r="P5" s="1" t="s">
        <v>264</v>
      </c>
      <c r="Q5" s="0" t="s">
        <v>10</v>
      </c>
    </row>
    <row r="6" customFormat="false" ht="12.75" hidden="false" customHeight="false" outlineLevel="0" collapsed="false">
      <c r="A6" s="42" t="n">
        <v>276371</v>
      </c>
      <c r="B6" s="42" t="n">
        <v>223033</v>
      </c>
      <c r="C6" s="42" t="n">
        <v>16390</v>
      </c>
      <c r="D6" s="42" t="n">
        <v>13915</v>
      </c>
      <c r="E6" s="42" t="n">
        <v>41202</v>
      </c>
      <c r="F6" s="42" t="n">
        <v>53574</v>
      </c>
      <c r="G6" s="42" t="n">
        <v>42768</v>
      </c>
      <c r="H6" s="42" t="n">
        <v>55184</v>
      </c>
      <c r="I6" s="42" t="n">
        <v>53338</v>
      </c>
      <c r="J6" s="42" t="n">
        <v>2395</v>
      </c>
      <c r="K6" s="42" t="n">
        <v>2716</v>
      </c>
      <c r="L6" s="42" t="n">
        <v>9693</v>
      </c>
      <c r="M6" s="42" t="n">
        <v>8893</v>
      </c>
      <c r="N6" s="42" t="n">
        <v>15396</v>
      </c>
      <c r="O6" s="42" t="n">
        <v>14245</v>
      </c>
      <c r="P6" s="1" t="s">
        <v>266</v>
      </c>
      <c r="Q6" s="0" t="s">
        <v>11</v>
      </c>
    </row>
    <row r="7" customFormat="false" ht="12.75" hidden="false" customHeight="false" outlineLevel="0" collapsed="false">
      <c r="A7" s="42" t="n">
        <v>35058</v>
      </c>
      <c r="B7" s="42" t="n">
        <v>21035</v>
      </c>
      <c r="C7" s="42" t="n">
        <v>2103</v>
      </c>
      <c r="D7" s="42" t="n">
        <v>1559</v>
      </c>
      <c r="E7" s="42" t="n">
        <v>3905</v>
      </c>
      <c r="F7" s="42" t="n">
        <v>6354</v>
      </c>
      <c r="G7" s="42" t="n">
        <v>2749</v>
      </c>
      <c r="H7" s="42" t="n">
        <v>4365</v>
      </c>
      <c r="I7" s="42" t="n">
        <v>14023</v>
      </c>
      <c r="J7" s="42" t="n">
        <v>1402</v>
      </c>
      <c r="K7" s="0" t="n">
        <v>701</v>
      </c>
      <c r="L7" s="42" t="n">
        <v>1926</v>
      </c>
      <c r="M7" s="42" t="n">
        <v>2251</v>
      </c>
      <c r="N7" s="42" t="n">
        <v>3478</v>
      </c>
      <c r="O7" s="42" t="n">
        <v>4265</v>
      </c>
      <c r="P7" s="1" t="s">
        <v>268</v>
      </c>
      <c r="Q7" s="0" t="s">
        <v>12</v>
      </c>
    </row>
    <row r="8" customFormat="false" ht="12.75" hidden="false" customHeight="false" outlineLevel="0" collapsed="false">
      <c r="A8" s="42" t="n">
        <v>28045</v>
      </c>
      <c r="B8" s="42" t="n">
        <v>21344</v>
      </c>
      <c r="C8" s="42" t="n">
        <v>2274</v>
      </c>
      <c r="D8" s="42" t="n">
        <v>1565</v>
      </c>
      <c r="E8" s="42" t="n">
        <v>4153</v>
      </c>
      <c r="F8" s="42" t="n">
        <v>3371</v>
      </c>
      <c r="G8" s="42" t="n">
        <v>2839</v>
      </c>
      <c r="H8" s="42" t="n">
        <v>7142</v>
      </c>
      <c r="I8" s="42" t="n">
        <v>6701</v>
      </c>
      <c r="J8" s="42" t="n">
        <v>1160</v>
      </c>
      <c r="K8" s="0" t="n">
        <v>264</v>
      </c>
      <c r="L8" s="42" t="n">
        <v>1229</v>
      </c>
      <c r="M8" s="42" t="n">
        <v>1187</v>
      </c>
      <c r="N8" s="42" t="n">
        <v>1379</v>
      </c>
      <c r="O8" s="42" t="n">
        <v>1482</v>
      </c>
      <c r="P8" s="1" t="s">
        <v>270</v>
      </c>
      <c r="Q8" s="0" t="s">
        <v>13</v>
      </c>
    </row>
    <row r="9" customFormat="false" ht="12.75" hidden="false" customHeight="false" outlineLevel="0" collapsed="false">
      <c r="A9" s="42" t="n">
        <v>7515</v>
      </c>
      <c r="B9" s="42" t="n">
        <v>4561</v>
      </c>
      <c r="C9" s="0" t="n">
        <v>826</v>
      </c>
      <c r="D9" s="0" t="n">
        <v>464</v>
      </c>
      <c r="E9" s="0" t="n">
        <v>715</v>
      </c>
      <c r="F9" s="42" t="n">
        <v>1223</v>
      </c>
      <c r="G9" s="0" t="n">
        <v>98</v>
      </c>
      <c r="H9" s="42" t="n">
        <v>1235</v>
      </c>
      <c r="I9" s="42" t="n">
        <v>2954</v>
      </c>
      <c r="J9" s="0" t="n">
        <v>466</v>
      </c>
      <c r="K9" s="0" t="n">
        <v>81</v>
      </c>
      <c r="L9" s="0" t="n">
        <v>615</v>
      </c>
      <c r="M9" s="0" t="n">
        <v>324</v>
      </c>
      <c r="N9" s="42" t="n">
        <v>1468</v>
      </c>
      <c r="O9" s="0" t="n">
        <v>0</v>
      </c>
      <c r="P9" s="1" t="s">
        <v>272</v>
      </c>
      <c r="Q9" s="0" t="s">
        <v>14</v>
      </c>
    </row>
    <row r="10" customFormat="false" ht="12.75" hidden="false" customHeight="false" outlineLevel="0" collapsed="false">
      <c r="A10" s="42" t="n">
        <v>3465</v>
      </c>
      <c r="B10" s="42" t="n">
        <v>3465</v>
      </c>
      <c r="C10" s="0" t="n">
        <v>438</v>
      </c>
      <c r="D10" s="0" t="n">
        <v>328</v>
      </c>
      <c r="E10" s="0" t="n">
        <v>912</v>
      </c>
      <c r="F10" s="0" t="n">
        <v>912</v>
      </c>
      <c r="G10" s="0" t="n">
        <v>401</v>
      </c>
      <c r="H10" s="0" t="n">
        <v>474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s">
        <v>448</v>
      </c>
      <c r="Q10" s="0" t="s">
        <v>449</v>
      </c>
    </row>
    <row r="11" customFormat="false" ht="12.75" hidden="false" customHeight="false" outlineLevel="0" collapsed="false">
      <c r="A11" s="42" t="n">
        <v>127801</v>
      </c>
      <c r="B11" s="42" t="n">
        <v>95398</v>
      </c>
      <c r="C11" s="42" t="n">
        <v>19308</v>
      </c>
      <c r="D11" s="42" t="n">
        <v>11602</v>
      </c>
      <c r="E11" s="42" t="n">
        <v>15707</v>
      </c>
      <c r="F11" s="42" t="n">
        <v>27316</v>
      </c>
      <c r="G11" s="42" t="n">
        <v>6227</v>
      </c>
      <c r="H11" s="42" t="n">
        <v>15238</v>
      </c>
      <c r="I11" s="42" t="n">
        <v>32403</v>
      </c>
      <c r="J11" s="42" t="n">
        <v>3571</v>
      </c>
      <c r="K11" s="42" t="n">
        <v>1406</v>
      </c>
      <c r="L11" s="42" t="n">
        <v>2378</v>
      </c>
      <c r="M11" s="42" t="n">
        <v>4385</v>
      </c>
      <c r="N11" s="42" t="n">
        <v>10978</v>
      </c>
      <c r="O11" s="42" t="n">
        <v>9685</v>
      </c>
      <c r="P11" s="1" t="s">
        <v>274</v>
      </c>
      <c r="Q11" s="0" t="s">
        <v>15</v>
      </c>
    </row>
    <row r="12" customFormat="false" ht="12.75" hidden="false" customHeight="false" outlineLevel="0" collapsed="false">
      <c r="A12" s="42" t="n">
        <v>85384</v>
      </c>
      <c r="B12" s="42" t="n">
        <v>49822</v>
      </c>
      <c r="C12" s="42" t="n">
        <v>8079</v>
      </c>
      <c r="D12" s="42" t="n">
        <v>4573</v>
      </c>
      <c r="E12" s="42" t="n">
        <v>9975</v>
      </c>
      <c r="F12" s="42" t="n">
        <v>10790</v>
      </c>
      <c r="G12" s="42" t="n">
        <v>2314</v>
      </c>
      <c r="H12" s="42" t="n">
        <v>14091</v>
      </c>
      <c r="I12" s="42" t="n">
        <v>35562</v>
      </c>
      <c r="J12" s="42" t="n">
        <v>4827</v>
      </c>
      <c r="K12" s="42" t="n">
        <v>2102</v>
      </c>
      <c r="L12" s="42" t="n">
        <v>6362</v>
      </c>
      <c r="M12" s="42" t="n">
        <v>7081</v>
      </c>
      <c r="N12" s="42" t="n">
        <v>6324</v>
      </c>
      <c r="O12" s="42" t="n">
        <v>8866</v>
      </c>
      <c r="P12" s="1" t="s">
        <v>276</v>
      </c>
      <c r="Q12" s="0" t="s">
        <v>16</v>
      </c>
    </row>
    <row r="13" customFormat="false" ht="12.75" hidden="false" customHeight="false" outlineLevel="0" collapsed="false">
      <c r="A13" s="42" t="n">
        <v>7945</v>
      </c>
      <c r="B13" s="42" t="n">
        <v>5847</v>
      </c>
      <c r="C13" s="0" t="n">
        <v>797</v>
      </c>
      <c r="D13" s="0" t="n">
        <v>872</v>
      </c>
      <c r="E13" s="0" t="n">
        <v>683</v>
      </c>
      <c r="F13" s="42" t="n">
        <v>1324</v>
      </c>
      <c r="G13" s="0" t="n">
        <v>614</v>
      </c>
      <c r="H13" s="42" t="n">
        <v>1557</v>
      </c>
      <c r="I13" s="42" t="n">
        <v>2098</v>
      </c>
      <c r="J13" s="0" t="n">
        <v>307</v>
      </c>
      <c r="K13" s="0" t="n">
        <v>33</v>
      </c>
      <c r="L13" s="0" t="n">
        <v>323</v>
      </c>
      <c r="M13" s="0" t="n">
        <v>780</v>
      </c>
      <c r="N13" s="0" t="n">
        <v>655</v>
      </c>
      <c r="O13" s="0" t="n">
        <v>0</v>
      </c>
      <c r="P13" s="1" t="s">
        <v>278</v>
      </c>
      <c r="Q13" s="0" t="s">
        <v>17</v>
      </c>
    </row>
    <row r="14" customFormat="false" ht="12.75" hidden="false" customHeight="false" outlineLevel="0" collapsed="false">
      <c r="A14" s="42" t="n">
        <v>12296</v>
      </c>
      <c r="B14" s="42" t="n">
        <v>4055</v>
      </c>
      <c r="C14" s="0" t="n">
        <v>577</v>
      </c>
      <c r="D14" s="0" t="n">
        <v>474</v>
      </c>
      <c r="E14" s="42" t="n">
        <v>1057</v>
      </c>
      <c r="F14" s="42" t="n">
        <v>1142</v>
      </c>
      <c r="G14" s="0" t="n">
        <v>0</v>
      </c>
      <c r="H14" s="0" t="n">
        <v>805</v>
      </c>
      <c r="I14" s="42" t="n">
        <v>8241</v>
      </c>
      <c r="J14" s="42" t="n">
        <v>2257</v>
      </c>
      <c r="K14" s="0" t="n">
        <v>226</v>
      </c>
      <c r="L14" s="42" t="n">
        <v>1263</v>
      </c>
      <c r="M14" s="0" t="n">
        <v>874</v>
      </c>
      <c r="N14" s="42" t="n">
        <v>1787</v>
      </c>
      <c r="O14" s="42" t="n">
        <v>1834</v>
      </c>
      <c r="P14" s="1" t="s">
        <v>280</v>
      </c>
      <c r="Q14" s="0" t="s">
        <v>18</v>
      </c>
    </row>
    <row r="15" customFormat="false" ht="12.75" hidden="false" customHeight="false" outlineLevel="0" collapsed="false">
      <c r="A15" s="42" t="n">
        <v>94189</v>
      </c>
      <c r="B15" s="42" t="n">
        <v>66474</v>
      </c>
      <c r="C15" s="42" t="n">
        <v>7700</v>
      </c>
      <c r="D15" s="42" t="n">
        <v>7724</v>
      </c>
      <c r="E15" s="42" t="n">
        <v>15191</v>
      </c>
      <c r="F15" s="42" t="n">
        <v>18172</v>
      </c>
      <c r="G15" s="0" t="n">
        <v>940</v>
      </c>
      <c r="H15" s="42" t="n">
        <v>16747</v>
      </c>
      <c r="I15" s="42" t="n">
        <v>27715</v>
      </c>
      <c r="J15" s="42" t="n">
        <v>3484</v>
      </c>
      <c r="K15" s="0" t="n">
        <v>422</v>
      </c>
      <c r="L15" s="42" t="n">
        <v>5142</v>
      </c>
      <c r="M15" s="42" t="n">
        <v>5061</v>
      </c>
      <c r="N15" s="42" t="n">
        <v>4475</v>
      </c>
      <c r="O15" s="42" t="n">
        <v>9131</v>
      </c>
      <c r="P15" s="1" t="s">
        <v>282</v>
      </c>
      <c r="Q15" s="0" t="s">
        <v>19</v>
      </c>
    </row>
    <row r="16" customFormat="false" ht="12.75" hidden="false" customHeight="false" outlineLevel="0" collapsed="false">
      <c r="A16" s="42" t="n">
        <v>64552</v>
      </c>
      <c r="B16" s="42" t="n">
        <v>31465</v>
      </c>
      <c r="C16" s="42" t="n">
        <v>4721</v>
      </c>
      <c r="D16" s="42" t="n">
        <v>2147</v>
      </c>
      <c r="E16" s="42" t="n">
        <v>6709</v>
      </c>
      <c r="F16" s="42" t="n">
        <v>9760</v>
      </c>
      <c r="G16" s="42" t="n">
        <v>1084</v>
      </c>
      <c r="H16" s="42" t="n">
        <v>7044</v>
      </c>
      <c r="I16" s="42" t="n">
        <v>33087</v>
      </c>
      <c r="J16" s="42" t="n">
        <v>2775</v>
      </c>
      <c r="K16" s="42" t="n">
        <v>2067</v>
      </c>
      <c r="L16" s="42" t="n">
        <v>10877</v>
      </c>
      <c r="M16" s="42" t="n">
        <v>4345</v>
      </c>
      <c r="N16" s="42" t="n">
        <v>5551</v>
      </c>
      <c r="O16" s="42" t="n">
        <v>7472</v>
      </c>
      <c r="P16" s="1" t="s">
        <v>284</v>
      </c>
      <c r="Q16" s="0" t="s">
        <v>20</v>
      </c>
    </row>
    <row r="17" customFormat="false" ht="12.75" hidden="false" customHeight="false" outlineLevel="0" collapsed="false">
      <c r="A17" s="42" t="n">
        <v>25987</v>
      </c>
      <c r="B17" s="42" t="n">
        <v>9439</v>
      </c>
      <c r="C17" s="42" t="n">
        <v>1560</v>
      </c>
      <c r="D17" s="0" t="n">
        <v>741</v>
      </c>
      <c r="E17" s="42" t="n">
        <v>2625</v>
      </c>
      <c r="F17" s="42" t="n">
        <v>2746</v>
      </c>
      <c r="G17" s="0" t="n">
        <v>0</v>
      </c>
      <c r="H17" s="42" t="n">
        <v>1767</v>
      </c>
      <c r="I17" s="42" t="n">
        <v>16548</v>
      </c>
      <c r="J17" s="42" t="n">
        <v>1519</v>
      </c>
      <c r="K17" s="0" t="n">
        <v>788</v>
      </c>
      <c r="L17" s="42" t="n">
        <v>3146</v>
      </c>
      <c r="M17" s="42" t="n">
        <v>2578</v>
      </c>
      <c r="N17" s="42" t="n">
        <v>4671</v>
      </c>
      <c r="O17" s="42" t="n">
        <v>3846</v>
      </c>
      <c r="P17" s="1" t="s">
        <v>286</v>
      </c>
      <c r="Q17" s="0" t="s">
        <v>21</v>
      </c>
    </row>
    <row r="18" customFormat="false" ht="12.75" hidden="false" customHeight="false" outlineLevel="0" collapsed="false">
      <c r="A18" s="42" t="n">
        <v>25153</v>
      </c>
      <c r="B18" s="42" t="n">
        <v>11540</v>
      </c>
      <c r="C18" s="42" t="n">
        <v>1770</v>
      </c>
      <c r="D18" s="0" t="n">
        <v>849</v>
      </c>
      <c r="E18" s="42" t="n">
        <v>2475</v>
      </c>
      <c r="F18" s="42" t="n">
        <v>2900</v>
      </c>
      <c r="G18" s="42" t="n">
        <v>1036</v>
      </c>
      <c r="H18" s="42" t="n">
        <v>2510</v>
      </c>
      <c r="I18" s="42" t="n">
        <v>13613</v>
      </c>
      <c r="J18" s="42" t="n">
        <v>1572</v>
      </c>
      <c r="K18" s="0" t="n">
        <v>270</v>
      </c>
      <c r="L18" s="42" t="n">
        <v>2932</v>
      </c>
      <c r="M18" s="42" t="n">
        <v>2156</v>
      </c>
      <c r="N18" s="42" t="n">
        <v>3805</v>
      </c>
      <c r="O18" s="42" t="n">
        <v>2878</v>
      </c>
      <c r="P18" s="1" t="s">
        <v>288</v>
      </c>
      <c r="Q18" s="0" t="s">
        <v>22</v>
      </c>
    </row>
    <row r="19" customFormat="false" ht="12.75" hidden="false" customHeight="false" outlineLevel="0" collapsed="false">
      <c r="A19" s="42" t="n">
        <v>41095</v>
      </c>
      <c r="B19" s="42" t="n">
        <v>18189</v>
      </c>
      <c r="C19" s="42" t="n">
        <v>2577</v>
      </c>
      <c r="D19" s="42" t="n">
        <v>1706</v>
      </c>
      <c r="E19" s="42" t="n">
        <v>3942</v>
      </c>
      <c r="F19" s="42" t="n">
        <v>4242</v>
      </c>
      <c r="G19" s="0" t="n">
        <v>726</v>
      </c>
      <c r="H19" s="42" t="n">
        <v>4996</v>
      </c>
      <c r="I19" s="42" t="n">
        <v>22906</v>
      </c>
      <c r="J19" s="42" t="n">
        <v>2884</v>
      </c>
      <c r="K19" s="42" t="n">
        <v>2349</v>
      </c>
      <c r="L19" s="42" t="n">
        <v>5146</v>
      </c>
      <c r="M19" s="42" t="n">
        <v>2157</v>
      </c>
      <c r="N19" s="42" t="n">
        <v>5282</v>
      </c>
      <c r="O19" s="42" t="n">
        <v>5088</v>
      </c>
      <c r="P19" s="1" t="s">
        <v>290</v>
      </c>
      <c r="Q19" s="0" t="s">
        <v>23</v>
      </c>
    </row>
    <row r="20" customFormat="false" ht="12.75" hidden="false" customHeight="false" outlineLevel="0" collapsed="false">
      <c r="A20" s="42" t="n">
        <v>38647</v>
      </c>
      <c r="B20" s="42" t="n">
        <v>17705</v>
      </c>
      <c r="C20" s="42" t="n">
        <v>1314</v>
      </c>
      <c r="D20" s="42" t="n">
        <v>1325</v>
      </c>
      <c r="E20" s="42" t="n">
        <v>4380</v>
      </c>
      <c r="F20" s="42" t="n">
        <v>5513</v>
      </c>
      <c r="G20" s="0" t="n">
        <v>645</v>
      </c>
      <c r="H20" s="42" t="n">
        <v>4528</v>
      </c>
      <c r="I20" s="42" t="n">
        <v>20942</v>
      </c>
      <c r="J20" s="42" t="n">
        <v>2232</v>
      </c>
      <c r="K20" s="42" t="n">
        <v>1755</v>
      </c>
      <c r="L20" s="42" t="n">
        <v>6302</v>
      </c>
      <c r="M20" s="42" t="n">
        <v>2555</v>
      </c>
      <c r="N20" s="42" t="n">
        <v>2985</v>
      </c>
      <c r="O20" s="42" t="n">
        <v>5113</v>
      </c>
      <c r="P20" s="1" t="s">
        <v>292</v>
      </c>
      <c r="Q20" s="0" t="s">
        <v>24</v>
      </c>
    </row>
    <row r="21" customFormat="false" ht="12.75" hidden="false" customHeight="false" outlineLevel="0" collapsed="false">
      <c r="A21" s="42" t="n">
        <v>12589</v>
      </c>
      <c r="B21" s="42" t="n">
        <v>3331</v>
      </c>
      <c r="C21" s="0" t="n">
        <v>278</v>
      </c>
      <c r="D21" s="0" t="n">
        <v>626</v>
      </c>
      <c r="E21" s="0" t="n">
        <v>872</v>
      </c>
      <c r="F21" s="0" t="n">
        <v>928</v>
      </c>
      <c r="G21" s="0" t="n">
        <v>131</v>
      </c>
      <c r="H21" s="0" t="n">
        <v>496</v>
      </c>
      <c r="I21" s="42" t="n">
        <v>9258</v>
      </c>
      <c r="J21" s="42" t="n">
        <v>1083</v>
      </c>
      <c r="K21" s="0" t="n">
        <v>741</v>
      </c>
      <c r="L21" s="42" t="n">
        <v>2164</v>
      </c>
      <c r="M21" s="42" t="n">
        <v>1742</v>
      </c>
      <c r="N21" s="42" t="n">
        <v>1716</v>
      </c>
      <c r="O21" s="42" t="n">
        <v>1812</v>
      </c>
      <c r="P21" s="1" t="s">
        <v>294</v>
      </c>
      <c r="Q21" s="0" t="s">
        <v>25</v>
      </c>
    </row>
    <row r="22" customFormat="false" ht="12.75" hidden="false" customHeight="false" outlineLevel="0" collapsed="false">
      <c r="A22" s="42" t="n">
        <v>44882</v>
      </c>
      <c r="B22" s="42" t="n">
        <v>31511</v>
      </c>
      <c r="C22" s="42" t="n">
        <v>2085</v>
      </c>
      <c r="D22" s="42" t="n">
        <v>2576</v>
      </c>
      <c r="E22" s="42" t="n">
        <v>5359</v>
      </c>
      <c r="F22" s="42" t="n">
        <v>7757</v>
      </c>
      <c r="G22" s="42" t="n">
        <v>3545</v>
      </c>
      <c r="H22" s="42" t="n">
        <v>10189</v>
      </c>
      <c r="I22" s="42" t="n">
        <v>13371</v>
      </c>
      <c r="J22" s="42" t="n">
        <v>1530</v>
      </c>
      <c r="K22" s="0" t="n">
        <v>802</v>
      </c>
      <c r="L22" s="42" t="n">
        <v>2197</v>
      </c>
      <c r="M22" s="42" t="n">
        <v>2445</v>
      </c>
      <c r="N22" s="42" t="n">
        <v>3323</v>
      </c>
      <c r="O22" s="42" t="n">
        <v>3074</v>
      </c>
      <c r="P22" s="1" t="s">
        <v>296</v>
      </c>
      <c r="Q22" s="0" t="s">
        <v>26</v>
      </c>
    </row>
    <row r="23" customFormat="false" ht="12.75" hidden="false" customHeight="false" outlineLevel="0" collapsed="false">
      <c r="A23" s="42" t="n">
        <v>48053</v>
      </c>
      <c r="B23" s="42" t="n">
        <v>40187</v>
      </c>
      <c r="C23" s="42" t="n">
        <v>4795</v>
      </c>
      <c r="D23" s="42" t="n">
        <v>2704</v>
      </c>
      <c r="E23" s="42" t="n">
        <v>7856</v>
      </c>
      <c r="F23" s="42" t="n">
        <v>9876</v>
      </c>
      <c r="G23" s="42" t="n">
        <v>3559</v>
      </c>
      <c r="H23" s="42" t="n">
        <v>11397</v>
      </c>
      <c r="I23" s="42" t="n">
        <v>7866</v>
      </c>
      <c r="J23" s="0" t="n">
        <v>871</v>
      </c>
      <c r="K23" s="0" t="n">
        <v>230</v>
      </c>
      <c r="L23" s="42" t="n">
        <v>1433</v>
      </c>
      <c r="M23" s="42" t="n">
        <v>1366</v>
      </c>
      <c r="N23" s="42" t="n">
        <v>1804</v>
      </c>
      <c r="O23" s="42" t="n">
        <v>2162</v>
      </c>
      <c r="P23" s="1" t="s">
        <v>298</v>
      </c>
      <c r="Q23" s="0" t="s">
        <v>27</v>
      </c>
    </row>
    <row r="24" customFormat="false" ht="12.75" hidden="false" customHeight="false" outlineLevel="0" collapsed="false">
      <c r="A24" s="42" t="n">
        <v>85703</v>
      </c>
      <c r="B24" s="42" t="n">
        <v>54560</v>
      </c>
      <c r="C24" s="42" t="n">
        <v>5795</v>
      </c>
      <c r="D24" s="42" t="n">
        <v>3794</v>
      </c>
      <c r="E24" s="42" t="n">
        <v>12241</v>
      </c>
      <c r="F24" s="42" t="n">
        <v>16251</v>
      </c>
      <c r="G24" s="42" t="n">
        <v>3923</v>
      </c>
      <c r="H24" s="42" t="n">
        <v>12556</v>
      </c>
      <c r="I24" s="42" t="n">
        <v>31143</v>
      </c>
      <c r="J24" s="42" t="n">
        <v>2422</v>
      </c>
      <c r="K24" s="42" t="n">
        <v>1276</v>
      </c>
      <c r="L24" s="42" t="n">
        <v>8079</v>
      </c>
      <c r="M24" s="42" t="n">
        <v>5916</v>
      </c>
      <c r="N24" s="42" t="n">
        <v>7273</v>
      </c>
      <c r="O24" s="42" t="n">
        <v>6177</v>
      </c>
      <c r="P24" s="1" t="s">
        <v>300</v>
      </c>
      <c r="Q24" s="0" t="s">
        <v>28</v>
      </c>
    </row>
    <row r="25" customFormat="false" ht="12.75" hidden="false" customHeight="false" outlineLevel="0" collapsed="false">
      <c r="A25" s="42" t="n">
        <v>44072</v>
      </c>
      <c r="B25" s="42" t="n">
        <v>23056</v>
      </c>
      <c r="C25" s="42" t="n">
        <v>2831</v>
      </c>
      <c r="D25" s="42" t="n">
        <v>2048</v>
      </c>
      <c r="E25" s="42" t="n">
        <v>6361</v>
      </c>
      <c r="F25" s="42" t="n">
        <v>3152</v>
      </c>
      <c r="G25" s="42" t="n">
        <v>2382</v>
      </c>
      <c r="H25" s="42" t="n">
        <v>6282</v>
      </c>
      <c r="I25" s="42" t="n">
        <v>21016</v>
      </c>
      <c r="J25" s="42" t="n">
        <v>2635</v>
      </c>
      <c r="K25" s="42" t="n">
        <v>1138</v>
      </c>
      <c r="L25" s="42" t="n">
        <v>3537</v>
      </c>
      <c r="M25" s="42" t="n">
        <v>4203</v>
      </c>
      <c r="N25" s="42" t="n">
        <v>5866</v>
      </c>
      <c r="O25" s="42" t="n">
        <v>3637</v>
      </c>
      <c r="P25" s="1" t="s">
        <v>302</v>
      </c>
      <c r="Q25" s="0" t="s">
        <v>29</v>
      </c>
    </row>
    <row r="26" customFormat="false" ht="12.75" hidden="false" customHeight="false" outlineLevel="0" collapsed="false">
      <c r="A26" s="42" t="n">
        <v>29559</v>
      </c>
      <c r="B26" s="42" t="n">
        <v>9566</v>
      </c>
      <c r="C26" s="42" t="n">
        <v>1911</v>
      </c>
      <c r="D26" s="42" t="n">
        <v>1018</v>
      </c>
      <c r="E26" s="42" t="n">
        <v>1500</v>
      </c>
      <c r="F26" s="42" t="n">
        <v>3273</v>
      </c>
      <c r="G26" s="0" t="n">
        <v>200</v>
      </c>
      <c r="H26" s="42" t="n">
        <v>1664</v>
      </c>
      <c r="I26" s="42" t="n">
        <v>19993</v>
      </c>
      <c r="J26" s="42" t="n">
        <v>3959</v>
      </c>
      <c r="K26" s="0" t="n">
        <v>398</v>
      </c>
      <c r="L26" s="42" t="n">
        <v>4152</v>
      </c>
      <c r="M26" s="42" t="n">
        <v>3712</v>
      </c>
      <c r="N26" s="42" t="n">
        <v>4236</v>
      </c>
      <c r="O26" s="42" t="n">
        <v>3536</v>
      </c>
      <c r="P26" s="1" t="s">
        <v>67</v>
      </c>
      <c r="Q26" s="0" t="s">
        <v>30</v>
      </c>
    </row>
    <row r="27" customFormat="false" ht="12.75" hidden="false" customHeight="false" outlineLevel="0" collapsed="false">
      <c r="A27" s="42" t="n">
        <v>59347</v>
      </c>
      <c r="B27" s="42" t="n">
        <v>32843</v>
      </c>
      <c r="C27" s="42" t="n">
        <v>6537</v>
      </c>
      <c r="D27" s="42" t="n">
        <v>1961</v>
      </c>
      <c r="E27" s="42" t="n">
        <v>4707</v>
      </c>
      <c r="F27" s="42" t="n">
        <v>6969</v>
      </c>
      <c r="G27" s="42" t="n">
        <v>2820</v>
      </c>
      <c r="H27" s="42" t="n">
        <v>9849</v>
      </c>
      <c r="I27" s="42" t="n">
        <v>26504</v>
      </c>
      <c r="J27" s="42" t="n">
        <v>2855</v>
      </c>
      <c r="K27" s="0" t="n">
        <v>459</v>
      </c>
      <c r="L27" s="42" t="n">
        <v>6416</v>
      </c>
      <c r="M27" s="42" t="n">
        <v>3320</v>
      </c>
      <c r="N27" s="42" t="n">
        <v>7475</v>
      </c>
      <c r="O27" s="42" t="n">
        <v>5979</v>
      </c>
      <c r="P27" s="1" t="s">
        <v>305</v>
      </c>
      <c r="Q27" s="0" t="s">
        <v>31</v>
      </c>
    </row>
    <row r="28" customFormat="false" ht="12.75" hidden="false" customHeight="false" outlineLevel="0" collapsed="false">
      <c r="A28" s="42" t="n">
        <v>9399</v>
      </c>
      <c r="B28" s="42" t="n">
        <v>2224</v>
      </c>
      <c r="C28" s="0" t="n">
        <v>484</v>
      </c>
      <c r="D28" s="0" t="n">
        <v>269</v>
      </c>
      <c r="E28" s="0" t="n">
        <v>433</v>
      </c>
      <c r="F28" s="0" t="n">
        <v>819</v>
      </c>
      <c r="G28" s="0" t="n">
        <v>0</v>
      </c>
      <c r="H28" s="0" t="n">
        <v>219</v>
      </c>
      <c r="I28" s="42" t="n">
        <v>7175</v>
      </c>
      <c r="J28" s="0" t="n">
        <v>695</v>
      </c>
      <c r="K28" s="0" t="n">
        <v>319</v>
      </c>
      <c r="L28" s="0" t="n">
        <v>994</v>
      </c>
      <c r="M28" s="42" t="n">
        <v>1022</v>
      </c>
      <c r="N28" s="42" t="n">
        <v>2079</v>
      </c>
      <c r="O28" s="42" t="n">
        <v>2066</v>
      </c>
      <c r="P28" s="1" t="s">
        <v>307</v>
      </c>
      <c r="Q28" s="0" t="s">
        <v>32</v>
      </c>
    </row>
    <row r="29" customFormat="false" ht="12.75" hidden="false" customHeight="false" outlineLevel="0" collapsed="false">
      <c r="A29" s="42" t="n">
        <v>15807</v>
      </c>
      <c r="B29" s="42" t="n">
        <v>6131</v>
      </c>
      <c r="C29" s="0" t="n">
        <v>741</v>
      </c>
      <c r="D29" s="0" t="n">
        <v>545</v>
      </c>
      <c r="E29" s="42" t="n">
        <v>1443</v>
      </c>
      <c r="F29" s="42" t="n">
        <v>2445</v>
      </c>
      <c r="G29" s="0" t="n">
        <v>172</v>
      </c>
      <c r="H29" s="0" t="n">
        <v>785</v>
      </c>
      <c r="I29" s="42" t="n">
        <v>9676</v>
      </c>
      <c r="J29" s="42" t="n">
        <v>1161</v>
      </c>
      <c r="K29" s="0" t="n">
        <v>262</v>
      </c>
      <c r="L29" s="42" t="n">
        <v>1406</v>
      </c>
      <c r="M29" s="42" t="n">
        <v>2043</v>
      </c>
      <c r="N29" s="42" t="n">
        <v>2617</v>
      </c>
      <c r="O29" s="42" t="n">
        <v>2187</v>
      </c>
      <c r="P29" s="1" t="s">
        <v>309</v>
      </c>
      <c r="Q29" s="0" t="s">
        <v>33</v>
      </c>
    </row>
    <row r="30" customFormat="false" ht="12.75" hidden="false" customHeight="false" outlineLevel="0" collapsed="false">
      <c r="A30" s="42" t="n">
        <v>13974</v>
      </c>
      <c r="B30" s="42" t="n">
        <v>8543</v>
      </c>
      <c r="C30" s="42" t="n">
        <v>1127</v>
      </c>
      <c r="D30" s="0" t="n">
        <v>711</v>
      </c>
      <c r="E30" s="42" t="n">
        <v>2402</v>
      </c>
      <c r="F30" s="42" t="n">
        <v>1855</v>
      </c>
      <c r="G30" s="0" t="n">
        <v>559</v>
      </c>
      <c r="H30" s="42" t="n">
        <v>1889</v>
      </c>
      <c r="I30" s="42" t="n">
        <v>5431</v>
      </c>
      <c r="J30" s="0" t="n">
        <v>902</v>
      </c>
      <c r="K30" s="0" t="n">
        <v>416</v>
      </c>
      <c r="L30" s="0" t="n">
        <v>578</v>
      </c>
      <c r="M30" s="0" t="n">
        <v>468</v>
      </c>
      <c r="N30" s="42" t="n">
        <v>1353</v>
      </c>
      <c r="O30" s="42" t="n">
        <v>1714</v>
      </c>
      <c r="P30" s="1" t="s">
        <v>311</v>
      </c>
      <c r="Q30" s="0" t="s">
        <v>34</v>
      </c>
    </row>
    <row r="31" customFormat="false" ht="12.75" hidden="false" customHeight="false" outlineLevel="0" collapsed="false">
      <c r="A31" s="42" t="n">
        <v>10643</v>
      </c>
      <c r="B31" s="42" t="n">
        <v>4450</v>
      </c>
      <c r="C31" s="0" t="n">
        <v>385</v>
      </c>
      <c r="D31" s="0" t="n">
        <v>415</v>
      </c>
      <c r="E31" s="42" t="n">
        <v>1384</v>
      </c>
      <c r="F31" s="0" t="n">
        <v>912</v>
      </c>
      <c r="G31" s="0" t="n">
        <v>531</v>
      </c>
      <c r="H31" s="0" t="n">
        <v>823</v>
      </c>
      <c r="I31" s="42" t="n">
        <v>6193</v>
      </c>
      <c r="J31" s="0" t="n">
        <v>567</v>
      </c>
      <c r="K31" s="0" t="n">
        <v>448</v>
      </c>
      <c r="L31" s="42" t="n">
        <v>1220</v>
      </c>
      <c r="M31" s="42" t="n">
        <v>1014</v>
      </c>
      <c r="N31" s="42" t="n">
        <v>1542</v>
      </c>
      <c r="O31" s="42" t="n">
        <v>1402</v>
      </c>
      <c r="P31" s="1" t="s">
        <v>313</v>
      </c>
      <c r="Q31" s="0" t="s">
        <v>35</v>
      </c>
    </row>
    <row r="32" customFormat="false" ht="12.75" hidden="false" customHeight="false" outlineLevel="0" collapsed="false">
      <c r="A32" s="42" t="n">
        <v>61012</v>
      </c>
      <c r="B32" s="42" t="n">
        <v>49517</v>
      </c>
      <c r="C32" s="42" t="n">
        <v>8490</v>
      </c>
      <c r="D32" s="42" t="n">
        <v>3491</v>
      </c>
      <c r="E32" s="42" t="n">
        <v>9369</v>
      </c>
      <c r="F32" s="42" t="n">
        <v>11695</v>
      </c>
      <c r="G32" s="42" t="n">
        <v>7432</v>
      </c>
      <c r="H32" s="42" t="n">
        <v>9040</v>
      </c>
      <c r="I32" s="42" t="n">
        <v>11495</v>
      </c>
      <c r="J32" s="42" t="n">
        <v>1280</v>
      </c>
      <c r="K32" s="0" t="n">
        <v>761</v>
      </c>
      <c r="L32" s="42" t="n">
        <v>2072</v>
      </c>
      <c r="M32" s="42" t="n">
        <v>1525</v>
      </c>
      <c r="N32" s="42" t="n">
        <v>3734</v>
      </c>
      <c r="O32" s="42" t="n">
        <v>2123</v>
      </c>
      <c r="P32" s="1" t="s">
        <v>315</v>
      </c>
      <c r="Q32" s="0" t="s">
        <v>36</v>
      </c>
    </row>
    <row r="33" customFormat="false" ht="12.75" hidden="false" customHeight="false" outlineLevel="0" collapsed="false">
      <c r="A33" s="42" t="n">
        <v>21147</v>
      </c>
      <c r="B33" s="42" t="n">
        <v>7957</v>
      </c>
      <c r="C33" s="42" t="n">
        <v>1332</v>
      </c>
      <c r="D33" s="0" t="n">
        <v>785</v>
      </c>
      <c r="E33" s="42" t="n">
        <v>1010</v>
      </c>
      <c r="F33" s="42" t="n">
        <v>3288</v>
      </c>
      <c r="G33" s="0" t="n">
        <v>1</v>
      </c>
      <c r="H33" s="42" t="n">
        <v>1541</v>
      </c>
      <c r="I33" s="42" t="n">
        <v>13190</v>
      </c>
      <c r="J33" s="42" t="n">
        <v>2844</v>
      </c>
      <c r="K33" s="0" t="n">
        <v>508</v>
      </c>
      <c r="L33" s="42" t="n">
        <v>1792</v>
      </c>
      <c r="M33" s="42" t="n">
        <v>1313</v>
      </c>
      <c r="N33" s="42" t="n">
        <v>2622</v>
      </c>
      <c r="O33" s="42" t="n">
        <v>4111</v>
      </c>
      <c r="P33" s="1" t="s">
        <v>317</v>
      </c>
      <c r="Q33" s="0" t="s">
        <v>37</v>
      </c>
    </row>
    <row r="34" customFormat="false" ht="12.75" hidden="false" customHeight="false" outlineLevel="0" collapsed="false">
      <c r="A34" s="42" t="n">
        <v>115091</v>
      </c>
      <c r="B34" s="42" t="n">
        <v>84140</v>
      </c>
      <c r="C34" s="42" t="n">
        <v>8916</v>
      </c>
      <c r="D34" s="42" t="n">
        <v>9611</v>
      </c>
      <c r="E34" s="42" t="n">
        <v>17897</v>
      </c>
      <c r="F34" s="42" t="n">
        <v>17009</v>
      </c>
      <c r="G34" s="42" t="n">
        <v>15605</v>
      </c>
      <c r="H34" s="42" t="n">
        <v>15102</v>
      </c>
      <c r="I34" s="42" t="n">
        <v>30951</v>
      </c>
      <c r="J34" s="42" t="n">
        <v>3208</v>
      </c>
      <c r="K34" s="42" t="n">
        <v>6341</v>
      </c>
      <c r="L34" s="42" t="n">
        <v>4986</v>
      </c>
      <c r="M34" s="42" t="n">
        <v>5255</v>
      </c>
      <c r="N34" s="42" t="n">
        <v>5379</v>
      </c>
      <c r="O34" s="42" t="n">
        <v>5782</v>
      </c>
      <c r="P34" s="1" t="s">
        <v>319</v>
      </c>
      <c r="Q34" s="0" t="s">
        <v>38</v>
      </c>
    </row>
    <row r="35" customFormat="false" ht="12.75" hidden="false" customHeight="false" outlineLevel="0" collapsed="false">
      <c r="A35" s="42" t="n">
        <v>76053</v>
      </c>
      <c r="B35" s="42" t="n">
        <v>38341</v>
      </c>
      <c r="C35" s="42" t="n">
        <v>10333</v>
      </c>
      <c r="D35" s="42" t="n">
        <v>2140</v>
      </c>
      <c r="E35" s="42" t="n">
        <v>7173</v>
      </c>
      <c r="F35" s="42" t="n">
        <v>8917</v>
      </c>
      <c r="G35" s="42" t="n">
        <v>2801</v>
      </c>
      <c r="H35" s="42" t="n">
        <v>6977</v>
      </c>
      <c r="I35" s="42" t="n">
        <v>37712</v>
      </c>
      <c r="J35" s="42" t="n">
        <v>4309</v>
      </c>
      <c r="K35" s="42" t="n">
        <v>3473</v>
      </c>
      <c r="L35" s="42" t="n">
        <v>9181</v>
      </c>
      <c r="M35" s="42" t="n">
        <v>6220</v>
      </c>
      <c r="N35" s="42" t="n">
        <v>7762</v>
      </c>
      <c r="O35" s="42" t="n">
        <v>6767</v>
      </c>
      <c r="P35" s="1" t="s">
        <v>321</v>
      </c>
      <c r="Q35" s="0" t="s">
        <v>39</v>
      </c>
    </row>
    <row r="36" customFormat="false" ht="12.75" hidden="false" customHeight="false" outlineLevel="0" collapsed="false">
      <c r="A36" s="42" t="n">
        <v>6545</v>
      </c>
      <c r="B36" s="42" t="n">
        <v>1684</v>
      </c>
      <c r="C36" s="0" t="n">
        <v>304</v>
      </c>
      <c r="D36" s="0" t="n">
        <v>183</v>
      </c>
      <c r="E36" s="0" t="n">
        <v>423</v>
      </c>
      <c r="F36" s="0" t="n">
        <v>567</v>
      </c>
      <c r="G36" s="0" t="n">
        <v>0</v>
      </c>
      <c r="H36" s="0" t="n">
        <v>207</v>
      </c>
      <c r="I36" s="42" t="n">
        <v>4861</v>
      </c>
      <c r="J36" s="0" t="n">
        <v>949</v>
      </c>
      <c r="K36" s="0" t="n">
        <v>0</v>
      </c>
      <c r="L36" s="0" t="n">
        <v>823</v>
      </c>
      <c r="M36" s="0" t="n">
        <v>566</v>
      </c>
      <c r="N36" s="42" t="n">
        <v>1421</v>
      </c>
      <c r="O36" s="42" t="n">
        <v>1102</v>
      </c>
      <c r="P36" s="1" t="s">
        <v>323</v>
      </c>
      <c r="Q36" s="0" t="s">
        <v>40</v>
      </c>
    </row>
    <row r="37" customFormat="false" ht="12.75" hidden="false" customHeight="false" outlineLevel="0" collapsed="false">
      <c r="A37" s="42" t="n">
        <v>100788</v>
      </c>
      <c r="B37" s="42" t="n">
        <v>62625</v>
      </c>
      <c r="C37" s="42" t="n">
        <v>11389</v>
      </c>
      <c r="D37" s="42" t="n">
        <v>4789</v>
      </c>
      <c r="E37" s="42" t="n">
        <v>12029</v>
      </c>
      <c r="F37" s="42" t="n">
        <v>12356</v>
      </c>
      <c r="G37" s="42" t="n">
        <v>3935</v>
      </c>
      <c r="H37" s="42" t="n">
        <v>18127</v>
      </c>
      <c r="I37" s="42" t="n">
        <v>38163</v>
      </c>
      <c r="J37" s="42" t="n">
        <v>6343</v>
      </c>
      <c r="K37" s="42" t="n">
        <v>2054</v>
      </c>
      <c r="L37" s="42" t="n">
        <v>9562</v>
      </c>
      <c r="M37" s="42" t="n">
        <v>4722</v>
      </c>
      <c r="N37" s="42" t="n">
        <v>6711</v>
      </c>
      <c r="O37" s="42" t="n">
        <v>8771</v>
      </c>
      <c r="P37" s="1" t="s">
        <v>325</v>
      </c>
      <c r="Q37" s="0" t="s">
        <v>41</v>
      </c>
    </row>
    <row r="38" customFormat="false" ht="12.75" hidden="false" customHeight="false" outlineLevel="0" collapsed="false">
      <c r="A38" s="42" t="n">
        <v>38489</v>
      </c>
      <c r="B38" s="42" t="n">
        <v>20104</v>
      </c>
      <c r="C38" s="42" t="n">
        <v>4883</v>
      </c>
      <c r="D38" s="42" t="n">
        <v>1008</v>
      </c>
      <c r="E38" s="42" t="n">
        <v>4475</v>
      </c>
      <c r="F38" s="42" t="n">
        <v>4241</v>
      </c>
      <c r="G38" s="42" t="n">
        <v>1730</v>
      </c>
      <c r="H38" s="42" t="n">
        <v>3767</v>
      </c>
      <c r="I38" s="42" t="n">
        <v>18385</v>
      </c>
      <c r="J38" s="42" t="n">
        <v>2487</v>
      </c>
      <c r="K38" s="0" t="n">
        <v>157</v>
      </c>
      <c r="L38" s="42" t="n">
        <v>4758</v>
      </c>
      <c r="M38" s="42" t="n">
        <v>2520</v>
      </c>
      <c r="N38" s="42" t="n">
        <v>4145</v>
      </c>
      <c r="O38" s="42" t="n">
        <v>4318</v>
      </c>
      <c r="P38" s="1" t="s">
        <v>327</v>
      </c>
      <c r="Q38" s="0" t="s">
        <v>42</v>
      </c>
    </row>
    <row r="39" customFormat="false" ht="12.75" hidden="false" customHeight="false" outlineLevel="0" collapsed="false">
      <c r="A39" s="42" t="n">
        <v>30034</v>
      </c>
      <c r="B39" s="42" t="n">
        <v>14393</v>
      </c>
      <c r="C39" s="42" t="n">
        <v>2008</v>
      </c>
      <c r="D39" s="42" t="n">
        <v>1501</v>
      </c>
      <c r="E39" s="42" t="n">
        <v>2714</v>
      </c>
      <c r="F39" s="42" t="n">
        <v>3546</v>
      </c>
      <c r="G39" s="42" t="n">
        <v>1075</v>
      </c>
      <c r="H39" s="42" t="n">
        <v>3549</v>
      </c>
      <c r="I39" s="42" t="n">
        <v>15641</v>
      </c>
      <c r="J39" s="42" t="n">
        <v>1980</v>
      </c>
      <c r="K39" s="0" t="n">
        <v>727</v>
      </c>
      <c r="L39" s="42" t="n">
        <v>2569</v>
      </c>
      <c r="M39" s="42" t="n">
        <v>1828</v>
      </c>
      <c r="N39" s="42" t="n">
        <v>4673</v>
      </c>
      <c r="O39" s="42" t="n">
        <v>3864</v>
      </c>
      <c r="P39" s="1" t="s">
        <v>329</v>
      </c>
      <c r="Q39" s="0" t="s">
        <v>43</v>
      </c>
    </row>
    <row r="40" customFormat="false" ht="12.75" hidden="false" customHeight="false" outlineLevel="0" collapsed="false">
      <c r="A40" s="42" t="n">
        <v>94520</v>
      </c>
      <c r="B40" s="42" t="n">
        <v>54142</v>
      </c>
      <c r="C40" s="42" t="n">
        <v>6001</v>
      </c>
      <c r="D40" s="42" t="n">
        <v>6380</v>
      </c>
      <c r="E40" s="42" t="n">
        <v>11385</v>
      </c>
      <c r="F40" s="42" t="n">
        <v>15334</v>
      </c>
      <c r="G40" s="42" t="n">
        <v>5511</v>
      </c>
      <c r="H40" s="42" t="n">
        <v>9531</v>
      </c>
      <c r="I40" s="42" t="n">
        <v>40378</v>
      </c>
      <c r="J40" s="42" t="n">
        <v>6358</v>
      </c>
      <c r="K40" s="42" t="n">
        <v>2659</v>
      </c>
      <c r="L40" s="42" t="n">
        <v>5835</v>
      </c>
      <c r="M40" s="42" t="n">
        <v>8008</v>
      </c>
      <c r="N40" s="42" t="n">
        <v>9409</v>
      </c>
      <c r="O40" s="42" t="n">
        <v>8109</v>
      </c>
      <c r="P40" s="1" t="s">
        <v>331</v>
      </c>
      <c r="Q40" s="0" t="s">
        <v>44</v>
      </c>
    </row>
    <row r="41" customFormat="false" ht="12.75" hidden="false" customHeight="false" outlineLevel="0" collapsed="false">
      <c r="A41" s="42" t="n">
        <v>6896</v>
      </c>
      <c r="B41" s="42" t="n">
        <v>5998</v>
      </c>
      <c r="C41" s="0" t="n">
        <v>833</v>
      </c>
      <c r="D41" s="0" t="n">
        <v>420</v>
      </c>
      <c r="E41" s="0" t="n">
        <v>699</v>
      </c>
      <c r="F41" s="42" t="n">
        <v>1823</v>
      </c>
      <c r="G41" s="0" t="n">
        <v>666</v>
      </c>
      <c r="H41" s="42" t="n">
        <v>1557</v>
      </c>
      <c r="I41" s="0" t="n">
        <v>898</v>
      </c>
      <c r="J41" s="0" t="n">
        <v>24</v>
      </c>
      <c r="K41" s="0" t="n">
        <v>51</v>
      </c>
      <c r="L41" s="0" t="n">
        <v>169</v>
      </c>
      <c r="M41" s="0" t="n">
        <v>155</v>
      </c>
      <c r="N41" s="0" t="n">
        <v>204</v>
      </c>
      <c r="O41" s="0" t="n">
        <v>295</v>
      </c>
      <c r="P41" s="1" t="s">
        <v>333</v>
      </c>
      <c r="Q41" s="0" t="s">
        <v>45</v>
      </c>
    </row>
    <row r="42" customFormat="false" ht="12.75" hidden="false" customHeight="false" outlineLevel="0" collapsed="false">
      <c r="A42" s="42" t="n">
        <v>38724</v>
      </c>
      <c r="B42" s="42" t="n">
        <v>14685</v>
      </c>
      <c r="C42" s="0" t="n">
        <v>848</v>
      </c>
      <c r="D42" s="42" t="n">
        <v>1701</v>
      </c>
      <c r="E42" s="42" t="n">
        <v>3818</v>
      </c>
      <c r="F42" s="42" t="n">
        <v>4862</v>
      </c>
      <c r="G42" s="0" t="n">
        <v>587</v>
      </c>
      <c r="H42" s="42" t="n">
        <v>2869</v>
      </c>
      <c r="I42" s="42" t="n">
        <v>24039</v>
      </c>
      <c r="J42" s="42" t="n">
        <v>2210</v>
      </c>
      <c r="K42" s="0" t="n">
        <v>625</v>
      </c>
      <c r="L42" s="42" t="n">
        <v>4792</v>
      </c>
      <c r="M42" s="42" t="n">
        <v>5604</v>
      </c>
      <c r="N42" s="42" t="n">
        <v>3990</v>
      </c>
      <c r="O42" s="42" t="n">
        <v>6818</v>
      </c>
      <c r="P42" s="1" t="s">
        <v>335</v>
      </c>
      <c r="Q42" s="0" t="s">
        <v>46</v>
      </c>
    </row>
    <row r="43" customFormat="false" ht="12.75" hidden="false" customHeight="false" outlineLevel="0" collapsed="false">
      <c r="A43" s="42" t="n">
        <v>7669</v>
      </c>
      <c r="B43" s="42" t="n">
        <v>1783</v>
      </c>
      <c r="C43" s="0" t="n">
        <v>202</v>
      </c>
      <c r="D43" s="0" t="n">
        <v>196</v>
      </c>
      <c r="E43" s="0" t="n">
        <v>577</v>
      </c>
      <c r="F43" s="0" t="n">
        <v>488</v>
      </c>
      <c r="G43" s="0" t="n">
        <v>20</v>
      </c>
      <c r="H43" s="0" t="n">
        <v>300</v>
      </c>
      <c r="I43" s="42" t="n">
        <v>5886</v>
      </c>
      <c r="J43" s="0" t="n">
        <v>535</v>
      </c>
      <c r="K43" s="0" t="n">
        <v>137</v>
      </c>
      <c r="L43" s="42" t="n">
        <v>1063</v>
      </c>
      <c r="M43" s="0" t="n">
        <v>952</v>
      </c>
      <c r="N43" s="42" t="n">
        <v>1562</v>
      </c>
      <c r="O43" s="42" t="n">
        <v>1637</v>
      </c>
      <c r="P43" s="1" t="s">
        <v>337</v>
      </c>
      <c r="Q43" s="0" t="s">
        <v>47</v>
      </c>
    </row>
    <row r="44" customFormat="false" ht="12.75" hidden="false" customHeight="false" outlineLevel="0" collapsed="false">
      <c r="A44" s="42" t="n">
        <v>56214</v>
      </c>
      <c r="B44" s="42" t="n">
        <v>30963</v>
      </c>
      <c r="C44" s="42" t="n">
        <v>3582</v>
      </c>
      <c r="D44" s="42" t="n">
        <v>2281</v>
      </c>
      <c r="E44" s="42" t="n">
        <v>7007</v>
      </c>
      <c r="F44" s="42" t="n">
        <v>9446</v>
      </c>
      <c r="G44" s="42" t="n">
        <v>1173</v>
      </c>
      <c r="H44" s="42" t="n">
        <v>7474</v>
      </c>
      <c r="I44" s="42" t="n">
        <v>25251</v>
      </c>
      <c r="J44" s="42" t="n">
        <v>1713</v>
      </c>
      <c r="K44" s="42" t="n">
        <v>2722</v>
      </c>
      <c r="L44" s="42" t="n">
        <v>3328</v>
      </c>
      <c r="M44" s="42" t="n">
        <v>5236</v>
      </c>
      <c r="N44" s="42" t="n">
        <v>4594</v>
      </c>
      <c r="O44" s="42" t="n">
        <v>7658</v>
      </c>
      <c r="P44" s="1" t="s">
        <v>339</v>
      </c>
      <c r="Q44" s="0" t="s">
        <v>48</v>
      </c>
    </row>
    <row r="45" customFormat="false" ht="12.75" hidden="false" customHeight="false" outlineLevel="0" collapsed="false">
      <c r="A45" s="42" t="n">
        <v>181096</v>
      </c>
      <c r="B45" s="42" t="n">
        <v>124828</v>
      </c>
      <c r="C45" s="42" t="n">
        <v>21204</v>
      </c>
      <c r="D45" s="42" t="n">
        <v>10931</v>
      </c>
      <c r="E45" s="42" t="n">
        <v>20539</v>
      </c>
      <c r="F45" s="42" t="n">
        <v>26701</v>
      </c>
      <c r="G45" s="42" t="n">
        <v>18052</v>
      </c>
      <c r="H45" s="42" t="n">
        <v>27401</v>
      </c>
      <c r="I45" s="42" t="n">
        <v>56268</v>
      </c>
      <c r="J45" s="42" t="n">
        <v>2319</v>
      </c>
      <c r="K45" s="42" t="n">
        <v>2291</v>
      </c>
      <c r="L45" s="42" t="n">
        <v>12766</v>
      </c>
      <c r="M45" s="42" t="n">
        <v>10411</v>
      </c>
      <c r="N45" s="42" t="n">
        <v>15118</v>
      </c>
      <c r="O45" s="42" t="n">
        <v>13363</v>
      </c>
      <c r="P45" s="1" t="s">
        <v>341</v>
      </c>
      <c r="Q45" s="0" t="s">
        <v>49</v>
      </c>
    </row>
    <row r="46" customFormat="false" ht="12.75" hidden="false" customHeight="false" outlineLevel="0" collapsed="false">
      <c r="A46" s="42" t="n">
        <v>18781</v>
      </c>
      <c r="B46" s="42" t="n">
        <v>11819</v>
      </c>
      <c r="C46" s="42" t="n">
        <v>1936</v>
      </c>
      <c r="D46" s="42" t="n">
        <v>1061</v>
      </c>
      <c r="E46" s="42" t="n">
        <v>2478</v>
      </c>
      <c r="F46" s="42" t="n">
        <v>2266</v>
      </c>
      <c r="G46" s="0" t="n">
        <v>104</v>
      </c>
      <c r="H46" s="42" t="n">
        <v>3974</v>
      </c>
      <c r="I46" s="42" t="n">
        <v>6962</v>
      </c>
      <c r="J46" s="0" t="n">
        <v>538</v>
      </c>
      <c r="K46" s="0" t="n">
        <v>241</v>
      </c>
      <c r="L46" s="42" t="n">
        <v>1027</v>
      </c>
      <c r="M46" s="0" t="n">
        <v>944</v>
      </c>
      <c r="N46" s="42" t="n">
        <v>1441</v>
      </c>
      <c r="O46" s="42" t="n">
        <v>2771</v>
      </c>
      <c r="P46" s="1" t="s">
        <v>343</v>
      </c>
      <c r="Q46" s="0" t="s">
        <v>50</v>
      </c>
    </row>
    <row r="47" customFormat="false" ht="12.75" hidden="false" customHeight="false" outlineLevel="0" collapsed="false">
      <c r="A47" s="42" t="n">
        <v>6206</v>
      </c>
      <c r="B47" s="42" t="n">
        <v>1824</v>
      </c>
      <c r="C47" s="0" t="n">
        <v>431</v>
      </c>
      <c r="D47" s="0" t="n">
        <v>208</v>
      </c>
      <c r="E47" s="0" t="n">
        <v>353</v>
      </c>
      <c r="F47" s="0" t="n">
        <v>438</v>
      </c>
      <c r="G47" s="0" t="n">
        <v>74</v>
      </c>
      <c r="H47" s="0" t="n">
        <v>320</v>
      </c>
      <c r="I47" s="42" t="n">
        <v>4382</v>
      </c>
      <c r="J47" s="0" t="n">
        <v>449</v>
      </c>
      <c r="K47" s="0" t="n">
        <v>159</v>
      </c>
      <c r="L47" s="42" t="n">
        <v>1123</v>
      </c>
      <c r="M47" s="0" t="n">
        <v>884</v>
      </c>
      <c r="N47" s="0" t="n">
        <v>725</v>
      </c>
      <c r="O47" s="42" t="n">
        <v>1042</v>
      </c>
      <c r="P47" s="1" t="s">
        <v>345</v>
      </c>
      <c r="Q47" s="0" t="s">
        <v>51</v>
      </c>
    </row>
    <row r="48" customFormat="false" ht="12.75" hidden="false" customHeight="false" outlineLevel="0" collapsed="false">
      <c r="A48" s="42" t="n">
        <v>69811</v>
      </c>
      <c r="B48" s="42" t="n">
        <v>39414</v>
      </c>
      <c r="C48" s="42" t="n">
        <v>6292</v>
      </c>
      <c r="D48" s="42" t="n">
        <v>2496</v>
      </c>
      <c r="E48" s="42" t="n">
        <v>7113</v>
      </c>
      <c r="F48" s="42" t="n">
        <v>9444</v>
      </c>
      <c r="G48" s="42" t="n">
        <v>3168</v>
      </c>
      <c r="H48" s="42" t="n">
        <v>10901</v>
      </c>
      <c r="I48" s="42" t="n">
        <v>30397</v>
      </c>
      <c r="J48" s="42" t="n">
        <v>3293</v>
      </c>
      <c r="K48" s="0" t="n">
        <v>568</v>
      </c>
      <c r="L48" s="42" t="n">
        <v>6179</v>
      </c>
      <c r="M48" s="42" t="n">
        <v>5723</v>
      </c>
      <c r="N48" s="42" t="n">
        <v>6319</v>
      </c>
      <c r="O48" s="42" t="n">
        <v>8315</v>
      </c>
      <c r="P48" s="1" t="s">
        <v>347</v>
      </c>
      <c r="Q48" s="0" t="s">
        <v>52</v>
      </c>
    </row>
    <row r="49" customFormat="false" ht="12.75" hidden="false" customHeight="false" outlineLevel="0" collapsed="false">
      <c r="A49" s="42" t="n">
        <v>49250</v>
      </c>
      <c r="B49" s="42" t="n">
        <v>33074</v>
      </c>
      <c r="C49" s="42" t="n">
        <v>3638</v>
      </c>
      <c r="D49" s="42" t="n">
        <v>3041</v>
      </c>
      <c r="E49" s="42" t="n">
        <v>6437</v>
      </c>
      <c r="F49" s="42" t="n">
        <v>6821</v>
      </c>
      <c r="G49" s="42" t="n">
        <v>4080</v>
      </c>
      <c r="H49" s="42" t="n">
        <v>9057</v>
      </c>
      <c r="I49" s="42" t="n">
        <v>16176</v>
      </c>
      <c r="J49" s="42" t="n">
        <v>1132</v>
      </c>
      <c r="K49" s="0" t="n">
        <v>959</v>
      </c>
      <c r="L49" s="42" t="n">
        <v>3695</v>
      </c>
      <c r="M49" s="42" t="n">
        <v>2121</v>
      </c>
      <c r="N49" s="42" t="n">
        <v>4126</v>
      </c>
      <c r="O49" s="42" t="n">
        <v>4143</v>
      </c>
      <c r="P49" s="1" t="s">
        <v>349</v>
      </c>
      <c r="Q49" s="0" t="s">
        <v>53</v>
      </c>
    </row>
    <row r="50" customFormat="false" ht="12.75" hidden="false" customHeight="false" outlineLevel="0" collapsed="false">
      <c r="A50" s="42" t="n">
        <v>17421</v>
      </c>
      <c r="B50" s="42" t="n">
        <v>4913</v>
      </c>
      <c r="C50" s="0" t="n">
        <v>462</v>
      </c>
      <c r="D50" s="0" t="n">
        <v>420</v>
      </c>
      <c r="E50" s="42" t="n">
        <v>1415</v>
      </c>
      <c r="F50" s="42" t="n">
        <v>1257</v>
      </c>
      <c r="G50" s="0" t="n">
        <v>55</v>
      </c>
      <c r="H50" s="42" t="n">
        <v>1304</v>
      </c>
      <c r="I50" s="42" t="n">
        <v>12508</v>
      </c>
      <c r="J50" s="0" t="n">
        <v>965</v>
      </c>
      <c r="K50" s="0" t="n">
        <v>420</v>
      </c>
      <c r="L50" s="42" t="n">
        <v>3227</v>
      </c>
      <c r="M50" s="42" t="n">
        <v>2053</v>
      </c>
      <c r="N50" s="42" t="n">
        <v>2512</v>
      </c>
      <c r="O50" s="42" t="n">
        <v>3331</v>
      </c>
      <c r="P50" s="1" t="s">
        <v>351</v>
      </c>
      <c r="Q50" s="0" t="s">
        <v>54</v>
      </c>
    </row>
    <row r="51" customFormat="false" ht="12.75" hidden="false" customHeight="false" outlineLevel="0" collapsed="false">
      <c r="A51" s="42" t="n">
        <v>51396</v>
      </c>
      <c r="B51" s="42" t="n">
        <v>24268</v>
      </c>
      <c r="C51" s="42" t="n">
        <v>5676</v>
      </c>
      <c r="D51" s="42" t="n">
        <v>1174</v>
      </c>
      <c r="E51" s="42" t="n">
        <v>4930</v>
      </c>
      <c r="F51" s="42" t="n">
        <v>7169</v>
      </c>
      <c r="G51" s="42" t="n">
        <v>2152</v>
      </c>
      <c r="H51" s="42" t="n">
        <v>3167</v>
      </c>
      <c r="I51" s="42" t="n">
        <v>27128</v>
      </c>
      <c r="J51" s="42" t="n">
        <v>4070</v>
      </c>
      <c r="K51" s="0" t="n">
        <v>765</v>
      </c>
      <c r="L51" s="42" t="n">
        <v>4145</v>
      </c>
      <c r="M51" s="42" t="n">
        <v>5167</v>
      </c>
      <c r="N51" s="42" t="n">
        <v>8152</v>
      </c>
      <c r="O51" s="42" t="n">
        <v>4829</v>
      </c>
      <c r="P51" s="1" t="s">
        <v>353</v>
      </c>
      <c r="Q51" s="0" t="s">
        <v>55</v>
      </c>
    </row>
    <row r="52" customFormat="false" ht="12.75" hidden="false" customHeight="false" outlineLevel="0" collapsed="false">
      <c r="A52" s="42" t="n">
        <v>7044</v>
      </c>
      <c r="B52" s="42" t="n">
        <v>1679</v>
      </c>
      <c r="C52" s="0" t="n">
        <v>187</v>
      </c>
      <c r="D52" s="0" t="n">
        <v>343</v>
      </c>
      <c r="E52" s="0" t="n">
        <v>245</v>
      </c>
      <c r="F52" s="0" t="n">
        <v>611</v>
      </c>
      <c r="G52" s="0" t="n">
        <v>8</v>
      </c>
      <c r="H52" s="0" t="n">
        <v>285</v>
      </c>
      <c r="I52" s="42" t="n">
        <v>5365</v>
      </c>
      <c r="J52" s="0" t="n">
        <v>700</v>
      </c>
      <c r="K52" s="0" t="n">
        <v>361</v>
      </c>
      <c r="L52" s="0" t="n">
        <v>508</v>
      </c>
      <c r="M52" s="0" t="n">
        <v>685</v>
      </c>
      <c r="N52" s="42" t="n">
        <v>1135</v>
      </c>
      <c r="O52" s="42" t="n">
        <v>1976</v>
      </c>
      <c r="P52" s="1" t="s">
        <v>355</v>
      </c>
      <c r="Q52" s="0" t="s">
        <v>56</v>
      </c>
    </row>
    <row r="53" customFormat="false" ht="12.75" hidden="false" customHeight="false" outlineLevel="0" collapsed="false">
      <c r="A53" s="42" t="n">
        <v>2422775</v>
      </c>
      <c r="B53" s="42" t="n">
        <v>1489490</v>
      </c>
      <c r="C53" s="42" t="n">
        <v>205907</v>
      </c>
      <c r="D53" s="42" t="n">
        <v>126891</v>
      </c>
      <c r="E53" s="42" t="n">
        <v>293270</v>
      </c>
      <c r="F53" s="42" t="n">
        <v>370358</v>
      </c>
      <c r="G53" s="42" t="n">
        <v>151536</v>
      </c>
      <c r="H53" s="42" t="n">
        <v>341528</v>
      </c>
      <c r="I53" s="42" t="n">
        <v>933285</v>
      </c>
      <c r="J53" s="42" t="n">
        <v>105156</v>
      </c>
      <c r="K53" s="42" t="n">
        <v>49936</v>
      </c>
      <c r="L53" s="42" t="n">
        <v>186212</v>
      </c>
      <c r="M53" s="42" t="n">
        <v>153028</v>
      </c>
      <c r="N53" s="42" t="n">
        <v>215568</v>
      </c>
      <c r="O53" s="42" t="n">
        <v>223385</v>
      </c>
      <c r="P53" s="0" t="s">
        <v>450</v>
      </c>
      <c r="Q53" s="0" t="s">
        <v>451</v>
      </c>
    </row>
    <row r="54" customFormat="false" ht="12.75" hidden="false" customHeight="false" outlineLevel="0" collapsed="false">
      <c r="A54" s="42" t="n">
        <v>2438323</v>
      </c>
      <c r="B54" s="42" t="n">
        <v>1501008</v>
      </c>
      <c r="C54" s="42" t="n">
        <v>207361</v>
      </c>
      <c r="D54" s="42" t="n">
        <v>128324</v>
      </c>
      <c r="E54" s="42" t="n">
        <v>295353</v>
      </c>
      <c r="F54" s="42" t="n">
        <v>373015</v>
      </c>
      <c r="G54" s="42" t="n">
        <v>152353</v>
      </c>
      <c r="H54" s="42" t="n">
        <v>344602</v>
      </c>
      <c r="I54" s="42" t="n">
        <v>937315</v>
      </c>
      <c r="J54" s="42" t="n">
        <v>105818</v>
      </c>
      <c r="K54" s="42" t="n">
        <v>50389</v>
      </c>
      <c r="L54" s="42" t="n">
        <v>186904</v>
      </c>
      <c r="M54" s="42" t="n">
        <v>153824</v>
      </c>
      <c r="N54" s="42" t="n">
        <v>215942</v>
      </c>
      <c r="O54" s="42" t="n">
        <v>224438</v>
      </c>
      <c r="P54" s="0" t="s">
        <v>450</v>
      </c>
      <c r="Q54" s="0" t="s">
        <v>451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4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0.802828798405653</v>
      </c>
    </row>
    <row r="5" customFormat="false" ht="12.75" hidden="false" customHeight="false" outlineLevel="0" collapsed="false">
      <c r="A5" s="6" t="s">
        <v>60</v>
      </c>
      <c r="B5" s="6" t="n">
        <v>0.644534079549465</v>
      </c>
    </row>
    <row r="6" customFormat="false" ht="12.75" hidden="false" customHeight="false" outlineLevel="0" collapsed="false">
      <c r="A6" s="6" t="s">
        <v>61</v>
      </c>
      <c r="B6" s="6" t="n">
        <v>0.612218995872144</v>
      </c>
    </row>
    <row r="7" customFormat="false" ht="12.75" hidden="false" customHeight="false" outlineLevel="0" collapsed="false">
      <c r="A7" s="6" t="s">
        <v>62</v>
      </c>
      <c r="B7" s="6" t="n">
        <v>0.0454454806500458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0.164771461596532</v>
      </c>
      <c r="D12" s="6" t="n">
        <v>0.0411928653991329</v>
      </c>
      <c r="E12" s="6" t="n">
        <v>19.9453012712388</v>
      </c>
      <c r="F12" s="6" t="n">
        <v>1.98984822376299E-009</v>
      </c>
    </row>
    <row r="13" customFormat="false" ht="12.75" hidden="false" customHeight="false" outlineLevel="0" collapsed="false">
      <c r="A13" s="6" t="s">
        <v>71</v>
      </c>
      <c r="B13" s="6" t="n">
        <v>44</v>
      </c>
      <c r="C13" s="6" t="n">
        <v>0.0908728353066024</v>
      </c>
      <c r="D13" s="6" t="n">
        <v>0.00206529171151369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0.255644296903134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-0.03191754760021</v>
      </c>
      <c r="C17" s="6" t="n">
        <v>0.014317342971013</v>
      </c>
      <c r="D17" s="6" t="n">
        <v>-2.22929266029531</v>
      </c>
      <c r="E17" s="6" t="n">
        <v>0.0309478757083805</v>
      </c>
      <c r="F17" s="6" t="n">
        <v>-0.0607722553039386</v>
      </c>
      <c r="G17" s="6" t="n">
        <v>-0.00306283989648153</v>
      </c>
      <c r="H17" s="6" t="n">
        <v>-0.0607722553039386</v>
      </c>
      <c r="I17" s="6" t="n">
        <v>-0.00306283989648153</v>
      </c>
    </row>
    <row r="18" customFormat="false" ht="12.75" hidden="false" customHeight="false" outlineLevel="0" collapsed="false">
      <c r="A18" s="6" t="s">
        <v>452</v>
      </c>
      <c r="B18" s="6" t="n">
        <v>8.10063441453964E-009</v>
      </c>
      <c r="C18" s="6" t="n">
        <v>2.75566463278801E-009</v>
      </c>
      <c r="D18" s="6" t="n">
        <v>2.9396299963918</v>
      </c>
      <c r="E18" s="6" t="n">
        <v>0.00521884241508117</v>
      </c>
      <c r="F18" s="6" t="n">
        <v>2.54695747395194E-009</v>
      </c>
      <c r="G18" s="6" t="n">
        <v>1.36543113551273E-008</v>
      </c>
      <c r="H18" s="6" t="n">
        <v>2.54695747395194E-009</v>
      </c>
      <c r="I18" s="6" t="n">
        <v>1.36543113551273E-008</v>
      </c>
    </row>
    <row r="19" customFormat="false" ht="12.75" hidden="false" customHeight="false" outlineLevel="0" collapsed="false">
      <c r="A19" s="6" t="s">
        <v>105</v>
      </c>
      <c r="B19" s="6" t="n">
        <v>0.307458679695721</v>
      </c>
      <c r="C19" s="6" t="n">
        <v>0.0732881003721071</v>
      </c>
      <c r="D19" s="6" t="n">
        <v>4.19520601754794</v>
      </c>
      <c r="E19" s="6" t="n">
        <v>0.000129982146153095</v>
      </c>
      <c r="F19" s="6" t="n">
        <v>0.159756224101823</v>
      </c>
      <c r="G19" s="6" t="n">
        <v>0.455161135289619</v>
      </c>
      <c r="H19" s="6" t="n">
        <v>0.159756224101823</v>
      </c>
      <c r="I19" s="6" t="n">
        <v>0.455161135289619</v>
      </c>
    </row>
    <row r="20" customFormat="false" ht="12.75" hidden="false" customHeight="false" outlineLevel="0" collapsed="false">
      <c r="A20" s="6" t="s">
        <v>100</v>
      </c>
      <c r="B20" s="6" t="n">
        <v>0.805221422806398</v>
      </c>
      <c r="C20" s="6" t="n">
        <v>0.291365517802763</v>
      </c>
      <c r="D20" s="6" t="n">
        <v>2.76361262265594</v>
      </c>
      <c r="E20" s="6" t="n">
        <v>0.00831604032952412</v>
      </c>
      <c r="F20" s="6" t="n">
        <v>0.218012827736376</v>
      </c>
      <c r="G20" s="6" t="n">
        <v>1.39243001787642</v>
      </c>
      <c r="H20" s="6" t="n">
        <v>0.218012827736376</v>
      </c>
      <c r="I20" s="6" t="n">
        <v>1.39243001787642</v>
      </c>
    </row>
    <row r="21" customFormat="false" ht="13.5" hidden="false" customHeight="false" outlineLevel="0" collapsed="false">
      <c r="A21" s="7" t="s">
        <v>143</v>
      </c>
      <c r="B21" s="7" t="n">
        <v>86074.1558985106</v>
      </c>
      <c r="C21" s="7" t="n">
        <v>53502.0182003771</v>
      </c>
      <c r="D21" s="7" t="n">
        <v>1.60880203763797</v>
      </c>
      <c r="E21" s="7" t="n">
        <v>0.114812275887675</v>
      </c>
      <c r="F21" s="7" t="n">
        <v>-21752.0727430046</v>
      </c>
      <c r="G21" s="7" t="n">
        <v>193900.384540026</v>
      </c>
      <c r="H21" s="7" t="n">
        <v>-21752.0727430046</v>
      </c>
      <c r="I21" s="7" t="n">
        <v>193900.384540026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12.99"/>
    <col collapsed="false" customWidth="true" hidden="false" outlineLevel="0" max="3" min="3" style="0" width="12.42"/>
    <col collapsed="false" customWidth="true" hidden="false" outlineLevel="0" max="5" min="4" style="0" width="9.28"/>
    <col collapsed="false" customWidth="true" hidden="false" outlineLevel="0" max="6" min="6" style="0" width="12.99"/>
    <col collapsed="false" customWidth="true" hidden="false" outlineLevel="0" max="7" min="7" style="0" width="12.42"/>
    <col collapsed="false" customWidth="true" hidden="false" outlineLevel="0" max="8" min="8" style="0" width="12.99"/>
    <col collapsed="false" customWidth="true" hidden="false" outlineLevel="0" max="9" min="9" style="0" width="12.42"/>
  </cols>
  <sheetData>
    <row r="1" customFormat="false" ht="12.75" hidden="false" customHeight="false" outlineLevel="0" collapsed="false">
      <c r="A1" s="0" t="s">
        <v>453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0.809264407314903</v>
      </c>
    </row>
    <row r="5" customFormat="false" ht="12.75" hidden="false" customHeight="false" outlineLevel="0" collapsed="false">
      <c r="A5" s="6" t="s">
        <v>60</v>
      </c>
      <c r="B5" s="6" t="n">
        <v>0.65490888094674</v>
      </c>
    </row>
    <row r="6" customFormat="false" ht="12.75" hidden="false" customHeight="false" outlineLevel="0" collapsed="false">
      <c r="A6" s="6" t="s">
        <v>61</v>
      </c>
      <c r="B6" s="6" t="n">
        <v>0.614782006638222</v>
      </c>
    </row>
    <row r="7" customFormat="false" ht="12.75" hidden="false" customHeight="false" outlineLevel="0" collapsed="false">
      <c r="A7" s="6" t="s">
        <v>62</v>
      </c>
      <c r="B7" s="6" t="n">
        <v>0.0452950473441008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5</v>
      </c>
      <c r="C12" s="6" t="n">
        <v>0.167423720405248</v>
      </c>
      <c r="D12" s="6" t="n">
        <v>0.0334847440810496</v>
      </c>
      <c r="E12" s="6" t="n">
        <v>16.3209542789559</v>
      </c>
      <c r="F12" s="6" t="n">
        <v>5.20925736156346E-009</v>
      </c>
    </row>
    <row r="13" customFormat="false" ht="12.75" hidden="false" customHeight="false" outlineLevel="0" collapsed="false">
      <c r="A13" s="6" t="s">
        <v>71</v>
      </c>
      <c r="B13" s="6" t="n">
        <v>43</v>
      </c>
      <c r="C13" s="6" t="n">
        <v>0.0882205764978863</v>
      </c>
      <c r="D13" s="6" t="n">
        <v>0.00205164131390433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0.255644296903134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-0.0343882332372521</v>
      </c>
      <c r="C17" s="6" t="n">
        <v>0.0144344521193978</v>
      </c>
      <c r="D17" s="6" t="n">
        <v>-2.38237190804349</v>
      </c>
      <c r="E17" s="6" t="n">
        <v>0.0216942266123449</v>
      </c>
      <c r="F17" s="6" t="n">
        <v>-0.0634980602365262</v>
      </c>
      <c r="G17" s="6" t="n">
        <v>-0.00527840623797796</v>
      </c>
      <c r="H17" s="6" t="n">
        <v>-0.0634980602365262</v>
      </c>
      <c r="I17" s="6" t="n">
        <v>-0.00527840623797796</v>
      </c>
    </row>
    <row r="18" customFormat="false" ht="12.75" hidden="false" customHeight="false" outlineLevel="0" collapsed="false">
      <c r="A18" s="6" t="s">
        <v>84</v>
      </c>
      <c r="B18" s="6" t="n">
        <v>3.98154201593716E-009</v>
      </c>
      <c r="C18" s="6" t="n">
        <v>3.50182203171886E-009</v>
      </c>
      <c r="D18" s="6" t="n">
        <v>1.13699153751192</v>
      </c>
      <c r="E18" s="6" t="n">
        <v>0.261838325232362</v>
      </c>
      <c r="F18" s="6" t="n">
        <v>-3.08055030889682E-009</v>
      </c>
      <c r="G18" s="6" t="n">
        <v>1.10436343407711E-008</v>
      </c>
      <c r="H18" s="6" t="n">
        <v>-3.08055030889682E-009</v>
      </c>
      <c r="I18" s="6" t="n">
        <v>1.10436343407711E-008</v>
      </c>
    </row>
    <row r="19" customFormat="false" ht="12.75" hidden="false" customHeight="false" outlineLevel="0" collapsed="false">
      <c r="A19" s="6" t="s">
        <v>452</v>
      </c>
      <c r="B19" s="6" t="n">
        <v>-3.64617853607002E-010</v>
      </c>
      <c r="C19" s="6" t="n">
        <v>7.93574885379547E-009</v>
      </c>
      <c r="D19" s="6" t="n">
        <v>-0.0459462440564276</v>
      </c>
      <c r="E19" s="6" t="n">
        <v>0.963565819635072</v>
      </c>
      <c r="F19" s="6" t="n">
        <v>-1.63685696719952E-008</v>
      </c>
      <c r="G19" s="6" t="n">
        <v>1.56393339647812E-008</v>
      </c>
      <c r="H19" s="6" t="n">
        <v>-1.63685696719952E-008</v>
      </c>
      <c r="I19" s="6" t="n">
        <v>1.56393339647812E-008</v>
      </c>
    </row>
    <row r="20" customFormat="false" ht="12.75" hidden="false" customHeight="false" outlineLevel="0" collapsed="false">
      <c r="A20" s="6" t="s">
        <v>105</v>
      </c>
      <c r="B20" s="6" t="n">
        <v>0.299301270363076</v>
      </c>
      <c r="C20" s="6" t="n">
        <v>0.0733970006604509</v>
      </c>
      <c r="D20" s="6" t="n">
        <v>4.07784061569087</v>
      </c>
      <c r="E20" s="6" t="n">
        <v>0.000192769178888471</v>
      </c>
      <c r="F20" s="6" t="n">
        <v>0.151282213330763</v>
      </c>
      <c r="G20" s="6" t="n">
        <v>0.447320327395389</v>
      </c>
      <c r="H20" s="6" t="n">
        <v>0.151282213330763</v>
      </c>
      <c r="I20" s="6" t="n">
        <v>0.447320327395389</v>
      </c>
    </row>
    <row r="21" customFormat="false" ht="12.75" hidden="false" customHeight="false" outlineLevel="0" collapsed="false">
      <c r="A21" s="6" t="s">
        <v>100</v>
      </c>
      <c r="B21" s="6" t="n">
        <v>0.845895914934754</v>
      </c>
      <c r="C21" s="6" t="n">
        <v>0.292596187299156</v>
      </c>
      <c r="D21" s="6" t="n">
        <v>2.89100115330584</v>
      </c>
      <c r="E21" s="6" t="n">
        <v>0.00599894833658014</v>
      </c>
      <c r="F21" s="6" t="n">
        <v>0.255819871696543</v>
      </c>
      <c r="G21" s="6" t="n">
        <v>1.43597195817297</v>
      </c>
      <c r="H21" s="6" t="n">
        <v>0.255819871696543</v>
      </c>
      <c r="I21" s="6" t="n">
        <v>1.43597195817297</v>
      </c>
    </row>
    <row r="22" customFormat="false" ht="13.5" hidden="false" customHeight="false" outlineLevel="0" collapsed="false">
      <c r="A22" s="7" t="s">
        <v>143</v>
      </c>
      <c r="B22" s="7" t="n">
        <v>90060.4763657413</v>
      </c>
      <c r="C22" s="7" t="n">
        <v>53440.0495639606</v>
      </c>
      <c r="D22" s="7" t="n">
        <v>1.6852618420189</v>
      </c>
      <c r="E22" s="7" t="n">
        <v>0.0991831891831854</v>
      </c>
      <c r="F22" s="7" t="n">
        <v>-17711.5807079726</v>
      </c>
      <c r="G22" s="7" t="n">
        <v>197832.533439455</v>
      </c>
      <c r="H22" s="7" t="n">
        <v>-17711.5807079726</v>
      </c>
      <c r="I22" s="7" t="n">
        <v>197832.533439455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4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0.764905213279748</v>
      </c>
    </row>
    <row r="5" customFormat="false" ht="12.75" hidden="false" customHeight="false" outlineLevel="0" collapsed="false">
      <c r="A5" s="6" t="s">
        <v>60</v>
      </c>
      <c r="B5" s="6" t="n">
        <v>0.585079985302537</v>
      </c>
    </row>
    <row r="6" customFormat="false" ht="12.75" hidden="false" customHeight="false" outlineLevel="0" collapsed="false">
      <c r="A6" s="6" t="s">
        <v>61</v>
      </c>
      <c r="B6" s="6" t="n">
        <v>0.547359983966404</v>
      </c>
    </row>
    <row r="7" customFormat="false" ht="12.75" hidden="false" customHeight="false" outlineLevel="0" collapsed="false">
      <c r="A7" s="6" t="s">
        <v>62</v>
      </c>
      <c r="B7" s="6" t="n">
        <v>0.0490991426115594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0.149572361474763</v>
      </c>
      <c r="D12" s="6" t="n">
        <v>0.0373930903686908</v>
      </c>
      <c r="E12" s="6" t="n">
        <v>15.5111337374761</v>
      </c>
      <c r="F12" s="6" t="n">
        <v>5.46195374042433E-008</v>
      </c>
    </row>
    <row r="13" customFormat="false" ht="12.75" hidden="false" customHeight="false" outlineLevel="0" collapsed="false">
      <c r="A13" s="6" t="s">
        <v>71</v>
      </c>
      <c r="B13" s="6" t="n">
        <v>44</v>
      </c>
      <c r="C13" s="6" t="n">
        <v>0.106071935428371</v>
      </c>
      <c r="D13" s="6" t="n">
        <v>0.00241072580519025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0.255644296903134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-0.00819289534771132</v>
      </c>
      <c r="C17" s="6" t="n">
        <v>0.0123338585169019</v>
      </c>
      <c r="D17" s="6" t="n">
        <v>-0.664260526134954</v>
      </c>
      <c r="E17" s="6" t="n">
        <v>0.509989834897207</v>
      </c>
      <c r="F17" s="6" t="n">
        <v>-0.0330501529467562</v>
      </c>
      <c r="G17" s="6" t="n">
        <v>0.0166643622513336</v>
      </c>
      <c r="H17" s="6" t="n">
        <v>-0.0330501529467562</v>
      </c>
      <c r="I17" s="6" t="n">
        <v>0.0166643622513336</v>
      </c>
    </row>
    <row r="18" customFormat="false" ht="12.75" hidden="false" customHeight="false" outlineLevel="0" collapsed="false">
      <c r="A18" s="6" t="s">
        <v>102</v>
      </c>
      <c r="B18" s="6" t="n">
        <v>4.09526130432642E-005</v>
      </c>
      <c r="C18" s="6" t="n">
        <v>3.90750575981055E-005</v>
      </c>
      <c r="D18" s="6" t="n">
        <v>1.04804997255461</v>
      </c>
      <c r="E18" s="6" t="n">
        <v>0.300338633262976</v>
      </c>
      <c r="F18" s="6" t="n">
        <v>-3.77979880831062E-005</v>
      </c>
      <c r="G18" s="6" t="n">
        <v>0.000119703214169634</v>
      </c>
      <c r="H18" s="6" t="n">
        <v>-3.77979880831062E-005</v>
      </c>
      <c r="I18" s="6" t="n">
        <v>0.000119703214169634</v>
      </c>
    </row>
    <row r="19" customFormat="false" ht="12.75" hidden="false" customHeight="false" outlineLevel="0" collapsed="false">
      <c r="A19" s="6" t="s">
        <v>105</v>
      </c>
      <c r="B19" s="6" t="n">
        <v>0.329928107266169</v>
      </c>
      <c r="C19" s="6" t="n">
        <v>0.0798387880117058</v>
      </c>
      <c r="D19" s="6" t="n">
        <v>4.13242880412708</v>
      </c>
      <c r="E19" s="6" t="n">
        <v>0.000158282097565293</v>
      </c>
      <c r="F19" s="6" t="n">
        <v>0.169023608703702</v>
      </c>
      <c r="G19" s="6" t="n">
        <v>0.490832605828636</v>
      </c>
      <c r="H19" s="6" t="n">
        <v>0.169023608703702</v>
      </c>
      <c r="I19" s="6" t="n">
        <v>0.490832605828636</v>
      </c>
    </row>
    <row r="20" customFormat="false" ht="12.75" hidden="false" customHeight="false" outlineLevel="0" collapsed="false">
      <c r="A20" s="6" t="s">
        <v>100</v>
      </c>
      <c r="B20" s="6" t="n">
        <v>0.452652092449486</v>
      </c>
      <c r="C20" s="6" t="n">
        <v>0.304396974240221</v>
      </c>
      <c r="D20" s="6" t="n">
        <v>1.48704530844734</v>
      </c>
      <c r="E20" s="6" t="n">
        <v>0.14413439897104</v>
      </c>
      <c r="F20" s="6" t="n">
        <v>-0.160819676396426</v>
      </c>
      <c r="G20" s="6" t="n">
        <v>1.0661238612954</v>
      </c>
      <c r="H20" s="6" t="n">
        <v>-0.160819676396426</v>
      </c>
      <c r="I20" s="6" t="n">
        <v>1.0661238612954</v>
      </c>
    </row>
    <row r="21" customFormat="false" ht="13.5" hidden="false" customHeight="false" outlineLevel="0" collapsed="false">
      <c r="A21" s="7" t="s">
        <v>143</v>
      </c>
      <c r="B21" s="7" t="n">
        <v>63308.7761577968</v>
      </c>
      <c r="C21" s="7" t="n">
        <v>63966.9462827449</v>
      </c>
      <c r="D21" s="7" t="n">
        <v>0.989710777781405</v>
      </c>
      <c r="E21" s="7" t="n">
        <v>0.327727140291521</v>
      </c>
      <c r="F21" s="7" t="n">
        <v>-65608.1284260785</v>
      </c>
      <c r="G21" s="7" t="n">
        <v>192225.680741672</v>
      </c>
      <c r="H21" s="7" t="n">
        <v>-65608.1284260785</v>
      </c>
      <c r="I21" s="7" t="n">
        <v>192225.680741672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0.795024603874473</v>
      </c>
    </row>
    <row r="5" customFormat="false" ht="12.75" hidden="false" customHeight="false" outlineLevel="0" collapsed="false">
      <c r="A5" s="6" t="s">
        <v>60</v>
      </c>
      <c r="B5" s="6" t="n">
        <v>0.632064120765762</v>
      </c>
    </row>
    <row r="6" customFormat="false" ht="12.75" hidden="false" customHeight="false" outlineLevel="0" collapsed="false">
      <c r="A6" s="6" t="s">
        <v>61</v>
      </c>
      <c r="B6" s="6" t="n">
        <v>0.607535062150146</v>
      </c>
    </row>
    <row r="7" customFormat="false" ht="12.75" hidden="false" customHeight="false" outlineLevel="0" collapsed="false">
      <c r="A7" s="6" t="s">
        <v>62</v>
      </c>
      <c r="B7" s="6" t="n">
        <v>0.0457191205204303</v>
      </c>
    </row>
    <row r="8" customFormat="false" ht="13.5" hidden="false" customHeight="false" outlineLevel="0" collapsed="false">
      <c r="A8" s="7" t="s">
        <v>63</v>
      </c>
      <c r="B8" s="7" t="n">
        <v>49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3</v>
      </c>
      <c r="C12" s="6" t="n">
        <v>0.161583587750861</v>
      </c>
      <c r="D12" s="6" t="n">
        <v>0.0538611959169536</v>
      </c>
      <c r="E12" s="6" t="n">
        <v>25.7679730262201</v>
      </c>
      <c r="F12" s="6" t="n">
        <v>7.43391595204027E-010</v>
      </c>
    </row>
    <row r="13" customFormat="false" ht="12.75" hidden="false" customHeight="false" outlineLevel="0" collapsed="false">
      <c r="A13" s="6" t="s">
        <v>71</v>
      </c>
      <c r="B13" s="6" t="n">
        <v>45</v>
      </c>
      <c r="C13" s="6" t="n">
        <v>0.0940607091522732</v>
      </c>
      <c r="D13" s="6" t="n">
        <v>0.00209023798116163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48</v>
      </c>
      <c r="C14" s="7" t="n">
        <v>0.255644296903134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-0.036390328653617</v>
      </c>
      <c r="C17" s="6" t="n">
        <v>0.0144848719979804</v>
      </c>
      <c r="D17" s="6" t="n">
        <v>-2.51229894601008</v>
      </c>
      <c r="E17" s="6" t="n">
        <v>0.0156485196501581</v>
      </c>
      <c r="F17" s="6" t="n">
        <v>-0.0655643571725973</v>
      </c>
      <c r="G17" s="6" t="n">
        <v>-0.00721630013463671</v>
      </c>
      <c r="H17" s="6" t="n">
        <v>-0.0655643571725973</v>
      </c>
      <c r="I17" s="6" t="n">
        <v>-0.00721630013463671</v>
      </c>
    </row>
    <row r="18" customFormat="false" ht="12.75" hidden="false" customHeight="false" outlineLevel="0" collapsed="false">
      <c r="A18" s="6" t="s">
        <v>84</v>
      </c>
      <c r="B18" s="6" t="n">
        <v>3.85775559717189E-009</v>
      </c>
      <c r="C18" s="6" t="n">
        <v>1.22321085755072E-009</v>
      </c>
      <c r="D18" s="6" t="n">
        <v>3.15379443646897</v>
      </c>
      <c r="E18" s="6" t="n">
        <v>0.00286941864830684</v>
      </c>
      <c r="F18" s="6" t="n">
        <v>1.39408257003801E-009</v>
      </c>
      <c r="G18" s="6" t="n">
        <v>6.32142862430576E-009</v>
      </c>
      <c r="H18" s="6" t="n">
        <v>1.39408257003801E-009</v>
      </c>
      <c r="I18" s="6" t="n">
        <v>6.32142862430576E-009</v>
      </c>
    </row>
    <row r="19" customFormat="false" ht="12.75" hidden="false" customHeight="false" outlineLevel="0" collapsed="false">
      <c r="A19" s="6" t="s">
        <v>105</v>
      </c>
      <c r="B19" s="6" t="n">
        <v>0.352058207711735</v>
      </c>
      <c r="C19" s="6" t="n">
        <v>0.0670174245068224</v>
      </c>
      <c r="D19" s="6" t="n">
        <v>5.25323392091703</v>
      </c>
      <c r="E19" s="6" t="n">
        <v>3.94139533696911E-006</v>
      </c>
      <c r="F19" s="6" t="n">
        <v>0.217078191726557</v>
      </c>
      <c r="G19" s="6" t="n">
        <v>0.487038223696913</v>
      </c>
      <c r="H19" s="6" t="n">
        <v>0.217078191726557</v>
      </c>
      <c r="I19" s="6" t="n">
        <v>0.487038223696913</v>
      </c>
    </row>
    <row r="20" customFormat="false" ht="13.5" hidden="false" customHeight="false" outlineLevel="0" collapsed="false">
      <c r="A20" s="7" t="s">
        <v>100</v>
      </c>
      <c r="B20" s="7" t="n">
        <v>0.844187364670918</v>
      </c>
      <c r="C20" s="7" t="n">
        <v>0.295333670151217</v>
      </c>
      <c r="D20" s="7" t="n">
        <v>2.85841896807322</v>
      </c>
      <c r="E20" s="7" t="n">
        <v>0.00642840783877514</v>
      </c>
      <c r="F20" s="7" t="n">
        <v>0.249354844452026</v>
      </c>
      <c r="G20" s="7" t="n">
        <v>1.43901988488981</v>
      </c>
      <c r="H20" s="7" t="n">
        <v>0.249354844452026</v>
      </c>
      <c r="I20" s="7" t="n">
        <v>1.43901988488981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L59"/>
  <sheetViews>
    <sheetView showFormulas="false" showGridLines="true" showRowColHeaders="true" showZeros="true" rightToLeft="false" tabSelected="false" showOutlineSymbols="true" defaultGridColor="true" view="normal" topLeftCell="C2" colorId="64" zoomScale="100" zoomScaleNormal="100" zoomScalePageLayoutView="100" workbookViewId="0">
      <selection pane="topLeft" activeCell="P7" activeCellId="0" sqref="P7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3" style="0" width="13.14"/>
    <col collapsed="false" customWidth="true" hidden="false" outlineLevel="0" max="25" min="15" style="0" width="10.41"/>
    <col collapsed="false" customWidth="true" hidden="false" outlineLevel="0" max="26" min="26" style="0" width="11.56"/>
    <col collapsed="false" customWidth="true" hidden="false" outlineLevel="0" max="28" min="28" style="0" width="14.28"/>
    <col collapsed="false" customWidth="true" hidden="false" outlineLevel="0" max="32" min="32" style="0" width="12.7"/>
    <col collapsed="false" customWidth="true" hidden="false" outlineLevel="0" max="34" min="34" style="0" width="9.56"/>
    <col collapsed="false" customWidth="true" hidden="false" outlineLevel="0" max="40" min="39" style="43" width="9.14"/>
    <col collapsed="false" customWidth="true" hidden="false" outlineLevel="0" max="86" min="86" style="0" width="24.99"/>
  </cols>
  <sheetData>
    <row r="1" customFormat="false" ht="12.75" hidden="false" customHeight="false" outlineLevel="0" collapsed="false">
      <c r="E1" s="0" t="n">
        <v>1995</v>
      </c>
      <c r="F1" s="0" t="n">
        <v>1995</v>
      </c>
      <c r="G1" s="0" t="n">
        <v>1995</v>
      </c>
      <c r="H1" s="0" t="n">
        <v>1995</v>
      </c>
      <c r="M1" s="0" t="n">
        <v>1E-006</v>
      </c>
      <c r="N1" s="0" t="n">
        <v>1</v>
      </c>
      <c r="O1" s="0" t="n">
        <v>0.5</v>
      </c>
      <c r="AA1" s="0" t="n">
        <v>0</v>
      </c>
      <c r="AB1" s="0" t="n">
        <v>0.5</v>
      </c>
      <c r="AD1" s="0" t="n">
        <v>1</v>
      </c>
      <c r="AV1" s="0" t="s">
        <v>454</v>
      </c>
      <c r="BL1" s="0" t="s">
        <v>455</v>
      </c>
    </row>
    <row r="2" customFormat="false" ht="12.75" hidden="false" customHeight="false" outlineLevel="0" collapsed="false">
      <c r="E2" s="1" t="s">
        <v>456</v>
      </c>
      <c r="F2" s="1" t="s">
        <v>457</v>
      </c>
      <c r="G2" s="1" t="s">
        <v>458</v>
      </c>
      <c r="H2" s="1" t="s">
        <v>459</v>
      </c>
      <c r="I2" s="1"/>
      <c r="N2" s="1"/>
      <c r="O2" s="1" t="s">
        <v>460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E2" s="1"/>
      <c r="AF2" s="1"/>
      <c r="AG2" s="1"/>
      <c r="AI2" s="1"/>
      <c r="AJ2" s="1"/>
      <c r="AK2" s="1" t="s">
        <v>461</v>
      </c>
      <c r="AL2" s="1"/>
      <c r="AM2" s="44"/>
      <c r="AN2" s="44"/>
      <c r="AO2" s="1" t="s">
        <v>462</v>
      </c>
      <c r="AV2" s="0" t="s">
        <v>463</v>
      </c>
      <c r="AX2" s="0" t="s">
        <v>464</v>
      </c>
      <c r="BA2" s="0" t="s">
        <v>465</v>
      </c>
      <c r="BB2" s="0" t="s">
        <v>466</v>
      </c>
      <c r="BE2" s="0" t="s">
        <v>467</v>
      </c>
      <c r="BL2" s="0" t="s">
        <v>468</v>
      </c>
      <c r="BP2" s="0" t="s">
        <v>469</v>
      </c>
      <c r="BU2" s="0" t="s">
        <v>469</v>
      </c>
      <c r="CA2" s="0" t="s">
        <v>470</v>
      </c>
      <c r="CD2" s="1" t="s">
        <v>471</v>
      </c>
      <c r="CJ2" s="1" t="s">
        <v>436</v>
      </c>
      <c r="CK2" s="1" t="s">
        <v>437</v>
      </c>
      <c r="CL2" s="1" t="s">
        <v>444</v>
      </c>
    </row>
    <row r="3" customFormat="false" ht="12.75" hidden="false" customHeight="false" outlineLevel="0" collapsed="false">
      <c r="A3" s="0" t="s">
        <v>0</v>
      </c>
      <c r="B3" s="0" t="s">
        <v>251</v>
      </c>
      <c r="C3" s="0" t="s">
        <v>117</v>
      </c>
      <c r="D3" s="0" t="s">
        <v>472</v>
      </c>
      <c r="E3" s="1" t="s">
        <v>473</v>
      </c>
      <c r="F3" s="1" t="s">
        <v>473</v>
      </c>
      <c r="G3" s="1" t="s">
        <v>473</v>
      </c>
      <c r="H3" s="1" t="s">
        <v>473</v>
      </c>
      <c r="I3" s="1"/>
      <c r="J3" s="1" t="s">
        <v>81</v>
      </c>
      <c r="K3" s="1" t="s">
        <v>102</v>
      </c>
      <c r="L3" s="1" t="s">
        <v>452</v>
      </c>
      <c r="M3" s="1" t="s">
        <v>84</v>
      </c>
      <c r="N3" s="2" t="s">
        <v>105</v>
      </c>
      <c r="O3" s="2" t="s">
        <v>100</v>
      </c>
      <c r="P3" s="2" t="s">
        <v>143</v>
      </c>
      <c r="Q3" s="2" t="s">
        <v>359</v>
      </c>
      <c r="R3" s="2" t="s">
        <v>474</v>
      </c>
      <c r="S3" s="0" t="s">
        <v>257</v>
      </c>
      <c r="T3" s="2" t="s">
        <v>357</v>
      </c>
      <c r="U3" s="2" t="s">
        <v>163</v>
      </c>
      <c r="V3" s="2" t="s">
        <v>164</v>
      </c>
      <c r="W3" s="2" t="s">
        <v>165</v>
      </c>
      <c r="X3" s="2" t="s">
        <v>166</v>
      </c>
      <c r="Y3" s="2"/>
      <c r="Z3" s="45" t="s">
        <v>475</v>
      </c>
      <c r="AA3" s="2" t="s">
        <v>3</v>
      </c>
      <c r="AB3" s="2" t="str">
        <f aca="false">BV3</f>
        <v>AVG-Neighbor-2</v>
      </c>
      <c r="AD3" s="2" t="s">
        <v>101</v>
      </c>
      <c r="AG3" s="0" t="str">
        <f aca="false">A3</f>
        <v>STATE</v>
      </c>
      <c r="AH3" s="2" t="s">
        <v>476</v>
      </c>
      <c r="AI3" s="2" t="s">
        <v>477</v>
      </c>
      <c r="AJ3" s="2" t="s">
        <v>149</v>
      </c>
      <c r="AK3" s="2" t="s">
        <v>99</v>
      </c>
      <c r="AL3" s="2" t="s">
        <v>478</v>
      </c>
      <c r="AM3" s="44" t="s">
        <v>479</v>
      </c>
      <c r="AN3" s="44"/>
      <c r="AO3" s="2" t="s">
        <v>95</v>
      </c>
      <c r="AQ3" s="0" t="s">
        <v>480</v>
      </c>
      <c r="AR3" s="0" t="s">
        <v>87</v>
      </c>
      <c r="AS3" s="0" t="s">
        <v>88</v>
      </c>
      <c r="AT3" s="0" t="s">
        <v>89</v>
      </c>
      <c r="AV3" s="0" t="s">
        <v>481</v>
      </c>
      <c r="AW3" s="0" t="s">
        <v>482</v>
      </c>
      <c r="AX3" s="0" t="s">
        <v>481</v>
      </c>
      <c r="AY3" s="0" t="s">
        <v>483</v>
      </c>
      <c r="BA3" s="0" t="s">
        <v>484</v>
      </c>
      <c r="BB3" s="0" t="s">
        <v>485</v>
      </c>
      <c r="BC3" s="0" t="s">
        <v>0</v>
      </c>
      <c r="BD3" s="0" t="s">
        <v>0</v>
      </c>
      <c r="BG3" s="0" t="s">
        <v>486</v>
      </c>
      <c r="BH3" s="0" t="s">
        <v>487</v>
      </c>
      <c r="BI3" s="0" t="s">
        <v>488</v>
      </c>
      <c r="BJ3" s="0" t="s">
        <v>95</v>
      </c>
      <c r="BL3" s="0" t="s">
        <v>489</v>
      </c>
      <c r="BM3" s="0" t="s">
        <v>0</v>
      </c>
      <c r="BO3" s="0" t="s">
        <v>490</v>
      </c>
      <c r="BP3" s="0" t="s">
        <v>491</v>
      </c>
      <c r="BQ3" s="0" t="s">
        <v>168</v>
      </c>
      <c r="BT3" s="0" t="s">
        <v>492</v>
      </c>
      <c r="BU3" s="0" t="s">
        <v>175</v>
      </c>
      <c r="BV3" s="0" t="s">
        <v>106</v>
      </c>
      <c r="BW3" s="0" t="s">
        <v>176</v>
      </c>
      <c r="BX3" s="0" t="s">
        <v>490</v>
      </c>
      <c r="BZ3" s="0" t="s">
        <v>490</v>
      </c>
      <c r="CA3" s="0" t="s">
        <v>6</v>
      </c>
      <c r="CD3" s="1" t="s">
        <v>493</v>
      </c>
      <c r="CE3" s="0" t="s">
        <v>105</v>
      </c>
      <c r="CG3" s="0" t="s">
        <v>0</v>
      </c>
      <c r="CH3" s="0" t="s">
        <v>251</v>
      </c>
      <c r="CI3" s="0" t="s">
        <v>0</v>
      </c>
      <c r="CJ3" s="1" t="s">
        <v>85</v>
      </c>
      <c r="CK3" s="1" t="s">
        <v>85</v>
      </c>
      <c r="CL3" s="1" t="s">
        <v>85</v>
      </c>
    </row>
    <row r="4" customFormat="false" ht="12.75" hidden="false" customHeight="false" outlineLevel="0" collapsed="false">
      <c r="A4" s="1" t="s">
        <v>258</v>
      </c>
      <c r="B4" s="0" t="s">
        <v>8</v>
      </c>
      <c r="C4" s="2" t="n">
        <f aca="false">F4/E4</f>
        <v>0</v>
      </c>
      <c r="D4" s="2" t="n">
        <v>1</v>
      </c>
      <c r="E4" s="1" t="n">
        <v>1142121</v>
      </c>
      <c r="F4" s="1" t="n">
        <v>0</v>
      </c>
      <c r="G4" s="1" t="n">
        <v>691523</v>
      </c>
      <c r="H4" s="1" t="n">
        <v>450598</v>
      </c>
      <c r="I4" s="1"/>
      <c r="J4" s="1" t="n">
        <v>50750</v>
      </c>
      <c r="K4" s="1" t="n">
        <v>83.8026009852217</v>
      </c>
      <c r="L4" s="1" t="n">
        <f aca="false">BG4+BH4+BI4</f>
        <v>1735588</v>
      </c>
      <c r="M4" s="1" t="n">
        <v>4252982</v>
      </c>
      <c r="N4" s="2" t="n">
        <v>0</v>
      </c>
      <c r="O4" s="2" t="n">
        <v>0.0238518767065552</v>
      </c>
      <c r="P4" s="38" t="n">
        <f aca="false">BU4^4</f>
        <v>1.16002176106561E-012</v>
      </c>
      <c r="Q4" s="38" t="n">
        <f aca="false">S4/M4</f>
        <v>0.132865363643674</v>
      </c>
      <c r="R4" s="32" t="n">
        <v>1001737</v>
      </c>
      <c r="S4" s="31" t="n">
        <v>565074</v>
      </c>
      <c r="T4" s="38" t="n">
        <f aca="false">AH4</f>
        <v>0.00203153694747244</v>
      </c>
      <c r="U4" s="2" t="n">
        <f aca="false">LN(M4)</f>
        <v>15.2631309419202</v>
      </c>
      <c r="V4" s="2" t="n">
        <f aca="false">LN(N4+1)</f>
        <v>0</v>
      </c>
      <c r="W4" s="2" t="n">
        <f aca="false">LN(O4)</f>
        <v>-3.73589237683764</v>
      </c>
      <c r="X4" s="2" t="n">
        <f aca="false">LN(P4)</f>
        <v>-27.4825823514469</v>
      </c>
      <c r="Y4" s="2"/>
      <c r="Z4" s="38" t="n">
        <f aca="false">(AB4*AD4)^4</f>
        <v>1.2879668232638E-013</v>
      </c>
      <c r="AA4" s="2" t="n">
        <v>0.03281</v>
      </c>
      <c r="AB4" s="2" t="n">
        <f aca="false">BV4</f>
        <v>0.0166414648812586</v>
      </c>
      <c r="AD4" s="2" t="n">
        <v>0.0359985175247282</v>
      </c>
      <c r="AG4" s="0" t="str">
        <f aca="false">A4</f>
        <v>AL</v>
      </c>
      <c r="AH4" s="2" t="n">
        <f aca="false">'Final-2'!B$41+'Final-2'!B$42*M4+'Final-2'!B$43*N4+'Final-2'!B$44*O4+'Final-2'!B$45*P4</f>
        <v>0.00203153694747244</v>
      </c>
      <c r="AI4" s="2" t="n">
        <f aca="false">C4</f>
        <v>0</v>
      </c>
      <c r="AJ4" s="2" t="n">
        <f aca="false">1/ABS(AH4-AI4)</f>
        <v>492.238155571898</v>
      </c>
      <c r="AK4" s="2" t="n">
        <v>0.571028816384854</v>
      </c>
      <c r="AL4" s="2" t="n">
        <v>0.0263659558329443</v>
      </c>
      <c r="AM4" s="46" t="n">
        <v>0.574650215479072</v>
      </c>
      <c r="AN4" s="46"/>
      <c r="AO4" s="2" t="n">
        <v>0.0357325586487116</v>
      </c>
      <c r="AQ4" s="0" t="n">
        <v>0</v>
      </c>
      <c r="AR4" s="0" t="n">
        <v>10.834666896904</v>
      </c>
      <c r="AS4" s="0" t="n">
        <v>15.2631309419202</v>
      </c>
      <c r="AT4" s="0" t="n">
        <v>11.4437147126061</v>
      </c>
      <c r="AV4" s="1" t="n">
        <v>7205</v>
      </c>
      <c r="AW4" s="1" t="n">
        <v>9591</v>
      </c>
      <c r="AX4" s="1" t="n">
        <v>7205</v>
      </c>
      <c r="AY4" s="1" t="n">
        <v>9734</v>
      </c>
      <c r="BA4" s="2" t="n">
        <v>0.428971183615146</v>
      </c>
      <c r="BB4" s="2" t="n">
        <v>0.425349784520928</v>
      </c>
      <c r="BC4" s="1" t="s">
        <v>258</v>
      </c>
      <c r="BD4" s="1" t="s">
        <v>258</v>
      </c>
      <c r="BE4" s="0" t="s">
        <v>259</v>
      </c>
      <c r="BF4" s="0" t="n">
        <v>4040587</v>
      </c>
      <c r="BG4" s="0" t="n">
        <v>1363133</v>
      </c>
      <c r="BH4" s="0" t="n">
        <v>310438</v>
      </c>
      <c r="BI4" s="0" t="n">
        <v>62017</v>
      </c>
      <c r="BJ4" s="0" t="n">
        <v>0.0357325586487116</v>
      </c>
      <c r="BL4" s="0" t="n">
        <v>0.0263659558329443</v>
      </c>
      <c r="BM4" s="0" t="s">
        <v>258</v>
      </c>
      <c r="BO4" s="0" t="s">
        <v>494</v>
      </c>
      <c r="BP4" s="0" t="n">
        <v>0.976148123293445</v>
      </c>
      <c r="BQ4" s="0" t="n">
        <v>0.964001482475272</v>
      </c>
      <c r="BT4" s="0" t="s">
        <v>494</v>
      </c>
      <c r="BU4" s="0" t="n">
        <v>0.00103780685279132</v>
      </c>
      <c r="BV4" s="0" t="n">
        <v>0.0166414648812586</v>
      </c>
      <c r="BW4" s="29" t="n">
        <v>3.281</v>
      </c>
      <c r="BX4" s="0" t="s">
        <v>259</v>
      </c>
      <c r="BZ4" s="0" t="s">
        <v>259</v>
      </c>
      <c r="CA4" s="0" t="n">
        <v>0</v>
      </c>
      <c r="CD4" s="1" t="n">
        <v>925</v>
      </c>
      <c r="CE4" s="0" t="n">
        <v>0</v>
      </c>
      <c r="CG4" s="0" t="s">
        <v>258</v>
      </c>
      <c r="CH4" s="0" t="s">
        <v>8</v>
      </c>
      <c r="CI4" s="1" t="s">
        <v>258</v>
      </c>
      <c r="CJ4" s="1" t="n">
        <v>21</v>
      </c>
      <c r="CK4" s="1" t="n">
        <v>303</v>
      </c>
      <c r="CL4" s="1" t="n">
        <v>601</v>
      </c>
    </row>
    <row r="5" customFormat="false" ht="12.75" hidden="false" customHeight="false" outlineLevel="0" collapsed="false">
      <c r="A5" s="1" t="s">
        <v>261</v>
      </c>
      <c r="B5" s="0" t="s">
        <v>9</v>
      </c>
      <c r="C5" s="2" t="n">
        <f aca="false">F5/E5</f>
        <v>0</v>
      </c>
      <c r="D5" s="2" t="n">
        <v>1</v>
      </c>
      <c r="E5" s="1" t="n">
        <v>971888</v>
      </c>
      <c r="F5" s="1" t="n">
        <v>0</v>
      </c>
      <c r="G5" s="1" t="n">
        <v>618012</v>
      </c>
      <c r="H5" s="1" t="n">
        <v>353876</v>
      </c>
      <c r="I5" s="1"/>
      <c r="J5" s="1" t="n">
        <v>113642</v>
      </c>
      <c r="K5" s="1" t="n">
        <v>37.1160310448602</v>
      </c>
      <c r="L5" s="1" t="n">
        <f aca="false">BG5+BH5+BI5</f>
        <v>1600604</v>
      </c>
      <c r="M5" s="1" t="n">
        <v>4217940</v>
      </c>
      <c r="N5" s="2" t="n">
        <v>0</v>
      </c>
      <c r="O5" s="2" t="n">
        <v>0.0112071877535429</v>
      </c>
      <c r="P5" s="38" t="n">
        <f aca="false">BU5^4</f>
        <v>1.49200959313964E-012</v>
      </c>
      <c r="Q5" s="38" t="n">
        <f aca="false">S5/M5</f>
        <v>0.176502747786834</v>
      </c>
      <c r="R5" s="32" t="n">
        <v>1199273</v>
      </c>
      <c r="S5" s="31" t="n">
        <v>744478</v>
      </c>
      <c r="T5" s="2" t="n">
        <f aca="false">AH5</f>
        <v>-0.00879855760707958</v>
      </c>
      <c r="U5" s="2" t="n">
        <f aca="false">LN(M5)</f>
        <v>15.2548574151686</v>
      </c>
      <c r="V5" s="2" t="n">
        <f aca="false">LN(N5+1)</f>
        <v>0</v>
      </c>
      <c r="W5" s="2" t="n">
        <f aca="false">LN(O5)</f>
        <v>-4.49119994281417</v>
      </c>
      <c r="X5" s="2" t="n">
        <f aca="false">LN(P5)</f>
        <v>-27.2308971844494</v>
      </c>
      <c r="Y5" s="2"/>
      <c r="Z5" s="38" t="n">
        <f aca="false">(AB5*AD5)^4</f>
        <v>1.39249767714862E-014</v>
      </c>
      <c r="AA5" s="2" t="n">
        <v>0.41534</v>
      </c>
      <c r="AB5" s="2" t="n">
        <f aca="false">BV5</f>
        <v>0.0217355561541323</v>
      </c>
      <c r="AD5" s="2" t="n">
        <v>0.0158043945367121</v>
      </c>
      <c r="AG5" s="0" t="str">
        <f aca="false">A5</f>
        <v>AZ</v>
      </c>
      <c r="AH5" s="2" t="n">
        <f aca="false">'Final-2'!B$41+'Final-2'!B$42*M5+'Final-2'!B$43*N5+'Final-2'!B$44*O5+'Final-2'!B$45*P5</f>
        <v>-0.00879855760707958</v>
      </c>
      <c r="AI5" s="2" t="n">
        <f aca="false">C5</f>
        <v>0</v>
      </c>
      <c r="AJ5" s="2" t="n">
        <f aca="false">1/ABS(AH5-AI5)</f>
        <v>113.654992631448</v>
      </c>
      <c r="AK5" s="2" t="n">
        <v>0.489576013117826</v>
      </c>
      <c r="AL5" s="2" t="n">
        <v>0.00634795418421757</v>
      </c>
      <c r="AM5" s="46" t="n">
        <v>0.443678513071895</v>
      </c>
      <c r="AN5" s="46"/>
      <c r="AO5" s="2" t="n">
        <v>0.0162107554398215</v>
      </c>
      <c r="AQ5" s="0" t="n">
        <v>0</v>
      </c>
      <c r="AR5" s="0" t="n">
        <v>11.6408084352501</v>
      </c>
      <c r="AS5" s="0" t="n">
        <v>15.2548574151686</v>
      </c>
      <c r="AT5" s="0" t="n">
        <v>10.9070746207951</v>
      </c>
      <c r="AV5" s="1" t="n">
        <v>10895</v>
      </c>
      <c r="AW5" s="1" t="n">
        <v>10450</v>
      </c>
      <c r="AX5" s="1" t="n">
        <v>10895</v>
      </c>
      <c r="AY5" s="1" t="n">
        <v>8689</v>
      </c>
      <c r="BA5" s="2" t="n">
        <v>0.510423986882174</v>
      </c>
      <c r="BB5" s="2" t="n">
        <v>0.556321486928105</v>
      </c>
      <c r="BC5" s="1" t="s">
        <v>261</v>
      </c>
      <c r="BD5" s="1" t="s">
        <v>261</v>
      </c>
      <c r="BE5" s="0" t="s">
        <v>262</v>
      </c>
      <c r="BF5" s="0" t="n">
        <v>3665228</v>
      </c>
      <c r="BG5" s="0" t="n">
        <v>1535826</v>
      </c>
      <c r="BH5" s="0" t="n">
        <v>38831</v>
      </c>
      <c r="BI5" s="0" t="n">
        <v>25947</v>
      </c>
      <c r="BJ5" s="0" t="n">
        <v>0.0162107554398215</v>
      </c>
      <c r="BL5" s="0" t="n">
        <v>0.00634795418421757</v>
      </c>
      <c r="BM5" s="0" t="s">
        <v>261</v>
      </c>
      <c r="BO5" s="0" t="s">
        <v>495</v>
      </c>
      <c r="BP5" s="0" t="n">
        <v>0.988792812246457</v>
      </c>
      <c r="BQ5" s="0" t="n">
        <v>0.984195605463288</v>
      </c>
      <c r="BT5" s="0" t="s">
        <v>495</v>
      </c>
      <c r="BU5" s="0" t="n">
        <v>0.00110520515997275</v>
      </c>
      <c r="BV5" s="0" t="n">
        <v>0.0217355561541323</v>
      </c>
      <c r="BW5" s="0" t="n">
        <v>41.534</v>
      </c>
      <c r="BX5" s="0" t="s">
        <v>262</v>
      </c>
      <c r="BZ5" s="0" t="s">
        <v>262</v>
      </c>
      <c r="CA5" s="0" t="n">
        <v>0</v>
      </c>
      <c r="CD5" s="1" t="n">
        <v>1250</v>
      </c>
      <c r="CE5" s="0" t="n">
        <v>0</v>
      </c>
      <c r="CG5" s="0" t="s">
        <v>261</v>
      </c>
      <c r="CH5" s="0" t="s">
        <v>9</v>
      </c>
      <c r="CI5" s="1" t="s">
        <v>261</v>
      </c>
      <c r="CJ5" s="1" t="n">
        <v>81</v>
      </c>
      <c r="CK5" s="1" t="n">
        <v>178</v>
      </c>
      <c r="CL5" s="1" t="n">
        <v>991</v>
      </c>
    </row>
    <row r="6" customFormat="false" ht="12.75" hidden="false" customHeight="false" outlineLevel="0" collapsed="false">
      <c r="A6" s="1" t="s">
        <v>264</v>
      </c>
      <c r="B6" s="0" t="s">
        <v>10</v>
      </c>
      <c r="C6" s="2" t="n">
        <f aca="false">F6/E6</f>
        <v>0</v>
      </c>
      <c r="D6" s="2" t="n">
        <v>1</v>
      </c>
      <c r="E6" s="1" t="n">
        <v>691210</v>
      </c>
      <c r="F6" s="1" t="n">
        <v>0</v>
      </c>
      <c r="G6" s="1" t="n">
        <v>398785</v>
      </c>
      <c r="H6" s="1" t="n">
        <v>292425</v>
      </c>
      <c r="I6" s="1"/>
      <c r="J6" s="1" t="n">
        <v>52075</v>
      </c>
      <c r="K6" s="1" t="n">
        <v>47.6959961593855</v>
      </c>
      <c r="L6" s="1" t="n">
        <f aca="false">BG6+BH6+BI6</f>
        <v>988712</v>
      </c>
      <c r="M6" s="1" t="n">
        <v>2483769</v>
      </c>
      <c r="N6" s="2" t="n">
        <v>0</v>
      </c>
      <c r="O6" s="2" t="n">
        <v>0.0402941869973762</v>
      </c>
      <c r="P6" s="38" t="n">
        <f aca="false">BU6^4</f>
        <v>8.78858354669177E-013</v>
      </c>
      <c r="Q6" s="38" t="n">
        <f aca="false">S6/M6</f>
        <v>0.118786408881019</v>
      </c>
      <c r="R6" s="32" t="n">
        <v>665735</v>
      </c>
      <c r="S6" s="31" t="n">
        <v>295038</v>
      </c>
      <c r="T6" s="2" t="n">
        <f aca="false">AH6</f>
        <v>0.00916260781104561</v>
      </c>
      <c r="U6" s="2" t="n">
        <f aca="false">LN(M6)</f>
        <v>14.7252877225421</v>
      </c>
      <c r="V6" s="2" t="n">
        <f aca="false">LN(N6+1)</f>
        <v>0</v>
      </c>
      <c r="W6" s="2" t="n">
        <f aca="false">LN(O6)</f>
        <v>-3.21154806367484</v>
      </c>
      <c r="X6" s="2" t="n">
        <f aca="false">LN(P6)</f>
        <v>-27.7601526539316</v>
      </c>
      <c r="Y6" s="2"/>
      <c r="Z6" s="38" t="n">
        <f aca="false">(AB6*AD6)^4</f>
        <v>1.8360985653032E-013</v>
      </c>
      <c r="AA6" s="2" t="n">
        <v>0.08266</v>
      </c>
      <c r="AB6" s="2" t="n">
        <f aca="false">BV6</f>
        <v>0.0202684321941504</v>
      </c>
      <c r="AD6" s="2" t="n">
        <v>0.0322963796327023</v>
      </c>
      <c r="AG6" s="0" t="str">
        <f aca="false">A6</f>
        <v>AR</v>
      </c>
      <c r="AH6" s="2" t="n">
        <f aca="false">'Final-2'!B$41+'Final-2'!B$42*M6+'Final-2'!B$43*N6+'Final-2'!B$44*O6+'Final-2'!B$45*P6</f>
        <v>0.00916260781104561</v>
      </c>
      <c r="AI6" s="2" t="n">
        <f aca="false">C6</f>
        <v>0</v>
      </c>
      <c r="AJ6" s="2" t="n">
        <f aca="false">1/ABS(AH6-AI6)</f>
        <v>109.139234224834</v>
      </c>
      <c r="AK6" s="2" t="n">
        <v>0.567126725219573</v>
      </c>
      <c r="AL6" s="2" t="n">
        <v>0.0188539292675562</v>
      </c>
      <c r="AM6" s="46" t="n">
        <v>0.566289527125036</v>
      </c>
      <c r="AN6" s="46"/>
      <c r="AO6" s="2" t="n">
        <v>0.0335183551934234</v>
      </c>
      <c r="AQ6" s="0" t="n">
        <v>0</v>
      </c>
      <c r="AR6" s="0" t="n">
        <v>10.8604402661292</v>
      </c>
      <c r="AS6" s="0" t="n">
        <v>14.7252877225421</v>
      </c>
      <c r="AT6" s="0" t="n">
        <v>11.2544396695087</v>
      </c>
      <c r="AV6" s="1" t="n">
        <v>4485</v>
      </c>
      <c r="AW6" s="1" t="n">
        <v>5876</v>
      </c>
      <c r="AX6" s="1" t="n">
        <v>4485</v>
      </c>
      <c r="AY6" s="1" t="n">
        <v>5856</v>
      </c>
      <c r="BA6" s="2" t="n">
        <v>0.432873274780427</v>
      </c>
      <c r="BB6" s="2" t="n">
        <v>0.433710472874964</v>
      </c>
      <c r="BC6" s="1" t="s">
        <v>264</v>
      </c>
      <c r="BD6" s="0" t="s">
        <v>264</v>
      </c>
      <c r="BE6" s="0" t="s">
        <v>265</v>
      </c>
      <c r="BF6" s="0" t="n">
        <v>2350725</v>
      </c>
      <c r="BG6" s="0" t="n">
        <v>799075</v>
      </c>
      <c r="BH6" s="0" t="n">
        <v>156497</v>
      </c>
      <c r="BI6" s="0" t="n">
        <v>33140</v>
      </c>
      <c r="BJ6" s="0" t="n">
        <v>0.0335183551934234</v>
      </c>
      <c r="BL6" s="0" t="n">
        <v>0.0188539292675562</v>
      </c>
      <c r="BM6" s="0" t="s">
        <v>264</v>
      </c>
      <c r="BO6" s="0" t="s">
        <v>496</v>
      </c>
      <c r="BP6" s="0" t="n">
        <v>0.959705813002624</v>
      </c>
      <c r="BQ6" s="0" t="n">
        <v>0.967703620367298</v>
      </c>
      <c r="BT6" s="0" t="s">
        <v>496</v>
      </c>
      <c r="BU6" s="0" t="n">
        <v>0.000968232645326292</v>
      </c>
      <c r="BV6" s="0" t="n">
        <v>0.0202684321941504</v>
      </c>
      <c r="BW6" s="0" t="n">
        <v>8.266</v>
      </c>
      <c r="BX6" s="0" t="s">
        <v>265</v>
      </c>
      <c r="BZ6" s="0" t="s">
        <v>265</v>
      </c>
      <c r="CA6" s="0" t="n">
        <v>0</v>
      </c>
      <c r="CD6" s="1" t="n">
        <v>646</v>
      </c>
      <c r="CE6" s="0" t="n">
        <v>0</v>
      </c>
      <c r="CG6" s="0" t="s">
        <v>264</v>
      </c>
      <c r="CH6" s="0" t="s">
        <v>10</v>
      </c>
      <c r="CI6" s="1" t="s">
        <v>264</v>
      </c>
      <c r="CJ6" s="1" t="n">
        <v>102</v>
      </c>
      <c r="CK6" s="1" t="n">
        <v>144</v>
      </c>
      <c r="CL6" s="1" t="n">
        <v>400</v>
      </c>
    </row>
    <row r="7" customFormat="false" ht="12.75" hidden="false" customHeight="false" outlineLevel="0" collapsed="false">
      <c r="A7" s="1" t="s">
        <v>266</v>
      </c>
      <c r="B7" s="0" t="s">
        <v>11</v>
      </c>
      <c r="C7" s="2" t="n">
        <f aca="false">F7/E7</f>
        <v>0.0211415213324095</v>
      </c>
      <c r="D7" s="2" t="n">
        <v>1</v>
      </c>
      <c r="E7" s="1" t="n">
        <v>8955505</v>
      </c>
      <c r="F7" s="1" t="n">
        <v>189333</v>
      </c>
      <c r="G7" s="1" t="n">
        <v>6268932</v>
      </c>
      <c r="H7" s="1" t="n">
        <v>2497240</v>
      </c>
      <c r="I7" s="1"/>
      <c r="J7" s="1" t="n">
        <v>155973</v>
      </c>
      <c r="K7" s="1" t="n">
        <v>202.529623716925</v>
      </c>
      <c r="L7" s="1" t="n">
        <f aca="false">BG7+BH7+BI7</f>
        <v>13940250</v>
      </c>
      <c r="M7" s="1" t="n">
        <v>31589153</v>
      </c>
      <c r="N7" s="2" t="n">
        <v>0</v>
      </c>
      <c r="O7" s="2" t="n">
        <v>0.004523030247648</v>
      </c>
      <c r="P7" s="38" t="n">
        <f aca="false">BU7^4</f>
        <v>1.15838117524707E-012</v>
      </c>
      <c r="Q7" s="38" t="n">
        <f aca="false">S7/M7</f>
        <v>0.114545806277237</v>
      </c>
      <c r="R7" s="34" t="n">
        <v>5966475</v>
      </c>
      <c r="S7" s="31" t="n">
        <v>3618405</v>
      </c>
      <c r="T7" s="2" t="n">
        <f aca="false">AH7</f>
        <v>0.0903953109870089</v>
      </c>
      <c r="U7" s="2" t="n">
        <f aca="false">LN(M7)</f>
        <v>17.2683243601364</v>
      </c>
      <c r="V7" s="2" t="n">
        <f aca="false">LN(N7+1)</f>
        <v>0</v>
      </c>
      <c r="W7" s="2" t="n">
        <f aca="false">LN(O7)</f>
        <v>-5.39857310098989</v>
      </c>
      <c r="X7" s="2" t="n">
        <f aca="false">LN(P7)</f>
        <v>-27.4839976240613</v>
      </c>
      <c r="Y7" s="2"/>
      <c r="Z7" s="38" t="n">
        <f aca="false">(AB7*AD7)^4</f>
        <v>8.50831487328072E-016</v>
      </c>
      <c r="AA7" s="2" t="n">
        <v>0.44598</v>
      </c>
      <c r="AB7" s="2" t="n">
        <f aca="false">BV7</f>
        <v>0.0462867458685396</v>
      </c>
      <c r="AD7" s="2" t="n">
        <v>0.00368981200149532</v>
      </c>
      <c r="AG7" s="0" t="str">
        <f aca="false">A7</f>
        <v>CA</v>
      </c>
      <c r="AH7" s="2" t="n">
        <f aca="false">'Final-2'!B$41+'Final-2'!B$42*M7+'Final-2'!B$43*N7+'Final-2'!B$44*O7+'Final-2'!B$45*P7</f>
        <v>0.0903953109870089</v>
      </c>
      <c r="AI7" s="2" t="n">
        <f aca="false">C7</f>
        <v>0.0211415213324095</v>
      </c>
      <c r="AJ7" s="2" t="n">
        <f aca="false">1/ABS(AH7-AI7)</f>
        <v>14.4396430143023</v>
      </c>
      <c r="AK7" s="2" t="n">
        <v>0.273744455893553</v>
      </c>
      <c r="AL7" s="2" t="n">
        <v>0.088973951924796</v>
      </c>
      <c r="AM7" s="46" t="n">
        <v>0.36657581885141</v>
      </c>
      <c r="AN7" s="46"/>
      <c r="AO7" s="2" t="n">
        <v>0.00457638851527053</v>
      </c>
      <c r="AQ7" s="0" t="n">
        <v>0.0209211400886437</v>
      </c>
      <c r="AR7" s="0" t="n">
        <v>11.9574381943291</v>
      </c>
      <c r="AS7" s="0" t="n">
        <v>17.2683243601364</v>
      </c>
      <c r="AT7" s="0" t="n">
        <v>12.045839337303</v>
      </c>
      <c r="AV7" s="1" t="n">
        <v>64843</v>
      </c>
      <c r="AW7" s="1" t="n">
        <v>24441</v>
      </c>
      <c r="AX7" s="1" t="n">
        <v>64843</v>
      </c>
      <c r="AY7" s="1" t="n">
        <v>37526</v>
      </c>
      <c r="BA7" s="2" t="n">
        <v>0.726255544106447</v>
      </c>
      <c r="BB7" s="2" t="n">
        <v>0.63342418114859</v>
      </c>
      <c r="BC7" s="1" t="s">
        <v>266</v>
      </c>
      <c r="BD7" s="1" t="s">
        <v>266</v>
      </c>
      <c r="BE7" s="0" t="s">
        <v>267</v>
      </c>
      <c r="BF7" s="0" t="n">
        <v>29760021</v>
      </c>
      <c r="BG7" s="0" t="n">
        <v>11796527</v>
      </c>
      <c r="BH7" s="0" t="n">
        <v>2079927</v>
      </c>
      <c r="BI7" s="0" t="n">
        <v>63796</v>
      </c>
      <c r="BJ7" s="0" t="n">
        <v>0.00457638851527053</v>
      </c>
      <c r="BL7" s="0" t="n">
        <v>0.088973951924796</v>
      </c>
      <c r="BM7" s="0" t="s">
        <v>266</v>
      </c>
      <c r="BO7" s="0" t="s">
        <v>497</v>
      </c>
      <c r="BP7" s="0" t="n">
        <v>0.995476969752352</v>
      </c>
      <c r="BQ7" s="0" t="n">
        <v>0.996310187998505</v>
      </c>
      <c r="BT7" s="0" t="s">
        <v>497</v>
      </c>
      <c r="BU7" s="0" t="n">
        <v>0.00103743972283934</v>
      </c>
      <c r="BV7" s="0" t="n">
        <v>0.0462867458685396</v>
      </c>
      <c r="BW7" s="0" t="n">
        <v>44.598</v>
      </c>
      <c r="BX7" s="0" t="s">
        <v>267</v>
      </c>
      <c r="BZ7" s="0" t="s">
        <v>267</v>
      </c>
      <c r="CA7" s="0" t="n">
        <v>0</v>
      </c>
      <c r="CD7" s="1" t="n">
        <v>3750</v>
      </c>
      <c r="CE7" s="0" t="n">
        <v>0</v>
      </c>
      <c r="CG7" s="0" t="s">
        <v>266</v>
      </c>
      <c r="CH7" s="0" t="s">
        <v>11</v>
      </c>
      <c r="CI7" s="1" t="s">
        <v>266</v>
      </c>
      <c r="CJ7" s="1" t="n">
        <v>1328</v>
      </c>
      <c r="CK7" s="1" t="n">
        <v>1076</v>
      </c>
      <c r="CL7" s="1" t="n">
        <v>1346</v>
      </c>
    </row>
    <row r="8" customFormat="false" ht="12.75" hidden="false" customHeight="false" outlineLevel="0" collapsed="false">
      <c r="A8" s="1" t="s">
        <v>268</v>
      </c>
      <c r="B8" s="0" t="s">
        <v>12</v>
      </c>
      <c r="C8" s="2" t="n">
        <f aca="false">F8/E8</f>
        <v>0.00295777769394722</v>
      </c>
      <c r="D8" s="2" t="n">
        <v>1</v>
      </c>
      <c r="E8" s="1" t="n">
        <v>848272</v>
      </c>
      <c r="F8" s="1" t="n">
        <v>2509</v>
      </c>
      <c r="G8" s="1" t="n">
        <v>570477</v>
      </c>
      <c r="H8" s="1" t="n">
        <v>275286</v>
      </c>
      <c r="I8" s="1"/>
      <c r="J8" s="1" t="n">
        <v>103730</v>
      </c>
      <c r="K8" s="1" t="n">
        <v>36.1186252771619</v>
      </c>
      <c r="L8" s="1" t="n">
        <f aca="false">BG8+BH8+BI8</f>
        <v>1637440</v>
      </c>
      <c r="M8" s="1" t="n">
        <v>3746585</v>
      </c>
      <c r="N8" s="2" t="n">
        <v>0.0147863247863248</v>
      </c>
      <c r="O8" s="2" t="n">
        <v>0.00794454114516863</v>
      </c>
      <c r="P8" s="38" t="n">
        <f aca="false">BU8^4</f>
        <v>6.58291482583513E-013</v>
      </c>
      <c r="Q8" s="38" t="n">
        <f aca="false">S8/M8</f>
        <v>0.145067841781249</v>
      </c>
      <c r="R8" s="32" t="n">
        <v>922112</v>
      </c>
      <c r="S8" s="31" t="n">
        <v>543509</v>
      </c>
      <c r="T8" s="2" t="n">
        <f aca="false">AH8</f>
        <v>-0.00893720407939124</v>
      </c>
      <c r="U8" s="2" t="n">
        <f aca="false">LN(M8)</f>
        <v>15.1363553163711</v>
      </c>
      <c r="V8" s="2" t="n">
        <f aca="false">LN(N8+1)</f>
        <v>0.0146780728799447</v>
      </c>
      <c r="W8" s="2" t="n">
        <f aca="false">LN(O8)</f>
        <v>-4.83527023457335</v>
      </c>
      <c r="X8" s="2" t="n">
        <f aca="false">LN(P8)</f>
        <v>-28.0491285790235</v>
      </c>
      <c r="Y8" s="2"/>
      <c r="Z8" s="38" t="n">
        <f aca="false">(AB8*AD8)^4</f>
        <v>2.43985624108686E-014</v>
      </c>
      <c r="AA8" s="2" t="n">
        <v>0.35954</v>
      </c>
      <c r="AB8" s="2" t="n">
        <f aca="false">BV8</f>
        <v>0.0385571760941081</v>
      </c>
      <c r="AD8" s="2" t="n">
        <v>0.0102502826364698</v>
      </c>
      <c r="AG8" s="0" t="str">
        <f aca="false">A8</f>
        <v>CO</v>
      </c>
      <c r="AH8" s="2" t="n">
        <f aca="false">'Final-2'!B$41+'Final-2'!B$42*M8+'Final-2'!B$43*N8+'Final-2'!B$44*O8+'Final-2'!B$45*P8</f>
        <v>-0.00893720407939124</v>
      </c>
      <c r="AI8" s="2" t="n">
        <f aca="false">C8</f>
        <v>0.00295777769394722</v>
      </c>
      <c r="AJ8" s="2" t="n">
        <f aca="false">1/ABS(AH8-AI8)</f>
        <v>84.0690653466498</v>
      </c>
      <c r="AK8" s="2" t="n">
        <v>0.612541620421754</v>
      </c>
      <c r="AL8" s="2" t="n">
        <v>0.0329178761893766</v>
      </c>
      <c r="AM8" s="46" t="n">
        <v>0.564441671865253</v>
      </c>
      <c r="AN8" s="46"/>
      <c r="AO8" s="2" t="n">
        <v>0.010797342192691</v>
      </c>
      <c r="AQ8" s="0" t="n">
        <v>0.00295341207573736</v>
      </c>
      <c r="AR8" s="0" t="n">
        <v>11.5495466484259</v>
      </c>
      <c r="AS8" s="0" t="n">
        <v>15.1363553163711</v>
      </c>
      <c r="AT8" s="0" t="n">
        <v>11.3444949789557</v>
      </c>
      <c r="AV8" s="1" t="n">
        <v>6982</v>
      </c>
      <c r="AW8" s="1" t="n">
        <v>11038</v>
      </c>
      <c r="AX8" s="1" t="n">
        <v>6982</v>
      </c>
      <c r="AY8" s="1" t="n">
        <v>9048</v>
      </c>
      <c r="BA8" s="2" t="n">
        <v>0.387458379578246</v>
      </c>
      <c r="BB8" s="2" t="n">
        <v>0.435558328134747</v>
      </c>
      <c r="BC8" s="1" t="s">
        <v>268</v>
      </c>
      <c r="BD8" s="1" t="s">
        <v>268</v>
      </c>
      <c r="BE8" s="0" t="s">
        <v>269</v>
      </c>
      <c r="BF8" s="0" t="n">
        <v>3294394</v>
      </c>
      <c r="BG8" s="0" t="n">
        <v>1124306</v>
      </c>
      <c r="BH8" s="0" t="n">
        <v>495454</v>
      </c>
      <c r="BI8" s="0" t="n">
        <v>17680</v>
      </c>
      <c r="BJ8" s="0" t="n">
        <v>0.010797342192691</v>
      </c>
      <c r="BL8" s="0" t="n">
        <v>0.0329178761893766</v>
      </c>
      <c r="BM8" s="0" t="s">
        <v>268</v>
      </c>
      <c r="BO8" s="0" t="s">
        <v>498</v>
      </c>
      <c r="BP8" s="0" t="n">
        <v>0.992055458854831</v>
      </c>
      <c r="BQ8" s="0" t="n">
        <v>0.98974971736353</v>
      </c>
      <c r="BT8" s="0" t="s">
        <v>498</v>
      </c>
      <c r="BU8" s="0" t="n">
        <v>0.00090075059772006</v>
      </c>
      <c r="BV8" s="0" t="n">
        <v>0.0385571760941081</v>
      </c>
      <c r="BW8" s="0" t="n">
        <v>35.954</v>
      </c>
      <c r="BX8" s="0" t="s">
        <v>269</v>
      </c>
      <c r="BZ8" s="0" t="s">
        <v>269</v>
      </c>
      <c r="CA8" s="0" t="n">
        <v>17.3</v>
      </c>
      <c r="CB8" s="47" t="n">
        <v>6237</v>
      </c>
      <c r="CC8" s="0" t="n">
        <v>1952</v>
      </c>
      <c r="CD8" s="1" t="n">
        <v>1170</v>
      </c>
      <c r="CE8" s="0" t="n">
        <v>0.0147863247863248</v>
      </c>
      <c r="CG8" s="0" t="s">
        <v>268</v>
      </c>
      <c r="CH8" s="0" t="s">
        <v>12</v>
      </c>
      <c r="CI8" s="1" t="s">
        <v>268</v>
      </c>
      <c r="CJ8" s="1" t="n">
        <v>217</v>
      </c>
      <c r="CK8" s="1" t="n">
        <v>185</v>
      </c>
      <c r="CL8" s="1" t="n">
        <v>768</v>
      </c>
    </row>
    <row r="9" customFormat="false" ht="12.75" hidden="false" customHeight="false" outlineLevel="0" collapsed="false">
      <c r="A9" s="1" t="s">
        <v>270</v>
      </c>
      <c r="B9" s="0" t="s">
        <v>13</v>
      </c>
      <c r="C9" s="2" t="n">
        <f aca="false">F9/E9</f>
        <v>0.000259885785260088</v>
      </c>
      <c r="D9" s="2" t="n">
        <v>1</v>
      </c>
      <c r="E9" s="1" t="n">
        <v>888852</v>
      </c>
      <c r="F9" s="1" t="n">
        <v>231</v>
      </c>
      <c r="G9" s="1" t="n">
        <v>646754</v>
      </c>
      <c r="H9" s="1" t="n">
        <v>241867</v>
      </c>
      <c r="I9" s="1"/>
      <c r="J9" s="1" t="n">
        <v>4845</v>
      </c>
      <c r="K9" s="1" t="n">
        <v>675.884829721362</v>
      </c>
      <c r="L9" s="1" t="n">
        <f aca="false">BG9+BH9+BI9</f>
        <v>1673442</v>
      </c>
      <c r="M9" s="1" t="n">
        <v>3274662</v>
      </c>
      <c r="N9" s="2" t="n">
        <v>0.357749077490775</v>
      </c>
      <c r="O9" s="2" t="n">
        <v>0.0456124226267046</v>
      </c>
      <c r="P9" s="38" t="n">
        <f aca="false">BU9^4</f>
        <v>2.67978152112005E-008</v>
      </c>
      <c r="Q9" s="38" t="n">
        <f aca="false">S9/M9</f>
        <v>0.169944562217414</v>
      </c>
      <c r="R9" s="32" t="n">
        <v>1153096</v>
      </c>
      <c r="S9" s="31" t="n">
        <v>556511</v>
      </c>
      <c r="T9" s="2" t="n">
        <f aca="false">AH9</f>
        <v>0.126203933231169</v>
      </c>
      <c r="U9" s="2" t="n">
        <f aca="false">LN(M9)</f>
        <v>15.0017252156185</v>
      </c>
      <c r="V9" s="2" t="n">
        <f aca="false">LN(N9+1)</f>
        <v>0.305828238492907</v>
      </c>
      <c r="W9" s="2" t="n">
        <f aca="false">LN(O9)</f>
        <v>-3.0875751735388</v>
      </c>
      <c r="X9" s="2" t="n">
        <f aca="false">LN(P9)</f>
        <v>-17.4349454747228</v>
      </c>
      <c r="Y9" s="2"/>
      <c r="Z9" s="38" t="n">
        <f aca="false">(AB9*AD9)^4</f>
        <v>2.32378080443981E-008</v>
      </c>
      <c r="AA9" s="2" t="n">
        <v>0.00238</v>
      </c>
      <c r="AB9" s="2" t="n">
        <f aca="false">BV9</f>
        <v>0.260230429297339</v>
      </c>
      <c r="AD9" s="2" t="n">
        <v>0.0474450284948841</v>
      </c>
      <c r="AG9" s="0" t="str">
        <f aca="false">A9</f>
        <v>CT</v>
      </c>
      <c r="AH9" s="2" t="n">
        <f aca="false">'Final-2'!B$41+'Final-2'!B$42*M9+'Final-2'!B$43*N9+'Final-2'!B$44*O9+'Final-2'!B$45*P9</f>
        <v>0.126203933231169</v>
      </c>
      <c r="AI9" s="2" t="n">
        <f aca="false">C9</f>
        <v>0.000259885785260088</v>
      </c>
      <c r="AJ9" s="2" t="n">
        <f aca="false">1/ABS(AH9-AI9)</f>
        <v>7.94003385058342</v>
      </c>
      <c r="AK9" s="2" t="n">
        <v>0.975836177474403</v>
      </c>
      <c r="AL9" s="2" t="n">
        <v>0.291252179773876</v>
      </c>
      <c r="AM9" s="46" t="n">
        <v>0.985294117647059</v>
      </c>
      <c r="AN9" s="46"/>
      <c r="AO9" s="2" t="n">
        <v>0.0483470595335841</v>
      </c>
      <c r="AQ9" s="0" t="n">
        <v>0.000259852020799158</v>
      </c>
      <c r="AR9" s="0" t="n">
        <v>8.48570252432487</v>
      </c>
      <c r="AS9" s="0" t="n">
        <v>15.0017252156185</v>
      </c>
      <c r="AT9" s="0" t="n">
        <v>9.9281801651265</v>
      </c>
      <c r="AV9" s="1" t="n">
        <v>177</v>
      </c>
      <c r="AW9" s="1" t="n">
        <v>7148</v>
      </c>
      <c r="AX9" s="1" t="n">
        <v>177</v>
      </c>
      <c r="AY9" s="1" t="n">
        <v>11859</v>
      </c>
      <c r="BA9" s="2" t="n">
        <v>0.0241638225255973</v>
      </c>
      <c r="BB9" s="2" t="n">
        <v>0.0147058823529412</v>
      </c>
      <c r="BC9" s="1" t="s">
        <v>270</v>
      </c>
      <c r="BD9" s="1" t="s">
        <v>270</v>
      </c>
      <c r="BE9" s="0" t="s">
        <v>271</v>
      </c>
      <c r="BF9" s="0" t="n">
        <v>3287116</v>
      </c>
      <c r="BG9" s="0" t="n">
        <v>1308624</v>
      </c>
      <c r="BH9" s="0" t="n">
        <v>283912</v>
      </c>
      <c r="BI9" s="0" t="n">
        <v>80906</v>
      </c>
      <c r="BJ9" s="0" t="n">
        <v>0.0483470595335841</v>
      </c>
      <c r="BL9" s="0" t="n">
        <v>0.291252179773876</v>
      </c>
      <c r="BM9" s="0" t="s">
        <v>270</v>
      </c>
      <c r="BO9" s="0" t="s">
        <v>499</v>
      </c>
      <c r="BP9" s="0" t="n">
        <v>0.954387577373295</v>
      </c>
      <c r="BQ9" s="0" t="n">
        <v>0.952554971505116</v>
      </c>
      <c r="BT9" s="0" t="s">
        <v>499</v>
      </c>
      <c r="BU9" s="0" t="n">
        <v>0.0127945450267138</v>
      </c>
      <c r="BV9" s="0" t="n">
        <v>0.260230429297339</v>
      </c>
      <c r="BW9" s="0" t="n">
        <v>0.238</v>
      </c>
      <c r="BX9" s="0" t="s">
        <v>271</v>
      </c>
      <c r="BZ9" s="0" t="s">
        <v>271</v>
      </c>
      <c r="CA9" s="0" t="n">
        <v>193.9</v>
      </c>
      <c r="CB9" s="42" t="n">
        <v>502092</v>
      </c>
      <c r="CC9" s="0" t="s">
        <v>500</v>
      </c>
      <c r="CD9" s="1" t="n">
        <v>542</v>
      </c>
      <c r="CE9" s="0" t="n">
        <v>0.357749077490775</v>
      </c>
      <c r="CG9" s="0" t="s">
        <v>270</v>
      </c>
      <c r="CH9" s="0" t="s">
        <v>13</v>
      </c>
      <c r="CI9" s="1" t="s">
        <v>270</v>
      </c>
      <c r="CJ9" s="1" t="n">
        <v>196</v>
      </c>
      <c r="CK9" s="1" t="n">
        <v>245</v>
      </c>
      <c r="CL9" s="1" t="n">
        <v>101</v>
      </c>
    </row>
    <row r="10" customFormat="false" ht="12.75" hidden="false" customHeight="false" outlineLevel="0" collapsed="false">
      <c r="A10" s="1" t="s">
        <v>272</v>
      </c>
      <c r="B10" s="0" t="s">
        <v>14</v>
      </c>
      <c r="C10" s="2" t="n">
        <f aca="false">F10/E10</f>
        <v>0.252590047672857</v>
      </c>
      <c r="D10" s="2" t="n">
        <v>1</v>
      </c>
      <c r="E10" s="1" t="n">
        <v>262833</v>
      </c>
      <c r="F10" s="1" t="n">
        <v>66389</v>
      </c>
      <c r="G10" s="1" t="n">
        <v>132272</v>
      </c>
      <c r="H10" s="1" t="n">
        <v>64172</v>
      </c>
      <c r="I10" s="1"/>
      <c r="J10" s="1" t="n">
        <v>1955</v>
      </c>
      <c r="K10" s="1" t="n">
        <v>366.852685421995</v>
      </c>
      <c r="L10" s="1" t="n">
        <f aca="false">BG10+BH10+BI10</f>
        <v>334126</v>
      </c>
      <c r="M10" s="1" t="n">
        <v>717197</v>
      </c>
      <c r="N10" s="2" t="n">
        <v>0.219607843137255</v>
      </c>
      <c r="O10" s="2" t="n">
        <v>0.138328875404208</v>
      </c>
      <c r="P10" s="38" t="n">
        <f aca="false">BU10^4</f>
        <v>2.04082824400193E-008</v>
      </c>
      <c r="Q10" s="38" t="n">
        <f aca="false">S10/M10</f>
        <v>0.27999280532406</v>
      </c>
      <c r="R10" s="32" t="n">
        <v>441222</v>
      </c>
      <c r="S10" s="31" t="n">
        <v>200810</v>
      </c>
      <c r="T10" s="2" t="n">
        <f aca="false">AH10</f>
        <v>0.152902659966387</v>
      </c>
      <c r="U10" s="2" t="n">
        <f aca="false">LN(M10)</f>
        <v>13.4831058377707</v>
      </c>
      <c r="V10" s="2" t="n">
        <f aca="false">LN(N10+1)</f>
        <v>0.198529367020808</v>
      </c>
      <c r="W10" s="2" t="n">
        <f aca="false">LN(O10)</f>
        <v>-1.9781212739325</v>
      </c>
      <c r="X10" s="2" t="n">
        <f aca="false">LN(P10)</f>
        <v>-17.707325016531</v>
      </c>
      <c r="Y10" s="2"/>
      <c r="Z10" s="38" t="n">
        <f aca="false">(AB10*AD10)^4</f>
        <v>1.62152587123535E-008</v>
      </c>
      <c r="AA10" s="2" t="n">
        <v>0.02219</v>
      </c>
      <c r="AB10" s="2" t="n">
        <f aca="false">BV10</f>
        <v>0.118726708029446</v>
      </c>
      <c r="AD10" s="2" t="n">
        <v>0.0950457155007443</v>
      </c>
      <c r="AG10" s="0" t="str">
        <f aca="false">A10</f>
        <v>DE</v>
      </c>
      <c r="AH10" s="2" t="n">
        <f aca="false">'Final-2'!B$41+'Final-2'!B$42*M10+'Final-2'!B$43*N10+'Final-2'!B$44*O10+'Final-2'!B$45*P10</f>
        <v>0.152902659966387</v>
      </c>
      <c r="AI10" s="2" t="n">
        <f aca="false">C10</f>
        <v>0.252590047672857</v>
      </c>
      <c r="AJ10" s="2" t="n">
        <f aca="false">1/ABS(AH10-AI10)</f>
        <v>10.031359262262</v>
      </c>
      <c r="AK10" s="2" t="n">
        <v>0.984273110855389</v>
      </c>
      <c r="AL10" s="2" t="n">
        <v>0.007042591249551</v>
      </c>
      <c r="AM10" s="46" t="n">
        <v>0.964035087719298</v>
      </c>
      <c r="AN10" s="46"/>
      <c r="AO10" s="2" t="n">
        <v>0.0968706416142413</v>
      </c>
      <c r="AQ10" s="0" t="n">
        <v>0.225213445742194</v>
      </c>
      <c r="AR10" s="0" t="n">
        <v>7.57814547241947</v>
      </c>
      <c r="AS10" s="0" t="n">
        <v>13.4831058377707</v>
      </c>
      <c r="AT10" s="0" t="n">
        <v>8.63604232525462</v>
      </c>
      <c r="AV10" s="1" t="n">
        <v>82</v>
      </c>
      <c r="AW10" s="1" t="n">
        <v>5132</v>
      </c>
      <c r="AX10" s="1" t="n">
        <v>82</v>
      </c>
      <c r="AY10" s="1" t="n">
        <v>2198</v>
      </c>
      <c r="BA10" s="2" t="n">
        <v>0.0157268891446107</v>
      </c>
      <c r="BB10" s="2" t="n">
        <v>0.0359649122807018</v>
      </c>
      <c r="BC10" s="1" t="s">
        <v>272</v>
      </c>
      <c r="BD10" s="1" t="s">
        <v>272</v>
      </c>
      <c r="BE10" s="0" t="s">
        <v>273</v>
      </c>
      <c r="BF10" s="0" t="n">
        <v>666168</v>
      </c>
      <c r="BG10" s="0" t="n">
        <v>287659</v>
      </c>
      <c r="BH10" s="0" t="n">
        <v>14100</v>
      </c>
      <c r="BI10" s="0" t="n">
        <v>32367</v>
      </c>
      <c r="BJ10" s="0" t="n">
        <v>0.0968706416142413</v>
      </c>
      <c r="BL10" s="0" t="n">
        <v>0.007042591249551</v>
      </c>
      <c r="BM10" s="0" t="s">
        <v>272</v>
      </c>
      <c r="BO10" s="0" t="s">
        <v>501</v>
      </c>
      <c r="BP10" s="0" t="n">
        <v>0.861671124595792</v>
      </c>
      <c r="BQ10" s="0" t="n">
        <v>0.904954284499256</v>
      </c>
      <c r="BT10" s="0" t="s">
        <v>501</v>
      </c>
      <c r="BU10" s="0" t="n">
        <v>0.0119523035423315</v>
      </c>
      <c r="BV10" s="0" t="n">
        <v>0.118726708029446</v>
      </c>
      <c r="BW10" s="0" t="n">
        <v>2.219</v>
      </c>
      <c r="BX10" s="0" t="s">
        <v>273</v>
      </c>
      <c r="BZ10" s="0" t="s">
        <v>273</v>
      </c>
      <c r="CA10" s="0" t="n">
        <v>11.2</v>
      </c>
      <c r="CB10" s="42" t="n">
        <v>30000</v>
      </c>
      <c r="CC10" s="0" t="n">
        <v>1963</v>
      </c>
      <c r="CD10" s="1" t="n">
        <v>51</v>
      </c>
      <c r="CE10" s="0" t="n">
        <v>0.219607843137255</v>
      </c>
      <c r="CG10" s="0" t="s">
        <v>272</v>
      </c>
      <c r="CH10" s="0" t="s">
        <v>14</v>
      </c>
      <c r="CI10" s="1" t="s">
        <v>272</v>
      </c>
      <c r="CJ10" s="1" t="n">
        <v>11</v>
      </c>
      <c r="CK10" s="1" t="n">
        <v>40</v>
      </c>
      <c r="CL10" s="1" t="n">
        <v>0</v>
      </c>
    </row>
    <row r="11" customFormat="false" ht="12.75" hidden="false" customHeight="false" outlineLevel="0" collapsed="false">
      <c r="A11" s="1" t="s">
        <v>274</v>
      </c>
      <c r="B11" s="0" t="s">
        <v>15</v>
      </c>
      <c r="C11" s="2" t="n">
        <f aca="false">F11/E11</f>
        <v>0.0778335546482334</v>
      </c>
      <c r="D11" s="2" t="n">
        <v>1</v>
      </c>
      <c r="E11" s="1" t="n">
        <v>3867792</v>
      </c>
      <c r="F11" s="1" t="n">
        <v>301044</v>
      </c>
      <c r="G11" s="1" t="n">
        <v>2453078</v>
      </c>
      <c r="H11" s="1" t="n">
        <v>1113670</v>
      </c>
      <c r="I11" s="1"/>
      <c r="J11" s="1" t="n">
        <v>53997</v>
      </c>
      <c r="K11" s="1" t="n">
        <v>262.339944811749</v>
      </c>
      <c r="L11" s="1" t="n">
        <f aca="false">BG11+BH11+BI11</f>
        <v>5794452</v>
      </c>
      <c r="M11" s="1" t="n">
        <v>14165570</v>
      </c>
      <c r="N11" s="2" t="n">
        <v>0.111015583019882</v>
      </c>
      <c r="O11" s="2" t="n">
        <v>0.00799421046196813</v>
      </c>
      <c r="P11" s="38" t="n">
        <f aca="false">BU11^4</f>
        <v>3.65523418920916E-012</v>
      </c>
      <c r="Q11" s="38" t="n">
        <f aca="false">S11/M11</f>
        <v>0.0930139768466783</v>
      </c>
      <c r="R11" s="32" t="n">
        <v>3421260</v>
      </c>
      <c r="S11" s="31" t="n">
        <v>1317596</v>
      </c>
      <c r="T11" s="2" t="n">
        <f aca="false">AH11</f>
        <v>0.0598255409891766</v>
      </c>
      <c r="U11" s="2" t="n">
        <f aca="false">LN(M11)</f>
        <v>16.4663249304654</v>
      </c>
      <c r="V11" s="2" t="n">
        <f aca="false">LN(N11+1)</f>
        <v>0.105274536679634</v>
      </c>
      <c r="W11" s="2" t="n">
        <f aca="false">LN(O11)</f>
        <v>-4.82903769154793</v>
      </c>
      <c r="X11" s="2" t="n">
        <f aca="false">LN(P11)</f>
        <v>-26.3348609511244</v>
      </c>
      <c r="Y11" s="2"/>
      <c r="Z11" s="38" t="n">
        <f aca="false">(AB11*AD11)^4</f>
        <v>1.53467715529822E-013</v>
      </c>
      <c r="AA11" s="2" t="n">
        <v>0.07562</v>
      </c>
      <c r="AB11" s="2" t="n">
        <f aca="false">BV11</f>
        <v>0.0626719688727428</v>
      </c>
      <c r="AD11" s="2" t="n">
        <v>0.00998690499789412</v>
      </c>
      <c r="AG11" s="0" t="str">
        <f aca="false">A11</f>
        <v>FL</v>
      </c>
      <c r="AH11" s="2" t="n">
        <f aca="false">'Final-2'!B$41+'Final-2'!B$42*M11+'Final-2'!B$43*N11+'Final-2'!B$44*O11+'Final-2'!B$45*P11</f>
        <v>0.0598255409891766</v>
      </c>
      <c r="AI11" s="2" t="n">
        <f aca="false">C11</f>
        <v>0.0778335546482334</v>
      </c>
      <c r="AJ11" s="2" t="n">
        <f aca="false">1/ABS(AH11-AI11)</f>
        <v>55.5308330464902</v>
      </c>
      <c r="AK11" s="2" t="n">
        <v>0.592807385364534</v>
      </c>
      <c r="AL11" s="2" t="n">
        <v>0.287414776355214</v>
      </c>
      <c r="AM11" s="46" t="n">
        <v>0.438938589134284</v>
      </c>
      <c r="AN11" s="46"/>
      <c r="AO11" s="2" t="n">
        <v>0.0106589889777325</v>
      </c>
      <c r="AQ11" s="0" t="n">
        <v>0.0749530585695172</v>
      </c>
      <c r="AR11" s="0" t="n">
        <v>10.8966837684476</v>
      </c>
      <c r="AS11" s="0" t="n">
        <v>16.4663249304654</v>
      </c>
      <c r="AT11" s="0" t="n">
        <v>11.6420044603685</v>
      </c>
      <c r="AV11" s="1" t="n">
        <v>24083</v>
      </c>
      <c r="AW11" s="1" t="n">
        <v>35061</v>
      </c>
      <c r="AX11" s="1" t="n">
        <v>24083</v>
      </c>
      <c r="AY11" s="1" t="n">
        <v>18841</v>
      </c>
      <c r="BA11" s="2" t="n">
        <v>0.407192614635466</v>
      </c>
      <c r="BB11" s="2" t="n">
        <v>0.561061410865716</v>
      </c>
      <c r="BC11" s="1" t="s">
        <v>274</v>
      </c>
      <c r="BD11" s="1" t="s">
        <v>274</v>
      </c>
      <c r="BE11" s="0" t="s">
        <v>275</v>
      </c>
      <c r="BF11" s="0" t="n">
        <v>12937926</v>
      </c>
      <c r="BG11" s="0" t="n">
        <v>4956240</v>
      </c>
      <c r="BH11" s="0" t="n">
        <v>776449</v>
      </c>
      <c r="BI11" s="0" t="n">
        <v>61763</v>
      </c>
      <c r="BJ11" s="0" t="n">
        <v>0.0106589889777325</v>
      </c>
      <c r="BL11" s="0" t="n">
        <v>0.287414776355214</v>
      </c>
      <c r="BM11" s="0" t="s">
        <v>274</v>
      </c>
      <c r="BO11" s="0" t="s">
        <v>502</v>
      </c>
      <c r="BP11" s="0" t="n">
        <v>0.992005789538032</v>
      </c>
      <c r="BQ11" s="0" t="n">
        <v>0.990013095002106</v>
      </c>
      <c r="BT11" s="0" t="s">
        <v>502</v>
      </c>
      <c r="BU11" s="0" t="n">
        <v>0.00138270267108668</v>
      </c>
      <c r="BV11" s="0" t="n">
        <v>0.0626719688727428</v>
      </c>
      <c r="BW11" s="0" t="n">
        <v>7.562</v>
      </c>
      <c r="BX11" s="0" t="s">
        <v>275</v>
      </c>
      <c r="BZ11" s="0" t="s">
        <v>275</v>
      </c>
      <c r="CA11" s="0" t="n">
        <v>206.6</v>
      </c>
      <c r="CB11" s="42" t="n">
        <v>171783</v>
      </c>
      <c r="CC11" s="0" t="s">
        <v>503</v>
      </c>
      <c r="CD11" s="1" t="n">
        <v>1861</v>
      </c>
      <c r="CE11" s="0" t="n">
        <v>0.111015583019882</v>
      </c>
      <c r="CG11" s="0" t="s">
        <v>274</v>
      </c>
      <c r="CH11" s="0" t="s">
        <v>15</v>
      </c>
      <c r="CI11" s="1" t="s">
        <v>274</v>
      </c>
      <c r="CJ11" s="1" t="n">
        <v>389</v>
      </c>
      <c r="CK11" s="1" t="n">
        <v>526</v>
      </c>
      <c r="CL11" s="1" t="n">
        <v>946</v>
      </c>
    </row>
    <row r="12" customFormat="false" ht="12.75" hidden="false" customHeight="false" outlineLevel="0" collapsed="false">
      <c r="A12" s="1" t="s">
        <v>276</v>
      </c>
      <c r="B12" s="0" t="s">
        <v>16</v>
      </c>
      <c r="C12" s="2" t="n">
        <f aca="false">F12/E12</f>
        <v>0.0041858290740556</v>
      </c>
      <c r="D12" s="2" t="n">
        <v>1</v>
      </c>
      <c r="E12" s="1" t="n">
        <v>1343342</v>
      </c>
      <c r="F12" s="1" t="n">
        <v>5623</v>
      </c>
      <c r="G12" s="1" t="n">
        <v>576266</v>
      </c>
      <c r="H12" s="1" t="n">
        <v>761453</v>
      </c>
      <c r="I12" s="1"/>
      <c r="J12" s="1" t="n">
        <v>57919</v>
      </c>
      <c r="K12" s="1" t="n">
        <v>124.326766691414</v>
      </c>
      <c r="L12" s="1" t="n">
        <f aca="false">BG12+BH12+BI12</f>
        <v>3106393</v>
      </c>
      <c r="M12" s="1" t="n">
        <v>7200882</v>
      </c>
      <c r="N12" s="2" t="n">
        <v>0.00785562632696391</v>
      </c>
      <c r="O12" s="2" t="n">
        <v>0.0281378236648974</v>
      </c>
      <c r="P12" s="38" t="n">
        <f aca="false">BU12^4</f>
        <v>9.95886785099514E-013</v>
      </c>
      <c r="Q12" s="38" t="n">
        <f aca="false">S12/M12</f>
        <v>0.0771227746823236</v>
      </c>
      <c r="R12" s="32" t="n">
        <v>1436829</v>
      </c>
      <c r="S12" s="31" t="n">
        <v>555352</v>
      </c>
      <c r="T12" s="2" t="n">
        <f aca="false">AH12</f>
        <v>0.0193009735759223</v>
      </c>
      <c r="U12" s="2" t="n">
        <f aca="false">LN(M12)</f>
        <v>15.7897140764838</v>
      </c>
      <c r="V12" s="2" t="n">
        <f aca="false">LN(N12+1)</f>
        <v>0.00782493154085471</v>
      </c>
      <c r="W12" s="2" t="n">
        <f aca="false">LN(O12)</f>
        <v>-3.57064056984264</v>
      </c>
      <c r="X12" s="2" t="n">
        <f aca="false">LN(P12)</f>
        <v>-27.6351428133658</v>
      </c>
      <c r="Y12" s="2"/>
      <c r="Z12" s="38" t="n">
        <f aca="false">(AB12*AD12)^4</f>
        <v>5.88573173228564E-014</v>
      </c>
      <c r="AA12" s="2" t="n">
        <v>0.03892</v>
      </c>
      <c r="AB12" s="2" t="n">
        <f aca="false">BV12</f>
        <v>0.0206160900363821</v>
      </c>
      <c r="AD12" s="2" t="n">
        <v>0.0238915218027792</v>
      </c>
      <c r="AG12" s="0" t="str">
        <f aca="false">A12</f>
        <v>GA</v>
      </c>
      <c r="AH12" s="2" t="n">
        <f aca="false">'Final-2'!B$41+'Final-2'!B$42*M12+'Final-2'!B$43*N12+'Final-2'!B$44*O12+'Final-2'!B$45*P12</f>
        <v>0.0193009735759223</v>
      </c>
      <c r="AI12" s="2" t="n">
        <f aca="false">C12</f>
        <v>0.0041858290740556</v>
      </c>
      <c r="AJ12" s="2" t="n">
        <f aca="false">1/ABS(AH12-AI12)</f>
        <v>66.158811771631</v>
      </c>
      <c r="AK12" s="2" t="n">
        <v>0.6700310830161</v>
      </c>
      <c r="AL12" s="2" t="n">
        <v>0.170995862827209</v>
      </c>
      <c r="AM12" s="46" t="n">
        <v>0.659960410293324</v>
      </c>
      <c r="AN12" s="46"/>
      <c r="AO12" s="2" t="n">
        <v>0.0245957288726829</v>
      </c>
      <c r="AQ12" s="0" t="n">
        <v>0.00417709286191255</v>
      </c>
      <c r="AR12" s="0" t="n">
        <v>10.9668007617172</v>
      </c>
      <c r="AS12" s="0" t="n">
        <v>15.7897140764838</v>
      </c>
      <c r="AT12" s="0" t="n">
        <v>11.6197419202334</v>
      </c>
      <c r="AV12" s="1" t="n">
        <v>9448</v>
      </c>
      <c r="AW12" s="1" t="n">
        <v>19185</v>
      </c>
      <c r="AX12" s="1" t="n">
        <v>9448</v>
      </c>
      <c r="AY12" s="1" t="n">
        <v>18337</v>
      </c>
      <c r="BA12" s="2" t="n">
        <v>0.3299689169839</v>
      </c>
      <c r="BB12" s="2" t="n">
        <v>0.340039589706676</v>
      </c>
      <c r="BC12" s="1" t="s">
        <v>276</v>
      </c>
      <c r="BD12" s="1" t="s">
        <v>276</v>
      </c>
      <c r="BE12" s="0" t="s">
        <v>277</v>
      </c>
      <c r="BF12" s="0" t="n">
        <v>6478216</v>
      </c>
      <c r="BG12" s="0" t="n">
        <v>1935479</v>
      </c>
      <c r="BH12" s="0" t="n">
        <v>1094510</v>
      </c>
      <c r="BI12" s="0" t="n">
        <v>76404</v>
      </c>
      <c r="BJ12" s="0" t="n">
        <v>0.0245957288726829</v>
      </c>
      <c r="BL12" s="0" t="n">
        <v>0.170995862827209</v>
      </c>
      <c r="BM12" s="0" t="s">
        <v>276</v>
      </c>
      <c r="BO12" s="0" t="s">
        <v>504</v>
      </c>
      <c r="BP12" s="0" t="n">
        <v>0.971862176335103</v>
      </c>
      <c r="BQ12" s="0" t="n">
        <v>0.976108478197221</v>
      </c>
      <c r="BT12" s="0" t="s">
        <v>504</v>
      </c>
      <c r="BU12" s="0" t="n">
        <v>0.000998970106345577</v>
      </c>
      <c r="BV12" s="0" t="n">
        <v>0.0206160900363821</v>
      </c>
      <c r="BW12" s="0" t="n">
        <v>3.892</v>
      </c>
      <c r="BX12" s="0" t="s">
        <v>277</v>
      </c>
      <c r="BZ12" s="0" t="s">
        <v>277</v>
      </c>
      <c r="CA12" s="0" t="n">
        <v>11.1</v>
      </c>
      <c r="CB12" s="42" t="n">
        <v>3150</v>
      </c>
      <c r="CC12" s="0" t="n">
        <v>1924</v>
      </c>
      <c r="CD12" s="1" t="n">
        <v>1413</v>
      </c>
      <c r="CE12" s="0" t="n">
        <v>0.00785562632696391</v>
      </c>
      <c r="CG12" s="0" t="s">
        <v>276</v>
      </c>
      <c r="CH12" s="0" t="s">
        <v>16</v>
      </c>
      <c r="CI12" s="1" t="s">
        <v>276</v>
      </c>
      <c r="CJ12" s="1" t="n">
        <v>171</v>
      </c>
      <c r="CK12" s="1" t="n">
        <v>435</v>
      </c>
      <c r="CL12" s="1" t="n">
        <v>807</v>
      </c>
    </row>
    <row r="13" customFormat="false" ht="12.75" hidden="false" customHeight="false" outlineLevel="0" collapsed="false">
      <c r="A13" s="1" t="s">
        <v>278</v>
      </c>
      <c r="B13" s="0" t="s">
        <v>17</v>
      </c>
      <c r="C13" s="2" t="n">
        <f aca="false">F13/E13</f>
        <v>0</v>
      </c>
      <c r="D13" s="2" t="n">
        <v>1</v>
      </c>
      <c r="E13" s="1" t="n">
        <v>229449</v>
      </c>
      <c r="F13" s="1" t="n">
        <v>0</v>
      </c>
      <c r="G13" s="1" t="n">
        <v>168101</v>
      </c>
      <c r="H13" s="1" t="n">
        <v>61348</v>
      </c>
      <c r="I13" s="1"/>
      <c r="J13" s="1" t="n">
        <v>6423</v>
      </c>
      <c r="K13" s="1" t="n">
        <v>184.775805698272</v>
      </c>
      <c r="L13" s="1" t="n">
        <f aca="false">BG13+BH13+BI13</f>
        <v>567765</v>
      </c>
      <c r="M13" s="1" t="n">
        <v>1186815</v>
      </c>
      <c r="N13" s="2" t="n">
        <v>0</v>
      </c>
      <c r="O13" s="2" t="n">
        <v>0.00952409571468726</v>
      </c>
      <c r="P13" s="38" t="n">
        <f aca="false">BU13^4</f>
        <v>4.11770253782566E-011</v>
      </c>
      <c r="Q13" s="38" t="n">
        <f aca="false">S13/M13</f>
        <v>0.122725108799602</v>
      </c>
      <c r="R13" s="32" t="n">
        <v>359706</v>
      </c>
      <c r="S13" s="31" t="n">
        <v>145652</v>
      </c>
      <c r="T13" s="2" t="n">
        <f aca="false">AH13</f>
        <v>-0.0218296823794208</v>
      </c>
      <c r="U13" s="2" t="n">
        <f aca="false">LN(M13)</f>
        <v>13.9867838063483</v>
      </c>
      <c r="V13" s="2" t="n">
        <f aca="false">LN(N13+1)</f>
        <v>0</v>
      </c>
      <c r="W13" s="2" t="n">
        <f aca="false">LN(O13)</f>
        <v>-4.65393030056685</v>
      </c>
      <c r="X13" s="2" t="n">
        <f aca="false">LN(P13)</f>
        <v>-23.9131406515602</v>
      </c>
      <c r="Y13" s="2"/>
      <c r="Z13" s="38" t="n">
        <f aca="false">(AB13*AD13)^4</f>
        <v>7.47592283254201E-016</v>
      </c>
      <c r="AA13" s="2" t="n">
        <v>0.08548</v>
      </c>
      <c r="AB13" s="2" t="n">
        <f aca="false">BV13</f>
        <v>0.0353682242605231</v>
      </c>
      <c r="AD13" s="2" t="n">
        <v>0.00467522963157696</v>
      </c>
      <c r="AG13" s="0" t="str">
        <f aca="false">A13</f>
        <v>HI</v>
      </c>
      <c r="AH13" s="2" t="n">
        <f aca="false">'Final-2'!B$41+'Final-2'!B$42*M13+'Final-2'!B$43*N13+'Final-2'!B$44*O13+'Final-2'!B$45*P13</f>
        <v>-0.0218296823794208</v>
      </c>
      <c r="AI13" s="2" t="n">
        <f aca="false">C13</f>
        <v>0</v>
      </c>
      <c r="AJ13" s="2" t="n">
        <f aca="false">1/ABS(AH13-AI13)</f>
        <v>45.8091868960363</v>
      </c>
      <c r="AK13" s="2" t="n">
        <v>0.714285714285714</v>
      </c>
      <c r="AL13" s="2" t="n">
        <v>0.00107186347290372</v>
      </c>
      <c r="AM13" s="46" t="n">
        <v>0.366554863440345</v>
      </c>
      <c r="AN13" s="46"/>
      <c r="AO13" s="2" t="n">
        <v>0.00703283929090381</v>
      </c>
      <c r="AQ13" s="0" t="n">
        <v>0</v>
      </c>
      <c r="AR13" s="0" t="n">
        <v>8.76764057725779</v>
      </c>
      <c r="AS13" s="0" t="n">
        <v>13.9867838063483</v>
      </c>
      <c r="AT13" s="0" t="n">
        <v>8.32675881451173</v>
      </c>
      <c r="AV13" s="1" t="n">
        <v>1322</v>
      </c>
      <c r="AW13" s="1" t="n">
        <v>3305</v>
      </c>
      <c r="AX13" s="1" t="n">
        <v>1322</v>
      </c>
      <c r="AY13" s="1" t="n">
        <v>765</v>
      </c>
      <c r="BA13" s="2" t="n">
        <v>0.285714285714286</v>
      </c>
      <c r="BB13" s="2" t="n">
        <v>0.633445136559655</v>
      </c>
      <c r="BC13" s="1" t="s">
        <v>278</v>
      </c>
      <c r="BD13" s="1" t="s">
        <v>278</v>
      </c>
      <c r="BE13" s="0" t="s">
        <v>279</v>
      </c>
      <c r="BF13" s="0" t="n">
        <v>1108229</v>
      </c>
      <c r="BG13" s="0" t="n">
        <v>560286</v>
      </c>
      <c r="BH13" s="0" t="n">
        <v>3486</v>
      </c>
      <c r="BI13" s="0" t="n">
        <v>3993</v>
      </c>
      <c r="BJ13" s="0" t="n">
        <v>0.00703283929090381</v>
      </c>
      <c r="BL13" s="0" t="n">
        <v>0.00107186347290372</v>
      </c>
      <c r="BM13" s="0" t="s">
        <v>278</v>
      </c>
      <c r="BO13" s="0" t="s">
        <v>505</v>
      </c>
      <c r="BP13" s="0" t="n">
        <v>0.990475904285313</v>
      </c>
      <c r="BQ13" s="0" t="n">
        <v>0.995324770368423</v>
      </c>
      <c r="BT13" s="0" t="s">
        <v>505</v>
      </c>
      <c r="BU13" s="0" t="n">
        <v>0.00253316653774324</v>
      </c>
      <c r="BV13" s="0" t="n">
        <v>0.0353682242605231</v>
      </c>
      <c r="BW13" s="0" t="n">
        <v>8.548</v>
      </c>
      <c r="BX13" s="0" t="s">
        <v>279</v>
      </c>
      <c r="BZ13" s="0" t="s">
        <v>279</v>
      </c>
      <c r="CA13" s="0" t="n">
        <v>0</v>
      </c>
      <c r="CD13" s="1" t="n">
        <v>77</v>
      </c>
      <c r="CE13" s="0" t="n">
        <v>0</v>
      </c>
      <c r="CG13" s="0" t="s">
        <v>278</v>
      </c>
      <c r="CH13" s="0" t="s">
        <v>17</v>
      </c>
      <c r="CI13" s="1" t="s">
        <v>278</v>
      </c>
      <c r="CJ13" s="1" t="n">
        <v>34</v>
      </c>
      <c r="CK13" s="1" t="n">
        <v>43</v>
      </c>
      <c r="CL13" s="1" t="n">
        <v>0</v>
      </c>
    </row>
    <row r="14" customFormat="false" ht="12.75" hidden="false" customHeight="false" outlineLevel="0" collapsed="false">
      <c r="A14" s="1" t="s">
        <v>280</v>
      </c>
      <c r="B14" s="0" t="s">
        <v>18</v>
      </c>
      <c r="C14" s="2" t="n">
        <f aca="false">F14/E14</f>
        <v>0</v>
      </c>
      <c r="D14" s="2" t="n">
        <v>1</v>
      </c>
      <c r="E14" s="1" t="n">
        <v>335569</v>
      </c>
      <c r="F14" s="1" t="n">
        <v>0</v>
      </c>
      <c r="G14" s="1" t="n">
        <v>231352</v>
      </c>
      <c r="H14" s="1" t="n">
        <v>104217</v>
      </c>
      <c r="I14" s="1"/>
      <c r="J14" s="1" t="n">
        <v>82751</v>
      </c>
      <c r="K14" s="1" t="n">
        <v>14.0573648656814</v>
      </c>
      <c r="L14" s="1" t="n">
        <f aca="false">BG14+BH14+BI14</f>
        <v>5351411</v>
      </c>
      <c r="M14" s="1" t="n">
        <v>1163261</v>
      </c>
      <c r="N14" s="2" t="n">
        <v>0</v>
      </c>
      <c r="O14" s="2" t="n">
        <v>0.0261485883128481</v>
      </c>
      <c r="P14" s="38" t="n">
        <f aca="false">BU14^4</f>
        <v>1.71548959608199E-012</v>
      </c>
      <c r="Q14" s="38" t="n">
        <f aca="false">S14/M14</f>
        <v>0.15856716592407</v>
      </c>
      <c r="R14" s="34" t="n">
        <v>349964</v>
      </c>
      <c r="S14" s="31" t="n">
        <v>184455</v>
      </c>
      <c r="T14" s="2" t="n">
        <f aca="false">AH14</f>
        <v>-0.00786112454893399</v>
      </c>
      <c r="U14" s="2" t="n">
        <f aca="false">LN(M14)</f>
        <v>13.966737825927</v>
      </c>
      <c r="V14" s="2" t="n">
        <f aca="false">LN(N14+1)</f>
        <v>0</v>
      </c>
      <c r="W14" s="2" t="n">
        <f aca="false">LN(O14)</f>
        <v>-3.64396007414072</v>
      </c>
      <c r="X14" s="2" t="n">
        <f aca="false">LN(P14)</f>
        <v>-27.0913225972869</v>
      </c>
      <c r="Y14" s="2"/>
      <c r="Z14" s="38" t="n">
        <f aca="false">(AB14*AD14)^4</f>
        <v>1.06293975748878E-012</v>
      </c>
      <c r="AA14" s="2" t="n">
        <v>0.60588</v>
      </c>
      <c r="AB14" s="2" t="n">
        <f aca="false">BV14</f>
        <v>0.0255232505281166</v>
      </c>
      <c r="AD14" s="2" t="n">
        <v>0.0397824182916148</v>
      </c>
      <c r="AG14" s="0" t="str">
        <f aca="false">A14</f>
        <v>ID</v>
      </c>
      <c r="AH14" s="2" t="n">
        <f aca="false">'Final-2'!B$41+'Final-2'!B$42*M14+'Final-2'!B$43*N14+'Final-2'!B$44*O14+'Final-2'!B$45*P14</f>
        <v>-0.00786112454893399</v>
      </c>
      <c r="AI14" s="2" t="n">
        <f aca="false">C14</f>
        <v>0</v>
      </c>
      <c r="AJ14" s="2" t="n">
        <f aca="false">1/ABS(AH14-AI14)</f>
        <v>127.208263114926</v>
      </c>
      <c r="AK14" s="2" t="n">
        <v>0.638462468270277</v>
      </c>
      <c r="AL14" s="2" t="n">
        <v>0.15619767932767</v>
      </c>
      <c r="AM14" s="46" t="n">
        <v>0.699034010867378</v>
      </c>
      <c r="AN14" s="46"/>
      <c r="AO14" s="2" t="n">
        <v>0.0285463030217638</v>
      </c>
      <c r="AQ14" s="0" t="n">
        <v>0</v>
      </c>
      <c r="AR14" s="0" t="n">
        <v>11.3235913777584</v>
      </c>
      <c r="AS14" s="0" t="n">
        <v>13.966737825927</v>
      </c>
      <c r="AT14" s="0" t="n">
        <v>10.9976399104821</v>
      </c>
      <c r="AV14" s="1" t="n">
        <v>11964</v>
      </c>
      <c r="AW14" s="1" t="n">
        <v>21128</v>
      </c>
      <c r="AX14" s="1" t="n">
        <v>11964</v>
      </c>
      <c r="AY14" s="1" t="n">
        <v>27788</v>
      </c>
      <c r="BA14" s="2" t="n">
        <v>0.361537531729723</v>
      </c>
      <c r="BB14" s="2" t="n">
        <v>0.300965989132622</v>
      </c>
      <c r="BC14" s="1" t="s">
        <v>280</v>
      </c>
      <c r="BD14" s="1" t="s">
        <v>280</v>
      </c>
      <c r="BE14" s="0" t="s">
        <v>281</v>
      </c>
      <c r="BF14" s="0" t="n">
        <v>11430602</v>
      </c>
      <c r="BG14" s="0" t="n">
        <v>4200428</v>
      </c>
      <c r="BH14" s="0" t="n">
        <v>998220</v>
      </c>
      <c r="BI14" s="0" t="n">
        <v>152763</v>
      </c>
      <c r="BJ14" s="0" t="n">
        <v>0.0285463030217638</v>
      </c>
      <c r="BL14" s="0" t="n">
        <v>0.15619767932767</v>
      </c>
      <c r="BM14" s="0" t="s">
        <v>280</v>
      </c>
      <c r="BO14" s="0" t="s">
        <v>506</v>
      </c>
      <c r="BP14" s="0" t="n">
        <v>0.973851411687152</v>
      </c>
      <c r="BQ14" s="0" t="n">
        <v>0.960217581708385</v>
      </c>
      <c r="BT14" s="0" t="s">
        <v>506</v>
      </c>
      <c r="BU14" s="0" t="n">
        <v>0.00114445052347599</v>
      </c>
      <c r="BV14" s="0" t="n">
        <v>0.0255232505281166</v>
      </c>
      <c r="BW14" s="0" t="n">
        <v>60.588</v>
      </c>
      <c r="BX14" s="0" t="s">
        <v>281</v>
      </c>
      <c r="BZ14" s="0" t="s">
        <v>281</v>
      </c>
      <c r="CA14" s="0" t="n">
        <v>0</v>
      </c>
      <c r="CD14" s="1" t="n">
        <v>613</v>
      </c>
      <c r="CE14" s="0" t="n">
        <v>0</v>
      </c>
      <c r="CG14" s="0" t="s">
        <v>280</v>
      </c>
      <c r="CH14" s="0" t="s">
        <v>18</v>
      </c>
      <c r="CI14" s="1" t="s">
        <v>280</v>
      </c>
      <c r="CJ14" s="1" t="n">
        <v>0</v>
      </c>
      <c r="CK14" s="1" t="n">
        <v>81</v>
      </c>
      <c r="CL14" s="1" t="n">
        <v>532</v>
      </c>
    </row>
    <row r="15" customFormat="false" ht="12.75" hidden="false" customHeight="false" outlineLevel="0" collapsed="false">
      <c r="A15" s="1" t="s">
        <v>282</v>
      </c>
      <c r="B15" s="0" t="s">
        <v>19</v>
      </c>
      <c r="C15" s="2" t="n">
        <f aca="false">F15/E15</f>
        <v>0.0925020274991467</v>
      </c>
      <c r="D15" s="2" t="n">
        <v>1</v>
      </c>
      <c r="E15" s="1" t="n">
        <v>3099878</v>
      </c>
      <c r="F15" s="1" t="n">
        <v>286745</v>
      </c>
      <c r="G15" s="1" t="n">
        <v>1985634</v>
      </c>
      <c r="H15" s="1" t="n">
        <v>827499</v>
      </c>
      <c r="I15" s="1"/>
      <c r="J15" s="1" t="n">
        <v>55593</v>
      </c>
      <c r="K15" s="1" t="n">
        <v>212.795495835807</v>
      </c>
      <c r="L15" s="1" t="n">
        <f aca="false">BG15+BH15+BI15</f>
        <v>2587182</v>
      </c>
      <c r="M15" s="1" t="n">
        <v>11829940</v>
      </c>
      <c r="N15" s="2" t="n">
        <v>0.0825389755011136</v>
      </c>
      <c r="O15" s="2" t="n">
        <v>0.0281937744250442</v>
      </c>
      <c r="P15" s="38" t="n">
        <f aca="false">BU15^4</f>
        <v>2.04279325453952E-013</v>
      </c>
      <c r="Q15" s="38" t="n">
        <f aca="false">S15/M15</f>
        <v>0.120922506792089</v>
      </c>
      <c r="R15" s="32" t="n">
        <v>3006384</v>
      </c>
      <c r="S15" s="31" t="n">
        <v>1430506</v>
      </c>
      <c r="T15" s="2" t="n">
        <f aca="false">AH15</f>
        <v>0.0594393317890046</v>
      </c>
      <c r="U15" s="2" t="n">
        <f aca="false">LN(M15)</f>
        <v>16.2861441640905</v>
      </c>
      <c r="V15" s="2" t="n">
        <f aca="false">LN(N15+1)</f>
        <v>0.0793091853282007</v>
      </c>
      <c r="W15" s="2" t="n">
        <f aca="false">LN(O15)</f>
        <v>-3.56865409047962</v>
      </c>
      <c r="X15" s="2" t="n">
        <f aca="false">LN(P15)</f>
        <v>-29.2192880952027</v>
      </c>
      <c r="Y15" s="2"/>
      <c r="Z15" s="38" t="n">
        <f aca="false">(AB15*AD15)^4</f>
        <v>2.57603924602599E-014</v>
      </c>
      <c r="AA15" s="2" t="n">
        <v>0.01266</v>
      </c>
      <c r="AB15" s="2" t="n">
        <f aca="false">BV15</f>
        <v>0.0139671691446418</v>
      </c>
      <c r="AD15" s="2" t="n">
        <v>0.0286833403546032</v>
      </c>
      <c r="AG15" s="0" t="str">
        <f aca="false">A15</f>
        <v>IL</v>
      </c>
      <c r="AH15" s="2" t="n">
        <f aca="false">'Final-2'!B$41+'Final-2'!B$42*M15+'Final-2'!B$43*N15+'Final-2'!B$44*O15+'Final-2'!B$45*P15</f>
        <v>0.0594393317890046</v>
      </c>
      <c r="AI15" s="2" t="n">
        <f aca="false">C15</f>
        <v>0.0925020274991467</v>
      </c>
      <c r="AJ15" s="2" t="n">
        <f aca="false">1/ABS(AH15-AI15)</f>
        <v>30.2455676562769</v>
      </c>
      <c r="AK15" s="2" t="n">
        <v>0.586678649890154</v>
      </c>
      <c r="AL15" s="2" t="n">
        <v>0.0509571726820505</v>
      </c>
      <c r="AM15" s="46" t="n">
        <v>0.625412914611521</v>
      </c>
      <c r="AN15" s="46"/>
      <c r="AO15" s="2" t="n">
        <v>0.0482865140527416</v>
      </c>
      <c r="AQ15" s="0" t="n">
        <v>0.0884705038203454</v>
      </c>
      <c r="AR15" s="0" t="n">
        <v>10.9258125730321</v>
      </c>
      <c r="AS15" s="0" t="n">
        <v>16.2861441640905</v>
      </c>
      <c r="AT15" s="0" t="n">
        <v>11.8307462685597</v>
      </c>
      <c r="AV15" s="1" t="n">
        <v>8278</v>
      </c>
      <c r="AW15" s="1" t="n">
        <v>11750</v>
      </c>
      <c r="AX15" s="1" t="n">
        <v>8278</v>
      </c>
      <c r="AY15" s="1" t="n">
        <v>13821</v>
      </c>
      <c r="BA15" s="2" t="n">
        <v>0.413321350109846</v>
      </c>
      <c r="BB15" s="2" t="n">
        <v>0.374587085388479</v>
      </c>
      <c r="BC15" s="1" t="s">
        <v>282</v>
      </c>
      <c r="BD15" s="1" t="s">
        <v>282</v>
      </c>
      <c r="BE15" s="0" t="s">
        <v>283</v>
      </c>
      <c r="BF15" s="0" t="n">
        <v>5544159</v>
      </c>
      <c r="BG15" s="0" t="n">
        <v>1947671</v>
      </c>
      <c r="BH15" s="0" t="n">
        <v>514585</v>
      </c>
      <c r="BI15" s="0" t="n">
        <v>124926</v>
      </c>
      <c r="BJ15" s="0" t="n">
        <v>0.0482865140527416</v>
      </c>
      <c r="BL15" s="0" t="n">
        <v>0.0509571726820505</v>
      </c>
      <c r="BM15" s="0" t="s">
        <v>282</v>
      </c>
      <c r="BO15" s="0" t="s">
        <v>507</v>
      </c>
      <c r="BP15" s="0" t="n">
        <v>0.971806225574956</v>
      </c>
      <c r="BQ15" s="0" t="n">
        <v>0.971316659645397</v>
      </c>
      <c r="BT15" s="0" t="s">
        <v>507</v>
      </c>
      <c r="BU15" s="0" t="n">
        <v>0.000672289152317663</v>
      </c>
      <c r="BV15" s="0" t="n">
        <v>0.0139671691446418</v>
      </c>
      <c r="BW15" s="0" t="n">
        <v>1.266</v>
      </c>
      <c r="BX15" s="0" t="s">
        <v>283</v>
      </c>
      <c r="BZ15" s="0" t="s">
        <v>283</v>
      </c>
      <c r="CA15" s="0" t="n">
        <v>185.3</v>
      </c>
      <c r="CB15" s="42" t="n">
        <v>445623</v>
      </c>
      <c r="CC15" s="0" t="s">
        <v>508</v>
      </c>
      <c r="CD15" s="1" t="n">
        <v>2245</v>
      </c>
      <c r="CE15" s="0" t="n">
        <v>0.0825389755011136</v>
      </c>
      <c r="CG15" s="0" t="s">
        <v>282</v>
      </c>
      <c r="CH15" s="0" t="s">
        <v>19</v>
      </c>
      <c r="CI15" s="1" t="s">
        <v>282</v>
      </c>
      <c r="CJ15" s="1" t="n">
        <v>82</v>
      </c>
      <c r="CK15" s="1" t="n">
        <v>635</v>
      </c>
      <c r="CL15" s="1" t="n">
        <v>1528</v>
      </c>
    </row>
    <row r="16" customFormat="false" ht="12.75" hidden="false" customHeight="false" outlineLevel="0" collapsed="false">
      <c r="A16" s="1" t="s">
        <v>284</v>
      </c>
      <c r="B16" s="0" t="s">
        <v>20</v>
      </c>
      <c r="C16" s="2" t="n">
        <f aca="false">F16/E16</f>
        <v>0.0425729531743058</v>
      </c>
      <c r="D16" s="2" t="n">
        <v>1</v>
      </c>
      <c r="E16" s="1" t="n">
        <v>1449183</v>
      </c>
      <c r="F16" s="1" t="n">
        <v>61696</v>
      </c>
      <c r="G16" s="1" t="n">
        <v>827514</v>
      </c>
      <c r="H16" s="1" t="n">
        <v>559973</v>
      </c>
      <c r="I16" s="1"/>
      <c r="J16" s="1" t="n">
        <v>35870</v>
      </c>
      <c r="K16" s="1" t="n">
        <v>161.791775857262</v>
      </c>
      <c r="L16" s="1" t="n">
        <f aca="false">BG16+BH16+BI16</f>
        <v>1322064</v>
      </c>
      <c r="M16" s="1" t="n">
        <v>5803471</v>
      </c>
      <c r="N16" s="2" t="n">
        <v>0.120414428242517</v>
      </c>
      <c r="O16" s="2" t="n">
        <v>0.03280824193038</v>
      </c>
      <c r="P16" s="38" t="n">
        <f aca="false">BU16^4</f>
        <v>4.75336844122294E-011</v>
      </c>
      <c r="Q16" s="38" t="n">
        <f aca="false">S16/M16</f>
        <v>0.134940968947721</v>
      </c>
      <c r="R16" s="32" t="n">
        <v>1433178</v>
      </c>
      <c r="S16" s="31" t="n">
        <v>783126</v>
      </c>
      <c r="T16" s="2" t="n">
        <f aca="false">AH16</f>
        <v>0.0516012849195702</v>
      </c>
      <c r="U16" s="2" t="n">
        <f aca="false">LN(M16)</f>
        <v>15.5739667447938</v>
      </c>
      <c r="V16" s="2" t="n">
        <f aca="false">LN(N16+1)</f>
        <v>0.113698642081089</v>
      </c>
      <c r="W16" s="2" t="n">
        <f aca="false">LN(O16)</f>
        <v>-3.41707551679192</v>
      </c>
      <c r="X16" s="2" t="n">
        <f aca="false">LN(P16)</f>
        <v>-23.7695825106922</v>
      </c>
      <c r="Y16" s="2"/>
      <c r="Z16" s="38" t="n">
        <f aca="false">(AB16*AD16)^4</f>
        <v>3.51666185428203E-011</v>
      </c>
      <c r="AA16" s="2" t="n">
        <v>0.01725</v>
      </c>
      <c r="AB16" s="2" t="n">
        <f aca="false">BV16</f>
        <v>0.0504285786346856</v>
      </c>
      <c r="AD16" s="2" t="n">
        <v>0.0482898576543466</v>
      </c>
      <c r="AG16" s="0" t="str">
        <f aca="false">A16</f>
        <v>IN</v>
      </c>
      <c r="AH16" s="2" t="n">
        <f aca="false">'Final-2'!B$41+'Final-2'!B$42*M16+'Final-2'!B$43*N16+'Final-2'!B$44*O16+'Final-2'!B$45*P16</f>
        <v>0.0516012849195702</v>
      </c>
      <c r="AI16" s="2" t="n">
        <f aca="false">C16</f>
        <v>0.0425729531743058</v>
      </c>
      <c r="AJ16" s="2" t="n">
        <f aca="false">1/ABS(AH16-AI16)</f>
        <v>110.762434103568</v>
      </c>
      <c r="AK16" s="2" t="n">
        <v>0.523336887868099</v>
      </c>
      <c r="AL16" s="2" t="n">
        <v>0.0118569633632118</v>
      </c>
      <c r="AM16" s="46" t="n">
        <v>0.544235294117647</v>
      </c>
      <c r="AN16" s="46"/>
      <c r="AO16" s="2" t="n">
        <v>0.0423027932081957</v>
      </c>
      <c r="AQ16" s="0" t="n">
        <v>0.0416916513064812</v>
      </c>
      <c r="AR16" s="0" t="n">
        <v>10.4876565705263</v>
      </c>
      <c r="AS16" s="0" t="n">
        <v>15.5739667447938</v>
      </c>
      <c r="AT16" s="0" t="n">
        <v>11.4379863783057</v>
      </c>
      <c r="AV16" s="1" t="n">
        <v>5811</v>
      </c>
      <c r="AW16" s="1" t="n">
        <v>6380</v>
      </c>
      <c r="AX16" s="1" t="n">
        <v>5811</v>
      </c>
      <c r="AY16" s="1" t="n">
        <v>6939</v>
      </c>
      <c r="BA16" s="2" t="n">
        <v>0.476663112131901</v>
      </c>
      <c r="BB16" s="2" t="n">
        <v>0.455764705882353</v>
      </c>
      <c r="BC16" s="1" t="s">
        <v>284</v>
      </c>
      <c r="BD16" s="1" t="s">
        <v>284</v>
      </c>
      <c r="BE16" s="0" t="s">
        <v>285</v>
      </c>
      <c r="BF16" s="0" t="n">
        <v>2776755</v>
      </c>
      <c r="BG16" s="0" t="n">
        <v>1096619</v>
      </c>
      <c r="BH16" s="0" t="n">
        <v>169518</v>
      </c>
      <c r="BI16" s="0" t="n">
        <v>55927</v>
      </c>
      <c r="BJ16" s="0" t="n">
        <v>0.0423027932081957</v>
      </c>
      <c r="BL16" s="0" t="n">
        <v>0.0118569633632118</v>
      </c>
      <c r="BM16" s="0" t="s">
        <v>284</v>
      </c>
      <c r="BO16" s="0" t="s">
        <v>509</v>
      </c>
      <c r="BP16" s="0" t="n">
        <v>0.96719175806962</v>
      </c>
      <c r="BQ16" s="0" t="n">
        <v>0.951710142345653</v>
      </c>
      <c r="BT16" s="0" t="s">
        <v>509</v>
      </c>
      <c r="BU16" s="0" t="n">
        <v>0.00262573183456856</v>
      </c>
      <c r="BV16" s="0" t="n">
        <v>0.0504285786346856</v>
      </c>
      <c r="BW16" s="0" t="n">
        <v>1.725</v>
      </c>
      <c r="BX16" s="0" t="s">
        <v>285</v>
      </c>
      <c r="BZ16" s="0" t="s">
        <v>285</v>
      </c>
      <c r="CA16" s="0" t="n">
        <v>156.9</v>
      </c>
      <c r="CB16" s="42" t="n">
        <v>280000</v>
      </c>
      <c r="CC16" s="0" t="n">
        <v>1956</v>
      </c>
      <c r="CD16" s="1" t="n">
        <v>1303</v>
      </c>
      <c r="CE16" s="0" t="n">
        <v>0.120414428242517</v>
      </c>
      <c r="CG16" s="0" t="s">
        <v>284</v>
      </c>
      <c r="CH16" s="0" t="s">
        <v>20</v>
      </c>
      <c r="CI16" s="1" t="s">
        <v>284</v>
      </c>
      <c r="CJ16" s="1" t="n">
        <v>132</v>
      </c>
      <c r="CK16" s="1" t="n">
        <v>319</v>
      </c>
      <c r="CL16" s="1" t="n">
        <v>852</v>
      </c>
    </row>
    <row r="17" customFormat="false" ht="12.75" hidden="false" customHeight="false" outlineLevel="0" collapsed="false">
      <c r="A17" s="1" t="s">
        <v>286</v>
      </c>
      <c r="B17" s="0" t="s">
        <v>21</v>
      </c>
      <c r="C17" s="2" t="n">
        <f aca="false">F17/E17</f>
        <v>0.00107334901207605</v>
      </c>
      <c r="D17" s="2" t="n">
        <v>1</v>
      </c>
      <c r="E17" s="1" t="n">
        <v>858062</v>
      </c>
      <c r="F17" s="1" t="n">
        <v>921</v>
      </c>
      <c r="G17" s="1" t="n">
        <v>604505</v>
      </c>
      <c r="H17" s="1" t="n">
        <v>252636</v>
      </c>
      <c r="I17" s="1"/>
      <c r="J17" s="1" t="n">
        <v>55875</v>
      </c>
      <c r="K17" s="1" t="n">
        <v>50.8593109619687</v>
      </c>
      <c r="L17" s="1" t="n">
        <f aca="false">BG17+BH17+BI17</f>
        <v>440809</v>
      </c>
      <c r="M17" s="1" t="n">
        <v>2841764</v>
      </c>
      <c r="N17" s="2" t="n">
        <v>0</v>
      </c>
      <c r="O17" s="2" t="n">
        <v>0.0369184324665151</v>
      </c>
      <c r="P17" s="38" t="n">
        <f aca="false">BU17^4</f>
        <v>9.38297197918158E-012</v>
      </c>
      <c r="Q17" s="38" t="n">
        <f aca="false">S17/M17</f>
        <v>0.217583866922095</v>
      </c>
      <c r="R17" s="32" t="n">
        <v>1077704</v>
      </c>
      <c r="S17" s="31" t="n">
        <v>618322</v>
      </c>
      <c r="T17" s="2" t="n">
        <f aca="false">AH17</f>
        <v>0.00767922006858876</v>
      </c>
      <c r="U17" s="2" t="n">
        <f aca="false">LN(M17)</f>
        <v>14.8599355440786</v>
      </c>
      <c r="V17" s="2" t="n">
        <f aca="false">LN(N17+1)</f>
        <v>0</v>
      </c>
      <c r="W17" s="2" t="n">
        <f aca="false">LN(O17)</f>
        <v>-3.29904432781885</v>
      </c>
      <c r="X17" s="2" t="n">
        <f aca="false">LN(P17)</f>
        <v>-25.3921245609641</v>
      </c>
      <c r="Y17" s="2"/>
      <c r="Z17" s="38" t="n">
        <f aca="false">(AB17*AD17)^4</f>
        <v>6.47626921310679E-012</v>
      </c>
      <c r="AA17" s="2" t="n">
        <v>0.00187</v>
      </c>
      <c r="AB17" s="2" t="n">
        <f aca="false">BV17</f>
        <v>0.0371121032485432</v>
      </c>
      <c r="AD17" s="2" t="n">
        <v>0.0429848737657769</v>
      </c>
      <c r="AG17" s="0" t="str">
        <f aca="false">A17</f>
        <v>IA</v>
      </c>
      <c r="AH17" s="2" t="n">
        <f aca="false">'Final-2'!B$41+'Final-2'!B$42*M17+'Final-2'!B$43*N17+'Final-2'!B$44*O17+'Final-2'!B$45*P17</f>
        <v>0.00767922006858876</v>
      </c>
      <c r="AI17" s="2" t="n">
        <f aca="false">C17</f>
        <v>0.00107334901207605</v>
      </c>
      <c r="AJ17" s="2" t="n">
        <f aca="false">1/ABS(AH17-AI17)</f>
        <v>151.380490391816</v>
      </c>
      <c r="AK17" s="2" t="n">
        <v>0.544889809199822</v>
      </c>
      <c r="AL17" s="2" t="n">
        <v>0.00463182872533333</v>
      </c>
      <c r="AM17" s="46" t="n">
        <v>0.550014624159111</v>
      </c>
      <c r="AN17" s="46"/>
      <c r="AO17" s="2" t="n">
        <v>0.0398403843841664</v>
      </c>
      <c r="AQ17" s="0" t="n">
        <v>0.00107277338488757</v>
      </c>
      <c r="AR17" s="0" t="n">
        <v>10.9308723319159</v>
      </c>
      <c r="AS17" s="0" t="n">
        <v>14.8599355440786</v>
      </c>
      <c r="AT17" s="0" t="n">
        <v>11.6325024460993</v>
      </c>
      <c r="AV17" s="1" t="n">
        <v>3077</v>
      </c>
      <c r="AW17" s="1" t="n">
        <v>3684</v>
      </c>
      <c r="AX17" s="1" t="n">
        <v>3077</v>
      </c>
      <c r="AY17" s="1" t="n">
        <v>3761</v>
      </c>
      <c r="BA17" s="2" t="n">
        <v>0.455110190800178</v>
      </c>
      <c r="BB17" s="2" t="n">
        <v>0.449985375840889</v>
      </c>
      <c r="BC17" s="1" t="s">
        <v>286</v>
      </c>
      <c r="BD17" s="1" t="s">
        <v>286</v>
      </c>
      <c r="BE17" s="0" t="s">
        <v>287</v>
      </c>
      <c r="BF17" s="0" t="n">
        <v>1006749</v>
      </c>
      <c r="BG17" s="0" t="n">
        <v>372922</v>
      </c>
      <c r="BH17" s="0" t="n">
        <v>50325</v>
      </c>
      <c r="BI17" s="0" t="n">
        <v>17562</v>
      </c>
      <c r="BJ17" s="0" t="n">
        <v>0.0398403843841664</v>
      </c>
      <c r="BL17" s="0" t="n">
        <v>0.00463182872533333</v>
      </c>
      <c r="BM17" s="0" t="s">
        <v>286</v>
      </c>
      <c r="BO17" s="0" t="s">
        <v>510</v>
      </c>
      <c r="BP17" s="0" t="n">
        <v>0.963081567533485</v>
      </c>
      <c r="BQ17" s="0" t="n">
        <v>0.957015126234223</v>
      </c>
      <c r="BT17" s="0" t="s">
        <v>510</v>
      </c>
      <c r="BU17" s="0" t="n">
        <v>0.00175018962418276</v>
      </c>
      <c r="BV17" s="0" t="n">
        <v>0.0371121032485432</v>
      </c>
      <c r="BW17" s="0" t="n">
        <v>0.187</v>
      </c>
      <c r="BX17" s="0" t="s">
        <v>287</v>
      </c>
      <c r="BZ17" s="0" t="s">
        <v>287</v>
      </c>
      <c r="CA17" s="0" t="n">
        <v>0</v>
      </c>
      <c r="CD17" s="1" t="n">
        <v>781</v>
      </c>
      <c r="CE17" s="0" t="n">
        <v>0</v>
      </c>
      <c r="CG17" s="0" t="s">
        <v>286</v>
      </c>
      <c r="CH17" s="0" t="s">
        <v>21</v>
      </c>
      <c r="CI17" s="1" t="s">
        <v>286</v>
      </c>
      <c r="CJ17" s="1" t="n">
        <v>0</v>
      </c>
      <c r="CK17" s="1" t="n">
        <v>147</v>
      </c>
      <c r="CL17" s="1" t="n">
        <v>634</v>
      </c>
    </row>
    <row r="18" customFormat="false" ht="12.75" hidden="false" customHeight="false" outlineLevel="0" collapsed="false">
      <c r="A18" s="1" t="s">
        <v>288</v>
      </c>
      <c r="B18" s="0" t="s">
        <v>22</v>
      </c>
      <c r="C18" s="2" t="n">
        <f aca="false">F18/E18</f>
        <v>0.0645640225441334</v>
      </c>
      <c r="D18" s="2" t="n">
        <v>1</v>
      </c>
      <c r="E18" s="1" t="n">
        <v>687008</v>
      </c>
      <c r="F18" s="1" t="n">
        <v>44356</v>
      </c>
      <c r="G18" s="1" t="n">
        <v>402483</v>
      </c>
      <c r="H18" s="1" t="n">
        <v>240169</v>
      </c>
      <c r="I18" s="1"/>
      <c r="J18" s="1" t="n">
        <v>81823</v>
      </c>
      <c r="K18" s="1" t="n">
        <v>31.3521625948694</v>
      </c>
      <c r="L18" s="1" t="n">
        <f aca="false">BG18+BH18+BI18</f>
        <v>1178931</v>
      </c>
      <c r="M18" s="1" t="n">
        <v>2565328</v>
      </c>
      <c r="N18" s="2" t="n">
        <v>0.238988095238095</v>
      </c>
      <c r="O18" s="2" t="n">
        <v>0.0706260870607761</v>
      </c>
      <c r="P18" s="38" t="n">
        <f aca="false">BU18^4</f>
        <v>8.3954224057573E-014</v>
      </c>
      <c r="Q18" s="38" t="n">
        <f aca="false">S18/M18</f>
        <v>0.149403117262198</v>
      </c>
      <c r="R18" s="34" t="n">
        <v>1019160</v>
      </c>
      <c r="S18" s="31" t="n">
        <v>383268</v>
      </c>
      <c r="T18" s="2" t="n">
        <f aca="false">AH18</f>
        <v>0.106681574276485</v>
      </c>
      <c r="U18" s="2" t="n">
        <f aca="false">LN(M18)</f>
        <v>14.7575969036553</v>
      </c>
      <c r="V18" s="2" t="n">
        <f aca="false">LN(N18+1)</f>
        <v>0.214294994237725</v>
      </c>
      <c r="W18" s="2" t="n">
        <f aca="false">LN(O18)</f>
        <v>-2.650355697623</v>
      </c>
      <c r="X18" s="2" t="n">
        <f aca="false">LN(P18)</f>
        <v>-30.1085046963031</v>
      </c>
      <c r="Y18" s="2"/>
      <c r="Z18" s="38" t="n">
        <f aca="false">(AB18*AD18)^4</f>
        <v>1.60663601897407E-014</v>
      </c>
      <c r="AA18" s="2" t="n">
        <v>0.00539</v>
      </c>
      <c r="AB18" s="2" t="n">
        <f aca="false">BV18</f>
        <v>0.0047015824577715</v>
      </c>
      <c r="AD18" s="2" t="n">
        <v>0.0757243087363327</v>
      </c>
      <c r="AG18" s="0" t="str">
        <f aca="false">A18</f>
        <v>KS</v>
      </c>
      <c r="AH18" s="2" t="n">
        <f aca="false">'Final-2'!B$41+'Final-2'!B$42*M18+'Final-2'!B$43*N18+'Final-2'!B$44*O18+'Final-2'!B$45*P18</f>
        <v>0.106681574276485</v>
      </c>
      <c r="AI18" s="2" t="n">
        <f aca="false">C18</f>
        <v>0.0645640225441334</v>
      </c>
      <c r="AJ18" s="2" t="n">
        <f aca="false">1/ABS(AH18-AI18)</f>
        <v>23.7430704983707</v>
      </c>
      <c r="AK18" s="2" t="n">
        <v>0.563594602354292</v>
      </c>
      <c r="AL18" s="2" t="n">
        <v>0.0161561337254943</v>
      </c>
      <c r="AM18" s="46" t="n">
        <v>0.624876604146101</v>
      </c>
      <c r="AN18" s="46"/>
      <c r="AO18" s="2" t="n">
        <v>0.075464128095707</v>
      </c>
      <c r="AQ18" s="0" t="n">
        <v>0.062565346844067</v>
      </c>
      <c r="AR18" s="0" t="n">
        <v>11.3123136566631</v>
      </c>
      <c r="AS18" s="0" t="n">
        <v>14.7575969036553</v>
      </c>
      <c r="AT18" s="0" t="n">
        <v>11.8005300344187</v>
      </c>
      <c r="AV18" s="1" t="n">
        <v>4560</v>
      </c>
      <c r="AW18" s="1" t="n">
        <v>5889</v>
      </c>
      <c r="AX18" s="1" t="n">
        <v>4560</v>
      </c>
      <c r="AY18" s="1" t="n">
        <v>7596</v>
      </c>
      <c r="BA18" s="2" t="n">
        <v>0.436405397645708</v>
      </c>
      <c r="BB18" s="2" t="n">
        <v>0.375123395853899</v>
      </c>
      <c r="BC18" s="1" t="s">
        <v>288</v>
      </c>
      <c r="BD18" s="1" t="s">
        <v>288</v>
      </c>
      <c r="BE18" s="0" t="s">
        <v>289</v>
      </c>
      <c r="BF18" s="0" t="n">
        <v>2477574</v>
      </c>
      <c r="BG18" s="0" t="n">
        <v>941626</v>
      </c>
      <c r="BH18" s="0" t="n">
        <v>148338</v>
      </c>
      <c r="BI18" s="0" t="n">
        <v>88967</v>
      </c>
      <c r="BJ18" s="0" t="n">
        <v>0.075464128095707</v>
      </c>
      <c r="BL18" s="0" t="n">
        <v>0.0161561337254943</v>
      </c>
      <c r="BM18" s="0" t="s">
        <v>288</v>
      </c>
      <c r="BO18" s="0" t="s">
        <v>511</v>
      </c>
      <c r="BP18" s="0" t="n">
        <v>0.929373912939224</v>
      </c>
      <c r="BQ18" s="0" t="n">
        <v>0.924275691263667</v>
      </c>
      <c r="BT18" s="0" t="s">
        <v>511</v>
      </c>
      <c r="BU18" s="0" t="n">
        <v>0.000538282967553983</v>
      </c>
      <c r="BV18" s="0" t="n">
        <v>0.0047015824577715</v>
      </c>
      <c r="BW18" s="0" t="n">
        <v>0.539</v>
      </c>
      <c r="BX18" s="0" t="s">
        <v>289</v>
      </c>
      <c r="BZ18" s="0" t="s">
        <v>289</v>
      </c>
      <c r="CA18" s="0" t="n">
        <v>240.9</v>
      </c>
      <c r="CB18" s="42" t="n">
        <v>179500</v>
      </c>
      <c r="CC18" s="0" t="s">
        <v>512</v>
      </c>
      <c r="CD18" s="1" t="n">
        <v>1008</v>
      </c>
      <c r="CE18" s="0" t="n">
        <v>0.238988095238095</v>
      </c>
      <c r="CG18" s="0" t="s">
        <v>288</v>
      </c>
      <c r="CH18" s="0" t="s">
        <v>22</v>
      </c>
      <c r="CI18" s="1" t="s">
        <v>288</v>
      </c>
      <c r="CJ18" s="1" t="n">
        <v>136</v>
      </c>
      <c r="CK18" s="1" t="n">
        <v>174</v>
      </c>
      <c r="CL18" s="1" t="n">
        <v>698</v>
      </c>
    </row>
    <row r="19" customFormat="false" ht="12.75" hidden="false" customHeight="false" outlineLevel="0" collapsed="false">
      <c r="A19" s="1" t="s">
        <v>290</v>
      </c>
      <c r="B19" s="0" t="s">
        <v>23</v>
      </c>
      <c r="C19" s="2" t="n">
        <f aca="false">F19/E19</f>
        <v>0.00845328299918051</v>
      </c>
      <c r="D19" s="2" t="n">
        <v>1</v>
      </c>
      <c r="E19" s="1" t="n">
        <v>1219053</v>
      </c>
      <c r="F19" s="1" t="n">
        <v>10305</v>
      </c>
      <c r="G19" s="1" t="n">
        <v>803739</v>
      </c>
      <c r="H19" s="1" t="n">
        <v>405009</v>
      </c>
      <c r="I19" s="1"/>
      <c r="J19" s="1" t="n">
        <v>39732</v>
      </c>
      <c r="K19" s="1" t="n">
        <v>97.15642303433</v>
      </c>
      <c r="L19" s="1" t="n">
        <f aca="false">BG19+BH19+BI19</f>
        <v>1565711</v>
      </c>
      <c r="M19" s="1" t="n">
        <v>3860219</v>
      </c>
      <c r="N19" s="2" t="n">
        <v>0.239415204678363</v>
      </c>
      <c r="O19" s="2" t="n">
        <v>0.0625602364619358</v>
      </c>
      <c r="P19" s="38" t="n">
        <f aca="false">BU19^4</f>
        <v>4.61685442104148E-011</v>
      </c>
      <c r="Q19" s="38" t="n">
        <f aca="false">S19/M19</f>
        <v>0.189107146511636</v>
      </c>
      <c r="R19" s="32" t="n">
        <v>1396789</v>
      </c>
      <c r="S19" s="31" t="n">
        <v>729995</v>
      </c>
      <c r="T19" s="2" t="n">
        <f aca="false">AH19</f>
        <v>0.104951039090086</v>
      </c>
      <c r="U19" s="2" t="n">
        <f aca="false">LN(M19)</f>
        <v>15.1662344755829</v>
      </c>
      <c r="V19" s="2" t="n">
        <f aca="false">LN(N19+1)</f>
        <v>0.21463965924403</v>
      </c>
      <c r="W19" s="2" t="n">
        <f aca="false">LN(O19)</f>
        <v>-2.77162540298982</v>
      </c>
      <c r="X19" s="2" t="n">
        <f aca="false">LN(P19)</f>
        <v>-23.7987224109786</v>
      </c>
      <c r="Y19" s="2"/>
      <c r="Z19" s="38" t="n">
        <f aca="false">(AB19*AD19)^4</f>
        <v>2.78081032033085E-011</v>
      </c>
      <c r="AA19" s="2" t="n">
        <v>0.04206</v>
      </c>
      <c r="AB19" s="2" t="n">
        <f aca="false">BV19</f>
        <v>0.0342163256066311</v>
      </c>
      <c r="AD19" s="2" t="n">
        <v>0.0671134356375722</v>
      </c>
      <c r="AG19" s="0" t="str">
        <f aca="false">A19</f>
        <v>KY</v>
      </c>
      <c r="AH19" s="2" t="n">
        <f aca="false">'Final-2'!B$41+'Final-2'!B$42*M19+'Final-2'!B$43*N19+'Final-2'!B$44*O19+'Final-2'!B$45*P19</f>
        <v>0.104951039090086</v>
      </c>
      <c r="AI19" s="2" t="n">
        <f aca="false">C19</f>
        <v>0.00845328299918051</v>
      </c>
      <c r="AJ19" s="2" t="n">
        <f aca="false">1/ABS(AH19-AI19)</f>
        <v>10.3629352692714</v>
      </c>
      <c r="AK19" s="2" t="n">
        <v>0.60437220526652</v>
      </c>
      <c r="AL19" s="2" t="n">
        <v>0.0275687858910139</v>
      </c>
      <c r="AM19" s="46" t="n">
        <v>0.643947620568508</v>
      </c>
      <c r="AN19" s="46"/>
      <c r="AO19" s="2" t="n">
        <v>0.066583807612005</v>
      </c>
      <c r="AQ19" s="0" t="n">
        <v>0.00841775408600689</v>
      </c>
      <c r="AR19" s="0" t="n">
        <v>10.5899121873352</v>
      </c>
      <c r="AS19" s="0" t="n">
        <v>15.1662344755829</v>
      </c>
      <c r="AT19" s="0" t="n">
        <v>11.1981873224949</v>
      </c>
      <c r="AV19" s="1" t="n">
        <v>5574</v>
      </c>
      <c r="AW19" s="1" t="n">
        <v>8515</v>
      </c>
      <c r="AX19" s="1" t="n">
        <v>5574</v>
      </c>
      <c r="AY19" s="1" t="n">
        <v>10081</v>
      </c>
      <c r="BA19" s="2" t="n">
        <v>0.39562779473348</v>
      </c>
      <c r="BB19" s="2" t="n">
        <v>0.356052379431492</v>
      </c>
      <c r="BC19" s="1" t="s">
        <v>290</v>
      </c>
      <c r="BD19" s="1" t="s">
        <v>290</v>
      </c>
      <c r="BE19" s="0" t="s">
        <v>291</v>
      </c>
      <c r="BF19" s="0" t="n">
        <v>3685296</v>
      </c>
      <c r="BG19" s="0" t="n">
        <v>1160660</v>
      </c>
      <c r="BH19" s="0" t="n">
        <v>300800</v>
      </c>
      <c r="BI19" s="0" t="n">
        <v>104251</v>
      </c>
      <c r="BJ19" s="0" t="n">
        <v>0.066583807612005</v>
      </c>
      <c r="BL19" s="0" t="n">
        <v>0.0275687858910139</v>
      </c>
      <c r="BM19" s="0" t="s">
        <v>290</v>
      </c>
      <c r="BO19" s="0" t="s">
        <v>513</v>
      </c>
      <c r="BP19" s="0" t="n">
        <v>0.937439763538064</v>
      </c>
      <c r="BQ19" s="0" t="n">
        <v>0.932886564362428</v>
      </c>
      <c r="BT19" s="0" t="s">
        <v>513</v>
      </c>
      <c r="BU19" s="0" t="n">
        <v>0.00260667294964903</v>
      </c>
      <c r="BV19" s="0" t="n">
        <v>0.0342163256066311</v>
      </c>
      <c r="BW19" s="0" t="n">
        <v>4.206</v>
      </c>
      <c r="BX19" s="0" t="s">
        <v>291</v>
      </c>
      <c r="BZ19" s="0" t="s">
        <v>291</v>
      </c>
      <c r="CA19" s="0" t="n">
        <v>204.7</v>
      </c>
      <c r="CB19" s="42" t="n">
        <v>185500</v>
      </c>
      <c r="CC19" s="0" t="s">
        <v>514</v>
      </c>
      <c r="CD19" s="1" t="n">
        <v>855</v>
      </c>
      <c r="CE19" s="0" t="n">
        <v>0.239415204678363</v>
      </c>
      <c r="CG19" s="0" t="s">
        <v>290</v>
      </c>
      <c r="CH19" s="0" t="s">
        <v>23</v>
      </c>
      <c r="CI19" s="1" t="s">
        <v>290</v>
      </c>
      <c r="CJ19" s="1" t="n">
        <v>93</v>
      </c>
      <c r="CK19" s="1" t="n">
        <v>226</v>
      </c>
      <c r="CL19" s="1" t="n">
        <v>536</v>
      </c>
    </row>
    <row r="20" customFormat="false" ht="12.75" hidden="false" customHeight="false" outlineLevel="0" collapsed="false">
      <c r="A20" s="1" t="s">
        <v>292</v>
      </c>
      <c r="B20" s="0" t="s">
        <v>24</v>
      </c>
      <c r="C20" s="2" t="n">
        <f aca="false">F20/E20</f>
        <v>0.0293839643250748</v>
      </c>
      <c r="D20" s="2" t="n">
        <v>1</v>
      </c>
      <c r="E20" s="1" t="n">
        <v>1019876</v>
      </c>
      <c r="F20" s="1" t="n">
        <v>29968</v>
      </c>
      <c r="G20" s="1" t="n">
        <v>625294</v>
      </c>
      <c r="H20" s="1" t="n">
        <v>364614</v>
      </c>
      <c r="I20" s="1"/>
      <c r="J20" s="1" t="n">
        <v>43566</v>
      </c>
      <c r="K20" s="1" t="n">
        <v>99.6725428086122</v>
      </c>
      <c r="L20" s="1" t="n">
        <f aca="false">BG20+BH20+BI20</f>
        <v>1645690</v>
      </c>
      <c r="M20" s="1" t="n">
        <v>4342334</v>
      </c>
      <c r="N20" s="2" t="n">
        <v>0</v>
      </c>
      <c r="O20" s="2" t="n">
        <v>0.0211147303966919</v>
      </c>
      <c r="P20" s="38" t="n">
        <f aca="false">BU20^4</f>
        <v>2.56823004434834E-012</v>
      </c>
      <c r="Q20" s="38" t="n">
        <f aca="false">S20/M20</f>
        <v>0.148677416338771</v>
      </c>
      <c r="R20" s="32" t="n">
        <v>1197890</v>
      </c>
      <c r="S20" s="31" t="n">
        <v>645607</v>
      </c>
      <c r="T20" s="2" t="n">
        <f aca="false">AH20</f>
        <v>5.86363436068266E-005</v>
      </c>
      <c r="U20" s="2" t="n">
        <f aca="false">LN(M20)</f>
        <v>15.2839225495389</v>
      </c>
      <c r="V20" s="2" t="n">
        <f aca="false">LN(N20+1)</f>
        <v>0</v>
      </c>
      <c r="W20" s="2" t="n">
        <f aca="false">LN(O20)</f>
        <v>-3.8577843590087</v>
      </c>
      <c r="X20" s="2" t="n">
        <f aca="false">LN(P20)</f>
        <v>-26.6878041529805</v>
      </c>
      <c r="Y20" s="2"/>
      <c r="Z20" s="38" t="n">
        <f aca="false">(AB20*AD20)^4</f>
        <v>4.78475445896958E-014</v>
      </c>
      <c r="AA20" s="2" t="n">
        <v>0.02757</v>
      </c>
      <c r="AB20" s="2" t="n">
        <f aca="false">BV20</f>
        <v>0.0243662758193366</v>
      </c>
      <c r="AD20" s="2" t="n">
        <v>0.0191944537858603</v>
      </c>
      <c r="AG20" s="0" t="str">
        <f aca="false">A20</f>
        <v>LA</v>
      </c>
      <c r="AH20" s="2" t="n">
        <f aca="false">'Final-2'!B$41+'Final-2'!B$42*M20+'Final-2'!B$43*N20+'Final-2'!B$44*O20+'Final-2'!B$45*P20</f>
        <v>5.86363436068266E-005</v>
      </c>
      <c r="AI20" s="2" t="n">
        <f aca="false">C20</f>
        <v>0.0293839643250748</v>
      </c>
      <c r="AJ20" s="2" t="n">
        <f aca="false">1/ABS(AH20-AI20)</f>
        <v>34.1002153712295</v>
      </c>
      <c r="AK20" s="2" t="n">
        <v>0.630276742623251</v>
      </c>
      <c r="AL20" s="2" t="n">
        <v>0.0235558700963714</v>
      </c>
      <c r="AM20" s="46" t="n">
        <v>0.583367754371472</v>
      </c>
      <c r="AN20" s="46"/>
      <c r="AO20" s="2" t="n">
        <v>0.019582059804702</v>
      </c>
      <c r="AQ20" s="0" t="n">
        <v>0.0289605304243684</v>
      </c>
      <c r="AR20" s="0" t="n">
        <v>10.6820323086083</v>
      </c>
      <c r="AS20" s="0" t="n">
        <v>15.2839225495389</v>
      </c>
      <c r="AT20" s="0" t="n">
        <v>11.0040812103287</v>
      </c>
      <c r="AV20" s="1" t="n">
        <v>6052</v>
      </c>
      <c r="AW20" s="1" t="n">
        <v>10317</v>
      </c>
      <c r="AX20" s="1" t="n">
        <v>6052</v>
      </c>
      <c r="AY20" s="1" t="n">
        <v>8474</v>
      </c>
      <c r="BA20" s="2" t="n">
        <v>0.369723257376749</v>
      </c>
      <c r="BB20" s="2" t="n">
        <v>0.416632245628528</v>
      </c>
      <c r="BC20" s="1" t="s">
        <v>292</v>
      </c>
      <c r="BD20" s="1" t="s">
        <v>292</v>
      </c>
      <c r="BE20" s="0" t="s">
        <v>293</v>
      </c>
      <c r="BF20" s="0" t="n">
        <v>4219973</v>
      </c>
      <c r="BG20" s="0" t="n">
        <v>1217736</v>
      </c>
      <c r="BH20" s="0" t="n">
        <v>395728</v>
      </c>
      <c r="BI20" s="0" t="n">
        <v>32226</v>
      </c>
      <c r="BJ20" s="0" t="n">
        <v>0.019582059804702</v>
      </c>
      <c r="BL20" s="0" t="n">
        <v>0.0235558700963714</v>
      </c>
      <c r="BM20" s="0" t="s">
        <v>292</v>
      </c>
      <c r="BO20" s="0" t="s">
        <v>515</v>
      </c>
      <c r="BP20" s="0" t="n">
        <v>0.978885269603308</v>
      </c>
      <c r="BQ20" s="0" t="n">
        <v>0.98080554621414</v>
      </c>
      <c r="BT20" s="0" t="s">
        <v>515</v>
      </c>
      <c r="BU20" s="0" t="n">
        <v>0.00126592646907651</v>
      </c>
      <c r="BV20" s="0" t="n">
        <v>0.0243662758193366</v>
      </c>
      <c r="BW20" s="0" t="n">
        <v>2.757</v>
      </c>
      <c r="BX20" s="0" t="s">
        <v>293</v>
      </c>
      <c r="BZ20" s="0" t="s">
        <v>293</v>
      </c>
      <c r="CA20" s="0" t="n">
        <v>0</v>
      </c>
      <c r="CD20" s="1" t="n">
        <v>929</v>
      </c>
      <c r="CE20" s="0" t="n">
        <v>0</v>
      </c>
      <c r="CG20" s="0" t="s">
        <v>292</v>
      </c>
      <c r="CH20" s="0" t="s">
        <v>24</v>
      </c>
      <c r="CI20" s="1" t="s">
        <v>292</v>
      </c>
      <c r="CJ20" s="1" t="n">
        <v>45</v>
      </c>
      <c r="CK20" s="1" t="n">
        <v>272</v>
      </c>
      <c r="CL20" s="1" t="n">
        <v>612</v>
      </c>
    </row>
    <row r="21" customFormat="false" ht="12.75" hidden="false" customHeight="false" outlineLevel="0" collapsed="false">
      <c r="A21" s="1" t="s">
        <v>294</v>
      </c>
      <c r="B21" s="0" t="s">
        <v>25</v>
      </c>
      <c r="C21" s="2" t="n">
        <f aca="false">F21/E21</f>
        <v>0.105088318367691</v>
      </c>
      <c r="D21" s="2" t="n">
        <v>1</v>
      </c>
      <c r="E21" s="1" t="n">
        <v>355815</v>
      </c>
      <c r="F21" s="1" t="n">
        <v>37392</v>
      </c>
      <c r="G21" s="1" t="n">
        <v>200836</v>
      </c>
      <c r="H21" s="1" t="n">
        <v>117587</v>
      </c>
      <c r="I21" s="1"/>
      <c r="J21" s="1" t="n">
        <v>30865</v>
      </c>
      <c r="K21" s="1" t="n">
        <v>40.2197310869917</v>
      </c>
      <c r="L21" s="1" t="n">
        <f aca="false">BG21+BH21+BI21</f>
        <v>570883</v>
      </c>
      <c r="M21" s="1" t="n">
        <v>1241382</v>
      </c>
      <c r="N21" s="2" t="n">
        <v>0.292950391644909</v>
      </c>
      <c r="O21" s="2" t="n">
        <v>0.0206121747105353</v>
      </c>
      <c r="P21" s="38" t="n">
        <f aca="false">BU21^4</f>
        <v>2.65827638003696E-010</v>
      </c>
      <c r="Q21" s="38" t="n">
        <f aca="false">S21/M21</f>
        <v>0.175630063912639</v>
      </c>
      <c r="R21" s="32" t="n">
        <v>379282</v>
      </c>
      <c r="S21" s="31" t="n">
        <v>218024</v>
      </c>
      <c r="T21" s="2" t="n">
        <f aca="false">AH21</f>
        <v>0.0754836874994905</v>
      </c>
      <c r="U21" s="2" t="n">
        <f aca="false">LN(M21)</f>
        <v>14.0317358330982</v>
      </c>
      <c r="V21" s="2" t="n">
        <f aca="false">LN(N21+1)</f>
        <v>0.25692673218974</v>
      </c>
      <c r="W21" s="2" t="n">
        <f aca="false">LN(O21)</f>
        <v>-3.8818733723957</v>
      </c>
      <c r="X21" s="2" t="n">
        <f aca="false">LN(P21)</f>
        <v>-22.0481729946047</v>
      </c>
      <c r="Y21" s="2"/>
      <c r="Z21" s="38" t="n">
        <f aca="false">(AB21*AD21)^4</f>
        <v>1.61547405162499E-010</v>
      </c>
      <c r="AA21" s="2" t="n">
        <v>0.00942</v>
      </c>
      <c r="AB21" s="2" t="n">
        <f aca="false">BV21</f>
        <v>0.11374675564763</v>
      </c>
      <c r="AD21" s="2" t="n">
        <v>0.031342669150636</v>
      </c>
      <c r="AG21" s="0" t="str">
        <f aca="false">A21</f>
        <v>ME</v>
      </c>
      <c r="AH21" s="2" t="n">
        <f aca="false">'Final-2'!B$41+'Final-2'!B$42*M21+'Final-2'!B$43*N21+'Final-2'!B$44*O21+'Final-2'!B$45*P21</f>
        <v>0.0754836874994905</v>
      </c>
      <c r="AI21" s="2" t="n">
        <f aca="false">C21</f>
        <v>0.105088318367691</v>
      </c>
      <c r="AJ21" s="2" t="n">
        <f aca="false">1/ABS(AH21-AI21)</f>
        <v>33.7784991966961</v>
      </c>
      <c r="AK21" s="2" t="n">
        <v>0.765836609873307</v>
      </c>
      <c r="AL21" s="2" t="n">
        <v>0.0300087963498843</v>
      </c>
      <c r="AM21" s="46" t="n">
        <v>0.577203707355551</v>
      </c>
      <c r="AN21" s="46"/>
      <c r="AO21" s="2" t="n">
        <v>0.0337267005673667</v>
      </c>
      <c r="AQ21" s="0" t="n">
        <v>0.099925257900401</v>
      </c>
      <c r="AR21" s="0" t="n">
        <v>10.337378134828</v>
      </c>
      <c r="AS21" s="0" t="n">
        <v>14.0317358330982</v>
      </c>
      <c r="AT21" s="0" t="n">
        <v>10.024686967938</v>
      </c>
      <c r="AV21" s="1" t="n">
        <v>2144</v>
      </c>
      <c r="AW21" s="1" t="n">
        <v>7012</v>
      </c>
      <c r="AX21" s="1" t="n">
        <v>2144</v>
      </c>
      <c r="AY21" s="1" t="n">
        <v>2927</v>
      </c>
      <c r="BA21" s="2" t="n">
        <v>0.234163390126693</v>
      </c>
      <c r="BB21" s="2" t="n">
        <v>0.422796292644449</v>
      </c>
      <c r="BC21" s="1" t="s">
        <v>294</v>
      </c>
      <c r="BD21" s="1" t="s">
        <v>294</v>
      </c>
      <c r="BE21" s="0" t="s">
        <v>295</v>
      </c>
      <c r="BF21" s="0" t="n">
        <v>1227928</v>
      </c>
      <c r="BG21" s="0" t="n">
        <v>464593</v>
      </c>
      <c r="BH21" s="0" t="n">
        <v>87036</v>
      </c>
      <c r="BI21" s="0" t="n">
        <v>19254</v>
      </c>
      <c r="BJ21" s="0" t="n">
        <v>0.0337267005673667</v>
      </c>
      <c r="BL21" s="0" t="n">
        <v>0.0300087963498843</v>
      </c>
      <c r="BM21" s="0" t="s">
        <v>294</v>
      </c>
      <c r="BO21" s="0" t="s">
        <v>516</v>
      </c>
      <c r="BP21" s="0" t="n">
        <v>0.979387825289465</v>
      </c>
      <c r="BQ21" s="0" t="n">
        <v>0.968657330849364</v>
      </c>
      <c r="BT21" s="0" t="s">
        <v>516</v>
      </c>
      <c r="BU21" s="0" t="n">
        <v>0.00403784861999563</v>
      </c>
      <c r="BV21" s="0" t="n">
        <v>0.11374675564763</v>
      </c>
      <c r="BW21" s="0" t="n">
        <v>0.942</v>
      </c>
      <c r="BX21" s="0" t="s">
        <v>295</v>
      </c>
      <c r="BZ21" s="0" t="s">
        <v>295</v>
      </c>
      <c r="CA21" s="0" t="n">
        <v>112.2</v>
      </c>
      <c r="CB21" s="42" t="n">
        <v>79406</v>
      </c>
      <c r="CC21" s="0" t="s">
        <v>517</v>
      </c>
      <c r="CD21" s="1" t="n">
        <v>383</v>
      </c>
      <c r="CE21" s="0" t="n">
        <v>0.292950391644909</v>
      </c>
      <c r="CG21" s="0" t="s">
        <v>294</v>
      </c>
      <c r="CH21" s="0" t="s">
        <v>25</v>
      </c>
      <c r="CI21" s="1" t="s">
        <v>294</v>
      </c>
      <c r="CJ21" s="1" t="n">
        <v>18</v>
      </c>
      <c r="CK21" s="1" t="n">
        <v>55</v>
      </c>
      <c r="CL21" s="1" t="n">
        <v>310</v>
      </c>
    </row>
    <row r="22" customFormat="false" ht="12.75" hidden="false" customHeight="false" outlineLevel="0" collapsed="false">
      <c r="A22" s="1" t="s">
        <v>296</v>
      </c>
      <c r="B22" s="0" t="s">
        <v>26</v>
      </c>
      <c r="C22" s="2" t="n">
        <f aca="false">F22/E22</f>
        <v>0.0702579161473665</v>
      </c>
      <c r="D22" s="2" t="n">
        <v>1</v>
      </c>
      <c r="E22" s="1" t="n">
        <v>1689774</v>
      </c>
      <c r="F22" s="1" t="n">
        <v>118720</v>
      </c>
      <c r="G22" s="1" t="n">
        <v>1175070</v>
      </c>
      <c r="H22" s="1" t="n">
        <v>395984</v>
      </c>
      <c r="I22" s="1"/>
      <c r="J22" s="1" t="n">
        <v>9775</v>
      </c>
      <c r="K22" s="1" t="n">
        <v>515.850434782609</v>
      </c>
      <c r="L22" s="1" t="n">
        <f aca="false">BG22+BH22+BI22</f>
        <v>2482462</v>
      </c>
      <c r="M22" s="1" t="n">
        <v>5042438</v>
      </c>
      <c r="N22" s="2" t="n">
        <v>0.059493670886076</v>
      </c>
      <c r="O22" s="2" t="n">
        <v>0.0697797782145526</v>
      </c>
      <c r="P22" s="38" t="n">
        <f aca="false">BU22^4</f>
        <v>7.3736342600225E-010</v>
      </c>
      <c r="Q22" s="38" t="n">
        <f aca="false">S22/M22</f>
        <v>0.147638106804685</v>
      </c>
      <c r="R22" s="34" t="n">
        <v>1289354</v>
      </c>
      <c r="S22" s="31" t="n">
        <v>744456</v>
      </c>
      <c r="T22" s="2" t="n">
        <f aca="false">AH22</f>
        <v>0.0617828080652504</v>
      </c>
      <c r="U22" s="2" t="n">
        <f aca="false">LN(M22)</f>
        <v>15.4334002532466</v>
      </c>
      <c r="V22" s="2" t="n">
        <f aca="false">LN(N22+1)</f>
        <v>0.0577911250284082</v>
      </c>
      <c r="W22" s="2" t="n">
        <f aca="false">LN(O22)</f>
        <v>-2.6624110215812</v>
      </c>
      <c r="X22" s="2" t="n">
        <f aca="false">LN(P22)</f>
        <v>-21.0279402299451</v>
      </c>
      <c r="Y22" s="2"/>
      <c r="Z22" s="38" t="n">
        <f aca="false">(AB22*AD22)^4</f>
        <v>5.15023876882502E-010</v>
      </c>
      <c r="AA22" s="2" t="n">
        <v>0.03139</v>
      </c>
      <c r="AB22" s="2" t="n">
        <f aca="false">BV22</f>
        <v>0.0274781962774974</v>
      </c>
      <c r="AD22" s="2" t="n">
        <v>0.173367872424564</v>
      </c>
      <c r="AG22" s="0" t="str">
        <f aca="false">A22</f>
        <v>MD</v>
      </c>
      <c r="AH22" s="2" t="n">
        <f aca="false">'Final-2'!B$41+'Final-2'!B$42*M22+'Final-2'!B$43*N22+'Final-2'!B$44*O22+'Final-2'!B$45*P22</f>
        <v>0.0617828080652504</v>
      </c>
      <c r="AI22" s="2" t="n">
        <f aca="false">C22</f>
        <v>0.0702579161473665</v>
      </c>
      <c r="AJ22" s="2" t="n">
        <f aca="false">1/ABS(AH22-AI22)</f>
        <v>117.992595529274</v>
      </c>
      <c r="AK22" s="2" t="n">
        <v>0.730981428238402</v>
      </c>
      <c r="AL22" s="2" t="n">
        <v>0.184479657543444</v>
      </c>
      <c r="AM22" s="46" t="n">
        <v>0.832348668280872</v>
      </c>
      <c r="AN22" s="46"/>
      <c r="AO22" s="2" t="n">
        <v>0.17402441608371</v>
      </c>
      <c r="AQ22" s="0" t="n">
        <v>0.0678996625559673</v>
      </c>
      <c r="AR22" s="0" t="n">
        <v>9.18758338485357</v>
      </c>
      <c r="AS22" s="0" t="n">
        <v>15.4334002532466</v>
      </c>
      <c r="AT22" s="0" t="n">
        <v>10.2982286972813</v>
      </c>
      <c r="AV22" s="1" t="n">
        <v>3462</v>
      </c>
      <c r="AW22" s="1" t="n">
        <v>9407</v>
      </c>
      <c r="AX22" s="1" t="n">
        <v>3462</v>
      </c>
      <c r="AY22" s="1" t="n">
        <v>17188</v>
      </c>
      <c r="BA22" s="2" t="n">
        <v>0.269018571761598</v>
      </c>
      <c r="BB22" s="2" t="n">
        <v>0.167651331719128</v>
      </c>
      <c r="BC22" s="1" t="s">
        <v>296</v>
      </c>
      <c r="BD22" s="1" t="s">
        <v>296</v>
      </c>
      <c r="BE22" s="0" t="s">
        <v>297</v>
      </c>
      <c r="BF22" s="0" t="n">
        <v>4781468</v>
      </c>
      <c r="BG22" s="0" t="n">
        <v>1363948</v>
      </c>
      <c r="BH22" s="0" t="n">
        <v>686505</v>
      </c>
      <c r="BI22" s="0" t="n">
        <v>432009</v>
      </c>
      <c r="BJ22" s="0" t="n">
        <v>0.17402441608371</v>
      </c>
      <c r="BL22" s="0" t="n">
        <v>0.184479657543444</v>
      </c>
      <c r="BM22" s="0" t="s">
        <v>296</v>
      </c>
      <c r="BO22" s="0" t="s">
        <v>518</v>
      </c>
      <c r="BP22" s="0" t="n">
        <v>0.930220221785447</v>
      </c>
      <c r="BQ22" s="0" t="n">
        <v>0.826632127575436</v>
      </c>
      <c r="BT22" s="0" t="s">
        <v>518</v>
      </c>
      <c r="BU22" s="0" t="n">
        <v>0.00521099189986518</v>
      </c>
      <c r="BV22" s="0" t="n">
        <v>0.0274781962774974</v>
      </c>
      <c r="BW22" s="0" t="n">
        <v>3.139</v>
      </c>
      <c r="BX22" s="0" t="s">
        <v>297</v>
      </c>
      <c r="BZ22" s="0" t="s">
        <v>297</v>
      </c>
      <c r="CA22" s="0" t="n">
        <v>42.3</v>
      </c>
      <c r="CB22" s="42" t="n">
        <v>74000</v>
      </c>
      <c r="CC22" s="0" t="n">
        <v>1963</v>
      </c>
      <c r="CD22" s="1" t="n">
        <v>711</v>
      </c>
      <c r="CE22" s="0" t="n">
        <v>0.059493670886076</v>
      </c>
      <c r="CG22" s="0" t="s">
        <v>296</v>
      </c>
      <c r="CH22" s="0" t="s">
        <v>26</v>
      </c>
      <c r="CI22" s="1" t="s">
        <v>296</v>
      </c>
      <c r="CJ22" s="1" t="n">
        <v>229</v>
      </c>
      <c r="CK22" s="1" t="n">
        <v>255</v>
      </c>
      <c r="CL22" s="1" t="n">
        <v>227</v>
      </c>
    </row>
    <row r="23" customFormat="false" ht="12.75" hidden="false" customHeight="false" outlineLevel="0" collapsed="false">
      <c r="A23" s="1" t="s">
        <v>298</v>
      </c>
      <c r="B23" s="0" t="s">
        <v>27</v>
      </c>
      <c r="C23" s="2" t="n">
        <f aca="false">F23/E23</f>
        <v>0.103944816167345</v>
      </c>
      <c r="D23" s="2" t="n">
        <v>1</v>
      </c>
      <c r="E23" s="1" t="n">
        <v>1454339</v>
      </c>
      <c r="F23" s="1" t="n">
        <v>151171</v>
      </c>
      <c r="G23" s="1" t="n">
        <v>890623</v>
      </c>
      <c r="H23" s="1" t="n">
        <v>412545</v>
      </c>
      <c r="I23" s="1"/>
      <c r="J23" s="1" t="n">
        <v>7838</v>
      </c>
      <c r="K23" s="1" t="n">
        <v>774.885174789487</v>
      </c>
      <c r="L23" s="1" t="n">
        <f aca="false">BG23+BH23+BI23</f>
        <v>2979594</v>
      </c>
      <c r="M23" s="1" t="n">
        <v>6073550</v>
      </c>
      <c r="N23" s="2" t="n">
        <v>0.163254593175853</v>
      </c>
      <c r="O23" s="2" t="n">
        <v>0.0502082263621112</v>
      </c>
      <c r="P23" s="38" t="n">
        <f aca="false">BU23^4</f>
        <v>2.60150207336546E-011</v>
      </c>
      <c r="Q23" s="38" t="n">
        <f aca="false">S23/M23</f>
        <v>0.168033522404525</v>
      </c>
      <c r="R23" s="32" t="n">
        <v>2500788</v>
      </c>
      <c r="S23" s="31" t="n">
        <v>1020560</v>
      </c>
      <c r="T23" s="2" t="n">
        <f aca="false">AH23</f>
        <v>0.0801779212472107</v>
      </c>
      <c r="U23" s="2" t="n">
        <f aca="false">LN(M23)</f>
        <v>15.619453835574</v>
      </c>
      <c r="V23" s="2" t="n">
        <f aca="false">LN(N23+1)</f>
        <v>0.151221760306373</v>
      </c>
      <c r="W23" s="2" t="n">
        <f aca="false">LN(O23)</f>
        <v>-2.99157639395476</v>
      </c>
      <c r="X23" s="2" t="n">
        <f aca="false">LN(P23)</f>
        <v>-24.3723470241981</v>
      </c>
      <c r="Y23" s="2"/>
      <c r="Z23" s="38" t="n">
        <f aca="false">(AB23*AD23)^4</f>
        <v>1.29990742544989E-011</v>
      </c>
      <c r="AA23" s="2" t="n">
        <v>0.012</v>
      </c>
      <c r="AB23" s="2" t="n">
        <f aca="false">BV23</f>
        <v>0.0613123203667421</v>
      </c>
      <c r="AD23" s="2" t="n">
        <v>0.0309692261748951</v>
      </c>
      <c r="AG23" s="0" t="str">
        <f aca="false">A23</f>
        <v>MA</v>
      </c>
      <c r="AH23" s="2" t="n">
        <f aca="false">'Final-2'!B$41+'Final-2'!B$42*M23+'Final-2'!B$43*N23+'Final-2'!B$44*O23+'Final-2'!B$45*P23</f>
        <v>0.0801779212472107</v>
      </c>
      <c r="AI23" s="2" t="n">
        <f aca="false">C23</f>
        <v>0.103944816167345</v>
      </c>
      <c r="AJ23" s="2" t="n">
        <f aca="false">1/ABS(AH23-AI23)</f>
        <v>42.0753322367262</v>
      </c>
      <c r="AK23" s="2" t="n">
        <v>0.83625097756121</v>
      </c>
      <c r="AL23" s="2" t="n">
        <v>0.272573682088962</v>
      </c>
      <c r="AM23" s="46" t="n">
        <v>0.858236550179678</v>
      </c>
      <c r="AN23" s="46"/>
      <c r="AO23" s="2" t="n">
        <v>0.0313935388512663</v>
      </c>
      <c r="AQ23" s="0" t="n">
        <v>0.0988899612499282</v>
      </c>
      <c r="AR23" s="0" t="n">
        <v>8.96673897875958</v>
      </c>
      <c r="AS23" s="0" t="n">
        <v>15.619453835574</v>
      </c>
      <c r="AT23" s="0" t="n">
        <v>10.3336777930311</v>
      </c>
      <c r="AV23" s="1" t="n">
        <v>2722</v>
      </c>
      <c r="AW23" s="1" t="n">
        <v>13901</v>
      </c>
      <c r="AX23" s="1" t="n">
        <v>2722</v>
      </c>
      <c r="AY23" s="1" t="n">
        <v>16479</v>
      </c>
      <c r="BA23" s="2" t="n">
        <v>0.16374902243879</v>
      </c>
      <c r="BB23" s="2" t="n">
        <v>0.141763449820322</v>
      </c>
      <c r="BC23" s="1" t="s">
        <v>298</v>
      </c>
      <c r="BD23" s="1" t="s">
        <v>298</v>
      </c>
      <c r="BE23" s="0" t="s">
        <v>299</v>
      </c>
      <c r="BF23" s="0" t="n">
        <v>6016425</v>
      </c>
      <c r="BG23" s="0" t="n">
        <v>2063962</v>
      </c>
      <c r="BH23" s="0" t="n">
        <v>822092</v>
      </c>
      <c r="BI23" s="0" t="n">
        <v>93540</v>
      </c>
      <c r="BJ23" s="0" t="n">
        <v>0.0313935388512663</v>
      </c>
      <c r="BL23" s="0" t="n">
        <v>0.272573682088962</v>
      </c>
      <c r="BM23" s="0" t="s">
        <v>298</v>
      </c>
      <c r="BO23" s="0" t="s">
        <v>519</v>
      </c>
      <c r="BP23" s="0" t="n">
        <v>0.949791773637889</v>
      </c>
      <c r="BQ23" s="0" t="n">
        <v>0.969030773825105</v>
      </c>
      <c r="BT23" s="0" t="s">
        <v>519</v>
      </c>
      <c r="BU23" s="0" t="n">
        <v>0.00225842693152515</v>
      </c>
      <c r="BV23" s="0" t="n">
        <v>0.0613123203667421</v>
      </c>
      <c r="BW23" s="0" t="n">
        <v>1.2</v>
      </c>
      <c r="BX23" s="0" t="s">
        <v>299</v>
      </c>
      <c r="BZ23" s="0" t="s">
        <v>299</v>
      </c>
      <c r="CA23" s="0" t="n">
        <v>124.4</v>
      </c>
      <c r="CB23" s="42" t="n">
        <v>239000</v>
      </c>
      <c r="CC23" s="0" t="n">
        <v>1957</v>
      </c>
      <c r="CD23" s="1" t="n">
        <v>762</v>
      </c>
      <c r="CE23" s="0" t="n">
        <v>0.163254593175853</v>
      </c>
      <c r="CG23" s="0" t="s">
        <v>298</v>
      </c>
      <c r="CH23" s="0" t="s">
        <v>27</v>
      </c>
      <c r="CI23" s="1" t="s">
        <v>298</v>
      </c>
      <c r="CJ23" s="1" t="n">
        <v>197</v>
      </c>
      <c r="CK23" s="1" t="n">
        <v>403</v>
      </c>
      <c r="CL23" s="1" t="n">
        <v>162</v>
      </c>
    </row>
    <row r="24" customFormat="false" ht="12.75" hidden="false" customHeight="false" outlineLevel="0" collapsed="false">
      <c r="A24" s="1" t="s">
        <v>300</v>
      </c>
      <c r="B24" s="0" t="s">
        <v>28</v>
      </c>
      <c r="C24" s="2" t="n">
        <f aca="false">F24/E24</f>
        <v>0.00738787711371125</v>
      </c>
      <c r="D24" s="2" t="n">
        <v>1</v>
      </c>
      <c r="E24" s="1" t="n">
        <v>2027240</v>
      </c>
      <c r="F24" s="1" t="n">
        <v>14977</v>
      </c>
      <c r="G24" s="1" t="n">
        <v>1262280</v>
      </c>
      <c r="H24" s="1" t="n">
        <v>749983</v>
      </c>
      <c r="I24" s="1"/>
      <c r="J24" s="1" t="n">
        <v>56809</v>
      </c>
      <c r="K24" s="1" t="n">
        <v>168.095777077576</v>
      </c>
      <c r="L24" s="1" t="n">
        <f aca="false">BG24+BH24+BI24</f>
        <v>4082403</v>
      </c>
      <c r="M24" s="1" t="n">
        <v>9549353</v>
      </c>
      <c r="N24" s="2" t="n">
        <v>0</v>
      </c>
      <c r="O24" s="2" t="n">
        <v>0.00796925854450259</v>
      </c>
      <c r="P24" s="38" t="n">
        <f aca="false">BU24^4</f>
        <v>9.23270469744563E-013</v>
      </c>
      <c r="Q24" s="38" t="n">
        <f aca="false">S24/M24</f>
        <v>0.129270642733597</v>
      </c>
      <c r="R24" s="32" t="n">
        <v>1973894</v>
      </c>
      <c r="S24" s="31" t="n">
        <v>1234451</v>
      </c>
      <c r="T24" s="2" t="n">
        <f aca="false">AH24</f>
        <v>0.0088849483161644</v>
      </c>
      <c r="U24" s="2" t="n">
        <f aca="false">LN(M24)</f>
        <v>16.0719839614708</v>
      </c>
      <c r="V24" s="2" t="n">
        <f aca="false">LN(N24+1)</f>
        <v>0</v>
      </c>
      <c r="W24" s="2" t="n">
        <f aca="false">LN(O24)</f>
        <v>-4.83216382131033</v>
      </c>
      <c r="X24" s="2" t="n">
        <f aca="false">LN(P24)</f>
        <v>-27.7108541700243</v>
      </c>
      <c r="Y24" s="2"/>
      <c r="Z24" s="38" t="n">
        <f aca="false">(AB24*AD24)^4</f>
        <v>1.53467045851482E-013</v>
      </c>
      <c r="AA24" s="2" t="n">
        <v>0.10085</v>
      </c>
      <c r="AB24" s="2" t="n">
        <f aca="false">BV24</f>
        <v>0.0419633136501008</v>
      </c>
      <c r="AD24" s="2" t="n">
        <v>0.0149153692098973</v>
      </c>
      <c r="AG24" s="0" t="str">
        <f aca="false">A24</f>
        <v>MI</v>
      </c>
      <c r="AH24" s="2" t="n">
        <f aca="false">'Final-2'!B$41+'Final-2'!B$42*M24+'Final-2'!B$43*N24+'Final-2'!B$44*O24+'Final-2'!B$45*P24</f>
        <v>0.0088849483161644</v>
      </c>
      <c r="AI24" s="2" t="n">
        <f aca="false">C24</f>
        <v>0.00738787711371125</v>
      </c>
      <c r="AJ24" s="2" t="n">
        <f aca="false">1/ABS(AH24-AI24)</f>
        <v>667.970901024192</v>
      </c>
      <c r="AK24" s="2" t="n">
        <v>0.362780593772629</v>
      </c>
      <c r="AL24" s="2" t="n">
        <v>0.0453309185516791</v>
      </c>
      <c r="AM24" s="46" t="n">
        <v>0.448842569395731</v>
      </c>
      <c r="AN24" s="46"/>
      <c r="AO24" s="2" t="n">
        <v>0.015132019058383</v>
      </c>
      <c r="AQ24" s="0" t="n">
        <v>0.00736072042110283</v>
      </c>
      <c r="AR24" s="0" t="n">
        <v>10.9474500428615</v>
      </c>
      <c r="AS24" s="0" t="n">
        <v>16.0719839614708</v>
      </c>
      <c r="AT24" s="0" t="n">
        <v>11.6751378474873</v>
      </c>
      <c r="AV24" s="1" t="n">
        <v>22000</v>
      </c>
      <c r="AW24" s="1" t="n">
        <v>12525</v>
      </c>
      <c r="AX24" s="1" t="n">
        <v>22000</v>
      </c>
      <c r="AY24" s="1" t="n">
        <v>17916</v>
      </c>
      <c r="BA24" s="2" t="n">
        <v>0.637219406227372</v>
      </c>
      <c r="BB24" s="2" t="n">
        <v>0.551157430604269</v>
      </c>
      <c r="BC24" s="1" t="s">
        <v>300</v>
      </c>
      <c r="BD24" s="1" t="s">
        <v>300</v>
      </c>
      <c r="BE24" s="0" t="s">
        <v>301</v>
      </c>
      <c r="BF24" s="0" t="n">
        <v>9295297</v>
      </c>
      <c r="BG24" s="0" t="n">
        <v>3014822</v>
      </c>
      <c r="BH24" s="0" t="n">
        <v>1005806</v>
      </c>
      <c r="BI24" s="0" t="n">
        <v>61775</v>
      </c>
      <c r="BJ24" s="0" t="n">
        <v>0.015132019058383</v>
      </c>
      <c r="BL24" s="0" t="n">
        <v>0.0453309185516791</v>
      </c>
      <c r="BM24" s="0" t="s">
        <v>300</v>
      </c>
      <c r="BO24" s="0" t="s">
        <v>520</v>
      </c>
      <c r="BP24" s="0" t="n">
        <v>0.992030741455497</v>
      </c>
      <c r="BQ24" s="0" t="n">
        <v>0.985084630790103</v>
      </c>
      <c r="BT24" s="0" t="s">
        <v>520</v>
      </c>
      <c r="BU24" s="0" t="n">
        <v>0.000980239584198947</v>
      </c>
      <c r="BV24" s="0" t="n">
        <v>0.0419633136501008</v>
      </c>
      <c r="BW24" s="0" t="n">
        <v>10.085</v>
      </c>
      <c r="BX24" s="0" t="s">
        <v>301</v>
      </c>
      <c r="BZ24" s="0" t="s">
        <v>301</v>
      </c>
      <c r="CA24" s="0" t="n">
        <v>0</v>
      </c>
      <c r="CD24" s="1" t="n">
        <v>1458</v>
      </c>
      <c r="CE24" s="0" t="n">
        <v>0</v>
      </c>
      <c r="CG24" s="0" t="s">
        <v>300</v>
      </c>
      <c r="CH24" s="0" t="s">
        <v>28</v>
      </c>
      <c r="CI24" s="1" t="s">
        <v>300</v>
      </c>
      <c r="CJ24" s="1" t="n">
        <v>218</v>
      </c>
      <c r="CK24" s="1" t="n">
        <v>500</v>
      </c>
      <c r="CL24" s="1" t="n">
        <v>740</v>
      </c>
    </row>
    <row r="25" customFormat="false" ht="12.75" hidden="false" customHeight="false" outlineLevel="0" collapsed="false">
      <c r="A25" s="1" t="s">
        <v>302</v>
      </c>
      <c r="B25" s="0" t="s">
        <v>29</v>
      </c>
      <c r="C25" s="2" t="n">
        <f aca="false">F25/E25</f>
        <v>0</v>
      </c>
      <c r="D25" s="2" t="n">
        <v>1</v>
      </c>
      <c r="E25" s="1" t="n">
        <v>1255956</v>
      </c>
      <c r="F25" s="1" t="n">
        <v>0</v>
      </c>
      <c r="G25" s="1" t="n">
        <v>898242</v>
      </c>
      <c r="H25" s="1" t="n">
        <v>357714</v>
      </c>
      <c r="I25" s="1"/>
      <c r="J25" s="1" t="n">
        <v>79617</v>
      </c>
      <c r="K25" s="1" t="n">
        <v>57.8965296356306</v>
      </c>
      <c r="L25" s="1" t="n">
        <f aca="false">BG25+BH25+BI25</f>
        <v>2158733</v>
      </c>
      <c r="M25" s="1" t="n">
        <v>4609548</v>
      </c>
      <c r="N25" s="2" t="n">
        <v>0</v>
      </c>
      <c r="O25" s="2" t="n">
        <v>0.0231171606433715</v>
      </c>
      <c r="P25" s="38" t="n">
        <f aca="false">BU25^4</f>
        <v>3.91416523412056E-014</v>
      </c>
      <c r="Q25" s="38" t="n">
        <f aca="false">S25/M25</f>
        <v>0.151770412196597</v>
      </c>
      <c r="R25" s="32" t="n">
        <v>1210014</v>
      </c>
      <c r="S25" s="31" t="n">
        <v>699593</v>
      </c>
      <c r="T25" s="2" t="n">
        <f aca="false">AH25</f>
        <v>0.00277581255043061</v>
      </c>
      <c r="U25" s="2" t="n">
        <f aca="false">LN(M25)</f>
        <v>15.3436403624435</v>
      </c>
      <c r="V25" s="2" t="n">
        <f aca="false">LN(N25+1)</f>
        <v>0</v>
      </c>
      <c r="W25" s="2" t="n">
        <f aca="false">LN(O25)</f>
        <v>-3.76718005226242</v>
      </c>
      <c r="X25" s="2" t="n">
        <f aca="false">LN(P25)</f>
        <v>-30.8715892176559</v>
      </c>
      <c r="Y25" s="2"/>
      <c r="Z25" s="38" t="n">
        <f aca="false">(AB25*AD25)^4</f>
        <v>2.34657544040601E-015</v>
      </c>
      <c r="AA25" s="2" t="n">
        <v>0.03055</v>
      </c>
      <c r="AB25" s="2" t="n">
        <f aca="false">BV25</f>
        <v>0.0124292221309667</v>
      </c>
      <c r="AD25" s="2" t="n">
        <v>0.0177078029509453</v>
      </c>
      <c r="AG25" s="0" t="str">
        <f aca="false">A25</f>
        <v>MN</v>
      </c>
      <c r="AH25" s="2" t="n">
        <f aca="false">'Final-2'!B$41+'Final-2'!B$42*M25+'Final-2'!B$43*N25+'Final-2'!B$44*O25+'Final-2'!B$45*P25</f>
        <v>0.00277581255043061</v>
      </c>
      <c r="AI25" s="2" t="n">
        <f aca="false">C25</f>
        <v>0</v>
      </c>
      <c r="AJ25" s="2" t="n">
        <f aca="false">1/ABS(AH25-AI25)</f>
        <v>360.254873782766</v>
      </c>
      <c r="AK25" s="2" t="n">
        <v>0.379854026372031</v>
      </c>
      <c r="AL25" s="2" t="n">
        <v>0.0294359210016658</v>
      </c>
      <c r="AM25" s="46" t="n">
        <v>0.404998645877665</v>
      </c>
      <c r="AN25" s="46"/>
      <c r="AO25" s="2" t="n">
        <v>0.0186702107208256</v>
      </c>
      <c r="AQ25" s="0" t="n">
        <v>0</v>
      </c>
      <c r="AR25" s="0" t="n">
        <v>11.2849829168693</v>
      </c>
      <c r="AS25" s="0" t="n">
        <v>15.3436403624435</v>
      </c>
      <c r="AT25" s="0" t="n">
        <v>11.7782929076879</v>
      </c>
      <c r="AV25" s="1" t="n">
        <v>15379</v>
      </c>
      <c r="AW25" s="1" t="n">
        <v>9420</v>
      </c>
      <c r="AX25" s="1" t="n">
        <v>15379</v>
      </c>
      <c r="AY25" s="1" t="n">
        <v>10468</v>
      </c>
      <c r="BA25" s="2" t="n">
        <v>0.620145973627969</v>
      </c>
      <c r="BB25" s="2" t="n">
        <v>0.595001354122335</v>
      </c>
      <c r="BC25" s="1" t="s">
        <v>302</v>
      </c>
      <c r="BD25" s="1" t="s">
        <v>302</v>
      </c>
      <c r="BE25" s="0" t="s">
        <v>303</v>
      </c>
      <c r="BF25" s="0" t="n">
        <v>4375099</v>
      </c>
      <c r="BG25" s="0" t="n">
        <v>1533077</v>
      </c>
      <c r="BH25" s="0" t="n">
        <v>585352</v>
      </c>
      <c r="BI25" s="0" t="n">
        <v>40304</v>
      </c>
      <c r="BJ25" s="0" t="n">
        <v>0.0186702107208256</v>
      </c>
      <c r="BL25" s="0" t="n">
        <v>0.0294359210016658</v>
      </c>
      <c r="BM25" s="0" t="s">
        <v>302</v>
      </c>
      <c r="BO25" s="0" t="s">
        <v>521</v>
      </c>
      <c r="BP25" s="0" t="n">
        <v>0.976882839356629</v>
      </c>
      <c r="BQ25" s="0" t="n">
        <v>0.982292197049055</v>
      </c>
      <c r="BT25" s="0" t="s">
        <v>521</v>
      </c>
      <c r="BU25" s="0" t="n">
        <v>0.000444794889550436</v>
      </c>
      <c r="BV25" s="0" t="n">
        <v>0.0124292221309667</v>
      </c>
      <c r="BW25" s="0" t="n">
        <v>3.055</v>
      </c>
      <c r="BX25" s="0" t="s">
        <v>303</v>
      </c>
      <c r="BZ25" s="0" t="s">
        <v>303</v>
      </c>
      <c r="CA25" s="0" t="n">
        <v>0</v>
      </c>
      <c r="CD25" s="1" t="n">
        <v>1042</v>
      </c>
      <c r="CE25" s="0" t="n">
        <v>0</v>
      </c>
      <c r="CG25" s="0" t="s">
        <v>302</v>
      </c>
      <c r="CH25" s="0" t="s">
        <v>29</v>
      </c>
      <c r="CI25" s="1" t="s">
        <v>302</v>
      </c>
      <c r="CJ25" s="1" t="n">
        <v>128</v>
      </c>
      <c r="CK25" s="1" t="n">
        <v>233</v>
      </c>
      <c r="CL25" s="1" t="n">
        <v>681</v>
      </c>
    </row>
    <row r="26" customFormat="false" ht="12.75" hidden="false" customHeight="false" outlineLevel="0" collapsed="false">
      <c r="A26" s="1" t="s">
        <v>67</v>
      </c>
      <c r="B26" s="0" t="s">
        <v>30</v>
      </c>
      <c r="C26" s="2" t="n">
        <f aca="false">F26/E26</f>
        <v>0</v>
      </c>
      <c r="D26" s="2" t="n">
        <v>1</v>
      </c>
      <c r="E26" s="1" t="n">
        <v>688870</v>
      </c>
      <c r="F26" s="1" t="n">
        <v>0</v>
      </c>
      <c r="G26" s="1" t="n">
        <v>407456</v>
      </c>
      <c r="H26" s="1" t="n">
        <v>281414</v>
      </c>
      <c r="I26" s="1"/>
      <c r="J26" s="1" t="n">
        <v>46914</v>
      </c>
      <c r="K26" s="1" t="n">
        <v>57.4933495331884</v>
      </c>
      <c r="L26" s="1" t="n">
        <f aca="false">BG26+BH26+BI26</f>
        <v>1028014</v>
      </c>
      <c r="M26" s="1" t="n">
        <v>2697243</v>
      </c>
      <c r="N26" s="2" t="n">
        <v>0</v>
      </c>
      <c r="O26" s="2" t="n">
        <v>0.0305028704492417</v>
      </c>
      <c r="P26" s="38" t="n">
        <f aca="false">BU26^4</f>
        <v>3.31728127610878E-012</v>
      </c>
      <c r="Q26" s="38" t="n">
        <f aca="false">S26/M26</f>
        <v>0.096020640335335</v>
      </c>
      <c r="R26" s="34" t="n">
        <v>661610</v>
      </c>
      <c r="S26" s="31" t="n">
        <v>258991</v>
      </c>
      <c r="T26" s="2" t="n">
        <f aca="false">AH26</f>
        <v>0.00169827689615375</v>
      </c>
      <c r="U26" s="2" t="n">
        <f aca="false">LN(M26)</f>
        <v>14.8077406981743</v>
      </c>
      <c r="V26" s="2" t="n">
        <f aca="false">LN(N26+1)</f>
        <v>0</v>
      </c>
      <c r="W26" s="2" t="n">
        <f aca="false">LN(O26)</f>
        <v>-3.48993448670724</v>
      </c>
      <c r="X26" s="2" t="n">
        <f aca="false">LN(P26)</f>
        <v>-26.4318755612143</v>
      </c>
      <c r="Y26" s="2"/>
      <c r="Z26" s="38" t="n">
        <f aca="false">(AB26*AD26)^4</f>
        <v>2.29121691643377E-013</v>
      </c>
      <c r="AA26" s="2" t="n">
        <v>0.04286</v>
      </c>
      <c r="AB26" s="2" t="n">
        <f aca="false">BV26</f>
        <v>0.0117861455165629</v>
      </c>
      <c r="AD26" s="2" t="n">
        <v>0.0587008990703929</v>
      </c>
      <c r="AG26" s="0" t="str">
        <f aca="false">A26</f>
        <v>MS</v>
      </c>
      <c r="AH26" s="2" t="n">
        <f aca="false">'Final-2'!B$41+'Final-2'!B$42*M26+'Final-2'!B$43*N26+'Final-2'!B$44*O26+'Final-2'!B$45*P26</f>
        <v>0.00169827689615375</v>
      </c>
      <c r="AI26" s="2" t="n">
        <f aca="false">C26</f>
        <v>0</v>
      </c>
      <c r="AJ26" s="2" t="n">
        <f aca="false">1/ABS(AH26-AI26)</f>
        <v>588.832128768164</v>
      </c>
      <c r="AK26" s="2" t="n">
        <v>0.606567164179105</v>
      </c>
      <c r="AL26" s="2" t="n">
        <v>0.00826838457967412</v>
      </c>
      <c r="AM26" s="46" t="n">
        <v>0.576866629976151</v>
      </c>
      <c r="AN26" s="46"/>
      <c r="AO26" s="2" t="n">
        <v>0.0575099171801162</v>
      </c>
      <c r="AQ26" s="0" t="n">
        <v>0</v>
      </c>
      <c r="AR26" s="0" t="n">
        <v>10.7560714173526</v>
      </c>
      <c r="AS26" s="0" t="n">
        <v>14.8077406981743</v>
      </c>
      <c r="AT26" s="0" t="n">
        <v>11.1996110051447</v>
      </c>
      <c r="AV26" s="1" t="n">
        <v>4613</v>
      </c>
      <c r="AW26" s="1" t="n">
        <v>7112</v>
      </c>
      <c r="AX26" s="1" t="n">
        <v>4613</v>
      </c>
      <c r="AY26" s="1" t="n">
        <v>6289</v>
      </c>
      <c r="BA26" s="2" t="n">
        <v>0.393432835820896</v>
      </c>
      <c r="BB26" s="2" t="n">
        <v>0.423133370023849</v>
      </c>
      <c r="BC26" s="1" t="s">
        <v>67</v>
      </c>
      <c r="BD26" s="1" t="s">
        <v>67</v>
      </c>
      <c r="BE26" s="0" t="s">
        <v>304</v>
      </c>
      <c r="BF26" s="0" t="n">
        <v>2573216</v>
      </c>
      <c r="BG26" s="0" t="n">
        <v>761316</v>
      </c>
      <c r="BH26" s="0" t="n">
        <v>207577</v>
      </c>
      <c r="BI26" s="0" t="n">
        <v>59121</v>
      </c>
      <c r="BJ26" s="0" t="n">
        <v>0.0575099171801162</v>
      </c>
      <c r="BL26" s="0" t="n">
        <v>0.00826838457967412</v>
      </c>
      <c r="BM26" s="0" t="s">
        <v>67</v>
      </c>
      <c r="BO26" s="0" t="s">
        <v>522</v>
      </c>
      <c r="BP26" s="0" t="n">
        <v>0.969497129550758</v>
      </c>
      <c r="BQ26" s="0" t="n">
        <v>0.941299100929607</v>
      </c>
      <c r="BT26" s="0" t="s">
        <v>522</v>
      </c>
      <c r="BU26" s="0" t="n">
        <v>0.00134957049324707</v>
      </c>
      <c r="BV26" s="0" t="n">
        <v>0.0117861455165629</v>
      </c>
      <c r="BW26" s="0" t="n">
        <v>4.286</v>
      </c>
      <c r="BX26" s="0" t="s">
        <v>304</v>
      </c>
      <c r="BZ26" s="0" t="s">
        <v>304</v>
      </c>
      <c r="CA26" s="0" t="n">
        <v>0</v>
      </c>
      <c r="CD26" s="1" t="n">
        <v>726</v>
      </c>
      <c r="CE26" s="0" t="n">
        <v>0</v>
      </c>
      <c r="CG26" s="0" t="s">
        <v>67</v>
      </c>
      <c r="CH26" s="0" t="s">
        <v>30</v>
      </c>
      <c r="CI26" s="1" t="s">
        <v>67</v>
      </c>
      <c r="CJ26" s="1" t="n">
        <v>41</v>
      </c>
      <c r="CK26" s="1" t="n">
        <v>127</v>
      </c>
      <c r="CL26" s="1" t="n">
        <v>558</v>
      </c>
    </row>
    <row r="27" customFormat="false" ht="12.75" hidden="false" customHeight="false" outlineLevel="0" collapsed="false">
      <c r="A27" s="1" t="s">
        <v>305</v>
      </c>
      <c r="B27" s="0" t="s">
        <v>31</v>
      </c>
      <c r="C27" s="2" t="n">
        <f aca="false">F27/E27</f>
        <v>0.000759685797103275</v>
      </c>
      <c r="D27" s="2" t="n">
        <v>1</v>
      </c>
      <c r="E27" s="1" t="n">
        <v>1270262</v>
      </c>
      <c r="F27" s="1" t="n">
        <v>965</v>
      </c>
      <c r="G27" s="1" t="n">
        <v>697662</v>
      </c>
      <c r="H27" s="1" t="n">
        <v>571635</v>
      </c>
      <c r="I27" s="1"/>
      <c r="J27" s="1" t="n">
        <v>68898</v>
      </c>
      <c r="K27" s="1" t="n">
        <v>77.2667276263462</v>
      </c>
      <c r="L27" s="1" t="n">
        <f aca="false">BG27+BH27+BI27</f>
        <v>2345816</v>
      </c>
      <c r="M27" s="1" t="n">
        <v>5323523</v>
      </c>
      <c r="N27" s="2" t="n">
        <v>0</v>
      </c>
      <c r="O27" s="2" t="n">
        <v>0.0724272745344907</v>
      </c>
      <c r="P27" s="38" t="n">
        <f aca="false">BU27^4</f>
        <v>1.15835281976731E-010</v>
      </c>
      <c r="Q27" s="38" t="n">
        <f aca="false">S27/M27</f>
        <v>0.121638997333157</v>
      </c>
      <c r="R27" s="32" t="n">
        <v>1313107</v>
      </c>
      <c r="S27" s="31" t="n">
        <v>647548</v>
      </c>
      <c r="T27" s="2" t="n">
        <f aca="false">AH27</f>
        <v>0.0472316177091278</v>
      </c>
      <c r="U27" s="2" t="n">
        <f aca="false">LN(M27)</f>
        <v>15.4876458601933</v>
      </c>
      <c r="V27" s="2" t="n">
        <f aca="false">LN(N27+1)</f>
        <v>0</v>
      </c>
      <c r="W27" s="2" t="n">
        <f aca="false">LN(O27)</f>
        <v>-2.62517233044201</v>
      </c>
      <c r="X27" s="2" t="n">
        <f aca="false">LN(P27)</f>
        <v>-22.8788519169126</v>
      </c>
      <c r="Y27" s="2"/>
      <c r="Z27" s="38" t="n">
        <f aca="false">(AB27*AD27)^4</f>
        <v>7.27906856692944E-011</v>
      </c>
      <c r="AA27" s="2" t="n">
        <v>0.03808</v>
      </c>
      <c r="AB27" s="2" t="n">
        <f aca="false">BV27</f>
        <v>0.0608954144235067</v>
      </c>
      <c r="AD27" s="2" t="n">
        <v>0.0479660948799265</v>
      </c>
      <c r="AG27" s="0" t="str">
        <f aca="false">A27</f>
        <v>MO</v>
      </c>
      <c r="AH27" s="2" t="n">
        <f aca="false">'Final-2'!B$41+'Final-2'!B$42*M27+'Final-2'!B$43*N27+'Final-2'!B$44*O27+'Final-2'!B$45*P27</f>
        <v>0.0472316177091278</v>
      </c>
      <c r="AI27" s="2" t="n">
        <f aca="false">C27</f>
        <v>0.000759685797103275</v>
      </c>
      <c r="AJ27" s="2" t="n">
        <f aca="false">1/ABS(AH27-AI27)</f>
        <v>21.518365147657</v>
      </c>
      <c r="AK27" s="2" t="n">
        <v>0.562731547449416</v>
      </c>
      <c r="AL27" s="2" t="n">
        <v>0.13087162756103</v>
      </c>
      <c r="AM27" s="46" t="n">
        <v>0.514380662262136</v>
      </c>
      <c r="AN27" s="46"/>
      <c r="AO27" s="2" t="n">
        <v>0.0473869220774349</v>
      </c>
      <c r="AQ27" s="0" t="n">
        <v>0.00075939738190883</v>
      </c>
      <c r="AR27" s="0" t="n">
        <v>11.1403824290042</v>
      </c>
      <c r="AS27" s="0" t="n">
        <v>15.4876458601933</v>
      </c>
      <c r="AT27" s="0" t="n">
        <v>11.7168127996787</v>
      </c>
      <c r="AV27" s="1" t="n">
        <v>12275</v>
      </c>
      <c r="AW27" s="1" t="n">
        <v>15797</v>
      </c>
      <c r="AX27" s="1" t="n">
        <v>12275</v>
      </c>
      <c r="AY27" s="1" t="n">
        <v>13002</v>
      </c>
      <c r="BA27" s="2" t="n">
        <v>0.437268452550584</v>
      </c>
      <c r="BB27" s="2" t="n">
        <v>0.485619337737865</v>
      </c>
      <c r="BC27" s="1" t="s">
        <v>305</v>
      </c>
      <c r="BD27" s="1" t="s">
        <v>305</v>
      </c>
      <c r="BE27" s="0" t="s">
        <v>306</v>
      </c>
      <c r="BF27" s="0" t="n">
        <v>5117073</v>
      </c>
      <c r="BG27" s="0" t="n">
        <v>1614411</v>
      </c>
      <c r="BH27" s="0" t="n">
        <v>620244</v>
      </c>
      <c r="BI27" s="0" t="n">
        <v>111161</v>
      </c>
      <c r="BJ27" s="0" t="n">
        <v>0.0473869220774349</v>
      </c>
      <c r="BL27" s="0" t="n">
        <v>0.13087162756103</v>
      </c>
      <c r="BM27" s="0" t="s">
        <v>305</v>
      </c>
      <c r="BO27" s="0" t="s">
        <v>523</v>
      </c>
      <c r="BP27" s="0" t="n">
        <v>0.927572725465509</v>
      </c>
      <c r="BQ27" s="0" t="n">
        <v>0.952033905120074</v>
      </c>
      <c r="BT27" s="0" t="s">
        <v>523</v>
      </c>
      <c r="BU27" s="0" t="n">
        <v>0.00328065238260393</v>
      </c>
      <c r="BV27" s="0" t="n">
        <v>0.0608954144235067</v>
      </c>
      <c r="BW27" s="0" t="n">
        <v>3.808</v>
      </c>
      <c r="BX27" s="0" t="s">
        <v>306</v>
      </c>
      <c r="BZ27" s="0" t="s">
        <v>306</v>
      </c>
      <c r="CA27" s="0" t="n">
        <v>0</v>
      </c>
      <c r="CD27" s="1" t="n">
        <v>1460</v>
      </c>
      <c r="CE27" s="0" t="n">
        <v>0</v>
      </c>
      <c r="CG27" s="0" t="s">
        <v>305</v>
      </c>
      <c r="CH27" s="0" t="s">
        <v>31</v>
      </c>
      <c r="CI27" s="1" t="s">
        <v>305</v>
      </c>
      <c r="CJ27" s="1" t="n">
        <v>282</v>
      </c>
      <c r="CK27" s="1" t="n">
        <v>368</v>
      </c>
      <c r="CL27" s="1" t="n">
        <v>810</v>
      </c>
    </row>
    <row r="28" customFormat="false" ht="12.75" hidden="false" customHeight="false" outlineLevel="0" collapsed="false">
      <c r="A28" s="1" t="s">
        <v>307</v>
      </c>
      <c r="B28" s="0" t="s">
        <v>32</v>
      </c>
      <c r="C28" s="2" t="n">
        <f aca="false">F28/E28</f>
        <v>0</v>
      </c>
      <c r="D28" s="2" t="n">
        <v>1</v>
      </c>
      <c r="E28" s="1" t="n">
        <v>268149</v>
      </c>
      <c r="F28" s="1" t="n">
        <v>0</v>
      </c>
      <c r="G28" s="1" t="n">
        <v>169678</v>
      </c>
      <c r="H28" s="1" t="n">
        <v>98471</v>
      </c>
      <c r="I28" s="1"/>
      <c r="J28" s="1" t="n">
        <v>145556</v>
      </c>
      <c r="K28" s="1" t="n">
        <v>5.97901151446866</v>
      </c>
      <c r="L28" s="1" t="n">
        <f aca="false">BG28+BH28+BI28</f>
        <v>349184</v>
      </c>
      <c r="M28" s="1" t="n">
        <v>870281</v>
      </c>
      <c r="N28" s="2" t="n">
        <v>0</v>
      </c>
      <c r="O28" s="2" t="n">
        <v>0.00796409544263987</v>
      </c>
      <c r="P28" s="38" t="n">
        <f aca="false">BU28^4</f>
        <v>3.47319888352621E-014</v>
      </c>
      <c r="Q28" s="38" t="n">
        <f aca="false">S28/M28</f>
        <v>0.235636535785568</v>
      </c>
      <c r="R28" s="32" t="n">
        <v>388416</v>
      </c>
      <c r="S28" s="31" t="n">
        <v>205070</v>
      </c>
      <c r="T28" s="2" t="n">
        <f aca="false">AH28</f>
        <v>-0.0243654655444589</v>
      </c>
      <c r="U28" s="2" t="n">
        <f aca="false">LN(M28)</f>
        <v>13.676571426987</v>
      </c>
      <c r="V28" s="2" t="n">
        <f aca="false">LN(N28+1)</f>
        <v>0</v>
      </c>
      <c r="W28" s="2" t="n">
        <f aca="false">LN(O28)</f>
        <v>-4.83281190859285</v>
      </c>
      <c r="X28" s="2" t="n">
        <f aca="false">LN(P28)</f>
        <v>-30.9911152641663</v>
      </c>
      <c r="Y28" s="2"/>
      <c r="Z28" s="38" t="n">
        <f aca="false">(AB28*AD28)^4</f>
        <v>3.64136470353585E-015</v>
      </c>
      <c r="AA28" s="2" t="n">
        <v>0.27542</v>
      </c>
      <c r="AB28" s="2" t="n">
        <f aca="false">BV28</f>
        <v>0.0198386177748442</v>
      </c>
      <c r="AD28" s="2" t="n">
        <v>0.0123823944448102</v>
      </c>
      <c r="AG28" s="0" t="str">
        <f aca="false">A28</f>
        <v>MT</v>
      </c>
      <c r="AH28" s="2" t="n">
        <f aca="false">'Final-2'!B$41+'Final-2'!B$42*M28+'Final-2'!B$43*N28+'Final-2'!B$44*O28+'Final-2'!B$45*P28</f>
        <v>-0.0243654655444589</v>
      </c>
      <c r="AI28" s="2" t="n">
        <f aca="false">C28</f>
        <v>0</v>
      </c>
      <c r="AJ28" s="2" t="n">
        <f aca="false">1/ABS(AH28-AI28)</f>
        <v>41.0416947780182</v>
      </c>
      <c r="AK28" s="2" t="n">
        <v>0.431981236203091</v>
      </c>
      <c r="AL28" s="2" t="n">
        <v>0.0141185144904694</v>
      </c>
      <c r="AM28" s="46" t="n">
        <v>0.309807208717519</v>
      </c>
      <c r="AN28" s="46"/>
      <c r="AO28" s="2" t="n">
        <v>0.011750252016129</v>
      </c>
      <c r="AQ28" s="0" t="n">
        <v>0</v>
      </c>
      <c r="AR28" s="0" t="n">
        <v>11.8883161712716</v>
      </c>
      <c r="AS28" s="0" t="n">
        <v>13.676571426987</v>
      </c>
      <c r="AT28" s="0" t="n">
        <v>11.1496142639928</v>
      </c>
      <c r="AV28" s="1" t="n">
        <v>4117</v>
      </c>
      <c r="AW28" s="1" t="n">
        <v>3131</v>
      </c>
      <c r="AX28" s="1" t="n">
        <v>4117</v>
      </c>
      <c r="AY28" s="1" t="n">
        <v>1848</v>
      </c>
      <c r="BA28" s="2" t="n">
        <v>0.56801876379691</v>
      </c>
      <c r="BB28" s="2" t="n">
        <v>0.690192791282481</v>
      </c>
      <c r="BC28" s="1" t="s">
        <v>307</v>
      </c>
      <c r="BD28" s="1" t="s">
        <v>307</v>
      </c>
      <c r="BE28" s="0" t="s">
        <v>524</v>
      </c>
      <c r="BF28" s="0" t="n">
        <v>799065</v>
      </c>
      <c r="BG28" s="0" t="n">
        <v>326038</v>
      </c>
      <c r="BH28" s="0" t="n">
        <v>19043</v>
      </c>
      <c r="BI28" s="0" t="n">
        <v>4103</v>
      </c>
      <c r="BJ28" s="0" t="n">
        <v>0.011750252016129</v>
      </c>
      <c r="BL28" s="0" t="n">
        <v>0.0141185144904694</v>
      </c>
      <c r="BM28" s="0" t="s">
        <v>307</v>
      </c>
      <c r="BO28" s="0" t="s">
        <v>525</v>
      </c>
      <c r="BP28" s="0" t="n">
        <v>0.99203590455736</v>
      </c>
      <c r="BQ28" s="0" t="n">
        <v>0.98761760555519</v>
      </c>
      <c r="BT28" s="0" t="s">
        <v>525</v>
      </c>
      <c r="BU28" s="0" t="n">
        <v>0.000431700362352415</v>
      </c>
      <c r="BV28" s="0" t="n">
        <v>0.0198386177748442</v>
      </c>
      <c r="BW28" s="0" t="n">
        <v>27.542</v>
      </c>
      <c r="BX28" s="0" t="s">
        <v>524</v>
      </c>
      <c r="BZ28" s="0" t="s">
        <v>524</v>
      </c>
      <c r="CA28" s="0" t="n">
        <v>0</v>
      </c>
      <c r="CD28" s="1" t="n">
        <v>1190</v>
      </c>
      <c r="CE28" s="0" t="n">
        <v>0</v>
      </c>
      <c r="CG28" s="0" t="s">
        <v>307</v>
      </c>
      <c r="CH28" s="0" t="s">
        <v>32</v>
      </c>
      <c r="CI28" s="1" t="s">
        <v>307</v>
      </c>
      <c r="CJ28" s="1" t="n">
        <v>0</v>
      </c>
      <c r="CK28" s="1" t="n">
        <v>53</v>
      </c>
      <c r="CL28" s="1" t="n">
        <v>1137</v>
      </c>
    </row>
    <row r="29" customFormat="false" ht="12.75" hidden="false" customHeight="false" outlineLevel="0" collapsed="false">
      <c r="A29" s="1" t="s">
        <v>309</v>
      </c>
      <c r="B29" s="0" t="s">
        <v>33</v>
      </c>
      <c r="C29" s="2" t="n">
        <f aca="false">F29/E29</f>
        <v>0.00199508308555689</v>
      </c>
      <c r="D29" s="2" t="n">
        <v>1</v>
      </c>
      <c r="E29" s="1" t="n">
        <v>466146</v>
      </c>
      <c r="F29" s="1" t="n">
        <v>930</v>
      </c>
      <c r="G29" s="1" t="n">
        <v>308350</v>
      </c>
      <c r="H29" s="1" t="n">
        <v>156866</v>
      </c>
      <c r="I29" s="1"/>
      <c r="J29" s="1" t="n">
        <v>76878</v>
      </c>
      <c r="K29" s="1" t="n">
        <v>21.2949348318114</v>
      </c>
      <c r="L29" s="1" t="n">
        <f aca="false">BG29+BH29+BI29</f>
        <v>775085</v>
      </c>
      <c r="M29" s="1" t="n">
        <v>1637112</v>
      </c>
      <c r="N29" s="2" t="n">
        <v>0</v>
      </c>
      <c r="O29" s="2" t="n">
        <v>0.0425053293156057</v>
      </c>
      <c r="P29" s="38" t="n">
        <f aca="false">BU29^4</f>
        <v>1.27766030104349E-013</v>
      </c>
      <c r="Q29" s="38" t="n">
        <f aca="false">S29/M29</f>
        <v>0.178835046105581</v>
      </c>
      <c r="R29" s="32" t="n">
        <v>578157</v>
      </c>
      <c r="S29" s="31" t="n">
        <v>292773</v>
      </c>
      <c r="T29" s="2" t="n">
        <f aca="false">AH29</f>
        <v>0.00778970609851211</v>
      </c>
      <c r="U29" s="2" t="n">
        <f aca="false">LN(M29)</f>
        <v>14.3084442718504</v>
      </c>
      <c r="V29" s="2" t="n">
        <f aca="false">LN(N29+1)</f>
        <v>0</v>
      </c>
      <c r="W29" s="2" t="n">
        <f aca="false">LN(O29)</f>
        <v>-3.15812581525183</v>
      </c>
      <c r="X29" s="2" t="n">
        <f aca="false">LN(P29)</f>
        <v>-29.68857569343</v>
      </c>
      <c r="Y29" s="2"/>
      <c r="Z29" s="38" t="n">
        <f aca="false">(AB29*AD29)^4</f>
        <v>5.19038601929198E-015</v>
      </c>
      <c r="AA29" s="2" t="n">
        <v>0.01188</v>
      </c>
      <c r="AB29" s="2" t="n">
        <f aca="false">BV29</f>
        <v>0.011502118639517</v>
      </c>
      <c r="AD29" s="2" t="n">
        <v>0.0233357665648155</v>
      </c>
      <c r="AG29" s="0" t="str">
        <f aca="false">A29</f>
        <v>NE</v>
      </c>
      <c r="AH29" s="2" t="n">
        <f aca="false">'Final-2'!B$41+'Final-2'!B$42*M29+'Final-2'!B$43*N29+'Final-2'!B$44*O29+'Final-2'!B$45*P29</f>
        <v>0.00778970609851211</v>
      </c>
      <c r="AI29" s="2" t="n">
        <f aca="false">C29</f>
        <v>0.00199508308555689</v>
      </c>
      <c r="AJ29" s="2" t="n">
        <f aca="false">1/ABS(AH29-AI29)</f>
        <v>172.573780514154</v>
      </c>
      <c r="AK29" s="2" t="n">
        <v>0.507615581614773</v>
      </c>
      <c r="AL29" s="2" t="n">
        <v>0.00667464551636774</v>
      </c>
      <c r="AM29" s="46" t="n">
        <v>0.576168929110106</v>
      </c>
      <c r="AN29" s="46"/>
      <c r="AO29" s="2" t="n">
        <v>0.0217821271215415</v>
      </c>
      <c r="AQ29" s="0" t="n">
        <v>0.00199309555039053</v>
      </c>
      <c r="AR29" s="0" t="n">
        <v>11.2499750287376</v>
      </c>
      <c r="AS29" s="0" t="n">
        <v>14.3084442718504</v>
      </c>
      <c r="AT29" s="0" t="n">
        <v>11.4377168873725</v>
      </c>
      <c r="AV29" s="1" t="n">
        <v>3653</v>
      </c>
      <c r="AW29" s="1" t="n">
        <v>3766</v>
      </c>
      <c r="AX29" s="1" t="n">
        <v>3653</v>
      </c>
      <c r="AY29" s="1" t="n">
        <v>4966</v>
      </c>
      <c r="BA29" s="2" t="n">
        <v>0.492384418385227</v>
      </c>
      <c r="BB29" s="2" t="n">
        <v>0.423831070889894</v>
      </c>
      <c r="BC29" s="1" t="s">
        <v>309</v>
      </c>
      <c r="BD29" s="1" t="s">
        <v>309</v>
      </c>
      <c r="BE29" s="0" t="s">
        <v>310</v>
      </c>
      <c r="BF29" s="0" t="n">
        <v>1578385</v>
      </c>
      <c r="BG29" s="0" t="n">
        <v>656998</v>
      </c>
      <c r="BH29" s="0" t="n">
        <v>101204</v>
      </c>
      <c r="BI29" s="0" t="n">
        <v>16883</v>
      </c>
      <c r="BJ29" s="0" t="n">
        <v>0.0217821271215415</v>
      </c>
      <c r="BL29" s="0" t="n">
        <v>0.00667464551636774</v>
      </c>
      <c r="BM29" s="0" t="s">
        <v>309</v>
      </c>
      <c r="BO29" s="0" t="s">
        <v>526</v>
      </c>
      <c r="BP29" s="0" t="n">
        <v>0.957494670684394</v>
      </c>
      <c r="BQ29" s="0" t="n">
        <v>0.976664233435185</v>
      </c>
      <c r="BT29" s="0" t="s">
        <v>526</v>
      </c>
      <c r="BU29" s="0" t="n">
        <v>0.000597865991649868</v>
      </c>
      <c r="BV29" s="0" t="n">
        <v>0.011502118639517</v>
      </c>
      <c r="BW29" s="0" t="n">
        <v>1.188</v>
      </c>
      <c r="BX29" s="0" t="s">
        <v>310</v>
      </c>
      <c r="BZ29" s="0" t="s">
        <v>310</v>
      </c>
      <c r="CA29" s="0" t="n">
        <v>0</v>
      </c>
      <c r="CD29" s="1" t="n">
        <v>497</v>
      </c>
      <c r="CE29" s="0" t="n">
        <v>0</v>
      </c>
      <c r="CG29" s="0" t="s">
        <v>309</v>
      </c>
      <c r="CH29" s="0" t="s">
        <v>33</v>
      </c>
      <c r="CI29" s="1" t="s">
        <v>309</v>
      </c>
      <c r="CJ29" s="1" t="n">
        <v>17</v>
      </c>
      <c r="CK29" s="1" t="n">
        <v>43</v>
      </c>
      <c r="CL29" s="1" t="n">
        <v>437</v>
      </c>
    </row>
    <row r="30" customFormat="false" ht="12.75" hidden="false" customHeight="false" outlineLevel="0" collapsed="false">
      <c r="A30" s="1" t="s">
        <v>311</v>
      </c>
      <c r="B30" s="0" t="s">
        <v>34</v>
      </c>
      <c r="C30" s="2" t="n">
        <f aca="false">F30/E30</f>
        <v>0</v>
      </c>
      <c r="D30" s="2" t="n">
        <v>1</v>
      </c>
      <c r="E30" s="1" t="n">
        <v>480760</v>
      </c>
      <c r="F30" s="1" t="n">
        <v>0</v>
      </c>
      <c r="G30" s="1" t="n">
        <v>342433</v>
      </c>
      <c r="H30" s="1" t="n">
        <v>138327</v>
      </c>
      <c r="I30" s="1"/>
      <c r="J30" s="1" t="n">
        <v>109806</v>
      </c>
      <c r="K30" s="1" t="n">
        <v>13.93464837987</v>
      </c>
      <c r="L30" s="1" t="n">
        <f aca="false">BG30+BH30+BI30</f>
        <v>604609</v>
      </c>
      <c r="M30" s="1" t="n">
        <v>1530108</v>
      </c>
      <c r="N30" s="2" t="n">
        <v>0</v>
      </c>
      <c r="O30" s="2" t="n">
        <v>0.0433497425670366</v>
      </c>
      <c r="P30" s="38" t="n">
        <f aca="false">BU30^4</f>
        <v>1.76208456848238E-013</v>
      </c>
      <c r="Q30" s="38" t="n">
        <f aca="false">S30/M30</f>
        <v>0.12502842936577</v>
      </c>
      <c r="R30" s="34" t="n">
        <v>484112</v>
      </c>
      <c r="S30" s="31" t="n">
        <v>191307</v>
      </c>
      <c r="T30" s="2" t="n">
        <f aca="false">AH30</f>
        <v>0.00809409450310411</v>
      </c>
      <c r="U30" s="2" t="n">
        <f aca="false">LN(M30)</f>
        <v>14.2408488791127</v>
      </c>
      <c r="V30" s="2" t="n">
        <f aca="false">LN(N30+1)</f>
        <v>0</v>
      </c>
      <c r="W30" s="2" t="n">
        <f aca="false">LN(O30)</f>
        <v>-3.13845451424988</v>
      </c>
      <c r="X30" s="2" t="n">
        <f aca="false">LN(P30)</f>
        <v>-29.3671086868269</v>
      </c>
      <c r="Y30" s="2"/>
      <c r="Z30" s="38" t="n">
        <f aca="false">(AB30*AD30)^4</f>
        <v>1.64376272400676E-014</v>
      </c>
      <c r="AA30" s="2" t="n">
        <v>0.7708</v>
      </c>
      <c r="AB30" s="2" t="n">
        <f aca="false">BV30</f>
        <v>0.0289080720529774</v>
      </c>
      <c r="AD30" s="2" t="n">
        <v>0.0123862731576335</v>
      </c>
      <c r="AG30" s="0" t="str">
        <f aca="false">A30</f>
        <v>NV</v>
      </c>
      <c r="AH30" s="2" t="n">
        <f aca="false">'Final-2'!B$41+'Final-2'!B$42*M30+'Final-2'!B$43*N30+'Final-2'!B$44*O30+'Final-2'!B$45*P30</f>
        <v>0.00809409450310411</v>
      </c>
      <c r="AI30" s="2" t="n">
        <f aca="false">C30</f>
        <v>0</v>
      </c>
      <c r="AJ30" s="2" t="n">
        <f aca="false">1/ABS(AH30-AI30)</f>
        <v>123.546864892237</v>
      </c>
      <c r="AK30" s="2" t="n">
        <v>0.955466970387244</v>
      </c>
      <c r="AL30" s="2" t="n">
        <v>0.00489998831900902</v>
      </c>
      <c r="AM30" s="46" t="n">
        <v>0.824322300434327</v>
      </c>
      <c r="AN30" s="46"/>
      <c r="AO30" s="2" t="n">
        <v>0.013195304734134</v>
      </c>
      <c r="AQ30" s="0" t="n">
        <v>0</v>
      </c>
      <c r="AR30" s="0" t="n">
        <v>11.6064704513733</v>
      </c>
      <c r="AS30" s="0" t="n">
        <v>14.2408488791127</v>
      </c>
      <c r="AT30" s="0" t="n">
        <v>10.7129945342123</v>
      </c>
      <c r="AV30" s="1" t="n">
        <v>1173</v>
      </c>
      <c r="AW30" s="1" t="n">
        <v>25167</v>
      </c>
      <c r="AX30" s="1" t="n">
        <v>1173</v>
      </c>
      <c r="AY30" s="1" t="n">
        <v>5504</v>
      </c>
      <c r="BA30" s="2" t="n">
        <v>0.0445330296127563</v>
      </c>
      <c r="BB30" s="2" t="n">
        <v>0.175677699565673</v>
      </c>
      <c r="BC30" s="1" t="s">
        <v>311</v>
      </c>
      <c r="BD30" s="1" t="s">
        <v>311</v>
      </c>
      <c r="BE30" s="0" t="s">
        <v>312</v>
      </c>
      <c r="BF30" s="0" t="n">
        <v>1201833</v>
      </c>
      <c r="BG30" s="0" t="n">
        <v>572290</v>
      </c>
      <c r="BH30" s="0" t="n">
        <v>24341</v>
      </c>
      <c r="BI30" s="0" t="n">
        <v>7978</v>
      </c>
      <c r="BJ30" s="0" t="n">
        <v>0.013195304734134</v>
      </c>
      <c r="BL30" s="0" t="n">
        <v>0.00489998831900902</v>
      </c>
      <c r="BM30" s="0" t="s">
        <v>311</v>
      </c>
      <c r="BO30" s="0" t="s">
        <v>527</v>
      </c>
      <c r="BP30" s="0" t="n">
        <v>0.956650257432963</v>
      </c>
      <c r="BQ30" s="0" t="n">
        <v>0.987613726842367</v>
      </c>
      <c r="BT30" s="0" t="s">
        <v>527</v>
      </c>
      <c r="BU30" s="0" t="n">
        <v>0.000647898071076054</v>
      </c>
      <c r="BV30" s="0" t="n">
        <v>0.0289080720529774</v>
      </c>
      <c r="BW30" s="0" t="n">
        <v>77.08</v>
      </c>
      <c r="BX30" s="0" t="s">
        <v>312</v>
      </c>
      <c r="BZ30" s="0" t="s">
        <v>312</v>
      </c>
      <c r="CA30" s="0" t="n">
        <v>0</v>
      </c>
      <c r="CD30" s="1" t="n">
        <v>586</v>
      </c>
      <c r="CE30" s="0" t="n">
        <v>0</v>
      </c>
      <c r="CG30" s="0" t="s">
        <v>311</v>
      </c>
      <c r="CH30" s="0" t="s">
        <v>34</v>
      </c>
      <c r="CI30" s="1" t="s">
        <v>311</v>
      </c>
      <c r="CJ30" s="1" t="n">
        <v>23</v>
      </c>
      <c r="CK30" s="1" t="n">
        <v>83</v>
      </c>
      <c r="CL30" s="1" t="n">
        <v>480</v>
      </c>
    </row>
    <row r="31" customFormat="false" ht="12.75" hidden="false" customHeight="false" outlineLevel="0" collapsed="false">
      <c r="A31" s="1" t="s">
        <v>313</v>
      </c>
      <c r="B31" s="0" t="s">
        <v>35</v>
      </c>
      <c r="C31" s="2" t="n">
        <f aca="false">F31/E31</f>
        <v>0.117777368981519</v>
      </c>
      <c r="D31" s="2" t="n">
        <v>1</v>
      </c>
      <c r="E31" s="1" t="n">
        <v>385957</v>
      </c>
      <c r="F31" s="1" t="n">
        <v>45457</v>
      </c>
      <c r="G31" s="1" t="n">
        <v>251579</v>
      </c>
      <c r="H31" s="1" t="n">
        <v>88921</v>
      </c>
      <c r="I31" s="1"/>
      <c r="J31" s="1" t="n">
        <v>8969</v>
      </c>
      <c r="K31" s="1" t="n">
        <v>128.024640428141</v>
      </c>
      <c r="L31" s="1" t="n">
        <f aca="false">BG31+BH31+BI31</f>
        <v>566589</v>
      </c>
      <c r="M31" s="1" t="n">
        <v>1148253</v>
      </c>
      <c r="N31" s="2" t="n">
        <v>0.290225563909774</v>
      </c>
      <c r="O31" s="2" t="n">
        <v>0.0851357193769645</v>
      </c>
      <c r="P31" s="38" t="n">
        <f aca="false">BU31^4</f>
        <v>7.50551003301169E-008</v>
      </c>
      <c r="Q31" s="38" t="n">
        <f aca="false">S31/M31</f>
        <v>0.164675380774098</v>
      </c>
      <c r="R31" s="32" t="n">
        <v>328027</v>
      </c>
      <c r="S31" s="31" t="n">
        <v>189089</v>
      </c>
      <c r="T31" s="2" t="n">
        <f aca="false">AH31</f>
        <v>0.135612187358915</v>
      </c>
      <c r="U31" s="2" t="n">
        <f aca="false">LN(M31)</f>
        <v>13.9537522148561</v>
      </c>
      <c r="V31" s="2" t="n">
        <f aca="false">LN(N31+1)</f>
        <v>0.254817058832108</v>
      </c>
      <c r="W31" s="2" t="n">
        <f aca="false">LN(O31)</f>
        <v>-2.46350859730715</v>
      </c>
      <c r="X31" s="2" t="n">
        <f aca="false">LN(P31)</f>
        <v>-16.4050433220806</v>
      </c>
      <c r="Y31" s="2"/>
      <c r="Z31" s="38" t="n">
        <f aca="false">(AB31*AD31)^4</f>
        <v>6.67500071614562E-008</v>
      </c>
      <c r="AA31" s="2" t="n">
        <v>0.12758</v>
      </c>
      <c r="AB31" s="2" t="n">
        <f aca="false">BV31</f>
        <v>0.0956898865432891</v>
      </c>
      <c r="AD31" s="2" t="n">
        <v>0.167975827605201</v>
      </c>
      <c r="AG31" s="0" t="str">
        <f aca="false">A31</f>
        <v>NH</v>
      </c>
      <c r="AH31" s="2" t="n">
        <f aca="false">'Final-2'!B$41+'Final-2'!B$42*M31+'Final-2'!B$43*N31+'Final-2'!B$44*O31+'Final-2'!B$45*P31</f>
        <v>0.135612187358915</v>
      </c>
      <c r="AI31" s="2" t="n">
        <f aca="false">C31</f>
        <v>0.117777368981519</v>
      </c>
      <c r="AJ31" s="2" t="n">
        <f aca="false">1/ABS(AH31-AI31)</f>
        <v>56.070097201965</v>
      </c>
      <c r="AK31" s="2" t="n">
        <v>0.882590509159094</v>
      </c>
      <c r="AL31" s="2" t="n">
        <v>0.0804840154501974</v>
      </c>
      <c r="AM31" s="46" t="n">
        <v>0.830909846281678</v>
      </c>
      <c r="AN31" s="46"/>
      <c r="AO31" s="2" t="n">
        <v>0.166814039806632</v>
      </c>
      <c r="AQ31" s="0" t="n">
        <v>0.111342221613008</v>
      </c>
      <c r="AR31" s="0" t="n">
        <v>9.101529466118</v>
      </c>
      <c r="AS31" s="0" t="n">
        <v>13.9537522148561</v>
      </c>
      <c r="AT31" s="0" t="n">
        <v>9.62152244041358</v>
      </c>
      <c r="AV31" s="1" t="n">
        <v>814</v>
      </c>
      <c r="AW31" s="1" t="n">
        <v>6119</v>
      </c>
      <c r="AX31" s="1" t="n">
        <v>814</v>
      </c>
      <c r="AY31" s="1" t="n">
        <v>4000</v>
      </c>
      <c r="BA31" s="2" t="n">
        <v>0.117409490840906</v>
      </c>
      <c r="BB31" s="2" t="n">
        <v>0.169090153718322</v>
      </c>
      <c r="BC31" s="1" t="s">
        <v>313</v>
      </c>
      <c r="BD31" s="1" t="s">
        <v>313</v>
      </c>
      <c r="BE31" s="0" t="s">
        <v>528</v>
      </c>
      <c r="BF31" s="0" t="n">
        <v>1109252</v>
      </c>
      <c r="BG31" s="0" t="n">
        <v>388368</v>
      </c>
      <c r="BH31" s="0" t="n">
        <v>83706</v>
      </c>
      <c r="BI31" s="0" t="n">
        <v>94515</v>
      </c>
      <c r="BJ31" s="0" t="n">
        <v>0.166814039806632</v>
      </c>
      <c r="BL31" s="0" t="n">
        <v>0.0804840154501974</v>
      </c>
      <c r="BM31" s="0" t="s">
        <v>313</v>
      </c>
      <c r="BO31" s="0" t="s">
        <v>529</v>
      </c>
      <c r="BP31" s="0" t="n">
        <v>0.914864280623036</v>
      </c>
      <c r="BQ31" s="0" t="n">
        <v>0.832024172394799</v>
      </c>
      <c r="BT31" s="0" t="s">
        <v>529</v>
      </c>
      <c r="BU31" s="0" t="n">
        <v>0.0165517932340179</v>
      </c>
      <c r="BV31" s="0" t="n">
        <v>0.0956898865432891</v>
      </c>
      <c r="BW31" s="0" t="n">
        <v>12.758</v>
      </c>
      <c r="BX31" s="0" t="s">
        <v>530</v>
      </c>
      <c r="BZ31" s="0" t="s">
        <v>530</v>
      </c>
      <c r="CA31" s="0" t="n">
        <v>77.2</v>
      </c>
      <c r="CB31" s="42" t="n">
        <v>43524</v>
      </c>
      <c r="CC31" s="0" t="s">
        <v>531</v>
      </c>
      <c r="CD31" s="1" t="n">
        <v>266</v>
      </c>
      <c r="CE31" s="0" t="n">
        <v>0.290225563909774</v>
      </c>
      <c r="CG31" s="0" t="s">
        <v>313</v>
      </c>
      <c r="CH31" s="0" t="s">
        <v>35</v>
      </c>
      <c r="CI31" s="1" t="s">
        <v>313</v>
      </c>
      <c r="CJ31" s="1" t="n">
        <v>42</v>
      </c>
      <c r="CK31" s="1" t="n">
        <v>48</v>
      </c>
      <c r="CL31" s="1" t="n">
        <v>176</v>
      </c>
    </row>
    <row r="32" customFormat="false" ht="12.75" hidden="false" customHeight="false" outlineLevel="0" collapsed="false">
      <c r="A32" s="1" t="s">
        <v>315</v>
      </c>
      <c r="B32" s="0" t="s">
        <v>36</v>
      </c>
      <c r="C32" s="2" t="n">
        <f aca="false">F32/E32</f>
        <v>0.273303356469306</v>
      </c>
      <c r="D32" s="2" t="n">
        <v>1</v>
      </c>
      <c r="E32" s="1" t="n">
        <v>2015332</v>
      </c>
      <c r="F32" s="1" t="n">
        <v>550797</v>
      </c>
      <c r="G32" s="1" t="n">
        <v>888912</v>
      </c>
      <c r="H32" s="1" t="n">
        <v>575623</v>
      </c>
      <c r="I32" s="1"/>
      <c r="J32" s="1" t="n">
        <v>7419</v>
      </c>
      <c r="K32" s="1" t="n">
        <v>1070.93921013614</v>
      </c>
      <c r="L32" s="1" t="n">
        <f aca="false">BG32+BH32+BI32</f>
        <v>3812684</v>
      </c>
      <c r="M32" s="1" t="n">
        <v>7945298</v>
      </c>
      <c r="N32" s="2" t="n">
        <v>0.424725274725275</v>
      </c>
      <c r="O32" s="2" t="n">
        <v>0.0704522955482905</v>
      </c>
      <c r="P32" s="38" t="n">
        <f aca="false">BU32^4</f>
        <v>9.78574048714857E-007</v>
      </c>
      <c r="Q32" s="38" t="n">
        <f aca="false">S32/M32</f>
        <v>0.162322671849439</v>
      </c>
      <c r="R32" s="32" t="n">
        <v>2101667</v>
      </c>
      <c r="S32" s="31" t="n">
        <v>1289702</v>
      </c>
      <c r="T32" s="2" t="n">
        <f aca="false">AH32</f>
        <v>0.270701031300064</v>
      </c>
      <c r="U32" s="2" t="n">
        <f aca="false">LN(M32)</f>
        <v>15.8880908651161</v>
      </c>
      <c r="V32" s="2" t="n">
        <f aca="false">LN(N32+1)</f>
        <v>0.353979005467823</v>
      </c>
      <c r="W32" s="2" t="n">
        <f aca="false">LN(O32)</f>
        <v>-2.65281945709036</v>
      </c>
      <c r="X32" s="2" t="n">
        <f aca="false">LN(P32)</f>
        <v>-13.8371693772302</v>
      </c>
      <c r="Y32" s="2"/>
      <c r="Z32" s="38" t="n">
        <f aca="false">(AB32*AD32)^4</f>
        <v>9.26178802127664E-007</v>
      </c>
      <c r="AA32" s="2" t="n">
        <v>0.03332</v>
      </c>
      <c r="AB32" s="2" t="n">
        <f aca="false">BV32</f>
        <v>0.264967672481142</v>
      </c>
      <c r="AD32" s="2" t="n">
        <v>0.117079489030126</v>
      </c>
      <c r="AG32" s="0" t="str">
        <f aca="false">A32</f>
        <v>NJ</v>
      </c>
      <c r="AH32" s="2" t="n">
        <f aca="false">'Final-2'!B$41+'Final-2'!B$42*M32+'Final-2'!B$43*N32+'Final-2'!B$44*O32+'Final-2'!B$45*P32</f>
        <v>0.270701031300064</v>
      </c>
      <c r="AI32" s="2" t="n">
        <f aca="false">C32</f>
        <v>0.273303356469306</v>
      </c>
      <c r="AJ32" s="2" t="n">
        <f aca="false">1/ABS(AH32-AI32)</f>
        <v>384.271731995382</v>
      </c>
      <c r="AK32" s="2" t="n">
        <v>0.832134644552082</v>
      </c>
      <c r="AL32" s="2" t="n">
        <v>0.0849083410509371</v>
      </c>
      <c r="AM32" s="46" t="n">
        <v>0.852318684885909</v>
      </c>
      <c r="AN32" s="46"/>
      <c r="AO32" s="2" t="n">
        <v>0.116890883167868</v>
      </c>
      <c r="AQ32" s="0" t="n">
        <v>0.241614591633444</v>
      </c>
      <c r="AR32" s="0" t="n">
        <v>8.91179955618953</v>
      </c>
      <c r="AS32" s="0" t="n">
        <v>15.8880908651161</v>
      </c>
      <c r="AT32" s="0" t="n">
        <v>10.4813922175838</v>
      </c>
      <c r="AV32" s="1" t="n">
        <v>3431</v>
      </c>
      <c r="AW32" s="1" t="n">
        <v>17008</v>
      </c>
      <c r="AX32" s="1" t="n">
        <v>3431</v>
      </c>
      <c r="AY32" s="1" t="n">
        <v>19801.4583333333</v>
      </c>
      <c r="BA32" s="2" t="n">
        <v>0.167865355447918</v>
      </c>
      <c r="BB32" s="2" t="n">
        <v>0.147681315114091</v>
      </c>
      <c r="BC32" s="1" t="s">
        <v>315</v>
      </c>
      <c r="BD32" s="1" t="s">
        <v>315</v>
      </c>
      <c r="BE32" s="0" t="s">
        <v>532</v>
      </c>
      <c r="BF32" s="0" t="n">
        <v>7730188</v>
      </c>
      <c r="BG32" s="0" t="n">
        <v>2235202</v>
      </c>
      <c r="BH32" s="0" t="n">
        <v>1131814</v>
      </c>
      <c r="BI32" s="0" t="n">
        <v>445668</v>
      </c>
      <c r="BJ32" s="0" t="n">
        <v>0.116890883167868</v>
      </c>
      <c r="BL32" s="0" t="n">
        <v>0.0849083410509371</v>
      </c>
      <c r="BM32" s="0" t="s">
        <v>315</v>
      </c>
      <c r="BO32" s="0" t="s">
        <v>533</v>
      </c>
      <c r="BP32" s="0" t="n">
        <v>0.92954770445171</v>
      </c>
      <c r="BQ32" s="0" t="n">
        <v>0.882920510969874</v>
      </c>
      <c r="BT32" s="0" t="s">
        <v>533</v>
      </c>
      <c r="BU32" s="0" t="n">
        <v>0.0314520113398733</v>
      </c>
      <c r="BV32" s="0" t="n">
        <v>0.264967672481142</v>
      </c>
      <c r="BW32" s="0" t="n">
        <v>3.332</v>
      </c>
      <c r="BX32" s="0" t="s">
        <v>534</v>
      </c>
      <c r="BZ32" s="0" t="s">
        <v>534</v>
      </c>
      <c r="CA32" s="0" t="n">
        <v>309.2</v>
      </c>
      <c r="CB32" s="42" t="n">
        <v>821200</v>
      </c>
      <c r="CC32" s="0" t="s">
        <v>535</v>
      </c>
      <c r="CD32" s="1" t="n">
        <v>728</v>
      </c>
      <c r="CE32" s="0" t="n">
        <v>0.424725274725275</v>
      </c>
      <c r="CG32" s="0" t="s">
        <v>315</v>
      </c>
      <c r="CH32" s="0" t="s">
        <v>36</v>
      </c>
      <c r="CI32" s="1" t="s">
        <v>315</v>
      </c>
      <c r="CJ32" s="1" t="n">
        <v>308</v>
      </c>
      <c r="CK32" s="1" t="n">
        <v>303</v>
      </c>
      <c r="CL32" s="1" t="n">
        <v>117</v>
      </c>
    </row>
    <row r="33" customFormat="false" ht="12.75" hidden="false" customHeight="false" outlineLevel="0" collapsed="false">
      <c r="A33" s="1" t="s">
        <v>317</v>
      </c>
      <c r="B33" s="0" t="s">
        <v>37</v>
      </c>
      <c r="C33" s="2" t="n">
        <f aca="false">F33/E33</f>
        <v>0</v>
      </c>
      <c r="D33" s="2" t="n">
        <v>1</v>
      </c>
      <c r="E33" s="1" t="n">
        <v>540397</v>
      </c>
      <c r="F33" s="1" t="n">
        <v>0</v>
      </c>
      <c r="G33" s="1" t="n">
        <v>362571</v>
      </c>
      <c r="H33" s="1" t="n">
        <v>177826</v>
      </c>
      <c r="I33" s="1"/>
      <c r="J33" s="1" t="n">
        <v>121365</v>
      </c>
      <c r="K33" s="1" t="n">
        <v>13.8870432167429</v>
      </c>
      <c r="L33" s="1" t="n">
        <f aca="false">BG33+BH33+BI33</f>
        <v>633135</v>
      </c>
      <c r="M33" s="1" t="n">
        <v>1685401</v>
      </c>
      <c r="N33" s="2" t="n">
        <v>0</v>
      </c>
      <c r="O33" s="2" t="n">
        <v>0.0190957981584029</v>
      </c>
      <c r="P33" s="38" t="n">
        <f aca="false">BU33^4</f>
        <v>3.26758137987897E-012</v>
      </c>
      <c r="Q33" s="38" t="n">
        <f aca="false">S33/M33</f>
        <v>0.117593973185017</v>
      </c>
      <c r="R33" s="32" t="n">
        <v>534803</v>
      </c>
      <c r="S33" s="31" t="n">
        <v>198193</v>
      </c>
      <c r="T33" s="2" t="n">
        <f aca="false">AH33</f>
        <v>-0.0118266967887972</v>
      </c>
      <c r="U33" s="2" t="n">
        <f aca="false">LN(M33)</f>
        <v>14.3375140756512</v>
      </c>
      <c r="V33" s="2" t="n">
        <f aca="false">LN(N33+1)</f>
        <v>0</v>
      </c>
      <c r="W33" s="2" t="n">
        <f aca="false">LN(O33)</f>
        <v>-3.95828695983793</v>
      </c>
      <c r="X33" s="2" t="n">
        <f aca="false">LN(P33)</f>
        <v>-26.4469710438681</v>
      </c>
      <c r="Y33" s="2"/>
      <c r="Z33" s="38" t="n">
        <f aca="false">(AB33*AD33)^4</f>
        <v>1.40073568578257E-013</v>
      </c>
      <c r="AA33" s="2" t="n">
        <v>0.33853</v>
      </c>
      <c r="AB33" s="2" t="n">
        <f aca="false">BV33</f>
        <v>0.0243108794619173</v>
      </c>
      <c r="AD33" s="2" t="n">
        <v>0.0251645042035998</v>
      </c>
      <c r="AG33" s="0" t="str">
        <f aca="false">A33</f>
        <v>NM</v>
      </c>
      <c r="AH33" s="2" t="n">
        <f aca="false">'Final-2'!B$41+'Final-2'!B$42*M33+'Final-2'!B$43*N33+'Final-2'!B$44*O33+'Final-2'!B$45*P33</f>
        <v>-0.0118266967887972</v>
      </c>
      <c r="AI33" s="2" t="n">
        <f aca="false">C33</f>
        <v>0</v>
      </c>
      <c r="AJ33" s="2" t="n">
        <f aca="false">1/ABS(AH33-AI33)</f>
        <v>84.5544633347873</v>
      </c>
      <c r="AK33" s="2" t="n">
        <v>0.47049084534476</v>
      </c>
      <c r="AL33" s="2" t="n">
        <v>0.00356622435178648</v>
      </c>
      <c r="AM33" s="46" t="n">
        <v>0.461949529935675</v>
      </c>
      <c r="AN33" s="46"/>
      <c r="AO33" s="2" t="n">
        <v>0.0264240643780552</v>
      </c>
      <c r="AQ33" s="0" t="n">
        <v>0</v>
      </c>
      <c r="AR33" s="0" t="n">
        <v>11.7065578129101</v>
      </c>
      <c r="AS33" s="0" t="n">
        <v>14.3375140756512</v>
      </c>
      <c r="AT33" s="0" t="n">
        <v>11.0233556604713</v>
      </c>
      <c r="AV33" s="1" t="n">
        <v>5437</v>
      </c>
      <c r="AW33" s="1" t="n">
        <v>4831</v>
      </c>
      <c r="AX33" s="1" t="n">
        <v>5437</v>
      </c>
      <c r="AY33" s="1" t="n">
        <v>4668</v>
      </c>
      <c r="BA33" s="2" t="n">
        <v>0.52950915465524</v>
      </c>
      <c r="BB33" s="2" t="n">
        <v>0.538050470064325</v>
      </c>
      <c r="BC33" s="1" t="s">
        <v>317</v>
      </c>
      <c r="BD33" s="1" t="s">
        <v>317</v>
      </c>
      <c r="BE33" s="0" t="s">
        <v>536</v>
      </c>
      <c r="BF33" s="0" t="n">
        <v>1515069</v>
      </c>
      <c r="BG33" s="0" t="n">
        <v>555843</v>
      </c>
      <c r="BH33" s="0" t="n">
        <v>60562</v>
      </c>
      <c r="BI33" s="0" t="n">
        <v>16730</v>
      </c>
      <c r="BJ33" s="0" t="n">
        <v>0.0264240643780552</v>
      </c>
      <c r="BL33" s="0" t="n">
        <v>0.00356622435178648</v>
      </c>
      <c r="BM33" s="0" t="s">
        <v>317</v>
      </c>
      <c r="BO33" s="0" t="s">
        <v>537</v>
      </c>
      <c r="BP33" s="0" t="n">
        <v>0.980904201841597</v>
      </c>
      <c r="BQ33" s="0" t="n">
        <v>0.9748354957964</v>
      </c>
      <c r="BT33" s="0" t="s">
        <v>537</v>
      </c>
      <c r="BU33" s="0" t="n">
        <v>0.00134448698703512</v>
      </c>
      <c r="BV33" s="0" t="n">
        <v>0.0243108794619173</v>
      </c>
      <c r="BW33" s="0" t="n">
        <v>33.853</v>
      </c>
      <c r="BX33" s="0" t="s">
        <v>538</v>
      </c>
      <c r="BZ33" s="0" t="s">
        <v>538</v>
      </c>
      <c r="CA33" s="0" t="n">
        <v>0</v>
      </c>
      <c r="CD33" s="1" t="n">
        <v>1003</v>
      </c>
      <c r="CE33" s="0" t="n">
        <v>0</v>
      </c>
      <c r="CG33" s="0" t="s">
        <v>317</v>
      </c>
      <c r="CH33" s="0" t="s">
        <v>37</v>
      </c>
      <c r="CI33" s="1" t="s">
        <v>317</v>
      </c>
      <c r="CJ33" s="1" t="n">
        <v>3</v>
      </c>
      <c r="CK33" s="1" t="n">
        <v>108</v>
      </c>
      <c r="CL33" s="1" t="n">
        <v>892</v>
      </c>
    </row>
    <row r="34" customFormat="false" ht="12.75" hidden="false" customHeight="false" outlineLevel="0" collapsed="false">
      <c r="A34" s="1" t="s">
        <v>319</v>
      </c>
      <c r="B34" s="0" t="s">
        <v>38</v>
      </c>
      <c r="C34" s="2" t="n">
        <f aca="false">F34/E34</f>
        <v>0.331822037089797</v>
      </c>
      <c r="D34" s="2" t="n">
        <v>1</v>
      </c>
      <c r="E34" s="1" t="n">
        <v>4885872</v>
      </c>
      <c r="F34" s="1" t="n">
        <v>1621240</v>
      </c>
      <c r="G34" s="1" t="n">
        <v>2236452</v>
      </c>
      <c r="H34" s="1" t="n">
        <v>1028180</v>
      </c>
      <c r="I34" s="1"/>
      <c r="J34" s="1" t="n">
        <v>47224</v>
      </c>
      <c r="K34" s="1" t="n">
        <v>384.043727765543</v>
      </c>
      <c r="L34" s="1" t="n">
        <f aca="false">BG34+BH34+BI34</f>
        <v>8220613</v>
      </c>
      <c r="M34" s="1" t="n">
        <v>18136081</v>
      </c>
      <c r="N34" s="2" t="n">
        <v>0.270103092783505</v>
      </c>
      <c r="O34" s="2" t="n">
        <v>0.0509878017590525</v>
      </c>
      <c r="P34" s="38" t="n">
        <f aca="false">BU34^4</f>
        <v>6.14030526894406E-010</v>
      </c>
      <c r="Q34" s="38" t="n">
        <f aca="false">S34/M34</f>
        <v>0.135204457898043</v>
      </c>
      <c r="R34" s="34" t="n">
        <v>4584271</v>
      </c>
      <c r="S34" s="31" t="n">
        <v>2452079</v>
      </c>
      <c r="T34" s="2" t="n">
        <f aca="false">AH34</f>
        <v>0.159085652081775</v>
      </c>
      <c r="U34" s="2" t="n">
        <f aca="false">LN(M34)</f>
        <v>16.7134139374145</v>
      </c>
      <c r="V34" s="2" t="n">
        <f aca="false">LN(N34+1)</f>
        <v>0.239098072596037</v>
      </c>
      <c r="W34" s="2" t="n">
        <f aca="false">LN(O34)</f>
        <v>-2.97616885606124</v>
      </c>
      <c r="X34" s="2" t="n">
        <f aca="false">LN(P34)</f>
        <v>-21.2109764709482</v>
      </c>
      <c r="Y34" s="2"/>
      <c r="Z34" s="38" t="n">
        <f aca="false">(AB34*AD34)^4</f>
        <v>4.18813856981225E-010</v>
      </c>
      <c r="AA34" s="2" t="n">
        <v>0.00686</v>
      </c>
      <c r="AB34" s="2" t="n">
        <f aca="false">BV34</f>
        <v>0.185769873927339</v>
      </c>
      <c r="AD34" s="2" t="n">
        <v>0.0243517386556935</v>
      </c>
      <c r="AG34" s="0" t="str">
        <f aca="false">A34</f>
        <v>NY</v>
      </c>
      <c r="AH34" s="2" t="n">
        <f aca="false">'Final-2'!B$41+'Final-2'!B$42*M34+'Final-2'!B$43*N34+'Final-2'!B$44*O34+'Final-2'!B$45*P34</f>
        <v>0.159085652081775</v>
      </c>
      <c r="AI34" s="2" t="n">
        <f aca="false">C34</f>
        <v>0.331822037089797</v>
      </c>
      <c r="AJ34" s="2" t="n">
        <f aca="false">1/ABS(AH34-AI34)</f>
        <v>5.78916827484587</v>
      </c>
      <c r="AK34" s="2" t="n">
        <v>0.608307805416003</v>
      </c>
      <c r="AL34" s="2" t="n">
        <v>0.346904204373664</v>
      </c>
      <c r="AM34" s="46" t="n">
        <v>0.65210482782639</v>
      </c>
      <c r="AN34" s="46"/>
      <c r="AO34" s="2" t="n">
        <v>0.0243436833725174</v>
      </c>
      <c r="AQ34" s="0" t="n">
        <v>0.286547957403708</v>
      </c>
      <c r="AR34" s="0" t="n">
        <v>10.7626575169205</v>
      </c>
      <c r="AS34" s="0" t="n">
        <v>16.7134139374145</v>
      </c>
      <c r="AT34" s="0" t="n">
        <v>11.6279758815327</v>
      </c>
      <c r="AV34" s="1" t="n">
        <v>15983</v>
      </c>
      <c r="AW34" s="1" t="n">
        <v>24822</v>
      </c>
      <c r="AX34" s="1" t="n">
        <v>15983</v>
      </c>
      <c r="AY34" s="1" t="n">
        <v>29959</v>
      </c>
      <c r="BA34" s="2" t="n">
        <v>0.391692194583997</v>
      </c>
      <c r="BB34" s="2" t="n">
        <v>0.34789517217361</v>
      </c>
      <c r="BC34" s="1" t="s">
        <v>319</v>
      </c>
      <c r="BD34" s="1" t="s">
        <v>319</v>
      </c>
      <c r="BE34" s="0" t="s">
        <v>539</v>
      </c>
      <c r="BF34" s="0" t="n">
        <v>17990455</v>
      </c>
      <c r="BG34" s="0" t="n">
        <v>5426325</v>
      </c>
      <c r="BH34" s="0" t="n">
        <v>2594168</v>
      </c>
      <c r="BI34" s="0" t="n">
        <v>200120</v>
      </c>
      <c r="BJ34" s="0" t="n">
        <v>0.0243436833725174</v>
      </c>
      <c r="BL34" s="0" t="n">
        <v>0.346904204373664</v>
      </c>
      <c r="BM34" s="0" t="s">
        <v>319</v>
      </c>
      <c r="BO34" s="0" t="s">
        <v>540</v>
      </c>
      <c r="BP34" s="0" t="n">
        <v>0.949012198240948</v>
      </c>
      <c r="BQ34" s="0" t="n">
        <v>0.975648261344307</v>
      </c>
      <c r="BT34" s="0" t="s">
        <v>540</v>
      </c>
      <c r="BU34" s="0" t="n">
        <v>0.00497791516216072</v>
      </c>
      <c r="BV34" s="0" t="n">
        <v>0.185769873927339</v>
      </c>
      <c r="BW34" s="0" t="n">
        <v>0.686</v>
      </c>
      <c r="BX34" s="0" t="s">
        <v>541</v>
      </c>
      <c r="BZ34" s="0" t="s">
        <v>541</v>
      </c>
      <c r="CA34" s="0" t="n">
        <v>628.8</v>
      </c>
      <c r="CB34" s="42" t="n">
        <v>1130951</v>
      </c>
      <c r="CC34" s="0" t="s">
        <v>542</v>
      </c>
      <c r="CD34" s="1" t="n">
        <v>2328</v>
      </c>
      <c r="CE34" s="0" t="n">
        <v>0.270103092783505</v>
      </c>
      <c r="CG34" s="0" t="s">
        <v>319</v>
      </c>
      <c r="CH34" s="0" t="s">
        <v>38</v>
      </c>
      <c r="CI34" s="1" t="s">
        <v>319</v>
      </c>
      <c r="CJ34" s="1" t="n">
        <v>830</v>
      </c>
      <c r="CK34" s="1" t="n">
        <v>702</v>
      </c>
      <c r="CL34" s="1" t="n">
        <v>796</v>
      </c>
    </row>
    <row r="35" customFormat="false" ht="12.75" hidden="false" customHeight="false" outlineLevel="0" collapsed="false">
      <c r="A35" s="1" t="s">
        <v>321</v>
      </c>
      <c r="B35" s="0" t="s">
        <v>39</v>
      </c>
      <c r="C35" s="2" t="n">
        <f aca="false">F35/E35</f>
        <v>0.000738443042039357</v>
      </c>
      <c r="D35" s="2" t="n">
        <v>1</v>
      </c>
      <c r="E35" s="1" t="n">
        <v>1849838</v>
      </c>
      <c r="F35" s="1" t="n">
        <v>1366</v>
      </c>
      <c r="G35" s="1" t="n">
        <v>1196985</v>
      </c>
      <c r="H35" s="1" t="n">
        <v>651487</v>
      </c>
      <c r="I35" s="1"/>
      <c r="J35" s="1" t="n">
        <v>48718</v>
      </c>
      <c r="K35" s="1" t="n">
        <v>147.68951927419</v>
      </c>
      <c r="L35" s="1" t="n">
        <f aca="false">BG35+BH35+BI35</f>
        <v>3300481</v>
      </c>
      <c r="M35" s="1" t="n">
        <v>7195138</v>
      </c>
      <c r="N35" s="2" t="n">
        <v>0</v>
      </c>
      <c r="O35" s="2" t="n">
        <v>0.0221303868527105</v>
      </c>
      <c r="P35" s="38" t="n">
        <f aca="false">BU35^4</f>
        <v>1.73290869510021E-012</v>
      </c>
      <c r="Q35" s="38" t="n">
        <f aca="false">S35/M35</f>
        <v>0.119677899159127</v>
      </c>
      <c r="R35" s="32" t="n">
        <v>1871498</v>
      </c>
      <c r="S35" s="31" t="n">
        <v>861099</v>
      </c>
      <c r="T35" s="2" t="n">
        <f aca="false">AH35</f>
        <v>0.0118456075686706</v>
      </c>
      <c r="U35" s="2" t="n">
        <f aca="false">LN(M35)</f>
        <v>15.7889160781058</v>
      </c>
      <c r="V35" s="2" t="n">
        <f aca="false">LN(N35+1)</f>
        <v>0</v>
      </c>
      <c r="W35" s="2" t="n">
        <f aca="false">LN(O35)</f>
        <v>-3.81080364415419</v>
      </c>
      <c r="X35" s="2" t="n">
        <f aca="false">LN(P35)</f>
        <v>-27.0812197926187</v>
      </c>
      <c r="Y35" s="2"/>
      <c r="Z35" s="38" t="n">
        <f aca="false">(AB35*AD35)^4</f>
        <v>1.70850432415255E-013</v>
      </c>
      <c r="AA35" s="2" t="n">
        <v>0.0687</v>
      </c>
      <c r="AB35" s="2" t="n">
        <f aca="false">BV35</f>
        <v>0.0363048002647108</v>
      </c>
      <c r="AD35" s="2" t="n">
        <v>0.0177088340756862</v>
      </c>
      <c r="AG35" s="0" t="str">
        <f aca="false">A35</f>
        <v>NC</v>
      </c>
      <c r="AH35" s="2" t="n">
        <f aca="false">'Final-2'!B$41+'Final-2'!B$42*M35+'Final-2'!B$43*N35+'Final-2'!B$44*O35+'Final-2'!B$45*P35</f>
        <v>0.0118456075686706</v>
      </c>
      <c r="AI35" s="2" t="n">
        <f aca="false">C35</f>
        <v>0.000738443042039357</v>
      </c>
      <c r="AJ35" s="2" t="n">
        <f aca="false">1/ABS(AH35-AI35)</f>
        <v>90.0319786928818</v>
      </c>
      <c r="AK35" s="2" t="n">
        <v>0.578311247253113</v>
      </c>
      <c r="AL35" s="2" t="n">
        <v>0.177119872016314</v>
      </c>
      <c r="AM35" s="46" t="n">
        <v>0.56874829746663</v>
      </c>
      <c r="AN35" s="46"/>
      <c r="AO35" s="2" t="n">
        <v>0.0182770329536816</v>
      </c>
      <c r="AQ35" s="0" t="n">
        <v>0.000738170527125812</v>
      </c>
      <c r="AR35" s="0" t="n">
        <v>10.793803850638</v>
      </c>
      <c r="AS35" s="0" t="n">
        <v>15.7889160781058</v>
      </c>
      <c r="AT35" s="0" t="n">
        <v>11.4804952441494</v>
      </c>
      <c r="AV35" s="1" t="n">
        <v>12665</v>
      </c>
      <c r="AW35" s="1" t="n">
        <v>17369</v>
      </c>
      <c r="AX35" s="1" t="n">
        <v>12665</v>
      </c>
      <c r="AY35" s="1" t="n">
        <v>16703</v>
      </c>
      <c r="BA35" s="2" t="n">
        <v>0.421688752746887</v>
      </c>
      <c r="BB35" s="2" t="n">
        <v>0.43125170253337</v>
      </c>
      <c r="BC35" s="1" t="s">
        <v>321</v>
      </c>
      <c r="BD35" s="1" t="s">
        <v>321</v>
      </c>
      <c r="BE35" s="0" t="s">
        <v>543</v>
      </c>
      <c r="BF35" s="0" t="n">
        <v>6628637</v>
      </c>
      <c r="BG35" s="0" t="n">
        <v>2582675</v>
      </c>
      <c r="BH35" s="0" t="n">
        <v>657483</v>
      </c>
      <c r="BI35" s="0" t="n">
        <v>60323</v>
      </c>
      <c r="BJ35" s="0" t="n">
        <v>0.0182770329536816</v>
      </c>
      <c r="BL35" s="0" t="n">
        <v>0.177119872016314</v>
      </c>
      <c r="BM35" s="0" t="s">
        <v>321</v>
      </c>
      <c r="BO35" s="0" t="s">
        <v>544</v>
      </c>
      <c r="BP35" s="0" t="n">
        <v>0.97786961314729</v>
      </c>
      <c r="BQ35" s="0" t="n">
        <v>0.982291165924314</v>
      </c>
      <c r="BT35" s="0" t="s">
        <v>544</v>
      </c>
      <c r="BU35" s="0" t="n">
        <v>0.00114734471689408</v>
      </c>
      <c r="BV35" s="0" t="n">
        <v>0.0363048002647108</v>
      </c>
      <c r="BW35" s="0" t="n">
        <v>6.87</v>
      </c>
      <c r="BX35" s="0" t="s">
        <v>545</v>
      </c>
      <c r="BZ35" s="0" t="s">
        <v>545</v>
      </c>
      <c r="CA35" s="0" t="n">
        <v>0</v>
      </c>
      <c r="CD35" s="1" t="n">
        <v>1237</v>
      </c>
      <c r="CE35" s="0" t="n">
        <v>0</v>
      </c>
      <c r="CG35" s="0" t="s">
        <v>321</v>
      </c>
      <c r="CH35" s="0" t="s">
        <v>39</v>
      </c>
      <c r="CI35" s="1" t="s">
        <v>321</v>
      </c>
      <c r="CJ35" s="1" t="n">
        <v>267</v>
      </c>
      <c r="CK35" s="1" t="n">
        <v>339</v>
      </c>
      <c r="CL35" s="1" t="n">
        <v>631</v>
      </c>
    </row>
    <row r="36" customFormat="false" ht="12.75" hidden="false" customHeight="false" outlineLevel="0" collapsed="false">
      <c r="A36" s="1" t="s">
        <v>323</v>
      </c>
      <c r="B36" s="0" t="s">
        <v>40</v>
      </c>
      <c r="C36" s="2" t="n">
        <f aca="false">F36/E36</f>
        <v>0</v>
      </c>
      <c r="D36" s="2" t="n">
        <v>1</v>
      </c>
      <c r="E36" s="1" t="n">
        <v>190974</v>
      </c>
      <c r="F36" s="1" t="n">
        <v>0</v>
      </c>
      <c r="G36" s="1" t="n">
        <v>118507</v>
      </c>
      <c r="H36" s="1" t="n">
        <v>72467</v>
      </c>
      <c r="I36" s="1"/>
      <c r="J36" s="1" t="n">
        <v>68994</v>
      </c>
      <c r="K36" s="1" t="n">
        <v>9.2959822593269</v>
      </c>
      <c r="L36" s="1" t="n">
        <f aca="false">BG36+BH36+BI36</f>
        <v>293548</v>
      </c>
      <c r="M36" s="1" t="n">
        <v>641367</v>
      </c>
      <c r="N36" s="2" t="n">
        <v>0</v>
      </c>
      <c r="O36" s="2" t="n">
        <v>0.0585817128891722</v>
      </c>
      <c r="P36" s="38" t="n">
        <f aca="false">BU36^4</f>
        <v>2.88428682897276E-014</v>
      </c>
      <c r="Q36" s="38" t="n">
        <f aca="false">S36/M36</f>
        <v>0.180012379807505</v>
      </c>
      <c r="R36" s="32" t="n">
        <v>270095</v>
      </c>
      <c r="S36" s="31" t="n">
        <v>115454</v>
      </c>
      <c r="T36" s="2" t="n">
        <f aca="false">AH36</f>
        <v>0.0175741019582812</v>
      </c>
      <c r="U36" s="2" t="n">
        <f aca="false">LN(M36)</f>
        <v>13.3713571149644</v>
      </c>
      <c r="V36" s="2" t="n">
        <f aca="false">LN(N36+1)</f>
        <v>0</v>
      </c>
      <c r="W36" s="2" t="n">
        <f aca="false">LN(O36)</f>
        <v>-2.8373326978398</v>
      </c>
      <c r="X36" s="2" t="n">
        <f aca="false">LN(P36)</f>
        <v>-31.1769136321783</v>
      </c>
      <c r="Y36" s="2"/>
      <c r="Z36" s="38" t="n">
        <f aca="false">(AB36*AD36)^4</f>
        <v>1.33787512090535E-015</v>
      </c>
      <c r="AA36" s="2" t="n">
        <v>0.04025</v>
      </c>
      <c r="AB36" s="2" t="n">
        <f aca="false">BV36</f>
        <v>0.00521176899171673</v>
      </c>
      <c r="AD36" s="2" t="n">
        <v>0.0366960008154666</v>
      </c>
      <c r="AG36" s="0" t="str">
        <f aca="false">A36</f>
        <v>ND</v>
      </c>
      <c r="AH36" s="2" t="n">
        <f aca="false">'Final-2'!B$41+'Final-2'!B$42*M36+'Final-2'!B$43*N36+'Final-2'!B$44*O36+'Final-2'!B$45*P36</f>
        <v>0.0175741019582812</v>
      </c>
      <c r="AI36" s="2" t="n">
        <f aca="false">C36</f>
        <v>0</v>
      </c>
      <c r="AJ36" s="2" t="n">
        <f aca="false">1/ABS(AH36-AI36)</f>
        <v>56.9019118230838</v>
      </c>
      <c r="AK36" s="2" t="n">
        <v>0.480990658266348</v>
      </c>
      <c r="AL36" s="2" t="n">
        <v>0.0018753665113829</v>
      </c>
      <c r="AM36" s="46" t="n">
        <v>0.416605616605617</v>
      </c>
      <c r="AN36" s="46"/>
      <c r="AO36" s="2" t="n">
        <v>0.0371012577159442</v>
      </c>
      <c r="AQ36" s="0" t="n">
        <v>0</v>
      </c>
      <c r="AR36" s="0" t="n">
        <v>11.1417748232767</v>
      </c>
      <c r="AS36" s="0" t="n">
        <v>13.3713571149644</v>
      </c>
      <c r="AT36" s="0" t="n">
        <v>11.3717074630547</v>
      </c>
      <c r="AV36" s="1" t="n">
        <v>2389</v>
      </c>
      <c r="AW36" s="1" t="n">
        <v>2214</v>
      </c>
      <c r="AX36" s="1" t="n">
        <v>2389</v>
      </c>
      <c r="AY36" s="1" t="n">
        <v>1706</v>
      </c>
      <c r="BA36" s="2" t="n">
        <v>0.519009341733652</v>
      </c>
      <c r="BB36" s="2" t="n">
        <v>0.583394383394383</v>
      </c>
      <c r="BC36" s="1" t="s">
        <v>323</v>
      </c>
      <c r="BD36" s="1" t="s">
        <v>323</v>
      </c>
      <c r="BE36" s="0" t="s">
        <v>546</v>
      </c>
      <c r="BF36" s="0" t="n">
        <v>638800</v>
      </c>
      <c r="BG36" s="0" t="n">
        <v>261956</v>
      </c>
      <c r="BH36" s="0" t="n">
        <v>20701</v>
      </c>
      <c r="BI36" s="0" t="n">
        <v>10891</v>
      </c>
      <c r="BJ36" s="0" t="n">
        <v>0.0371012577159442</v>
      </c>
      <c r="BL36" s="0" t="n">
        <v>0.0018753665113829</v>
      </c>
      <c r="BM36" s="0" t="s">
        <v>323</v>
      </c>
      <c r="BO36" s="0" t="s">
        <v>547</v>
      </c>
      <c r="BP36" s="0" t="n">
        <v>0.941418287110828</v>
      </c>
      <c r="BQ36" s="0" t="n">
        <v>0.963303999184533</v>
      </c>
      <c r="BT36" s="0" t="s">
        <v>547</v>
      </c>
      <c r="BU36" s="0" t="n">
        <v>0.000412106639633518</v>
      </c>
      <c r="BV36" s="0" t="n">
        <v>0.00521176899171673</v>
      </c>
      <c r="BW36" s="0" t="n">
        <v>4.025</v>
      </c>
      <c r="BX36" s="0" t="s">
        <v>548</v>
      </c>
      <c r="BZ36" s="0" t="s">
        <v>548</v>
      </c>
      <c r="CA36" s="0" t="n">
        <v>0</v>
      </c>
      <c r="CD36" s="1" t="n">
        <v>570</v>
      </c>
      <c r="CE36" s="0" t="n">
        <v>0</v>
      </c>
      <c r="CG36" s="0" t="s">
        <v>323</v>
      </c>
      <c r="CH36" s="0" t="s">
        <v>40</v>
      </c>
      <c r="CI36" s="1" t="s">
        <v>323</v>
      </c>
      <c r="CJ36" s="1" t="n">
        <v>0</v>
      </c>
      <c r="CK36" s="1" t="n">
        <v>40</v>
      </c>
      <c r="CL36" s="1" t="n">
        <v>530</v>
      </c>
    </row>
    <row r="37" customFormat="false" ht="12.75" hidden="false" customHeight="false" outlineLevel="0" collapsed="false">
      <c r="A37" s="1" t="s">
        <v>325</v>
      </c>
      <c r="B37" s="0" t="s">
        <v>41</v>
      </c>
      <c r="C37" s="2" t="n">
        <f aca="false">F37/E37</f>
        <v>0.0328757643019831</v>
      </c>
      <c r="D37" s="2" t="n">
        <v>1</v>
      </c>
      <c r="E37" s="1" t="n">
        <v>2725199</v>
      </c>
      <c r="F37" s="1" t="n">
        <v>89593</v>
      </c>
      <c r="G37" s="1" t="n">
        <v>1772628</v>
      </c>
      <c r="H37" s="1" t="n">
        <v>862978</v>
      </c>
      <c r="I37" s="1"/>
      <c r="J37" s="1" t="n">
        <v>40953</v>
      </c>
      <c r="K37" s="1" t="n">
        <v>272.275681879227</v>
      </c>
      <c r="L37" s="1" t="n">
        <f aca="false">BG37+BH37+BI37</f>
        <v>4843205</v>
      </c>
      <c r="M37" s="1" t="n">
        <v>11150506</v>
      </c>
      <c r="N37" s="2" t="n">
        <v>0.124419204956118</v>
      </c>
      <c r="O37" s="2" t="n">
        <v>0.0282688311910131</v>
      </c>
      <c r="P37" s="38" t="n">
        <f aca="false">BU37^4</f>
        <v>3.8555392305473E-012</v>
      </c>
      <c r="Q37" s="38" t="n">
        <f aca="false">S37/M37</f>
        <v>0.144182604807351</v>
      </c>
      <c r="R37" s="32" t="n">
        <v>2636791</v>
      </c>
      <c r="S37" s="31" t="n">
        <v>1607709</v>
      </c>
      <c r="T37" s="2" t="n">
        <f aca="false">AH37</f>
        <v>0.0694388305239428</v>
      </c>
      <c r="U37" s="2" t="n">
        <f aca="false">LN(M37)</f>
        <v>16.2269954360066</v>
      </c>
      <c r="V37" s="2" t="n">
        <f aca="false">LN(N37+1)</f>
        <v>0.11726664008591</v>
      </c>
      <c r="W37" s="2" t="n">
        <f aca="false">LN(O37)</f>
        <v>-3.56599545263035</v>
      </c>
      <c r="X37" s="2" t="n">
        <f aca="false">LN(P37)</f>
        <v>-26.2815102404729</v>
      </c>
      <c r="Y37" s="2"/>
      <c r="Z37" s="38" t="n">
        <f aca="false">(AB37*AD37)^4</f>
        <v>1.70971069531414E-012</v>
      </c>
      <c r="AA37" s="2" t="n">
        <v>0.0107</v>
      </c>
      <c r="AB37" s="2" t="n">
        <f aca="false">BV37</f>
        <v>0.0513408485554598</v>
      </c>
      <c r="AD37" s="2" t="n">
        <v>0.0222724306202026</v>
      </c>
      <c r="AG37" s="0" t="str">
        <f aca="false">A37</f>
        <v>OH</v>
      </c>
      <c r="AH37" s="2" t="n">
        <f aca="false">'Final-2'!B$41+'Final-2'!B$42*M37+'Final-2'!B$43*N37+'Final-2'!B$44*O37+'Final-2'!B$45*P37</f>
        <v>0.0694388305239428</v>
      </c>
      <c r="AI37" s="2" t="n">
        <f aca="false">C37</f>
        <v>0.0328757643019831</v>
      </c>
      <c r="AJ37" s="2" t="n">
        <f aca="false">1/ABS(AH37-AI37)</f>
        <v>27.3500037969847</v>
      </c>
      <c r="AK37" s="2" t="n">
        <v>0.535030628335025</v>
      </c>
      <c r="AL37" s="2" t="n">
        <v>0.185450335928562</v>
      </c>
      <c r="AM37" s="46" t="n">
        <v>0.582323759791123</v>
      </c>
      <c r="AN37" s="46"/>
      <c r="AO37" s="2" t="n">
        <v>0.0225582026777723</v>
      </c>
      <c r="AQ37" s="0" t="n">
        <v>0.0323469160142328</v>
      </c>
      <c r="AR37" s="0" t="n">
        <v>10.6201803466711</v>
      </c>
      <c r="AS37" s="0" t="n">
        <v>16.2269954360066</v>
      </c>
      <c r="AT37" s="0" t="n">
        <v>11.6488801690024</v>
      </c>
      <c r="AV37" s="1" t="n">
        <v>15997</v>
      </c>
      <c r="AW37" s="1" t="n">
        <v>18407.4166666667</v>
      </c>
      <c r="AX37" s="1" t="n">
        <v>15997</v>
      </c>
      <c r="AY37" s="1" t="n">
        <v>22303</v>
      </c>
      <c r="BA37" s="2" t="n">
        <v>0.464969371664975</v>
      </c>
      <c r="BB37" s="2" t="n">
        <v>0.417676240208877</v>
      </c>
      <c r="BC37" s="1" t="s">
        <v>325</v>
      </c>
      <c r="BD37" s="1" t="s">
        <v>325</v>
      </c>
      <c r="BE37" s="0" t="s">
        <v>326</v>
      </c>
      <c r="BF37" s="0" t="n">
        <v>10847115</v>
      </c>
      <c r="BG37" s="0" t="n">
        <v>3719156</v>
      </c>
      <c r="BH37" s="0" t="n">
        <v>1014795</v>
      </c>
      <c r="BI37" s="0" t="n">
        <v>109254</v>
      </c>
      <c r="BJ37" s="0" t="n">
        <v>0.0225582026777723</v>
      </c>
      <c r="BL37" s="0" t="n">
        <v>0.185450335928562</v>
      </c>
      <c r="BM37" s="0" t="s">
        <v>325</v>
      </c>
      <c r="BO37" s="0" t="s">
        <v>549</v>
      </c>
      <c r="BP37" s="0" t="n">
        <v>0.971731168808987</v>
      </c>
      <c r="BQ37" s="0" t="n">
        <v>0.977727569379797</v>
      </c>
      <c r="BT37" s="0" t="s">
        <v>549</v>
      </c>
      <c r="BU37" s="0" t="n">
        <v>0.0014012682492417</v>
      </c>
      <c r="BV37" s="0" t="n">
        <v>0.0513408485554598</v>
      </c>
      <c r="BW37" s="0" t="n">
        <v>1.07</v>
      </c>
      <c r="BX37" s="0" t="s">
        <v>326</v>
      </c>
      <c r="BZ37" s="0" t="s">
        <v>326</v>
      </c>
      <c r="CA37" s="0" t="n">
        <v>241</v>
      </c>
      <c r="CB37" s="42" t="n">
        <v>326000</v>
      </c>
      <c r="CC37" s="0" t="n">
        <v>1955</v>
      </c>
      <c r="CD37" s="1" t="n">
        <v>1937</v>
      </c>
      <c r="CE37" s="0" t="n">
        <v>0.124419204956118</v>
      </c>
      <c r="CG37" s="0" t="s">
        <v>325</v>
      </c>
      <c r="CH37" s="0" t="s">
        <v>41</v>
      </c>
      <c r="CI37" s="1" t="s">
        <v>325</v>
      </c>
      <c r="CJ37" s="1" t="n">
        <v>365</v>
      </c>
      <c r="CK37" s="1" t="n">
        <v>742</v>
      </c>
      <c r="CL37" s="1" t="n">
        <v>830</v>
      </c>
    </row>
    <row r="38" customFormat="false" ht="12.75" hidden="false" customHeight="false" outlineLevel="0" collapsed="false">
      <c r="A38" s="1" t="s">
        <v>327</v>
      </c>
      <c r="B38" s="0" t="s">
        <v>42</v>
      </c>
      <c r="C38" s="2" t="n">
        <f aca="false">F38/E38</f>
        <v>0.0759782565467173</v>
      </c>
      <c r="D38" s="2" t="n">
        <v>1</v>
      </c>
      <c r="E38" s="1" t="n">
        <v>1106356</v>
      </c>
      <c r="F38" s="1" t="n">
        <v>84059</v>
      </c>
      <c r="G38" s="1" t="n">
        <v>668391</v>
      </c>
      <c r="H38" s="1" t="n">
        <v>353906</v>
      </c>
      <c r="I38" s="1"/>
      <c r="J38" s="1" t="n">
        <v>68679</v>
      </c>
      <c r="K38" s="1" t="n">
        <v>47.7247339070167</v>
      </c>
      <c r="L38" s="1" t="n">
        <f aca="false">BG38+BH38+BI38</f>
        <v>1374338</v>
      </c>
      <c r="M38" s="1" t="n">
        <v>3277687</v>
      </c>
      <c r="N38" s="2" t="n">
        <v>0.163815789473684</v>
      </c>
      <c r="O38" s="2" t="n">
        <v>0.0108396118772474</v>
      </c>
      <c r="P38" s="38" t="n">
        <f aca="false">BU38^4</f>
        <v>8.18184975183888E-013</v>
      </c>
      <c r="Q38" s="38" t="n">
        <f aca="false">S38/M38</f>
        <v>0.138079688512051</v>
      </c>
      <c r="R38" s="34" t="n">
        <v>828008</v>
      </c>
      <c r="S38" s="31" t="n">
        <v>452582</v>
      </c>
      <c r="T38" s="2" t="n">
        <f aca="false">AH38</f>
        <v>0.0363327314000797</v>
      </c>
      <c r="U38" s="2" t="n">
        <f aca="false">LN(M38)</f>
        <v>15.0026485486751</v>
      </c>
      <c r="V38" s="2" t="n">
        <f aca="false">LN(N38+1)</f>
        <v>0.151704080319463</v>
      </c>
      <c r="W38" s="2" t="n">
        <f aca="false">LN(O38)</f>
        <v>-4.52454808829362</v>
      </c>
      <c r="X38" s="2" t="n">
        <f aca="false">LN(P38)</f>
        <v>-27.8316879528401</v>
      </c>
      <c r="Y38" s="2"/>
      <c r="Z38" s="38" t="n">
        <f aca="false">(AB38*AD38)^4</f>
        <v>8.33841635312036E-014</v>
      </c>
      <c r="AA38" s="2" t="n">
        <v>0.01454</v>
      </c>
      <c r="AB38" s="2" t="n">
        <f aca="false">BV38</f>
        <v>0.0183732361717298</v>
      </c>
      <c r="AD38" s="2" t="n">
        <v>0.0292472634139496</v>
      </c>
      <c r="AG38" s="0" t="str">
        <f aca="false">A38</f>
        <v>OK</v>
      </c>
      <c r="AH38" s="2" t="n">
        <f aca="false">'Final-2'!B$41+'Final-2'!B$42*M38+'Final-2'!B$43*N38+'Final-2'!B$44*O38+'Final-2'!B$45*P38</f>
        <v>0.0363327314000797</v>
      </c>
      <c r="AI38" s="2" t="n">
        <f aca="false">C38</f>
        <v>0.0759782565467173</v>
      </c>
      <c r="AJ38" s="2" t="n">
        <f aca="false">1/ABS(AH38-AI38)</f>
        <v>25.2235276566846</v>
      </c>
      <c r="AK38" s="2" t="n">
        <v>0.492397660818714</v>
      </c>
      <c r="AL38" s="2" t="n">
        <v>0.00915570192027831</v>
      </c>
      <c r="AM38" s="46" t="n">
        <v>0.540511926262689</v>
      </c>
      <c r="AN38" s="46"/>
      <c r="AO38" s="2" t="n">
        <v>0.0295116630697834</v>
      </c>
      <c r="AQ38" s="0" t="n">
        <v>0.0732302538650779</v>
      </c>
      <c r="AR38" s="0" t="n">
        <v>11.1371987546259</v>
      </c>
      <c r="AS38" s="0" t="n">
        <v>15.0026485486751</v>
      </c>
      <c r="AT38" s="0" t="n">
        <v>11.6308596003216</v>
      </c>
      <c r="AV38" s="1" t="n">
        <v>7378</v>
      </c>
      <c r="AW38" s="1" t="n">
        <v>7157</v>
      </c>
      <c r="AX38" s="1" t="n">
        <v>7378</v>
      </c>
      <c r="AY38" s="1" t="n">
        <v>8679</v>
      </c>
      <c r="BA38" s="2" t="n">
        <v>0.507602339181287</v>
      </c>
      <c r="BB38" s="2" t="n">
        <v>0.459488073737311</v>
      </c>
      <c r="BC38" s="1" t="s">
        <v>327</v>
      </c>
      <c r="BD38" s="1" t="s">
        <v>327</v>
      </c>
      <c r="BE38" s="0" t="s">
        <v>328</v>
      </c>
      <c r="BF38" s="0" t="n">
        <v>3145585</v>
      </c>
      <c r="BG38" s="0" t="n">
        <v>1087117</v>
      </c>
      <c r="BH38" s="0" t="n">
        <v>246662</v>
      </c>
      <c r="BI38" s="0" t="n">
        <v>40559</v>
      </c>
      <c r="BJ38" s="0" t="n">
        <v>0.0295116630697834</v>
      </c>
      <c r="BL38" s="0" t="n">
        <v>0.00915570192027831</v>
      </c>
      <c r="BM38" s="0" t="s">
        <v>327</v>
      </c>
      <c r="BO38" s="0" t="s">
        <v>550</v>
      </c>
      <c r="BP38" s="0" t="n">
        <v>0.989160388122753</v>
      </c>
      <c r="BQ38" s="0" t="n">
        <v>0.97075273658605</v>
      </c>
      <c r="BT38" s="0" t="s">
        <v>550</v>
      </c>
      <c r="BU38" s="0" t="n">
        <v>0.000951070858995355</v>
      </c>
      <c r="BV38" s="0" t="n">
        <v>0.0183732361717298</v>
      </c>
      <c r="BW38" s="0" t="n">
        <v>1.454</v>
      </c>
      <c r="BX38" s="0" t="s">
        <v>328</v>
      </c>
      <c r="BZ38" s="0" t="s">
        <v>328</v>
      </c>
      <c r="CA38" s="0" t="n">
        <v>174.3</v>
      </c>
      <c r="CB38" s="42" t="n">
        <v>106714</v>
      </c>
      <c r="CC38" s="0" t="s">
        <v>551</v>
      </c>
      <c r="CD38" s="1" t="n">
        <v>1064</v>
      </c>
      <c r="CE38" s="0" t="n">
        <v>0.163815789473684</v>
      </c>
      <c r="CG38" s="0" t="s">
        <v>327</v>
      </c>
      <c r="CH38" s="0" t="s">
        <v>42</v>
      </c>
      <c r="CI38" s="1" t="s">
        <v>327</v>
      </c>
      <c r="CJ38" s="1" t="n">
        <v>134</v>
      </c>
      <c r="CK38" s="1" t="n">
        <v>209</v>
      </c>
      <c r="CL38" s="1" t="n">
        <v>721</v>
      </c>
    </row>
    <row r="39" customFormat="false" ht="12.75" hidden="false" customHeight="false" outlineLevel="0" collapsed="false">
      <c r="A39" s="1" t="s">
        <v>329</v>
      </c>
      <c r="B39" s="0" t="s">
        <v>43</v>
      </c>
      <c r="C39" s="2" t="n">
        <f aca="false">F39/E39</f>
        <v>0.00529904028492617</v>
      </c>
      <c r="D39" s="2" t="n">
        <v>1</v>
      </c>
      <c r="E39" s="1" t="n">
        <v>900163</v>
      </c>
      <c r="F39" s="1" t="n">
        <v>4770</v>
      </c>
      <c r="G39" s="1" t="n">
        <v>616308</v>
      </c>
      <c r="H39" s="1" t="n">
        <v>279085</v>
      </c>
      <c r="I39" s="1"/>
      <c r="J39" s="1" t="n">
        <v>96003</v>
      </c>
      <c r="K39" s="1" t="n">
        <v>32.7134047894337</v>
      </c>
      <c r="L39" s="1" t="n">
        <f aca="false">BG39+BH39+BI39</f>
        <v>1294690</v>
      </c>
      <c r="M39" s="1" t="n">
        <v>3140585</v>
      </c>
      <c r="N39" s="2" t="n">
        <v>0</v>
      </c>
      <c r="O39" s="2" t="n">
        <v>0.0372433830337473</v>
      </c>
      <c r="P39" s="38" t="n">
        <f aca="false">BU39^4</f>
        <v>1.82145478296565E-012</v>
      </c>
      <c r="Q39" s="38" t="n">
        <f aca="false">S39/M39</f>
        <v>0.18214249892934</v>
      </c>
      <c r="R39" s="32" t="n">
        <v>887786</v>
      </c>
      <c r="S39" s="31" t="n">
        <v>572034</v>
      </c>
      <c r="T39" s="2" t="n">
        <f aca="false">AH39</f>
        <v>0.00909807047819755</v>
      </c>
      <c r="U39" s="2" t="n">
        <f aca="false">LN(M39)</f>
        <v>14.9599196462642</v>
      </c>
      <c r="V39" s="2" t="n">
        <f aca="false">LN(N39+1)</f>
        <v>0</v>
      </c>
      <c r="W39" s="2" t="n">
        <f aca="false">LN(O39)</f>
        <v>-3.29028098661376</v>
      </c>
      <c r="X39" s="2" t="n">
        <f aca="false">LN(P39)</f>
        <v>-27.0313856028352</v>
      </c>
      <c r="Y39" s="2"/>
      <c r="Z39" s="38" t="n">
        <f aca="false">(AB39*AD39)^4</f>
        <v>3.36053097532572E-013</v>
      </c>
      <c r="AA39" s="2" t="n">
        <v>0.51837</v>
      </c>
      <c r="AB39" s="2" t="n">
        <f aca="false">BV39</f>
        <v>0.0359708061626984</v>
      </c>
      <c r="AD39" s="2" t="n">
        <v>0.0211666342060599</v>
      </c>
      <c r="AG39" s="0" t="str">
        <f aca="false">A39</f>
        <v>OR</v>
      </c>
      <c r="AH39" s="2" t="n">
        <f aca="false">'Final-2'!B$41+'Final-2'!B$42*M39+'Final-2'!B$43*N39+'Final-2'!B$44*O39+'Final-2'!B$45*P39</f>
        <v>0.00909807047819755</v>
      </c>
      <c r="AI39" s="2" t="n">
        <f aca="false">C39</f>
        <v>0.00529904028492617</v>
      </c>
      <c r="AJ39" s="2" t="n">
        <f aca="false">1/ABS(AH39-AI39)</f>
        <v>263.225073012355</v>
      </c>
      <c r="AK39" s="2" t="n">
        <v>0.47980931015143</v>
      </c>
      <c r="AL39" s="2" t="n">
        <v>0.101611767845492</v>
      </c>
      <c r="AM39" s="46" t="n">
        <v>0.489683631361761</v>
      </c>
      <c r="AN39" s="46"/>
      <c r="AO39" s="2" t="n">
        <v>0.0205724922568337</v>
      </c>
      <c r="AQ39" s="0" t="n">
        <v>0.00528504977338152</v>
      </c>
      <c r="AR39" s="0" t="n">
        <v>11.4721347199617</v>
      </c>
      <c r="AS39" s="0" t="n">
        <v>14.9599196462642</v>
      </c>
      <c r="AT39" s="0" t="n">
        <v>11.3379051888377</v>
      </c>
      <c r="AV39" s="1" t="n">
        <v>7420</v>
      </c>
      <c r="AW39" s="1" t="n">
        <v>6844</v>
      </c>
      <c r="AX39" s="1" t="n">
        <v>7420</v>
      </c>
      <c r="AY39" s="1" t="n">
        <v>7120</v>
      </c>
      <c r="BA39" s="2" t="n">
        <v>0.52019068984857</v>
      </c>
      <c r="BB39" s="2" t="n">
        <v>0.510316368638239</v>
      </c>
      <c r="BC39" s="1" t="s">
        <v>329</v>
      </c>
      <c r="BD39" s="1" t="s">
        <v>329</v>
      </c>
      <c r="BE39" s="0" t="s">
        <v>330</v>
      </c>
      <c r="BF39" s="0" t="n">
        <v>2842321</v>
      </c>
      <c r="BG39" s="0" t="n">
        <v>1012834</v>
      </c>
      <c r="BH39" s="0" t="n">
        <v>255221</v>
      </c>
      <c r="BI39" s="0" t="n">
        <v>26635</v>
      </c>
      <c r="BJ39" s="0" t="n">
        <v>0.0205724922568337</v>
      </c>
      <c r="BL39" s="0" t="n">
        <v>0.101611767845492</v>
      </c>
      <c r="BM39" s="0" t="s">
        <v>329</v>
      </c>
      <c r="BO39" s="0" t="s">
        <v>552</v>
      </c>
      <c r="BP39" s="0" t="n">
        <v>0.962756616966253</v>
      </c>
      <c r="BQ39" s="0" t="n">
        <v>0.97883336579394</v>
      </c>
      <c r="BT39" s="0" t="s">
        <v>552</v>
      </c>
      <c r="BU39" s="0" t="n">
        <v>0.00116172837920931</v>
      </c>
      <c r="BV39" s="0" t="n">
        <v>0.0359708061626984</v>
      </c>
      <c r="BW39" s="0" t="n">
        <v>51.837</v>
      </c>
      <c r="BX39" s="0" t="s">
        <v>330</v>
      </c>
      <c r="BZ39" s="0" t="s">
        <v>330</v>
      </c>
      <c r="CA39" s="0" t="n">
        <v>0</v>
      </c>
      <c r="CD39" s="1" t="n">
        <v>780</v>
      </c>
      <c r="CE39" s="0" t="n">
        <v>0</v>
      </c>
      <c r="CG39" s="0" t="s">
        <v>329</v>
      </c>
      <c r="CH39" s="0" t="s">
        <v>43</v>
      </c>
      <c r="CI39" s="1" t="s">
        <v>329</v>
      </c>
      <c r="CJ39" s="1" t="n">
        <v>52</v>
      </c>
      <c r="CK39" s="1" t="n">
        <v>146</v>
      </c>
      <c r="CL39" s="1" t="n">
        <v>582</v>
      </c>
    </row>
    <row r="40" customFormat="false" ht="12.75" hidden="false" customHeight="false" outlineLevel="0" collapsed="false">
      <c r="A40" s="1" t="s">
        <v>331</v>
      </c>
      <c r="B40" s="0" t="s">
        <v>44</v>
      </c>
      <c r="C40" s="2" t="n">
        <f aca="false">F40/E40</f>
        <v>0.116977230877519</v>
      </c>
      <c r="D40" s="2" t="n">
        <v>1</v>
      </c>
      <c r="E40" s="1" t="n">
        <v>3182380</v>
      </c>
      <c r="F40" s="1" t="n">
        <v>372266</v>
      </c>
      <c r="G40" s="1" t="n">
        <v>1869845</v>
      </c>
      <c r="H40" s="1" t="n">
        <v>940269</v>
      </c>
      <c r="I40" s="1"/>
      <c r="J40" s="1" t="n">
        <v>44820</v>
      </c>
      <c r="K40" s="1" t="n">
        <v>269.34051762606</v>
      </c>
      <c r="L40" s="1" t="n">
        <f aca="false">BG40+BH40+BI40</f>
        <v>5348132</v>
      </c>
      <c r="M40" s="1" t="n">
        <v>12071842</v>
      </c>
      <c r="N40" s="2" t="n">
        <v>0.224868231911835</v>
      </c>
      <c r="O40" s="2" t="n">
        <v>0.0341732303708947</v>
      </c>
      <c r="P40" s="38" t="n">
        <f aca="false">BU40^4</f>
        <v>7.42322736941945E-009</v>
      </c>
      <c r="Q40" s="38" t="n">
        <f aca="false">S40/M40</f>
        <v>0.141650379453276</v>
      </c>
      <c r="R40" s="32" t="n">
        <v>3153335</v>
      </c>
      <c r="S40" s="31" t="n">
        <v>1709981</v>
      </c>
      <c r="T40" s="2" t="n">
        <f aca="false">AH40</f>
        <v>0.108702272032105</v>
      </c>
      <c r="U40" s="2" t="n">
        <f aca="false">LN(M40)</f>
        <v>16.3063861912063</v>
      </c>
      <c r="V40" s="2" t="n">
        <f aca="false">LN(N40+1)</f>
        <v>0.202833272424819</v>
      </c>
      <c r="W40" s="2" t="n">
        <f aca="false">LN(O40)</f>
        <v>-3.37631267910581</v>
      </c>
      <c r="X40" s="2" t="n">
        <f aca="false">LN(P40)</f>
        <v>-18.7186519188855</v>
      </c>
      <c r="Y40" s="2"/>
      <c r="Z40" s="38" t="n">
        <f aca="false">(AB40*AD40)^4</f>
        <v>6.62396394275316E-009</v>
      </c>
      <c r="AA40" s="2" t="n">
        <v>0.02205</v>
      </c>
      <c r="AB40" s="2" t="n">
        <f aca="false">BV40</f>
        <v>0.210983235947242</v>
      </c>
      <c r="AD40" s="2" t="n">
        <v>0.0427593939304231</v>
      </c>
      <c r="AG40" s="0" t="str">
        <f aca="false">A40</f>
        <v>PA</v>
      </c>
      <c r="AH40" s="2" t="n">
        <f aca="false">'Final-2'!B$41+'Final-2'!B$42*M40+'Final-2'!B$43*N40+'Final-2'!B$44*O40+'Final-2'!B$45*P40</f>
        <v>0.108702272032105</v>
      </c>
      <c r="AI40" s="2" t="n">
        <f aca="false">C40</f>
        <v>0.116977230877519</v>
      </c>
      <c r="AJ40" s="2" t="n">
        <f aca="false">1/ABS(AH40-AI40)</f>
        <v>120.846522463871</v>
      </c>
      <c r="AK40" s="2" t="n">
        <v>0.650161704025873</v>
      </c>
      <c r="AL40" s="2" t="n">
        <v>0.295256362441304</v>
      </c>
      <c r="AM40" s="46" t="n">
        <v>0.574650215479072</v>
      </c>
      <c r="AN40" s="46"/>
      <c r="AO40" s="2" t="n">
        <v>0.0432687525289204</v>
      </c>
      <c r="AQ40" s="0" t="n">
        <v>0.110626135705194</v>
      </c>
      <c r="AR40" s="0" t="n">
        <v>10.7104097473549</v>
      </c>
      <c r="AS40" s="0" t="n">
        <v>16.3063861912063</v>
      </c>
      <c r="AT40" s="0" t="n">
        <v>11.6839164054218</v>
      </c>
      <c r="AV40" s="1" t="n">
        <v>12548</v>
      </c>
      <c r="AW40" s="1" t="n">
        <v>23320</v>
      </c>
      <c r="AX40" s="1" t="n">
        <v>7205</v>
      </c>
      <c r="AY40" s="1" t="n">
        <v>9734</v>
      </c>
      <c r="BA40" s="2" t="n">
        <v>0.349838295974127</v>
      </c>
      <c r="BB40" s="2" t="n">
        <v>0.425349784520928</v>
      </c>
      <c r="BC40" s="1" t="s">
        <v>331</v>
      </c>
      <c r="BD40" s="1" t="s">
        <v>331</v>
      </c>
      <c r="BE40" s="0" t="s">
        <v>332</v>
      </c>
      <c r="BF40" s="0" t="n">
        <v>11881643</v>
      </c>
      <c r="BG40" s="0" t="n">
        <v>4006525</v>
      </c>
      <c r="BH40" s="0" t="n">
        <v>1110200</v>
      </c>
      <c r="BI40" s="0" t="n">
        <v>231407</v>
      </c>
      <c r="BJ40" s="0" t="n">
        <v>0.0432687525289204</v>
      </c>
      <c r="BL40" s="0" t="n">
        <v>0.295256362441304</v>
      </c>
      <c r="BM40" s="0" t="s">
        <v>331</v>
      </c>
      <c r="BO40" s="0" t="s">
        <v>553</v>
      </c>
      <c r="BP40" s="0" t="n">
        <v>0.965826769629105</v>
      </c>
      <c r="BQ40" s="0" t="n">
        <v>0.957240606069577</v>
      </c>
      <c r="BT40" s="0" t="s">
        <v>553</v>
      </c>
      <c r="BU40" s="0" t="n">
        <v>0.00928214162993721</v>
      </c>
      <c r="BV40" s="0" t="n">
        <v>0.210983235947242</v>
      </c>
      <c r="BW40" s="0" t="n">
        <v>2.205</v>
      </c>
      <c r="BX40" s="0" t="s">
        <v>332</v>
      </c>
      <c r="BZ40" s="0" t="s">
        <v>332</v>
      </c>
      <c r="CA40" s="0" t="n">
        <v>469.3</v>
      </c>
      <c r="CB40" s="42" t="n">
        <v>539664</v>
      </c>
      <c r="CC40" s="0" t="s">
        <v>554</v>
      </c>
      <c r="CD40" s="1" t="n">
        <v>2087</v>
      </c>
      <c r="CE40" s="0" t="n">
        <v>0.224868231911835</v>
      </c>
      <c r="CG40" s="0" t="s">
        <v>331</v>
      </c>
      <c r="CH40" s="0" t="s">
        <v>44</v>
      </c>
      <c r="CI40" s="1" t="s">
        <v>331</v>
      </c>
      <c r="CJ40" s="1" t="n">
        <v>499</v>
      </c>
      <c r="CK40" s="1" t="n">
        <v>507</v>
      </c>
      <c r="CL40" s="1" t="n">
        <v>1081</v>
      </c>
    </row>
    <row r="41" customFormat="false" ht="12.75" hidden="false" customHeight="false" outlineLevel="0" collapsed="false">
      <c r="A41" s="1" t="s">
        <v>333</v>
      </c>
      <c r="B41" s="0" t="s">
        <v>45</v>
      </c>
      <c r="C41" s="2" t="n">
        <f aca="false">F41/E41</f>
        <v>0.0373661178404778</v>
      </c>
      <c r="D41" s="2" t="n">
        <v>1</v>
      </c>
      <c r="E41" s="1" t="n">
        <v>248166</v>
      </c>
      <c r="F41" s="1" t="n">
        <v>9273</v>
      </c>
      <c r="G41" s="1" t="n">
        <v>174520</v>
      </c>
      <c r="H41" s="1" t="n">
        <v>64373</v>
      </c>
      <c r="I41" s="1"/>
      <c r="J41" s="1" t="n">
        <v>1045</v>
      </c>
      <c r="K41" s="1" t="n">
        <v>947.171291866029</v>
      </c>
      <c r="L41" s="1" t="n">
        <f aca="false">BG41+BH41+BI41</f>
        <v>481230</v>
      </c>
      <c r="M41" s="1" t="n">
        <v>989794</v>
      </c>
      <c r="N41" s="2" t="n">
        <v>0</v>
      </c>
      <c r="O41" s="2" t="n">
        <v>0.0757652407576525</v>
      </c>
      <c r="P41" s="38" t="n">
        <f aca="false">BU41^4</f>
        <v>1.30467382846026E-008</v>
      </c>
      <c r="Q41" s="38" t="n">
        <f aca="false">S41/M41</f>
        <v>0.090382443215457</v>
      </c>
      <c r="R41" s="32" t="n">
        <v>290143</v>
      </c>
      <c r="S41" s="31" t="n">
        <v>89460</v>
      </c>
      <c r="T41" s="2" t="n">
        <f aca="false">AH41</f>
        <v>0.0346165862098814</v>
      </c>
      <c r="U41" s="2" t="n">
        <f aca="false">LN(M41)</f>
        <v>13.8052521196509</v>
      </c>
      <c r="V41" s="2" t="n">
        <f aca="false">LN(N41+1)</f>
        <v>0</v>
      </c>
      <c r="W41" s="2" t="n">
        <f aca="false">LN(O41)</f>
        <v>-2.58011565670946</v>
      </c>
      <c r="X41" s="2" t="n">
        <f aca="false">LN(P41)</f>
        <v>-18.1547276742951</v>
      </c>
      <c r="Y41" s="2"/>
      <c r="Z41" s="38" t="n">
        <f aca="false">(AB41*AD41)^4</f>
        <v>1.21434131496912E-008</v>
      </c>
      <c r="AA41" s="2" t="n">
        <v>0.00681</v>
      </c>
      <c r="AB41" s="2" t="n">
        <f aca="false">BV41</f>
        <v>0.0883295351941335</v>
      </c>
      <c r="AD41" s="2" t="n">
        <v>0.118844543736755</v>
      </c>
      <c r="AG41" s="0" t="str">
        <f aca="false">A41</f>
        <v>RI</v>
      </c>
      <c r="AH41" s="2" t="n">
        <f aca="false">'Final-2'!B$41+'Final-2'!B$42*M41+'Final-2'!B$43*N41+'Final-2'!B$44*O41+'Final-2'!B$45*P41</f>
        <v>0.0346165862098814</v>
      </c>
      <c r="AI41" s="2" t="n">
        <f aca="false">C41</f>
        <v>0.0373661178404778</v>
      </c>
      <c r="AJ41" s="2" t="n">
        <f aca="false">1/ABS(AH41-AI41)</f>
        <v>363.698307330661</v>
      </c>
      <c r="AK41" s="2" t="n">
        <v>1</v>
      </c>
      <c r="AL41" s="2" t="n">
        <v>0.0957119511736764</v>
      </c>
      <c r="AM41" s="46" t="n">
        <v>1</v>
      </c>
      <c r="AN41" s="46"/>
      <c r="AO41" s="2" t="n">
        <v>0.121501153294682</v>
      </c>
      <c r="AQ41" s="0" t="n">
        <v>0.0366849217506236</v>
      </c>
      <c r="AR41" s="0" t="n">
        <v>6.95177216439891</v>
      </c>
      <c r="AS41" s="0" t="n">
        <v>13.8052521196509</v>
      </c>
      <c r="AT41" s="0" t="n">
        <v>8.68152048483791</v>
      </c>
      <c r="AV41" s="1" t="n">
        <v>0</v>
      </c>
      <c r="AW41" s="1" t="n">
        <v>2049</v>
      </c>
      <c r="AX41" s="1" t="n">
        <v>0</v>
      </c>
      <c r="AY41" s="1" t="n">
        <v>2258</v>
      </c>
      <c r="BA41" s="2" t="n">
        <v>0</v>
      </c>
      <c r="BB41" s="2" t="n">
        <v>0</v>
      </c>
      <c r="BC41" s="1" t="s">
        <v>333</v>
      </c>
      <c r="BD41" s="1" t="s">
        <v>333</v>
      </c>
      <c r="BE41" s="0" t="s">
        <v>555</v>
      </c>
      <c r="BF41" s="0" t="n">
        <v>1003464</v>
      </c>
      <c r="BG41" s="0" t="n">
        <v>329829</v>
      </c>
      <c r="BH41" s="0" t="n">
        <v>92931</v>
      </c>
      <c r="BI41" s="0" t="n">
        <v>58470</v>
      </c>
      <c r="BJ41" s="0" t="n">
        <v>0.121501153294682</v>
      </c>
      <c r="BL41" s="0" t="n">
        <v>0.0957119511736764</v>
      </c>
      <c r="BM41" s="0" t="s">
        <v>333</v>
      </c>
      <c r="BO41" s="0" t="s">
        <v>556</v>
      </c>
      <c r="BP41" s="0" t="n">
        <v>0.924234759242348</v>
      </c>
      <c r="BQ41" s="0" t="n">
        <v>0.881155456263245</v>
      </c>
      <c r="BT41" s="0" t="s">
        <v>556</v>
      </c>
      <c r="BU41" s="0" t="n">
        <v>0.0106874842481915</v>
      </c>
      <c r="BV41" s="0" t="n">
        <v>0.0883295351941335</v>
      </c>
      <c r="BW41" s="0" t="n">
        <v>0.681</v>
      </c>
      <c r="BX41" s="0" t="s">
        <v>557</v>
      </c>
      <c r="BZ41" s="0" t="s">
        <v>557</v>
      </c>
      <c r="CA41" s="0" t="n">
        <v>0</v>
      </c>
      <c r="CD41" s="1" t="n">
        <v>137</v>
      </c>
      <c r="CE41" s="0" t="n">
        <v>0</v>
      </c>
      <c r="CG41" s="0" t="s">
        <v>333</v>
      </c>
      <c r="CH41" s="0" t="s">
        <v>45</v>
      </c>
      <c r="CI41" s="1" t="s">
        <v>333</v>
      </c>
      <c r="CJ41" s="1" t="n">
        <v>68</v>
      </c>
      <c r="CK41" s="1" t="n">
        <v>48</v>
      </c>
      <c r="CL41" s="1" t="n">
        <v>21</v>
      </c>
    </row>
    <row r="42" customFormat="false" ht="12.75" hidden="false" customHeight="false" outlineLevel="0" collapsed="false">
      <c r="A42" s="1" t="s">
        <v>335</v>
      </c>
      <c r="B42" s="0" t="s">
        <v>46</v>
      </c>
      <c r="C42" s="2" t="n">
        <f aca="false">F42/E42</f>
        <v>0</v>
      </c>
      <c r="D42" s="2" t="n">
        <v>1</v>
      </c>
      <c r="E42" s="1" t="n">
        <v>822072</v>
      </c>
      <c r="F42" s="1" t="n">
        <v>0</v>
      </c>
      <c r="G42" s="1" t="n">
        <v>452324</v>
      </c>
      <c r="H42" s="1" t="n">
        <v>369748</v>
      </c>
      <c r="I42" s="1"/>
      <c r="J42" s="1" t="n">
        <v>30111</v>
      </c>
      <c r="K42" s="1" t="n">
        <v>121.991531334064</v>
      </c>
      <c r="L42" s="1" t="n">
        <f aca="false">BG42+BH42+BI42</f>
        <v>1636356</v>
      </c>
      <c r="M42" s="1" t="n">
        <v>3673287</v>
      </c>
      <c r="N42" s="2" t="n">
        <v>0</v>
      </c>
      <c r="O42" s="2" t="n">
        <v>0.0212156597627681</v>
      </c>
      <c r="P42" s="38" t="n">
        <f aca="false">BU42^4</f>
        <v>2.57625046539453E-014</v>
      </c>
      <c r="Q42" s="38" t="n">
        <f aca="false">S42/M42</f>
        <v>0.0783823861299158</v>
      </c>
      <c r="R42" s="34" t="n">
        <v>668381</v>
      </c>
      <c r="S42" s="31" t="n">
        <v>287921</v>
      </c>
      <c r="T42" s="2" t="n">
        <f aca="false">AH42</f>
        <v>-0.00241906277106673</v>
      </c>
      <c r="U42" s="2" t="n">
        <f aca="false">LN(M42)</f>
        <v>15.1165974595113</v>
      </c>
      <c r="V42" s="2" t="n">
        <f aca="false">LN(N42+1)</f>
        <v>0</v>
      </c>
      <c r="W42" s="2" t="n">
        <f aca="false">LN(O42)</f>
        <v>-3.85301570193005</v>
      </c>
      <c r="X42" s="2" t="n">
        <f aca="false">LN(P42)</f>
        <v>-31.2898562680461</v>
      </c>
      <c r="Y42" s="2"/>
      <c r="Z42" s="38" t="n">
        <f aca="false">(AB42*AD42)^4</f>
        <v>1.3511322495704E-016</v>
      </c>
      <c r="AA42" s="2" t="n">
        <v>0.03782</v>
      </c>
      <c r="AB42" s="2" t="n">
        <f aca="false">BV42</f>
        <v>0.0059124840684687</v>
      </c>
      <c r="AD42" s="2" t="n">
        <v>0.0182349459979287</v>
      </c>
      <c r="AG42" s="0" t="str">
        <f aca="false">A42</f>
        <v>SC</v>
      </c>
      <c r="AH42" s="2" t="n">
        <f aca="false">'Final-2'!B$41+'Final-2'!B$42*M42+'Final-2'!B$43*N42+'Final-2'!B$44*O42+'Final-2'!B$45*P42</f>
        <v>-0.00241906277106673</v>
      </c>
      <c r="AI42" s="2" t="n">
        <f aca="false">C42</f>
        <v>0</v>
      </c>
      <c r="AJ42" s="2" t="n">
        <f aca="false">1/ABS(AH42-AI42)</f>
        <v>413.383237492027</v>
      </c>
      <c r="AK42" s="2" t="n">
        <v>0.687846018523309</v>
      </c>
      <c r="AL42" s="2" t="n">
        <v>0.0153888801758302</v>
      </c>
      <c r="AM42" s="46" t="n">
        <v>0.599322574217972</v>
      </c>
      <c r="AN42" s="46"/>
      <c r="AO42" s="2" t="n">
        <v>0.0410094135994857</v>
      </c>
      <c r="AQ42" s="0" t="n">
        <v>0</v>
      </c>
      <c r="AR42" s="0" t="n">
        <v>10.3126458324819</v>
      </c>
      <c r="AS42" s="0" t="n">
        <v>15.1165974595113</v>
      </c>
      <c r="AT42" s="0" t="n">
        <v>11.0712060396028</v>
      </c>
      <c r="AV42" s="1" t="n">
        <v>6033</v>
      </c>
      <c r="AW42" s="1" t="n">
        <v>13294</v>
      </c>
      <c r="AX42" s="1" t="n">
        <v>6033</v>
      </c>
      <c r="AY42" s="1" t="n">
        <v>9024</v>
      </c>
      <c r="BA42" s="2" t="n">
        <v>0.312153981476691</v>
      </c>
      <c r="BB42" s="2" t="n">
        <v>0.400677425782028</v>
      </c>
      <c r="BC42" s="1" t="s">
        <v>335</v>
      </c>
      <c r="BD42" s="1" t="s">
        <v>335</v>
      </c>
      <c r="BE42" s="0" t="s">
        <v>558</v>
      </c>
      <c r="BF42" s="0" t="n">
        <v>3486703</v>
      </c>
      <c r="BG42" s="0" t="n">
        <v>1239694</v>
      </c>
      <c r="BH42" s="0" t="n">
        <v>329556</v>
      </c>
      <c r="BI42" s="0" t="n">
        <v>67106</v>
      </c>
      <c r="BJ42" s="0" t="n">
        <v>0.0410094135994857</v>
      </c>
      <c r="BL42" s="0" t="n">
        <v>0.0153888801758302</v>
      </c>
      <c r="BM42" s="0" t="s">
        <v>335</v>
      </c>
      <c r="BO42" s="0" t="s">
        <v>559</v>
      </c>
      <c r="BP42" s="0" t="n">
        <v>0.978784340237232</v>
      </c>
      <c r="BQ42" s="0" t="n">
        <v>0.981765054002071</v>
      </c>
      <c r="BT42" s="0" t="s">
        <v>559</v>
      </c>
      <c r="BU42" s="0" t="n">
        <v>0.000400633278311205</v>
      </c>
      <c r="BV42" s="0" t="n">
        <v>0.0059124840684687</v>
      </c>
      <c r="BW42" s="0" t="n">
        <v>3.782</v>
      </c>
      <c r="BX42" s="0" t="s">
        <v>560</v>
      </c>
      <c r="BZ42" s="0" t="s">
        <v>560</v>
      </c>
      <c r="CA42" s="0" t="n">
        <v>0</v>
      </c>
      <c r="CD42" s="1" t="n">
        <v>894</v>
      </c>
      <c r="CE42" s="0" t="n">
        <v>0</v>
      </c>
      <c r="CG42" s="0" t="s">
        <v>335</v>
      </c>
      <c r="CH42" s="0" t="s">
        <v>46</v>
      </c>
      <c r="CI42" s="1" t="s">
        <v>335</v>
      </c>
      <c r="CJ42" s="1" t="n">
        <v>65</v>
      </c>
      <c r="CK42" s="1" t="n">
        <v>158</v>
      </c>
      <c r="CL42" s="1" t="n">
        <v>671</v>
      </c>
    </row>
    <row r="43" customFormat="false" ht="12.75" hidden="false" customHeight="false" outlineLevel="0" collapsed="false">
      <c r="A43" s="1" t="s">
        <v>337</v>
      </c>
      <c r="B43" s="0" t="s">
        <v>47</v>
      </c>
      <c r="C43" s="2" t="n">
        <f aca="false">F43/E43</f>
        <v>0</v>
      </c>
      <c r="D43" s="2" t="n">
        <v>1</v>
      </c>
      <c r="E43" s="1" t="n">
        <v>199865</v>
      </c>
      <c r="F43" s="1" t="n">
        <v>0</v>
      </c>
      <c r="G43" s="1" t="n">
        <v>123080</v>
      </c>
      <c r="H43" s="1" t="n">
        <v>76785</v>
      </c>
      <c r="I43" s="1"/>
      <c r="J43" s="1" t="n">
        <v>75898</v>
      </c>
      <c r="K43" s="1" t="n">
        <v>9.60544414872592</v>
      </c>
      <c r="L43" s="1" t="n">
        <f aca="false">BG43+BH43+BI43</f>
        <v>324122</v>
      </c>
      <c r="M43" s="1" t="n">
        <v>729034</v>
      </c>
      <c r="N43" s="2" t="n">
        <v>0</v>
      </c>
      <c r="O43" s="2" t="n">
        <v>0.0295761623107812</v>
      </c>
      <c r="P43" s="38" t="n">
        <f aca="false">BU43^4</f>
        <v>8.51096256861615E-012</v>
      </c>
      <c r="Q43" s="38" t="n">
        <f aca="false">S43/M43</f>
        <v>0.134870252964882</v>
      </c>
      <c r="R43" s="32" t="n">
        <v>285683</v>
      </c>
      <c r="S43" s="31" t="n">
        <v>98325</v>
      </c>
      <c r="T43" s="2" t="n">
        <f aca="false">AH43</f>
        <v>-0.00662454220325811</v>
      </c>
      <c r="U43" s="2" t="n">
        <f aca="false">LN(M43)</f>
        <v>13.499475649135</v>
      </c>
      <c r="V43" s="2" t="n">
        <f aca="false">LN(N43+1)</f>
        <v>0</v>
      </c>
      <c r="W43" s="2" t="n">
        <f aca="false">LN(O43)</f>
        <v>-3.52078656944086</v>
      </c>
      <c r="X43" s="2" t="n">
        <f aca="false">LN(P43)</f>
        <v>-25.4896660694441</v>
      </c>
      <c r="Y43" s="2"/>
      <c r="Z43" s="38" t="n">
        <f aca="false">(AB43*AD43)^4</f>
        <v>3.71898474644334E-014</v>
      </c>
      <c r="AA43" s="2" t="n">
        <v>0.05487</v>
      </c>
      <c r="AB43" s="2" t="n">
        <f aca="false">BV43</f>
        <v>0.0109357214220361</v>
      </c>
      <c r="AD43" s="2" t="n">
        <v>0.0401567596137732</v>
      </c>
      <c r="AG43" s="0" t="str">
        <f aca="false">A43</f>
        <v>SD</v>
      </c>
      <c r="AH43" s="2" t="n">
        <f aca="false">'Final-2'!B$41+'Final-2'!B$42*M43+'Final-2'!B$43*N43+'Final-2'!B$44*O43+'Final-2'!B$45*P43</f>
        <v>-0.00662454220325811</v>
      </c>
      <c r="AI43" s="2" t="n">
        <f aca="false">C43</f>
        <v>0</v>
      </c>
      <c r="AJ43" s="2" t="n">
        <f aca="false">1/ABS(AH43-AI43)</f>
        <v>150.953827346466</v>
      </c>
      <c r="AK43" s="2" t="n">
        <v>0.285926660059465</v>
      </c>
      <c r="AL43" s="2" t="n">
        <v>0.00122043122322323</v>
      </c>
      <c r="AM43" s="46" t="n">
        <v>0.439384615384615</v>
      </c>
      <c r="AN43" s="46"/>
      <c r="AO43" s="2" t="n">
        <v>0.0192828626258014</v>
      </c>
      <c r="AQ43" s="0" t="n">
        <v>0</v>
      </c>
      <c r="AR43" s="0" t="n">
        <v>11.2371456125754</v>
      </c>
      <c r="AS43" s="0" t="n">
        <v>13.499475649135</v>
      </c>
      <c r="AT43" s="0" t="n">
        <v>11.3309238569872</v>
      </c>
      <c r="AV43" s="1" t="n">
        <v>7205</v>
      </c>
      <c r="AW43" s="1" t="n">
        <v>2885</v>
      </c>
      <c r="AX43" s="1" t="n">
        <v>2733</v>
      </c>
      <c r="AY43" s="1" t="n">
        <v>2142</v>
      </c>
      <c r="BA43" s="2" t="n">
        <v>0.714073339940535</v>
      </c>
      <c r="BB43" s="2" t="n">
        <v>0.560615384615385</v>
      </c>
      <c r="BC43" s="1" t="s">
        <v>337</v>
      </c>
      <c r="BD43" s="1" t="s">
        <v>337</v>
      </c>
      <c r="BE43" s="0" t="s">
        <v>561</v>
      </c>
      <c r="BF43" s="0" t="n">
        <v>696004</v>
      </c>
      <c r="BG43" s="0" t="n">
        <v>283710</v>
      </c>
      <c r="BH43" s="0" t="n">
        <v>34162</v>
      </c>
      <c r="BI43" s="0" t="n">
        <v>6250</v>
      </c>
      <c r="BJ43" s="0" t="n">
        <v>0.0192828626258014</v>
      </c>
      <c r="BL43" s="0" t="n">
        <v>0.00122043122322323</v>
      </c>
      <c r="BM43" s="0" t="s">
        <v>337</v>
      </c>
      <c r="BO43" s="0" t="s">
        <v>562</v>
      </c>
      <c r="BP43" s="0" t="n">
        <v>0.970423837689219</v>
      </c>
      <c r="BQ43" s="0" t="n">
        <v>0.959843240386227</v>
      </c>
      <c r="BT43" s="0" t="s">
        <v>562</v>
      </c>
      <c r="BU43" s="0" t="n">
        <v>0.00170802675817269</v>
      </c>
      <c r="BV43" s="0" t="n">
        <v>0.0109357214220361</v>
      </c>
      <c r="BW43" s="0" t="n">
        <v>5.487</v>
      </c>
      <c r="BX43" s="0" t="s">
        <v>563</v>
      </c>
      <c r="BZ43" s="0" t="s">
        <v>563</v>
      </c>
      <c r="CA43" s="0" t="n">
        <v>0</v>
      </c>
      <c r="CD43" s="1" t="n">
        <v>681</v>
      </c>
      <c r="CE43" s="0" t="n">
        <v>0</v>
      </c>
      <c r="CG43" s="0" t="s">
        <v>337</v>
      </c>
      <c r="CH43" s="0" t="s">
        <v>47</v>
      </c>
      <c r="CI43" s="1" t="s">
        <v>337</v>
      </c>
      <c r="CJ43" s="1" t="n">
        <v>3</v>
      </c>
      <c r="CK43" s="1" t="n">
        <v>49</v>
      </c>
      <c r="CL43" s="1" t="n">
        <v>629</v>
      </c>
    </row>
    <row r="44" customFormat="false" ht="12.75" hidden="false" customHeight="false" outlineLevel="0" collapsed="false">
      <c r="A44" s="1" t="s">
        <v>339</v>
      </c>
      <c r="B44" s="0" t="s">
        <v>48</v>
      </c>
      <c r="C44" s="2" t="n">
        <f aca="false">F44/E44</f>
        <v>5.80051647196015E-005</v>
      </c>
      <c r="D44" s="2" t="n">
        <v>1</v>
      </c>
      <c r="E44" s="1" t="n">
        <v>1327468</v>
      </c>
      <c r="F44" s="1" t="n">
        <v>77</v>
      </c>
      <c r="G44" s="1" t="n">
        <v>810176</v>
      </c>
      <c r="H44" s="1" t="n">
        <v>517215</v>
      </c>
      <c r="I44" s="1"/>
      <c r="J44" s="1" t="n">
        <v>41220</v>
      </c>
      <c r="K44" s="1" t="n">
        <v>127.512154294032</v>
      </c>
      <c r="L44" s="1" t="n">
        <f aca="false">BG44+BH44+BI44</f>
        <v>2239256</v>
      </c>
      <c r="M44" s="1" t="n">
        <v>5256051</v>
      </c>
      <c r="N44" s="2" t="n">
        <v>0</v>
      </c>
      <c r="O44" s="2" t="n">
        <v>0.0458630868796215</v>
      </c>
      <c r="P44" s="38" t="n">
        <f aca="false">BU44^4</f>
        <v>2.94341409435387E-013</v>
      </c>
      <c r="Q44" s="38" t="n">
        <f aca="false">S44/M44</f>
        <v>0.117979829343361</v>
      </c>
      <c r="R44" s="32" t="n">
        <v>1229518</v>
      </c>
      <c r="S44" s="31" t="n">
        <v>620108</v>
      </c>
      <c r="T44" s="2" t="n">
        <f aca="false">AH44</f>
        <v>0.0244926535687381</v>
      </c>
      <c r="U44" s="2" t="n">
        <f aca="false">LN(M44)</f>
        <v>15.4748905422959</v>
      </c>
      <c r="V44" s="2" t="n">
        <f aca="false">LN(N44+1)</f>
        <v>0</v>
      </c>
      <c r="W44" s="2" t="n">
        <f aca="false">LN(O44)</f>
        <v>-3.08209469287955</v>
      </c>
      <c r="X44" s="2" t="n">
        <f aca="false">LN(P44)</f>
        <v>-28.8540360447259</v>
      </c>
      <c r="Y44" s="2"/>
      <c r="Z44" s="38" t="n">
        <f aca="false">(AB44*AD44)^4</f>
        <v>9.008685388596E-014</v>
      </c>
      <c r="AA44" s="2" t="n">
        <v>0.05741</v>
      </c>
      <c r="AB44" s="2" t="n">
        <f aca="false">BV44</f>
        <v>0.0166026291755834</v>
      </c>
      <c r="AD44" s="2" t="n">
        <v>0.0329980660228999</v>
      </c>
      <c r="AG44" s="0" t="str">
        <f aca="false">A44</f>
        <v>TN</v>
      </c>
      <c r="AH44" s="2" t="n">
        <f aca="false">'Final-2'!B$41+'Final-2'!B$42*M44+'Final-2'!B$43*N44+'Final-2'!B$44*O44+'Final-2'!B$45*P44</f>
        <v>0.0244926535687381</v>
      </c>
      <c r="AI44" s="2" t="n">
        <f aca="false">C44</f>
        <v>5.80051647196015E-005</v>
      </c>
      <c r="AJ44" s="2" t="n">
        <f aca="false">1/ABS(AH44-AI44)</f>
        <v>40.9254916815395</v>
      </c>
      <c r="AK44" s="2" t="n">
        <v>0.742117067593122</v>
      </c>
      <c r="AL44" s="2" t="n">
        <v>0.0614413978119595</v>
      </c>
      <c r="AM44" s="46" t="n">
        <v>0.70391315324413</v>
      </c>
      <c r="AN44" s="46"/>
      <c r="AO44" s="2" t="n">
        <v>0.0340577406067015</v>
      </c>
      <c r="AQ44" s="0" t="n">
        <v>5.80034824851392E-005</v>
      </c>
      <c r="AR44" s="0" t="n">
        <v>10.6266788544445</v>
      </c>
      <c r="AS44" s="0" t="n">
        <v>15.4748905422959</v>
      </c>
      <c r="AT44" s="0" t="n">
        <v>11.3574288798186</v>
      </c>
      <c r="AV44" s="1" t="n">
        <v>5864</v>
      </c>
      <c r="AW44" s="1" t="n">
        <v>16875</v>
      </c>
      <c r="AX44" s="1" t="n">
        <v>5864</v>
      </c>
      <c r="AY44" s="1" t="n">
        <v>13941</v>
      </c>
      <c r="BA44" s="2" t="n">
        <v>0.257882932406878</v>
      </c>
      <c r="BB44" s="2" t="n">
        <v>0.29608684675587</v>
      </c>
      <c r="BC44" s="1" t="s">
        <v>339</v>
      </c>
      <c r="BD44" s="1" t="s">
        <v>339</v>
      </c>
      <c r="BE44" s="0" t="s">
        <v>340</v>
      </c>
      <c r="BF44" s="0" t="n">
        <v>4877185</v>
      </c>
      <c r="BG44" s="0" t="n">
        <v>1748489</v>
      </c>
      <c r="BH44" s="0" t="n">
        <v>414503</v>
      </c>
      <c r="BI44" s="0" t="n">
        <v>76264</v>
      </c>
      <c r="BJ44" s="0" t="n">
        <v>0.0340577406067015</v>
      </c>
      <c r="BL44" s="0" t="n">
        <v>0.0614413978119595</v>
      </c>
      <c r="BM44" s="0" t="s">
        <v>339</v>
      </c>
      <c r="BO44" s="0" t="s">
        <v>564</v>
      </c>
      <c r="BP44" s="0" t="n">
        <v>0.954136913120379</v>
      </c>
      <c r="BQ44" s="0" t="n">
        <v>0.9670019339771</v>
      </c>
      <c r="BT44" s="0" t="s">
        <v>564</v>
      </c>
      <c r="BU44" s="0" t="n">
        <v>0.000736567990101261</v>
      </c>
      <c r="BV44" s="0" t="n">
        <v>0.0166026291755834</v>
      </c>
      <c r="BW44" s="0" t="n">
        <v>5.741</v>
      </c>
      <c r="BX44" s="0" t="s">
        <v>340</v>
      </c>
      <c r="BZ44" s="0" t="s">
        <v>340</v>
      </c>
      <c r="CA44" s="0" t="n">
        <v>0</v>
      </c>
      <c r="CD44" s="1" t="n">
        <v>1176</v>
      </c>
      <c r="CE44" s="0" t="n">
        <v>0</v>
      </c>
      <c r="CG44" s="0" t="s">
        <v>339</v>
      </c>
      <c r="CH44" s="0" t="s">
        <v>48</v>
      </c>
      <c r="CI44" s="1" t="s">
        <v>339</v>
      </c>
      <c r="CJ44" s="1" t="n">
        <v>114</v>
      </c>
      <c r="CK44" s="1" t="n">
        <v>323</v>
      </c>
      <c r="CL44" s="1" t="n">
        <v>739</v>
      </c>
    </row>
    <row r="45" customFormat="false" ht="12.75" hidden="false" customHeight="false" outlineLevel="0" collapsed="false">
      <c r="A45" s="1" t="s">
        <v>341</v>
      </c>
      <c r="B45" s="0" t="s">
        <v>49</v>
      </c>
      <c r="C45" s="2" t="n">
        <f aca="false">F45/E45</f>
        <v>0.0247474685546935</v>
      </c>
      <c r="D45" s="2" t="n">
        <v>1</v>
      </c>
      <c r="E45" s="1" t="n">
        <v>6279713</v>
      </c>
      <c r="F45" s="1" t="n">
        <v>155407</v>
      </c>
      <c r="G45" s="1" t="n">
        <v>4463068</v>
      </c>
      <c r="H45" s="1" t="n">
        <v>1661238</v>
      </c>
      <c r="I45" s="1"/>
      <c r="J45" s="1" t="n">
        <v>261914</v>
      </c>
      <c r="K45" s="1" t="n">
        <v>71.4890803851646</v>
      </c>
      <c r="L45" s="1" t="n">
        <f aca="false">BG45+BH45+BI45</f>
        <v>7610487</v>
      </c>
      <c r="M45" s="1" t="n">
        <v>18723991</v>
      </c>
      <c r="N45" s="2" t="n">
        <v>0.006727760393384</v>
      </c>
      <c r="O45" s="2" t="n">
        <v>0.00910524272123237</v>
      </c>
      <c r="P45" s="38" t="n">
        <f aca="false">BU45^4</f>
        <v>2.38458372944146E-012</v>
      </c>
      <c r="Q45" s="38" t="n">
        <f aca="false">S45/M45</f>
        <v>0.0955903044388347</v>
      </c>
      <c r="R45" s="32" t="n">
        <v>3592957</v>
      </c>
      <c r="S45" s="31" t="n">
        <v>1789832</v>
      </c>
      <c r="T45" s="2" t="n">
        <f aca="false">AH45</f>
        <v>0.0470044539539321</v>
      </c>
      <c r="U45" s="2" t="n">
        <f aca="false">LN(M45)</f>
        <v>16.7453162007355</v>
      </c>
      <c r="V45" s="2" t="n">
        <f aca="false">LN(N45+1)</f>
        <v>0.00670523000965831</v>
      </c>
      <c r="W45" s="2" t="n">
        <f aca="false">LN(O45)</f>
        <v>-4.69890490814225</v>
      </c>
      <c r="X45" s="2" t="n">
        <f aca="false">LN(P45)</f>
        <v>-26.7619965437434</v>
      </c>
      <c r="Y45" s="2"/>
      <c r="Z45" s="38" t="n">
        <f aca="false">(AB45*AD45)^4</f>
        <v>7.35390516239558E-015</v>
      </c>
      <c r="AA45" s="2" t="n">
        <v>0.01395</v>
      </c>
      <c r="AB45" s="2" t="n">
        <f aca="false">BV45</f>
        <v>0.0366459653194965</v>
      </c>
      <c r="AD45" s="2" t="n">
        <v>0.00799104065061407</v>
      </c>
      <c r="AG45" s="0" t="str">
        <f aca="false">A45</f>
        <v>TX</v>
      </c>
      <c r="AH45" s="2" t="n">
        <f aca="false">'Final-2'!B$41+'Final-2'!B$42*M45+'Final-2'!B$43*N45+'Final-2'!B$44*O45+'Final-2'!B$45*P45</f>
        <v>0.0470044539539321</v>
      </c>
      <c r="AI45" s="2" t="n">
        <f aca="false">C45</f>
        <v>0.0247474685546935</v>
      </c>
      <c r="AJ45" s="2" t="n">
        <f aca="false">1/ABS(AH45-AI45)</f>
        <v>44.9297145171426</v>
      </c>
      <c r="AK45" s="2" t="n">
        <v>0.252270513596757</v>
      </c>
      <c r="AL45" s="2" t="n">
        <v>0.0592397729027241</v>
      </c>
      <c r="AM45" s="46" t="n">
        <v>0.292588164973102</v>
      </c>
      <c r="AN45" s="46"/>
      <c r="AO45" s="2" t="n">
        <v>0.00886001119245063</v>
      </c>
      <c r="AQ45" s="0" t="n">
        <v>0.0244462100940072</v>
      </c>
      <c r="AR45" s="0" t="n">
        <v>12.4757714845845</v>
      </c>
      <c r="AS45" s="0" t="n">
        <v>16.7453162007355</v>
      </c>
      <c r="AT45" s="0" t="n">
        <v>12.5987429143376</v>
      </c>
      <c r="AV45" s="1" t="n">
        <v>56808</v>
      </c>
      <c r="AW45" s="1" t="n">
        <v>19166</v>
      </c>
      <c r="AX45" s="1" t="n">
        <v>56808</v>
      </c>
      <c r="AY45" s="1" t="n">
        <v>23496</v>
      </c>
      <c r="BA45" s="2" t="n">
        <v>0.747729486403243</v>
      </c>
      <c r="BB45" s="2" t="n">
        <v>0.707411835026898</v>
      </c>
      <c r="BC45" s="1" t="s">
        <v>341</v>
      </c>
      <c r="BD45" s="1" t="s">
        <v>341</v>
      </c>
      <c r="BE45" s="0" t="s">
        <v>342</v>
      </c>
      <c r="BF45" s="0" t="n">
        <v>16986510</v>
      </c>
      <c r="BG45" s="0" t="n">
        <v>6312264</v>
      </c>
      <c r="BH45" s="0" t="n">
        <v>1230794</v>
      </c>
      <c r="BI45" s="0" t="n">
        <v>67429</v>
      </c>
      <c r="BJ45" s="0" t="n">
        <v>0.00886001119245063</v>
      </c>
      <c r="BL45" s="0" t="n">
        <v>0.0592397729027241</v>
      </c>
      <c r="BM45" s="0" t="s">
        <v>341</v>
      </c>
      <c r="BO45" s="0" t="s">
        <v>565</v>
      </c>
      <c r="BP45" s="0" t="n">
        <v>0.990894757278768</v>
      </c>
      <c r="BQ45" s="0" t="n">
        <v>0.992008959349386</v>
      </c>
      <c r="BT45" s="0" t="s">
        <v>565</v>
      </c>
      <c r="BU45" s="0" t="n">
        <v>0.00124266236069874</v>
      </c>
      <c r="BV45" s="0" t="n">
        <v>0.0366459653194965</v>
      </c>
      <c r="BW45" s="0" t="n">
        <v>1.395</v>
      </c>
      <c r="BX45" s="0" t="s">
        <v>342</v>
      </c>
      <c r="BZ45" s="0" t="s">
        <v>342</v>
      </c>
      <c r="CA45" s="0" t="n">
        <v>30.1</v>
      </c>
      <c r="CB45" s="42" t="n">
        <v>58500</v>
      </c>
      <c r="CC45" s="0" t="n">
        <v>1957</v>
      </c>
      <c r="CD45" s="1" t="n">
        <v>4474</v>
      </c>
      <c r="CE45" s="0" t="n">
        <v>0.006727760393384</v>
      </c>
      <c r="CG45" s="0" t="s">
        <v>341</v>
      </c>
      <c r="CH45" s="0" t="s">
        <v>49</v>
      </c>
      <c r="CI45" s="1" t="s">
        <v>341</v>
      </c>
      <c r="CJ45" s="1" t="n">
        <v>1240</v>
      </c>
      <c r="CK45" s="1" t="n">
        <v>1031</v>
      </c>
      <c r="CL45" s="1" t="n">
        <v>2203</v>
      </c>
    </row>
    <row r="46" customFormat="false" ht="12.75" hidden="false" customHeight="false" outlineLevel="0" collapsed="false">
      <c r="A46" s="1" t="s">
        <v>343</v>
      </c>
      <c r="B46" s="0" t="s">
        <v>50</v>
      </c>
      <c r="C46" s="2" t="n">
        <f aca="false">F46/E46</f>
        <v>0.000622986197117817</v>
      </c>
      <c r="D46" s="2" t="n">
        <v>1</v>
      </c>
      <c r="E46" s="1" t="n">
        <v>401293</v>
      </c>
      <c r="F46" s="1" t="n">
        <v>250</v>
      </c>
      <c r="G46" s="1" t="n">
        <v>239945</v>
      </c>
      <c r="H46" s="1" t="n">
        <v>161098</v>
      </c>
      <c r="I46" s="1"/>
      <c r="J46" s="1" t="n">
        <v>82168</v>
      </c>
      <c r="K46" s="1" t="n">
        <v>23.7490020445916</v>
      </c>
      <c r="L46" s="1" t="n">
        <f aca="false">BG46+BH46+BI46</f>
        <v>732376</v>
      </c>
      <c r="M46" s="1" t="n">
        <v>1951408</v>
      </c>
      <c r="N46" s="2" t="n">
        <v>0</v>
      </c>
      <c r="O46" s="2" t="n">
        <v>0.00991343868813166</v>
      </c>
      <c r="P46" s="38" t="n">
        <f aca="false">BU46^4</f>
        <v>4.16760355861009E-013</v>
      </c>
      <c r="Q46" s="38" t="n">
        <f aca="false">S46/M46</f>
        <v>0.101805465592024</v>
      </c>
      <c r="R46" s="34" t="n">
        <v>431264</v>
      </c>
      <c r="S46" s="31" t="n">
        <v>198664</v>
      </c>
      <c r="T46" s="2" t="n">
        <f aca="false">AH46</f>
        <v>-0.0185751659229495</v>
      </c>
      <c r="U46" s="2" t="n">
        <f aca="false">LN(M46)</f>
        <v>14.4840617212684</v>
      </c>
      <c r="V46" s="2" t="n">
        <f aca="false">LN(N46+1)</f>
        <v>0</v>
      </c>
      <c r="W46" s="2" t="n">
        <f aca="false">LN(O46)</f>
        <v>-4.61386399908914</v>
      </c>
      <c r="X46" s="2" t="n">
        <f aca="false">LN(P46)</f>
        <v>-28.5062650244919</v>
      </c>
      <c r="Y46" s="2"/>
      <c r="Z46" s="38" t="n">
        <f aca="false">(AB46*AD46)^4</f>
        <v>1.71694342606867E-015</v>
      </c>
      <c r="AA46" s="2" t="n">
        <v>0.63112</v>
      </c>
      <c r="AB46" s="2" t="n">
        <f aca="false">BV46</f>
        <v>0.0153031212711886</v>
      </c>
      <c r="AD46" s="2" t="n">
        <v>0.0133017559790412</v>
      </c>
      <c r="AG46" s="0" t="str">
        <f aca="false">A46</f>
        <v>UT</v>
      </c>
      <c r="AH46" s="2" t="n">
        <f aca="false">'Final-2'!B$41+'Final-2'!B$42*M46+'Final-2'!B$43*N46+'Final-2'!B$44*O46+'Final-2'!B$45*P46</f>
        <v>-0.0185751659229495</v>
      </c>
      <c r="AI46" s="2" t="n">
        <f aca="false">C46</f>
        <v>0.000622986197117817</v>
      </c>
      <c r="AJ46" s="2" t="n">
        <f aca="false">1/ABS(AH46-AI46)</f>
        <v>52.0883465109502</v>
      </c>
      <c r="AK46" s="2" t="n">
        <v>0.535016033929864</v>
      </c>
      <c r="AL46" s="2" t="n">
        <v>0.0143924717906494</v>
      </c>
      <c r="AM46" s="46" t="n">
        <v>0.579945799457995</v>
      </c>
      <c r="AN46" s="46"/>
      <c r="AO46" s="2" t="n">
        <v>0.0134848766207522</v>
      </c>
      <c r="AQ46" s="0" t="n">
        <v>0.00062279222177543</v>
      </c>
      <c r="AR46" s="0" t="n">
        <v>11.3165212108456</v>
      </c>
      <c r="AS46" s="0" t="n">
        <v>14.4840617212684</v>
      </c>
      <c r="AT46" s="0" t="n">
        <v>10.6223999409821</v>
      </c>
      <c r="AV46" s="1" t="n">
        <v>4495</v>
      </c>
      <c r="AW46" s="1" t="n">
        <v>5172</v>
      </c>
      <c r="AX46" s="1" t="n">
        <v>4495</v>
      </c>
      <c r="AY46" s="1" t="n">
        <v>6206</v>
      </c>
      <c r="BA46" s="2" t="n">
        <v>0.464983966070136</v>
      </c>
      <c r="BB46" s="2" t="n">
        <v>0.420054200542005</v>
      </c>
      <c r="BC46" s="1" t="s">
        <v>343</v>
      </c>
      <c r="BD46" s="1" t="s">
        <v>343</v>
      </c>
      <c r="BE46" s="0" t="s">
        <v>344</v>
      </c>
      <c r="BF46" s="0" t="n">
        <v>1722850</v>
      </c>
      <c r="BG46" s="0" t="n">
        <v>620236</v>
      </c>
      <c r="BH46" s="0" t="n">
        <v>102264</v>
      </c>
      <c r="BI46" s="0" t="n">
        <v>9876</v>
      </c>
      <c r="BJ46" s="0" t="n">
        <v>0.0134848766207522</v>
      </c>
      <c r="BL46" s="0" t="n">
        <v>0.0143924717906494</v>
      </c>
      <c r="BM46" s="0" t="s">
        <v>343</v>
      </c>
      <c r="BO46" s="0" t="s">
        <v>566</v>
      </c>
      <c r="BP46" s="0" t="n">
        <v>0.990086561311868</v>
      </c>
      <c r="BQ46" s="0" t="n">
        <v>0.986698244020959</v>
      </c>
      <c r="BT46" s="0" t="s">
        <v>566</v>
      </c>
      <c r="BU46" s="0" t="n">
        <v>0.000803473578673719</v>
      </c>
      <c r="BV46" s="0" t="n">
        <v>0.0153031212711886</v>
      </c>
      <c r="BW46" s="0" t="n">
        <v>63.112</v>
      </c>
      <c r="BX46" s="0" t="s">
        <v>344</v>
      </c>
      <c r="BZ46" s="0" t="s">
        <v>344</v>
      </c>
      <c r="CA46" s="0" t="n">
        <v>0</v>
      </c>
      <c r="CD46" s="1" t="n">
        <v>948</v>
      </c>
      <c r="CE46" s="0" t="n">
        <v>0</v>
      </c>
      <c r="CG46" s="0" t="s">
        <v>343</v>
      </c>
      <c r="CH46" s="0" t="s">
        <v>50</v>
      </c>
      <c r="CI46" s="1" t="s">
        <v>343</v>
      </c>
      <c r="CJ46" s="1" t="n">
        <v>8</v>
      </c>
      <c r="CK46" s="1" t="n">
        <v>169</v>
      </c>
      <c r="CL46" s="1" t="n">
        <v>771</v>
      </c>
    </row>
    <row r="47" customFormat="false" ht="12.75" hidden="false" customHeight="false" outlineLevel="0" collapsed="false">
      <c r="A47" s="1" t="s">
        <v>345</v>
      </c>
      <c r="B47" s="0" t="s">
        <v>51</v>
      </c>
      <c r="C47" s="2" t="n">
        <f aca="false">F47/E47</f>
        <v>0</v>
      </c>
      <c r="D47" s="2" t="n">
        <v>1</v>
      </c>
      <c r="E47" s="1" t="n">
        <v>197087</v>
      </c>
      <c r="F47" s="1" t="n">
        <v>0</v>
      </c>
      <c r="G47" s="1" t="n">
        <v>138217</v>
      </c>
      <c r="H47" s="1" t="n">
        <v>58870</v>
      </c>
      <c r="I47" s="1"/>
      <c r="J47" s="1" t="n">
        <v>9249</v>
      </c>
      <c r="K47" s="1" t="n">
        <v>63.2253216563953</v>
      </c>
      <c r="L47" s="1" t="n">
        <f aca="false">BG47+BH47+BI47</f>
        <v>276765</v>
      </c>
      <c r="M47" s="1" t="n">
        <v>584771</v>
      </c>
      <c r="N47" s="2" t="n">
        <v>0</v>
      </c>
      <c r="O47" s="2" t="n">
        <v>0.0494956071368481</v>
      </c>
      <c r="P47" s="38" t="n">
        <f aca="false">BU47^4</f>
        <v>5.28659248696466E-009</v>
      </c>
      <c r="Q47" s="38" t="n">
        <f aca="false">S47/M47</f>
        <v>0.190024813131978</v>
      </c>
      <c r="R47" s="32" t="n">
        <v>194205</v>
      </c>
      <c r="S47" s="31" t="n">
        <v>111121</v>
      </c>
      <c r="T47" s="2" t="n">
        <f aca="false">AH47</f>
        <v>0.0101466876102167</v>
      </c>
      <c r="U47" s="2" t="n">
        <f aca="false">LN(M47)</f>
        <v>13.2789755965848</v>
      </c>
      <c r="V47" s="2" t="n">
        <f aca="false">LN(N47+1)</f>
        <v>0</v>
      </c>
      <c r="W47" s="2" t="n">
        <f aca="false">LN(O47)</f>
        <v>-3.00587135805568</v>
      </c>
      <c r="X47" s="2" t="n">
        <f aca="false">LN(P47)</f>
        <v>-19.0580919409757</v>
      </c>
      <c r="Y47" s="2"/>
      <c r="Z47" s="38" t="n">
        <f aca="false">(AB47*AD47)^4</f>
        <v>4.58734424713635E-009</v>
      </c>
      <c r="AA47" s="2" t="n">
        <v>0.06407</v>
      </c>
      <c r="AB47" s="2" t="n">
        <f aca="false">BV47</f>
        <v>0.141040500339582</v>
      </c>
      <c r="AD47" s="2" t="n">
        <v>0.0583507567879001</v>
      </c>
      <c r="AG47" s="0" t="str">
        <f aca="false">A47</f>
        <v>VT</v>
      </c>
      <c r="AH47" s="2" t="n">
        <f aca="false">'Final-2'!B$41+'Final-2'!B$42*M47+'Final-2'!B$43*N47+'Final-2'!B$44*O47+'Final-2'!B$45*P47</f>
        <v>0.0101466876102167</v>
      </c>
      <c r="AI47" s="2" t="n">
        <f aca="false">C47</f>
        <v>0</v>
      </c>
      <c r="AJ47" s="2" t="n">
        <f aca="false">1/ABS(AH47-AI47)</f>
        <v>98.5543300843423</v>
      </c>
      <c r="AK47" s="2" t="n">
        <v>0.937855322485787</v>
      </c>
      <c r="AL47" s="2" t="n">
        <v>0.030891023224868</v>
      </c>
      <c r="AM47" s="46" t="n">
        <v>0.889315642458101</v>
      </c>
      <c r="AN47" s="46"/>
      <c r="AO47" s="2" t="n">
        <v>0.0600220403591495</v>
      </c>
      <c r="AQ47" s="0" t="n">
        <v>0</v>
      </c>
      <c r="AR47" s="0" t="n">
        <v>9.13227071655426</v>
      </c>
      <c r="AS47" s="0" t="n">
        <v>13.2789755965848</v>
      </c>
      <c r="AT47" s="0" t="n">
        <v>9.55986984775404</v>
      </c>
      <c r="AV47" s="1" t="n">
        <v>317</v>
      </c>
      <c r="AW47" s="1" t="n">
        <v>4784</v>
      </c>
      <c r="AX47" s="1" t="n">
        <v>317</v>
      </c>
      <c r="AY47" s="1" t="n">
        <v>2547</v>
      </c>
      <c r="BA47" s="2" t="n">
        <v>0.0621446775142129</v>
      </c>
      <c r="BB47" s="2" t="n">
        <v>0.110684357541899</v>
      </c>
      <c r="BC47" s="1" t="s">
        <v>345</v>
      </c>
      <c r="BD47" s="1" t="s">
        <v>345</v>
      </c>
      <c r="BE47" s="0" t="s">
        <v>346</v>
      </c>
      <c r="BF47" s="0" t="n">
        <v>562758</v>
      </c>
      <c r="BG47" s="0" t="n">
        <v>227512</v>
      </c>
      <c r="BH47" s="0" t="n">
        <v>32641</v>
      </c>
      <c r="BI47" s="0" t="n">
        <v>16612</v>
      </c>
      <c r="BJ47" s="0" t="n">
        <v>0.0600220403591495</v>
      </c>
      <c r="BL47" s="0" t="n">
        <v>0.030891023224868</v>
      </c>
      <c r="BM47" s="0" t="s">
        <v>345</v>
      </c>
      <c r="BO47" s="0" t="s">
        <v>567</v>
      </c>
      <c r="BP47" s="0" t="n">
        <v>0.950504392863152</v>
      </c>
      <c r="BQ47" s="0" t="n">
        <v>0.9416492432121</v>
      </c>
      <c r="BT47" s="0" t="s">
        <v>567</v>
      </c>
      <c r="BU47" s="0" t="n">
        <v>0.0085269547556729</v>
      </c>
      <c r="BV47" s="0" t="n">
        <v>0.141040500339582</v>
      </c>
      <c r="BW47" s="0" t="n">
        <v>6.407</v>
      </c>
      <c r="BX47" s="0" t="s">
        <v>346</v>
      </c>
      <c r="BZ47" s="0" t="s">
        <v>346</v>
      </c>
      <c r="CA47" s="0" t="n">
        <v>0</v>
      </c>
      <c r="CD47" s="1" t="n">
        <v>1329</v>
      </c>
      <c r="CE47" s="0" t="n">
        <v>0</v>
      </c>
      <c r="CG47" s="0" t="s">
        <v>345</v>
      </c>
      <c r="CH47" s="0" t="s">
        <v>51</v>
      </c>
      <c r="CI47" s="1" t="s">
        <v>347</v>
      </c>
      <c r="CJ47" s="1" t="n">
        <v>223</v>
      </c>
      <c r="CK47" s="1" t="n">
        <v>398</v>
      </c>
      <c r="CL47" s="1" t="n">
        <v>708</v>
      </c>
    </row>
    <row r="48" customFormat="false" ht="12.75" hidden="false" customHeight="false" outlineLevel="0" collapsed="false">
      <c r="A48" s="1" t="s">
        <v>347</v>
      </c>
      <c r="B48" s="0" t="s">
        <v>52</v>
      </c>
      <c r="C48" s="2" t="n">
        <f aca="false">F48/E48</f>
        <v>0.0465283677535952</v>
      </c>
      <c r="D48" s="2" t="n">
        <v>1</v>
      </c>
      <c r="E48" s="1" t="n">
        <v>1942170</v>
      </c>
      <c r="F48" s="1" t="n">
        <v>90366</v>
      </c>
      <c r="G48" s="1" t="n">
        <v>1251465</v>
      </c>
      <c r="H48" s="1" t="n">
        <v>600339</v>
      </c>
      <c r="I48" s="1"/>
      <c r="J48" s="1" t="n">
        <v>39598</v>
      </c>
      <c r="K48" s="1" t="n">
        <v>167.138693873428</v>
      </c>
      <c r="L48" s="1" t="n">
        <f aca="false">BG48+BH48+BI48</f>
        <v>3146858</v>
      </c>
      <c r="M48" s="1" t="n">
        <v>6618358</v>
      </c>
      <c r="N48" s="2" t="n">
        <v>0.102064896755162</v>
      </c>
      <c r="O48" s="2" t="n">
        <v>0.0646098010772455</v>
      </c>
      <c r="P48" s="38" t="n">
        <f aca="false">BU48^4</f>
        <v>2.1699894914854E-010</v>
      </c>
      <c r="Q48" s="38" t="n">
        <f aca="false">S48/M48</f>
        <v>0.181092500587004</v>
      </c>
      <c r="R48" s="32" t="n">
        <v>2107426</v>
      </c>
      <c r="S48" s="31" t="n">
        <v>1198535</v>
      </c>
      <c r="T48" s="2" t="n">
        <f aca="false">AH48</f>
        <v>0.0761447498167308</v>
      </c>
      <c r="U48" s="2" t="n">
        <f aca="false">LN(M48)</f>
        <v>15.7053578608933</v>
      </c>
      <c r="V48" s="2" t="n">
        <f aca="false">LN(N48+1)</f>
        <v>0.0971855989742373</v>
      </c>
      <c r="W48" s="2" t="n">
        <f aca="false">LN(O48)</f>
        <v>-2.73938916023981</v>
      </c>
      <c r="X48" s="2" t="n">
        <f aca="false">LN(P48)</f>
        <v>-22.2511286050333</v>
      </c>
      <c r="Y48" s="2"/>
      <c r="Z48" s="38" t="n">
        <f aca="false">(AB48*AD48)^4</f>
        <v>1.31712238866248E-011</v>
      </c>
      <c r="AA48" s="2" t="n">
        <v>0.0939</v>
      </c>
      <c r="AB48" s="2" t="n">
        <f aca="false">BV48</f>
        <v>0.020499083028995</v>
      </c>
      <c r="AD48" s="2" t="n">
        <v>0.092933458258515</v>
      </c>
      <c r="AG48" s="0" t="str">
        <f aca="false">A48</f>
        <v>VA</v>
      </c>
      <c r="AH48" s="2" t="n">
        <f aca="false">'Final-2'!B$41+'Final-2'!B$42*M48+'Final-2'!B$43*N48+'Final-2'!B$44*O48+'Final-2'!B$45*P48</f>
        <v>0.0761447498167308</v>
      </c>
      <c r="AI48" s="2" t="n">
        <f aca="false">C48</f>
        <v>0.0465283677535952</v>
      </c>
      <c r="AJ48" s="2" t="n">
        <f aca="false">1/ABS(AH48-AI48)</f>
        <v>33.7650965559608</v>
      </c>
      <c r="AK48" s="2" t="n">
        <v>0.612387096774194</v>
      </c>
      <c r="AL48" s="2" t="n">
        <v>0.156293451093074</v>
      </c>
      <c r="AM48" s="46" t="n">
        <v>0.677601688548635</v>
      </c>
      <c r="AN48" s="46"/>
      <c r="AO48" s="2" t="n">
        <v>0.0939502195523281</v>
      </c>
      <c r="AQ48" s="0" t="n">
        <v>0.0454783698022605</v>
      </c>
      <c r="AR48" s="0" t="n">
        <v>10.5865338909166</v>
      </c>
      <c r="AS48" s="0" t="n">
        <v>15.7053578608933</v>
      </c>
      <c r="AT48" s="0" t="n">
        <v>11.1439176398724</v>
      </c>
      <c r="AV48" s="1" t="n">
        <v>9012</v>
      </c>
      <c r="AW48" s="1" t="n">
        <v>14238</v>
      </c>
      <c r="AX48" s="1" t="n">
        <v>9012</v>
      </c>
      <c r="AY48" s="1" t="n">
        <v>18941</v>
      </c>
      <c r="BA48" s="2" t="n">
        <v>0.387612903225806</v>
      </c>
      <c r="BB48" s="2" t="n">
        <v>0.322398311451365</v>
      </c>
      <c r="BC48" s="1" t="s">
        <v>347</v>
      </c>
      <c r="BD48" s="1" t="s">
        <v>347</v>
      </c>
      <c r="BE48" s="0" t="s">
        <v>348</v>
      </c>
      <c r="BF48" s="0" t="n">
        <v>6187358</v>
      </c>
      <c r="BG48" s="0" t="n">
        <v>1627940</v>
      </c>
      <c r="BH48" s="0" t="n">
        <v>1223270</v>
      </c>
      <c r="BI48" s="0" t="n">
        <v>295648</v>
      </c>
      <c r="BJ48" s="0" t="n">
        <v>0.0939502195523281</v>
      </c>
      <c r="BL48" s="0" t="n">
        <v>0.156293451093074</v>
      </c>
      <c r="BM48" s="0" t="s">
        <v>347</v>
      </c>
      <c r="BO48" s="0" t="s">
        <v>568</v>
      </c>
      <c r="BP48" s="0" t="n">
        <v>0.935390198922755</v>
      </c>
      <c r="BQ48" s="0" t="n">
        <v>0.907066541741485</v>
      </c>
      <c r="BT48" s="0" t="s">
        <v>568</v>
      </c>
      <c r="BU48" s="0" t="n">
        <v>0.003838083401177</v>
      </c>
      <c r="BV48" s="0" t="n">
        <v>0.020499083028995</v>
      </c>
      <c r="BW48" s="0" t="n">
        <v>9.39</v>
      </c>
      <c r="BX48" s="0" t="s">
        <v>348</v>
      </c>
      <c r="BZ48" s="0" t="s">
        <v>348</v>
      </c>
      <c r="CA48" s="0" t="n">
        <v>34.6</v>
      </c>
      <c r="CB48" s="42" t="n">
        <v>75150</v>
      </c>
      <c r="CC48" s="0" t="n">
        <v>1958</v>
      </c>
      <c r="CD48" s="1" t="n">
        <v>339</v>
      </c>
      <c r="CE48" s="0" t="n">
        <v>0.102064896755162</v>
      </c>
      <c r="CG48" s="0" t="s">
        <v>347</v>
      </c>
      <c r="CH48" s="0" t="s">
        <v>52</v>
      </c>
      <c r="CI48" s="1" t="s">
        <v>345</v>
      </c>
      <c r="CJ48" s="1" t="n">
        <v>19</v>
      </c>
      <c r="CK48" s="1" t="n">
        <v>40</v>
      </c>
      <c r="CL48" s="1" t="n">
        <v>280</v>
      </c>
    </row>
    <row r="49" customFormat="false" ht="12.75" hidden="false" customHeight="false" outlineLevel="0" collapsed="false">
      <c r="A49" s="1" t="s">
        <v>349</v>
      </c>
      <c r="B49" s="0" t="s">
        <v>53</v>
      </c>
      <c r="C49" s="2" t="n">
        <f aca="false">F49/E49</f>
        <v>0.0414276298865866</v>
      </c>
      <c r="D49" s="2" t="n">
        <v>1</v>
      </c>
      <c r="E49" s="1" t="n">
        <v>1970931</v>
      </c>
      <c r="F49" s="1" t="n">
        <v>81651</v>
      </c>
      <c r="G49" s="1" t="n">
        <v>1466547</v>
      </c>
      <c r="H49" s="1" t="n">
        <v>422733</v>
      </c>
      <c r="I49" s="1"/>
      <c r="J49" s="1" t="n">
        <v>66582</v>
      </c>
      <c r="K49" s="1" t="n">
        <v>81.5676909675288</v>
      </c>
      <c r="L49" s="1" t="n">
        <f aca="false">BG49+BH49+BI49</f>
        <v>2302666</v>
      </c>
      <c r="M49" s="1" t="n">
        <v>5430940</v>
      </c>
      <c r="N49" s="2" t="n">
        <v>0</v>
      </c>
      <c r="O49" s="2" t="n">
        <v>0.0152694227003708</v>
      </c>
      <c r="P49" s="38" t="n">
        <f aca="false">BU49^4</f>
        <v>4.68182221770351E-012</v>
      </c>
      <c r="Q49" s="38" t="n">
        <f aca="false">S49/M49</f>
        <v>0.209978014855624</v>
      </c>
      <c r="R49" s="32" t="n">
        <v>1908715</v>
      </c>
      <c r="S49" s="31" t="n">
        <v>1140378</v>
      </c>
      <c r="T49" s="2" t="n">
        <f aca="false">AH49</f>
        <v>-0.000715600837865596</v>
      </c>
      <c r="U49" s="2" t="n">
        <f aca="false">LN(M49)</f>
        <v>15.5076227892668</v>
      </c>
      <c r="V49" s="2" t="n">
        <f aca="false">LN(N49+1)</f>
        <v>0</v>
      </c>
      <c r="W49" s="2" t="n">
        <f aca="false">LN(O49)</f>
        <v>-4.18190296659784</v>
      </c>
      <c r="X49" s="2" t="n">
        <f aca="false">LN(P49)</f>
        <v>-26.0873337190238</v>
      </c>
      <c r="Y49" s="2"/>
      <c r="Z49" s="38" t="n">
        <f aca="false">(AB49*AD49)^4</f>
        <v>1.28017897672979E-014</v>
      </c>
      <c r="AA49" s="2" t="n">
        <v>0.24061</v>
      </c>
      <c r="AB49" s="2" t="n">
        <f aca="false">BV49</f>
        <v>0.0124407469527925</v>
      </c>
      <c r="AD49" s="2" t="n">
        <v>0.0270377915926971</v>
      </c>
      <c r="AG49" s="0" t="str">
        <f aca="false">A49</f>
        <v>WA</v>
      </c>
      <c r="AH49" s="2" t="n">
        <f aca="false">'Final-2'!B$41+'Final-2'!B$42*M49+'Final-2'!B$43*N49+'Final-2'!B$44*O49+'Final-2'!B$45*P49</f>
        <v>-0.000715600837865596</v>
      </c>
      <c r="AI49" s="2" t="n">
        <f aca="false">C49</f>
        <v>0.0414276298865866</v>
      </c>
      <c r="AJ49" s="2" t="n">
        <f aca="false">1/ABS(AH49-AI49)</f>
        <v>23.7286032136066</v>
      </c>
      <c r="AK49" s="2" t="n">
        <v>0.362730096907312</v>
      </c>
      <c r="AL49" s="2" t="n">
        <v>0.0280971663558919</v>
      </c>
      <c r="AM49" s="46" t="n">
        <v>0.43440329218107</v>
      </c>
      <c r="AN49" s="46"/>
      <c r="AO49" s="2" t="n">
        <v>0.0285529903164419</v>
      </c>
      <c r="AQ49" s="0" t="n">
        <v>0.0405924928778909</v>
      </c>
      <c r="AR49" s="0" t="n">
        <v>11.1061895497286</v>
      </c>
      <c r="AS49" s="0" t="n">
        <v>15.5076227892668</v>
      </c>
      <c r="AT49" s="0" t="n">
        <v>11.286150327422</v>
      </c>
      <c r="AV49" s="1" t="n">
        <v>13744</v>
      </c>
      <c r="AW49" s="1" t="n">
        <v>7823</v>
      </c>
      <c r="AX49" s="1" t="n">
        <v>13744</v>
      </c>
      <c r="AY49" s="1" t="n">
        <v>10556</v>
      </c>
      <c r="BA49" s="2" t="n">
        <v>0.637269903092688</v>
      </c>
      <c r="BB49" s="2" t="n">
        <v>0.56559670781893</v>
      </c>
      <c r="BC49" s="1" t="s">
        <v>349</v>
      </c>
      <c r="BD49" s="1" t="s">
        <v>349</v>
      </c>
      <c r="BE49" s="0" t="s">
        <v>350</v>
      </c>
      <c r="BF49" s="0" t="n">
        <v>4866692</v>
      </c>
      <c r="BG49" s="0" t="n">
        <v>1932957</v>
      </c>
      <c r="BH49" s="0" t="n">
        <v>303961</v>
      </c>
      <c r="BI49" s="0" t="n">
        <v>65748</v>
      </c>
      <c r="BJ49" s="0" t="n">
        <v>0.0285529903164419</v>
      </c>
      <c r="BL49" s="0" t="n">
        <v>0.0280971663558919</v>
      </c>
      <c r="BM49" s="0" t="s">
        <v>349</v>
      </c>
      <c r="BO49" s="0" t="s">
        <v>569</v>
      </c>
      <c r="BP49" s="0" t="n">
        <v>0.984730577299629</v>
      </c>
      <c r="BQ49" s="0" t="n">
        <v>0.972962208407303</v>
      </c>
      <c r="BT49" s="0" t="s">
        <v>569</v>
      </c>
      <c r="BU49" s="0" t="n">
        <v>0.0014709697089016</v>
      </c>
      <c r="BV49" s="0" t="n">
        <v>0.0124407469527925</v>
      </c>
      <c r="BW49" s="0" t="n">
        <v>24.061</v>
      </c>
      <c r="BX49" s="0" t="s">
        <v>350</v>
      </c>
      <c r="BZ49" s="0" t="s">
        <v>350</v>
      </c>
      <c r="CA49" s="0" t="n">
        <v>0</v>
      </c>
      <c r="CD49" s="1" t="n">
        <v>1079</v>
      </c>
      <c r="CE49" s="0" t="n">
        <v>0</v>
      </c>
      <c r="CG49" s="0" t="s">
        <v>349</v>
      </c>
      <c r="CH49" s="0" t="s">
        <v>53</v>
      </c>
      <c r="CI49" s="1" t="s">
        <v>349</v>
      </c>
      <c r="CJ49" s="1" t="n">
        <v>316</v>
      </c>
      <c r="CK49" s="1" t="n">
        <v>262</v>
      </c>
      <c r="CL49" s="1" t="n">
        <v>501</v>
      </c>
    </row>
    <row r="50" customFormat="false" ht="12.75" hidden="false" customHeight="false" outlineLevel="0" collapsed="false">
      <c r="A50" s="1" t="s">
        <v>351</v>
      </c>
      <c r="B50" s="0" t="s">
        <v>54</v>
      </c>
      <c r="C50" s="2" t="n">
        <f aca="false">F50/E50</f>
        <v>0.0657245663242686</v>
      </c>
      <c r="D50" s="2" t="n">
        <v>1</v>
      </c>
      <c r="E50" s="1" t="n">
        <v>642819</v>
      </c>
      <c r="F50" s="1" t="n">
        <v>42249</v>
      </c>
      <c r="G50" s="1" t="n">
        <v>425486</v>
      </c>
      <c r="H50" s="1" t="n">
        <v>175084</v>
      </c>
      <c r="I50" s="1"/>
      <c r="J50" s="1" t="n">
        <v>24087</v>
      </c>
      <c r="K50" s="1" t="n">
        <v>75.8973720264043</v>
      </c>
      <c r="L50" s="1" t="n">
        <f aca="false">BG50+BH50+BI50</f>
        <v>659136</v>
      </c>
      <c r="M50" s="1" t="n">
        <v>1828140</v>
      </c>
      <c r="N50" s="2" t="n">
        <v>0.154107142857143</v>
      </c>
      <c r="O50" s="2" t="n">
        <v>0.083450810945235</v>
      </c>
      <c r="P50" s="38" t="n">
        <f aca="false">BU50^4</f>
        <v>6.85214483647577E-010</v>
      </c>
      <c r="Q50" s="38" t="n">
        <f aca="false">S50/M50</f>
        <v>0.177029658560067</v>
      </c>
      <c r="R50" s="34" t="n">
        <v>780879</v>
      </c>
      <c r="S50" s="31" t="n">
        <v>323635</v>
      </c>
      <c r="T50" s="2" t="n">
        <f aca="false">AH50</f>
        <v>0.0893553791790003</v>
      </c>
      <c r="U50" s="2" t="n">
        <f aca="false">LN(M50)</f>
        <v>14.4188096144969</v>
      </c>
      <c r="V50" s="2" t="n">
        <f aca="false">LN(N50+1)</f>
        <v>0.143327008539655</v>
      </c>
      <c r="W50" s="2" t="n">
        <f aca="false">LN(O50)</f>
        <v>-2.48349791118352</v>
      </c>
      <c r="X50" s="2" t="n">
        <f aca="false">LN(P50)</f>
        <v>-21.1012892118626</v>
      </c>
      <c r="Y50" s="2"/>
      <c r="Z50" s="38" t="n">
        <f aca="false">(AB50*AD50)^4</f>
        <v>6.11310091782155E-010</v>
      </c>
      <c r="AA50" s="2" t="n">
        <v>0.07007</v>
      </c>
      <c r="AB50" s="2" t="n">
        <f aca="false">BV50</f>
        <v>0.051171165724616</v>
      </c>
      <c r="AD50" s="2" t="n">
        <v>0.0971717626381163</v>
      </c>
      <c r="AG50" s="0" t="str">
        <f aca="false">A50</f>
        <v>WV</v>
      </c>
      <c r="AH50" s="2" t="n">
        <f aca="false">'Final-2'!B$41+'Final-2'!B$42*M50+'Final-2'!B$43*N50+'Final-2'!B$44*O50+'Final-2'!B$45*P50</f>
        <v>0.0893553791790003</v>
      </c>
      <c r="AI50" s="2" t="n">
        <f aca="false">C50</f>
        <v>0.0657245663242686</v>
      </c>
      <c r="AJ50" s="2" t="n">
        <f aca="false">1/ABS(AH50-AI50)</f>
        <v>42.3176302121898</v>
      </c>
      <c r="AK50" s="2" t="n">
        <v>0.780669584762806</v>
      </c>
      <c r="AL50" s="2" t="n">
        <v>0.0337972236474139</v>
      </c>
      <c r="AM50" s="46" t="n">
        <v>0.692537313432836</v>
      </c>
      <c r="AN50" s="46"/>
      <c r="AO50" s="2" t="n">
        <v>0.0947391737061851</v>
      </c>
      <c r="AQ50" s="0" t="n">
        <v>0.0636549117987976</v>
      </c>
      <c r="AR50" s="0" t="n">
        <v>10.0894275548528</v>
      </c>
      <c r="AS50" s="0" t="n">
        <v>14.4188096144969</v>
      </c>
      <c r="AT50" s="0" t="n">
        <v>10.4662412691625</v>
      </c>
      <c r="AV50" s="1" t="n">
        <v>1854</v>
      </c>
      <c r="AW50" s="1" t="n">
        <v>6599</v>
      </c>
      <c r="AX50" s="1" t="n">
        <v>1854</v>
      </c>
      <c r="AY50" s="1" t="n">
        <v>4176</v>
      </c>
      <c r="BA50" s="2" t="n">
        <v>0.219330415237194</v>
      </c>
      <c r="BB50" s="2" t="n">
        <v>0.307462686567164</v>
      </c>
      <c r="BC50" s="1" t="s">
        <v>351</v>
      </c>
      <c r="BD50" s="1" t="s">
        <v>351</v>
      </c>
      <c r="BE50" s="0" t="s">
        <v>570</v>
      </c>
      <c r="BF50" s="0" t="n">
        <v>1793477</v>
      </c>
      <c r="BG50" s="0" t="n">
        <v>486317</v>
      </c>
      <c r="BH50" s="0" t="n">
        <v>110373</v>
      </c>
      <c r="BI50" s="0" t="n">
        <v>62446</v>
      </c>
      <c r="BJ50" s="0" t="n">
        <v>0.0947391737061851</v>
      </c>
      <c r="BL50" s="0" t="n">
        <v>0.0337972236474139</v>
      </c>
      <c r="BM50" s="0" t="s">
        <v>351</v>
      </c>
      <c r="BO50" s="0" t="s">
        <v>571</v>
      </c>
      <c r="BP50" s="0" t="n">
        <v>0.916549189054765</v>
      </c>
      <c r="BQ50" s="0" t="n">
        <v>0.902828237361884</v>
      </c>
      <c r="BT50" s="0" t="s">
        <v>571</v>
      </c>
      <c r="BU50" s="0" t="n">
        <v>0.00511630744144364</v>
      </c>
      <c r="BV50" s="0" t="n">
        <v>0.051171165724616</v>
      </c>
      <c r="BW50" s="0" t="n">
        <v>7.007</v>
      </c>
      <c r="BX50" s="0" t="s">
        <v>572</v>
      </c>
      <c r="BZ50" s="0" t="s">
        <v>572</v>
      </c>
      <c r="CA50" s="0" t="n">
        <v>86.3</v>
      </c>
      <c r="CB50" s="42" t="n">
        <v>133000</v>
      </c>
      <c r="CC50" s="0" t="n">
        <v>1954</v>
      </c>
      <c r="CD50" s="1" t="n">
        <v>560</v>
      </c>
      <c r="CE50" s="0" t="n">
        <v>0.154107142857143</v>
      </c>
      <c r="CG50" s="0" t="s">
        <v>351</v>
      </c>
      <c r="CH50" s="0" t="s">
        <v>54</v>
      </c>
      <c r="CI50" s="1" t="s">
        <v>351</v>
      </c>
      <c r="CJ50" s="1" t="n">
        <v>10</v>
      </c>
      <c r="CK50" s="1" t="n">
        <v>91</v>
      </c>
      <c r="CL50" s="1" t="n">
        <v>459</v>
      </c>
    </row>
    <row r="51" customFormat="false" ht="12.75" hidden="false" customHeight="false" outlineLevel="0" collapsed="false">
      <c r="A51" s="1" t="s">
        <v>353</v>
      </c>
      <c r="B51" s="0" t="s">
        <v>55</v>
      </c>
      <c r="C51" s="2" t="n">
        <f aca="false">F51/E51</f>
        <v>1.13332512302244E-005</v>
      </c>
      <c r="D51" s="2" t="n">
        <v>1</v>
      </c>
      <c r="E51" s="1" t="n">
        <v>1323539</v>
      </c>
      <c r="F51" s="1" t="n">
        <v>15</v>
      </c>
      <c r="G51" s="1" t="n">
        <v>890071</v>
      </c>
      <c r="H51" s="1" t="n">
        <v>433453</v>
      </c>
      <c r="I51" s="1"/>
      <c r="J51" s="1" t="n">
        <v>54314</v>
      </c>
      <c r="K51" s="1" t="n">
        <v>94.3195308760172</v>
      </c>
      <c r="L51" s="1" t="n">
        <f aca="false">BG51+BH51+BI51</f>
        <v>2349691</v>
      </c>
      <c r="M51" s="1" t="n">
        <v>5122871</v>
      </c>
      <c r="N51" s="2" t="n">
        <v>0</v>
      </c>
      <c r="O51" s="2" t="n">
        <v>0.0137079087829872</v>
      </c>
      <c r="P51" s="38" t="n">
        <f aca="false">BU51^4</f>
        <v>6.22970666540397E-012</v>
      </c>
      <c r="Q51" s="38" t="n">
        <f aca="false">S51/M51</f>
        <v>0.121049114842049</v>
      </c>
      <c r="R51" s="32" t="n">
        <v>1251993</v>
      </c>
      <c r="S51" s="31" t="n">
        <v>620119</v>
      </c>
      <c r="T51" s="2" t="n">
        <f aca="false">AH51</f>
        <v>-0.00321640156566189</v>
      </c>
      <c r="U51" s="2" t="n">
        <f aca="false">LN(M51)</f>
        <v>15.449225582046</v>
      </c>
      <c r="V51" s="2" t="n">
        <f aca="false">LN(N51+1)</f>
        <v>0</v>
      </c>
      <c r="W51" s="2" t="n">
        <f aca="false">LN(O51)</f>
        <v>-4.28978232928231</v>
      </c>
      <c r="X51" s="2" t="n">
        <f aca="false">LN(P51)</f>
        <v>-25.8016918684425</v>
      </c>
      <c r="Y51" s="2"/>
      <c r="Z51" s="38" t="n">
        <f aca="false">(AB51*AD51)^4</f>
        <v>3.870348707015E-012</v>
      </c>
      <c r="AA51" s="2" t="n">
        <v>0.05291</v>
      </c>
      <c r="AB51" s="2" t="n">
        <f aca="false">BV51</f>
        <v>0.0435898383333731</v>
      </c>
      <c r="AD51" s="2" t="n">
        <v>0.0321774975235133</v>
      </c>
      <c r="AG51" s="0" t="str">
        <f aca="false">A51</f>
        <v>WI</v>
      </c>
      <c r="AH51" s="2" t="n">
        <f aca="false">'Final-2'!B$41+'Final-2'!B$42*M51+'Final-2'!B$43*N51+'Final-2'!B$44*O51+'Final-2'!B$45*P51</f>
        <v>-0.00321640156566189</v>
      </c>
      <c r="AI51" s="2" t="n">
        <f aca="false">C51</f>
        <v>1.13332512302244E-005</v>
      </c>
      <c r="AJ51" s="2" t="n">
        <f aca="false">1/ABS(AH51-AI51)</f>
        <v>309.814794811077</v>
      </c>
      <c r="AK51" s="2" t="n">
        <v>0.462328898431809</v>
      </c>
      <c r="AL51" s="2" t="n">
        <v>0.0190225875677491</v>
      </c>
      <c r="AM51" s="46" t="n">
        <v>0.456620296818693</v>
      </c>
      <c r="AN51" s="46"/>
      <c r="AO51" s="2" t="n">
        <v>0.0332316036449048</v>
      </c>
      <c r="AQ51" s="0" t="n">
        <v>1.13331870093436E-005</v>
      </c>
      <c r="AR51" s="0" t="n">
        <v>10.902537299578</v>
      </c>
      <c r="AS51" s="0" t="n">
        <v>15.449225582046</v>
      </c>
      <c r="AT51" s="0" t="n">
        <v>11.6216812103071</v>
      </c>
      <c r="AV51" s="1" t="n">
        <v>14023</v>
      </c>
      <c r="AW51" s="1" t="n">
        <v>12058</v>
      </c>
      <c r="AX51" s="1" t="n">
        <v>14023</v>
      </c>
      <c r="AY51" s="1" t="n">
        <v>11784</v>
      </c>
      <c r="BA51" s="2" t="n">
        <v>0.537671101568191</v>
      </c>
      <c r="BB51" s="2" t="n">
        <v>0.543379703181307</v>
      </c>
      <c r="BC51" s="1" t="s">
        <v>353</v>
      </c>
      <c r="BD51" s="1" t="s">
        <v>353</v>
      </c>
      <c r="BE51" s="0" t="s">
        <v>354</v>
      </c>
      <c r="BF51" s="0" t="n">
        <v>4891769</v>
      </c>
      <c r="BG51" s="0" t="n">
        <v>1846382</v>
      </c>
      <c r="BH51" s="0" t="n">
        <v>425225</v>
      </c>
      <c r="BI51" s="0" t="n">
        <v>78084</v>
      </c>
      <c r="BJ51" s="0" t="n">
        <v>0.0332316036449048</v>
      </c>
      <c r="BL51" s="0" t="n">
        <v>0.0190225875677491</v>
      </c>
      <c r="BM51" s="0" t="s">
        <v>353</v>
      </c>
      <c r="BO51" s="0" t="s">
        <v>573</v>
      </c>
      <c r="BP51" s="0" t="n">
        <v>0.986292091217013</v>
      </c>
      <c r="BQ51" s="0" t="n">
        <v>0.967822502476487</v>
      </c>
      <c r="BT51" s="0" t="s">
        <v>573</v>
      </c>
      <c r="BU51" s="0" t="n">
        <v>0.00157985380119993</v>
      </c>
      <c r="BV51" s="0" t="n">
        <v>0.0435898383333731</v>
      </c>
      <c r="BW51" s="0" t="n">
        <v>5.291</v>
      </c>
      <c r="BX51" s="0" t="s">
        <v>354</v>
      </c>
      <c r="BZ51" s="0" t="s">
        <v>354</v>
      </c>
      <c r="CA51" s="0" t="n">
        <v>0</v>
      </c>
      <c r="CD51" s="1" t="n">
        <v>830</v>
      </c>
      <c r="CE51" s="0" t="n">
        <v>0</v>
      </c>
      <c r="CG51" s="0" t="s">
        <v>353</v>
      </c>
      <c r="CH51" s="0" t="s">
        <v>55</v>
      </c>
      <c r="CI51" s="1" t="s">
        <v>353</v>
      </c>
      <c r="CJ51" s="1" t="n">
        <v>191</v>
      </c>
      <c r="CK51" s="1" t="n">
        <v>149</v>
      </c>
      <c r="CL51" s="1" t="n">
        <v>490</v>
      </c>
    </row>
    <row r="52" customFormat="false" ht="12.75" hidden="false" customHeight="false" outlineLevel="0" collapsed="false">
      <c r="A52" s="1" t="s">
        <v>355</v>
      </c>
      <c r="B52" s="0" t="s">
        <v>56</v>
      </c>
      <c r="C52" s="2" t="n">
        <f aca="false">F52/E52</f>
        <v>0</v>
      </c>
      <c r="D52" s="2" t="n">
        <v>1</v>
      </c>
      <c r="E52" s="1" t="n">
        <v>169944</v>
      </c>
      <c r="F52" s="1" t="n">
        <v>0</v>
      </c>
      <c r="G52" s="1" t="n">
        <v>80882</v>
      </c>
      <c r="H52" s="1" t="n">
        <v>89062</v>
      </c>
      <c r="I52" s="1"/>
      <c r="J52" s="1" t="n">
        <v>97105</v>
      </c>
      <c r="K52" s="1" t="n">
        <v>4.94499768292055</v>
      </c>
      <c r="L52" s="1" t="n">
        <f aca="false">BG52+BH52+BI52</f>
        <v>208374</v>
      </c>
      <c r="M52" s="1" t="n">
        <v>480184</v>
      </c>
      <c r="N52" s="2" t="n">
        <v>0</v>
      </c>
      <c r="O52" s="2" t="n">
        <v>0.0256209952218234</v>
      </c>
      <c r="P52" s="38" t="n">
        <f aca="false">BU52^4</f>
        <v>2.06863081753292E-013</v>
      </c>
      <c r="Q52" s="38" t="n">
        <f aca="false">S52/M52</f>
        <v>0.232614997584259</v>
      </c>
      <c r="R52" s="32" t="n">
        <v>271998</v>
      </c>
      <c r="S52" s="31" t="n">
        <v>111698</v>
      </c>
      <c r="T52" s="2" t="n">
        <f aca="false">AH52</f>
        <v>-0.010924128666663</v>
      </c>
      <c r="U52" s="2" t="n">
        <f aca="false">LN(M52)</f>
        <v>13.081924642764</v>
      </c>
      <c r="V52" s="2" t="n">
        <f aca="false">LN(N52+1)</f>
        <v>0</v>
      </c>
      <c r="W52" s="2" t="n">
        <f aca="false">LN(O52)</f>
        <v>-3.66434313776359</v>
      </c>
      <c r="X52" s="2" t="n">
        <f aca="false">LN(P52)</f>
        <v>-29.2067192612991</v>
      </c>
      <c r="Y52" s="2"/>
      <c r="Z52" s="38" t="n">
        <f aca="false">(AB52*AD52)^4</f>
        <v>2.84610246412778E-015</v>
      </c>
      <c r="AA52" s="2" t="n">
        <v>0.48452</v>
      </c>
      <c r="AB52" s="2" t="n">
        <f aca="false">BV52</f>
        <v>0.0115138917944774</v>
      </c>
      <c r="AD52" s="2" t="n">
        <v>0.0200604415996298</v>
      </c>
      <c r="AG52" s="0" t="str">
        <f aca="false">A52</f>
        <v>WY</v>
      </c>
      <c r="AH52" s="2" t="n">
        <f aca="false">'Final-2'!B$41+'Final-2'!B$42*M52+'Final-2'!B$43*N52+'Final-2'!B$44*O52+'Final-2'!B$45*P52</f>
        <v>-0.010924128666663</v>
      </c>
      <c r="AI52" s="2" t="n">
        <f aca="false">C52</f>
        <v>0</v>
      </c>
      <c r="AJ52" s="2" t="n">
        <f aca="false">1/ABS(AH52-AI52)</f>
        <v>91.540481672619</v>
      </c>
      <c r="AK52" s="2" t="n">
        <v>0.635343915343915</v>
      </c>
      <c r="AL52" s="2" t="n">
        <v>0.00554849924446009</v>
      </c>
      <c r="AM52" s="46" t="n">
        <v>0.578831581520411</v>
      </c>
      <c r="AN52" s="46"/>
      <c r="AO52" s="2" t="n">
        <v>0.0197865376678472</v>
      </c>
      <c r="AQ52" s="0" t="n">
        <v>0</v>
      </c>
      <c r="AR52" s="0" t="n">
        <v>11.4835481462596</v>
      </c>
      <c r="AS52" s="0" t="n">
        <v>13.081924642764</v>
      </c>
      <c r="AT52" s="0" t="n">
        <v>10.4761887800202</v>
      </c>
      <c r="AV52" s="1" t="n">
        <v>1723</v>
      </c>
      <c r="AW52" s="1" t="n">
        <v>3002</v>
      </c>
      <c r="AX52" s="1" t="n">
        <v>1723</v>
      </c>
      <c r="AY52" s="1" t="n">
        <v>2368</v>
      </c>
      <c r="BA52" s="2" t="n">
        <v>0.364656084656085</v>
      </c>
      <c r="BB52" s="2" t="n">
        <v>0.421168418479589</v>
      </c>
      <c r="BC52" s="1" t="s">
        <v>355</v>
      </c>
      <c r="BD52" s="1" t="s">
        <v>355</v>
      </c>
      <c r="BE52" s="0" t="s">
        <v>356</v>
      </c>
      <c r="BF52" s="0" t="n">
        <v>453588</v>
      </c>
      <c r="BG52" s="0" t="n">
        <v>196211</v>
      </c>
      <c r="BH52" s="0" t="n">
        <v>8040</v>
      </c>
      <c r="BI52" s="0" t="n">
        <v>4123</v>
      </c>
      <c r="BJ52" s="0" t="n">
        <v>0.0197865376678472</v>
      </c>
      <c r="BL52" s="0" t="n">
        <v>0.00554849924446009</v>
      </c>
      <c r="BM52" s="0" t="s">
        <v>355</v>
      </c>
      <c r="BO52" s="0" t="s">
        <v>574</v>
      </c>
      <c r="BP52" s="0" t="n">
        <v>0.974379004778177</v>
      </c>
      <c r="BQ52" s="0" t="n">
        <v>0.97993955840037</v>
      </c>
      <c r="BT52" s="0" t="s">
        <v>574</v>
      </c>
      <c r="BU52" s="0" t="n">
        <v>0.000674404947384069</v>
      </c>
      <c r="BV52" s="0" t="n">
        <v>0.0115138917944774</v>
      </c>
      <c r="BW52" s="0" t="n">
        <v>48.452</v>
      </c>
      <c r="BX52" s="0" t="s">
        <v>356</v>
      </c>
      <c r="BZ52" s="0" t="s">
        <v>356</v>
      </c>
      <c r="CA52" s="0" t="n">
        <v>0</v>
      </c>
      <c r="CD52" s="1" t="n">
        <v>916</v>
      </c>
      <c r="CE52" s="0" t="n">
        <v>0</v>
      </c>
      <c r="CG52" s="0" t="s">
        <v>355</v>
      </c>
      <c r="CH52" s="0" t="s">
        <v>56</v>
      </c>
      <c r="CI52" s="1" t="s">
        <v>355</v>
      </c>
      <c r="CJ52" s="1" t="n">
        <v>3</v>
      </c>
      <c r="CK52" s="1" t="n">
        <v>87</v>
      </c>
      <c r="CL52" s="1" t="n">
        <v>826</v>
      </c>
    </row>
    <row r="53" customFormat="false" ht="12.75" hidden="false" customHeight="false" outlineLevel="0" collapsed="false">
      <c r="C53" s="1" t="e">
        <f aca="false">F53/E53</f>
        <v>#DIV/0!</v>
      </c>
      <c r="D53" s="1"/>
      <c r="E53" s="1"/>
      <c r="F53" s="1"/>
      <c r="G53" s="1"/>
      <c r="H53" s="1"/>
      <c r="I53" s="1"/>
      <c r="J53" s="1"/>
      <c r="K53" s="1" t="e">
        <f aca="false">#REF!</f>
        <v>#DIV/0!</v>
      </c>
      <c r="L53" s="1" t="n">
        <f aca="false">BG53+BH53+BI53</f>
        <v>0</v>
      </c>
      <c r="M53" s="1"/>
      <c r="N53" s="2" t="n">
        <v>0</v>
      </c>
      <c r="O53" s="2" t="n">
        <v>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48"/>
      <c r="AA53" s="2" t="n">
        <v>0</v>
      </c>
      <c r="AB53" s="2"/>
      <c r="AD53" s="2" t="n">
        <v>0</v>
      </c>
      <c r="AG53" s="0" t="n">
        <f aca="false">A53</f>
        <v>0</v>
      </c>
      <c r="AH53" s="2" t="n">
        <f aca="false">'Final-2'!B$41+'Final-2'!B$42*M53+'Final-2'!B$43*N53+'Final-2'!B$44*O53+'Final-2'!B$45*P53</f>
        <v>-0.0344358295568345</v>
      </c>
      <c r="AI53" s="2" t="e">
        <f aca="false">C53</f>
        <v>#DIV/0!</v>
      </c>
      <c r="AJ53" s="2"/>
      <c r="AK53" s="2" t="n">
        <v>0</v>
      </c>
      <c r="AL53" s="2" t="n">
        <v>0</v>
      </c>
      <c r="AM53" s="44" t="n">
        <v>0</v>
      </c>
      <c r="AN53" s="44"/>
      <c r="AO53" s="2" t="n">
        <v>0.22236456567727</v>
      </c>
      <c r="AQ53" s="0" t="e">
        <f aca="false">#REF!</f>
        <v>#DIV/0!</v>
      </c>
      <c r="AR53" s="0" t="e">
        <f aca="false">#REF!</f>
        <v>#NUM!</v>
      </c>
      <c r="AS53" s="0" t="e">
        <f aca="false">#REF!</f>
        <v>#NUM!</v>
      </c>
      <c r="AT53" s="0" t="e">
        <f aca="false">#REF!</f>
        <v>#NUM!</v>
      </c>
      <c r="BZ53" s="0" t="s">
        <v>575</v>
      </c>
      <c r="CA53" s="0" t="n">
        <v>3557.6</v>
      </c>
      <c r="CB53" s="0" t="n">
        <v>5430994</v>
      </c>
      <c r="CC53" s="0" t="s">
        <v>576</v>
      </c>
      <c r="CG53" s="0" t="n">
        <v>0</v>
      </c>
    </row>
    <row r="54" customFormat="false" ht="12.75" hidden="false" customHeight="false" outlineLevel="0" collapsed="false">
      <c r="A54" s="1" t="s">
        <v>450</v>
      </c>
      <c r="B54" s="0" t="s">
        <v>447</v>
      </c>
      <c r="C54" s="1" t="n">
        <f aca="false">F54/E54</f>
        <v>0.0628874080123128</v>
      </c>
      <c r="D54" s="1"/>
      <c r="E54" s="1" t="n">
        <v>71376944</v>
      </c>
      <c r="F54" s="1" t="n">
        <v>4488711</v>
      </c>
      <c r="G54" s="1" t="n">
        <v>45002038</v>
      </c>
      <c r="H54" s="1" t="n">
        <v>21886195</v>
      </c>
      <c r="I54" s="1"/>
      <c r="J54" s="1" t="n">
        <v>3536345</v>
      </c>
      <c r="K54" s="1" t="n">
        <v>74.3013676550224</v>
      </c>
      <c r="L54" s="1" t="n">
        <f aca="false">BG54+BH54+BI54</f>
        <v>0</v>
      </c>
      <c r="M54" s="1" t="n">
        <v>262755270</v>
      </c>
      <c r="N54" s="2" t="n">
        <v>0</v>
      </c>
      <c r="O54" s="2" t="n">
        <v>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48"/>
      <c r="AA54" s="2" t="n">
        <v>0</v>
      </c>
      <c r="AB54" s="2"/>
      <c r="AD54" s="2" t="n">
        <v>0</v>
      </c>
      <c r="AG54" s="0" t="str">
        <f aca="false">A54</f>
        <v>US</v>
      </c>
      <c r="AH54" s="2" t="n">
        <f aca="false">'Final-2'!B$41+'Final-2'!B$42*M54+'Final-2'!B$43*N54+'Final-2'!B$44*O54+'Final-2'!B$45*P54</f>
        <v>0.972071886909594</v>
      </c>
      <c r="AI54" s="2" t="n">
        <f aca="false">C54</f>
        <v>0.0628874080123128</v>
      </c>
      <c r="AJ54" s="2"/>
      <c r="AK54" s="2" t="n">
        <v>0.591447368421053</v>
      </c>
      <c r="AL54" s="2" t="n">
        <v>0</v>
      </c>
      <c r="AM54" s="44" t="n">
        <v>0.738701725554643</v>
      </c>
      <c r="AN54" s="44"/>
      <c r="AO54" s="2" t="n">
        <v>0.0060243932954455</v>
      </c>
      <c r="AQ54" s="0" t="n">
        <v>0.0609891746646759</v>
      </c>
      <c r="AR54" s="0" t="n">
        <v>15.0786042658535</v>
      </c>
      <c r="AS54" s="0" t="n">
        <v>19.3867336246087</v>
      </c>
      <c r="AT54" s="0" t="n">
        <v>15.1833160484317</v>
      </c>
      <c r="BU54" s="0" t="n">
        <f aca="false">AVERAGE(BU4:BU52)</f>
        <v>0.00346983561380992</v>
      </c>
    </row>
    <row r="55" customFormat="false" ht="12.75" hidden="false" customHeight="false" outlineLevel="0" collapsed="false">
      <c r="A55" s="1" t="s">
        <v>450</v>
      </c>
      <c r="C55" s="1" t="n">
        <f aca="false">F55/E55</f>
        <v>0.0628874080123128</v>
      </c>
      <c r="D55" s="1"/>
      <c r="E55" s="1" t="n">
        <v>71376944</v>
      </c>
      <c r="F55" s="1" t="n">
        <v>4488711</v>
      </c>
      <c r="G55" s="1" t="n">
        <v>45002038</v>
      </c>
      <c r="H55" s="1" t="n">
        <v>21886195</v>
      </c>
      <c r="I55" s="1"/>
      <c r="J55" s="1" t="n">
        <v>3536345</v>
      </c>
      <c r="K55" s="1" t="n">
        <v>74.3013676550224</v>
      </c>
      <c r="L55" s="1" t="n">
        <f aca="false">BG55+BH55+BI55</f>
        <v>0</v>
      </c>
      <c r="M55" s="1" t="n">
        <v>262755270</v>
      </c>
      <c r="N55" s="2" t="n">
        <v>0</v>
      </c>
      <c r="O55" s="2" t="n">
        <v>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48"/>
      <c r="AA55" s="2" t="n">
        <v>0</v>
      </c>
      <c r="AB55" s="2"/>
      <c r="AD55" s="2" t="n">
        <v>0</v>
      </c>
      <c r="AG55" s="0" t="str">
        <f aca="false">A55</f>
        <v>US</v>
      </c>
      <c r="AH55" s="2" t="n">
        <f aca="false">'Final-2'!B$41+'Final-2'!B$42*M55+'Final-2'!B$43*N55+'Final-2'!B$44*O55+'Final-2'!B$45*P55</f>
        <v>0.972071886909594</v>
      </c>
      <c r="AI55" s="2" t="n">
        <f aca="false">C55</f>
        <v>0.0628874080123128</v>
      </c>
      <c r="AJ55" s="2"/>
      <c r="AK55" s="2" t="n">
        <v>0</v>
      </c>
      <c r="AL55" s="2" t="n">
        <v>0</v>
      </c>
      <c r="AM55" s="44" t="n">
        <v>0</v>
      </c>
      <c r="AN55" s="44"/>
      <c r="AO55" s="2" t="e">
        <f aca="false">#REF!</f>
        <v>#REF!</v>
      </c>
      <c r="AQ55" s="0" t="n">
        <v>0.0609891746646759</v>
      </c>
      <c r="AR55" s="0" t="n">
        <v>15.0786042658535</v>
      </c>
      <c r="AS55" s="0" t="n">
        <v>19.3867336246087</v>
      </c>
      <c r="AT55" s="0" t="n">
        <v>15.1833160484317</v>
      </c>
      <c r="BV55" s="0" t="e">
        <f aca="false">#REF!</f>
        <v>#DIV/0!</v>
      </c>
      <c r="CI55" s="1" t="s">
        <v>448</v>
      </c>
      <c r="CJ55" s="1" t="n">
        <v>19</v>
      </c>
      <c r="CK55" s="1" t="n">
        <v>12</v>
      </c>
      <c r="CL55" s="1" t="n">
        <v>0</v>
      </c>
    </row>
    <row r="56" customFormat="false" ht="12.75" hidden="false" customHeight="false" outlineLevel="0" collapsed="false">
      <c r="A56" s="1" t="s">
        <v>446</v>
      </c>
      <c r="C56" s="2" t="n">
        <f aca="false">F56/E56</f>
        <v>0.129719929982496</v>
      </c>
      <c r="D56" s="2"/>
      <c r="E56" s="1" t="n">
        <v>127968</v>
      </c>
      <c r="F56" s="1" t="n">
        <v>16600</v>
      </c>
      <c r="G56" s="1" t="n">
        <v>62969</v>
      </c>
      <c r="H56" s="1" t="n">
        <v>48399</v>
      </c>
      <c r="I56" s="1"/>
      <c r="J56" s="1" t="n">
        <v>570374</v>
      </c>
      <c r="K56" s="1" t="n">
        <v>1.05828281092757</v>
      </c>
      <c r="L56" s="1" t="n">
        <f aca="false">BG56+BH56+BI56</f>
        <v>263761</v>
      </c>
      <c r="M56" s="1" t="n">
        <v>603617</v>
      </c>
      <c r="N56" s="2" t="n">
        <v>0</v>
      </c>
      <c r="O56" s="2" t="n">
        <v>0.970166284467192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48"/>
      <c r="AA56" s="2" t="n">
        <v>0.4556</v>
      </c>
      <c r="AB56" s="2"/>
      <c r="AD56" s="2" t="n">
        <v>0.995585231557447</v>
      </c>
      <c r="AG56" s="0" t="str">
        <f aca="false">A56</f>
        <v>AK</v>
      </c>
      <c r="AH56" s="2" t="n">
        <f aca="false">'Final-2'!B$41+'Final-2'!B$42*M56+'Final-2'!B$43*N56+'Final-2'!B$44*O56+'Final-2'!B$45*P56</f>
        <v>0.788520894610498</v>
      </c>
      <c r="AI56" s="2" t="n">
        <f aca="false">C56</f>
        <v>0.129719929982496</v>
      </c>
      <c r="AJ56" s="2"/>
      <c r="AK56" s="2" t="e">
        <f aca="false">#REF!</f>
        <v>#REF!</v>
      </c>
      <c r="AL56" s="2" t="n">
        <v>0.00288085909981379</v>
      </c>
      <c r="AM56" s="44" t="e">
        <f aca="false">#REF!</f>
        <v>#REF!</v>
      </c>
      <c r="AN56" s="44"/>
      <c r="AO56" s="2" t="e">
        <f aca="false">#REF!</f>
        <v>#REF!</v>
      </c>
      <c r="AQ56" s="0" t="n">
        <v>0.121969752431455</v>
      </c>
      <c r="AR56" s="0" t="n">
        <v>13.2540475649956</v>
      </c>
      <c r="AS56" s="0" t="n">
        <v>13.3106951698265</v>
      </c>
      <c r="AT56" s="0" t="n">
        <v>9.50940738929453</v>
      </c>
      <c r="AV56" s="1" t="n">
        <v>1798</v>
      </c>
      <c r="AW56" s="1" t="n">
        <v>1242</v>
      </c>
      <c r="AX56" s="1" t="n">
        <v>1798</v>
      </c>
      <c r="AY56" s="1" t="n">
        <v>636</v>
      </c>
      <c r="BA56" s="2" t="n">
        <v>0.591447368421053</v>
      </c>
      <c r="BB56" s="2" t="n">
        <v>0.738701725554643</v>
      </c>
      <c r="BC56" s="1" t="s">
        <v>446</v>
      </c>
      <c r="BD56" s="1" t="s">
        <v>446</v>
      </c>
      <c r="BE56" s="0" t="s">
        <v>260</v>
      </c>
      <c r="BF56" s="0" t="n">
        <v>550043</v>
      </c>
      <c r="BG56" s="0" t="n">
        <v>247129</v>
      </c>
      <c r="BH56" s="0" t="n">
        <v>15043</v>
      </c>
      <c r="BI56" s="0" t="n">
        <v>1589</v>
      </c>
      <c r="BJ56" s="0" t="n">
        <v>0.0060243932954455</v>
      </c>
      <c r="BL56" s="0" t="n">
        <v>0.00288085909981379</v>
      </c>
      <c r="BM56" s="0" t="s">
        <v>446</v>
      </c>
      <c r="BO56" s="0" t="s">
        <v>577</v>
      </c>
      <c r="BP56" s="0" t="n">
        <v>0.970166284467192</v>
      </c>
      <c r="BQ56" s="0" t="n">
        <v>0.995585231557447</v>
      </c>
      <c r="BT56" s="0" t="s">
        <v>577</v>
      </c>
      <c r="BU56" s="0" t="n">
        <v>0.000969294573075999</v>
      </c>
      <c r="BV56" s="0" t="n">
        <v>0.0324328214637821</v>
      </c>
      <c r="BW56" s="0" t="n">
        <v>45.56</v>
      </c>
      <c r="BX56" s="0" t="s">
        <v>260</v>
      </c>
    </row>
    <row r="57" customFormat="false" ht="12.75" hidden="false" customHeight="false" outlineLevel="0" collapsed="false">
      <c r="A57" s="1" t="s">
        <v>448</v>
      </c>
      <c r="C57" s="2" t="n">
        <f aca="false">F57/E57</f>
        <v>0</v>
      </c>
      <c r="D57" s="2"/>
      <c r="E57" s="1" t="n">
        <v>114237</v>
      </c>
      <c r="F57" s="1" t="n">
        <v>0</v>
      </c>
      <c r="G57" s="1" t="n">
        <v>83759</v>
      </c>
      <c r="H57" s="1" t="n">
        <v>30478</v>
      </c>
      <c r="I57" s="1"/>
      <c r="J57" s="1" t="n">
        <v>61</v>
      </c>
      <c r="K57" s="1" t="n">
        <v>9086.16393442623</v>
      </c>
      <c r="L57" s="1" t="n">
        <f aca="false">BG57+BH57+BI57</f>
        <v>304428</v>
      </c>
      <c r="M57" s="1" t="n">
        <v>554256</v>
      </c>
      <c r="N57" s="2" t="n">
        <v>0</v>
      </c>
      <c r="O57" s="2" t="n">
        <v>0.323708753019072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48"/>
      <c r="AA57" s="2" t="n">
        <v>0.23489</v>
      </c>
      <c r="AB57" s="2"/>
      <c r="AD57" s="2" t="n">
        <v>0.774426353876792</v>
      </c>
      <c r="AG57" s="0" t="str">
        <f aca="false">A57</f>
        <v>DC</v>
      </c>
      <c r="AH57" s="2" t="n">
        <f aca="false">'Final-2'!B$41+'Final-2'!B$42*M57+'Final-2'!B$43*N57+'Final-2'!B$44*O57+'Final-2'!B$45*P57</f>
        <v>0.241506144104952</v>
      </c>
      <c r="AI57" s="2" t="n">
        <f aca="false">C57</f>
        <v>0</v>
      </c>
      <c r="AJ57" s="2"/>
      <c r="AK57" s="2" t="n">
        <v>0</v>
      </c>
      <c r="AL57" s="2" t="n">
        <v>0.0134886224436057</v>
      </c>
      <c r="AM57" s="44" t="n">
        <v>0</v>
      </c>
      <c r="AN57" s="44"/>
      <c r="AO57" s="2" t="e">
        <f aca="false">#REF!</f>
        <v>#REF!</v>
      </c>
      <c r="AQ57" s="0" t="n">
        <v>0</v>
      </c>
      <c r="AR57" s="0" t="n">
        <v>4.11087386417331</v>
      </c>
      <c r="AS57" s="0" t="n">
        <v>13.2253819528597</v>
      </c>
      <c r="AT57" s="0" t="n">
        <v>7.2591161280971</v>
      </c>
      <c r="BD57" s="0" t="s">
        <v>448</v>
      </c>
      <c r="BE57" s="0" t="s">
        <v>449</v>
      </c>
      <c r="BF57" s="0" t="n">
        <v>606900</v>
      </c>
      <c r="BG57" s="0" t="n">
        <v>236734</v>
      </c>
      <c r="BH57" s="0" t="n">
        <v>0</v>
      </c>
      <c r="BI57" s="0" t="n">
        <v>67694</v>
      </c>
      <c r="BJ57" s="0" t="n">
        <v>0.22236456567727</v>
      </c>
      <c r="BL57" s="0" t="n">
        <v>0.0134886224436057</v>
      </c>
      <c r="BM57" s="0" t="s">
        <v>448</v>
      </c>
      <c r="BO57" s="0" t="s">
        <v>578</v>
      </c>
      <c r="BP57" s="0" t="n">
        <v>0.323708753019072</v>
      </c>
      <c r="BQ57" s="0" t="n">
        <v>0.774426353876792</v>
      </c>
      <c r="BT57" s="0" t="s">
        <v>578</v>
      </c>
      <c r="BU57" s="0" t="n">
        <v>0.0155709007230506</v>
      </c>
      <c r="BV57" s="0" t="n">
        <v>0.0621131662957574</v>
      </c>
      <c r="BW57" s="0" t="n">
        <v>23.489</v>
      </c>
      <c r="BX57" s="0" t="s">
        <v>579</v>
      </c>
    </row>
    <row r="58" customFormat="false" ht="12.75" hidden="false" customHeight="false" outlineLevel="0" collapsed="false">
      <c r="N58" s="2" t="n">
        <v>0</v>
      </c>
      <c r="O58" s="2" t="n">
        <v>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48"/>
      <c r="AD58" s="2" t="n">
        <v>0</v>
      </c>
      <c r="AG58" s="0" t="n">
        <f aca="false">A58</f>
        <v>0</v>
      </c>
      <c r="AH58" s="2" t="n">
        <f aca="false">'Final-2'!B$41+'Final-2'!B$42*M58+'Final-2'!B$43*N58+'Final-2'!B$44*O58+'Final-2'!B$45*P58</f>
        <v>-0.0344358295568345</v>
      </c>
      <c r="AI58" s="2" t="n">
        <f aca="false">C58</f>
        <v>0</v>
      </c>
      <c r="AJ58" s="2"/>
    </row>
    <row r="59" customFormat="false" ht="12.75" hidden="false" customHeight="false" outlineLevel="0" collapsed="false">
      <c r="C59" s="2" t="n">
        <f aca="false">AVERAGE(C4:C52)</f>
        <v>0.0420042833674684</v>
      </c>
      <c r="D59" s="2"/>
      <c r="AG59" s="0" t="n">
        <f aca="false">A59</f>
        <v>0</v>
      </c>
      <c r="AH59" s="2" t="n">
        <f aca="false">'Final-2'!B$41+'Final-2'!B$42*M59+'Final-2'!B$43*N59+'Final-2'!B$44*O59+'Final-2'!B$45*P59</f>
        <v>-0.0344358295568345</v>
      </c>
      <c r="AI59" s="2" t="n">
        <f aca="false">C59</f>
        <v>0.0420042833674684</v>
      </c>
      <c r="AJ59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47" activeCellId="0" sqref="K47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580</v>
      </c>
      <c r="B1" s="0" t="s">
        <v>581</v>
      </c>
      <c r="C1" s="0" t="s">
        <v>582</v>
      </c>
      <c r="D1" s="0" t="s">
        <v>583</v>
      </c>
    </row>
    <row r="3" customFormat="false" ht="12.75" hidden="false" customHeight="false" outlineLevel="0" collapsed="false">
      <c r="D3" s="0" t="s">
        <v>584</v>
      </c>
    </row>
    <row r="4" customFormat="false" ht="12.75" hidden="false" customHeight="false" outlineLevel="0" collapsed="false">
      <c r="A4" s="0" t="s">
        <v>0</v>
      </c>
      <c r="D4" s="0" t="s">
        <v>486</v>
      </c>
      <c r="E4" s="0" t="s">
        <v>487</v>
      </c>
      <c r="F4" s="0" t="s">
        <v>488</v>
      </c>
      <c r="G4" s="0" t="s">
        <v>95</v>
      </c>
      <c r="H4" s="0" t="s">
        <v>585</v>
      </c>
    </row>
    <row r="5" customFormat="false" ht="12.75" hidden="false" customHeight="false" outlineLevel="0" collapsed="false">
      <c r="A5" s="1" t="s">
        <v>258</v>
      </c>
      <c r="B5" s="0" t="s">
        <v>259</v>
      </c>
      <c r="C5" s="0" t="n">
        <v>4040587</v>
      </c>
      <c r="D5" s="0" t="n">
        <v>1363133</v>
      </c>
      <c r="E5" s="0" t="n">
        <v>310438</v>
      </c>
      <c r="F5" s="0" t="n">
        <v>62017</v>
      </c>
      <c r="G5" s="0" t="n">
        <f aca="false">F5/(F5+E5+D5)</f>
        <v>0.0357325586487116</v>
      </c>
      <c r="H5" s="0" t="n">
        <f aca="false">D5+E5+F5</f>
        <v>1735588</v>
      </c>
    </row>
    <row r="6" customFormat="false" ht="12.75" hidden="false" customHeight="false" outlineLevel="0" collapsed="false">
      <c r="A6" s="1" t="s">
        <v>261</v>
      </c>
      <c r="B6" s="0" t="s">
        <v>262</v>
      </c>
      <c r="C6" s="0" t="n">
        <v>3665228</v>
      </c>
      <c r="D6" s="0" t="n">
        <v>1535826</v>
      </c>
      <c r="E6" s="0" t="n">
        <v>38831</v>
      </c>
      <c r="F6" s="0" t="n">
        <v>25947</v>
      </c>
      <c r="G6" s="0" t="n">
        <f aca="false">F6/(F6+E6+D6)</f>
        <v>0.0162107554398215</v>
      </c>
      <c r="H6" s="0" t="n">
        <f aca="false">D6+E6+F6</f>
        <v>1600604</v>
      </c>
    </row>
    <row r="7" customFormat="false" ht="12.75" hidden="false" customHeight="false" outlineLevel="0" collapsed="false">
      <c r="A7" s="0" t="s">
        <v>264</v>
      </c>
      <c r="B7" s="0" t="s">
        <v>265</v>
      </c>
      <c r="C7" s="0" t="n">
        <v>2350725</v>
      </c>
      <c r="D7" s="0" t="n">
        <v>799075</v>
      </c>
      <c r="E7" s="0" t="n">
        <v>156497</v>
      </c>
      <c r="F7" s="0" t="n">
        <v>33140</v>
      </c>
      <c r="G7" s="0" t="n">
        <f aca="false">F7/(F7+E7+D7)</f>
        <v>0.0335183551934234</v>
      </c>
      <c r="H7" s="0" t="n">
        <f aca="false">D7+E7+F7</f>
        <v>988712</v>
      </c>
    </row>
    <row r="8" customFormat="false" ht="12.75" hidden="false" customHeight="false" outlineLevel="0" collapsed="false">
      <c r="A8" s="1" t="s">
        <v>266</v>
      </c>
      <c r="B8" s="0" t="s">
        <v>267</v>
      </c>
      <c r="C8" s="0" t="n">
        <v>29760021</v>
      </c>
      <c r="D8" s="0" t="n">
        <v>11796527</v>
      </c>
      <c r="E8" s="0" t="n">
        <v>2079927</v>
      </c>
      <c r="F8" s="0" t="n">
        <v>63796</v>
      </c>
      <c r="G8" s="0" t="n">
        <f aca="false">F8/(F8+E8+D8)</f>
        <v>0.00457638851527053</v>
      </c>
      <c r="H8" s="0" t="n">
        <f aca="false">D8+E8+F8</f>
        <v>13940250</v>
      </c>
    </row>
    <row r="9" customFormat="false" ht="12.75" hidden="false" customHeight="false" outlineLevel="0" collapsed="false">
      <c r="A9" s="1" t="s">
        <v>268</v>
      </c>
      <c r="B9" s="0" t="s">
        <v>269</v>
      </c>
      <c r="C9" s="0" t="n">
        <v>3294394</v>
      </c>
      <c r="D9" s="0" t="n">
        <v>1124306</v>
      </c>
      <c r="E9" s="0" t="n">
        <v>495454</v>
      </c>
      <c r="F9" s="0" t="n">
        <v>17680</v>
      </c>
      <c r="G9" s="0" t="n">
        <f aca="false">F9/(F9+E9+D9)</f>
        <v>0.010797342192691</v>
      </c>
      <c r="H9" s="0" t="n">
        <f aca="false">D9+E9+F9</f>
        <v>1637440</v>
      </c>
    </row>
    <row r="10" customFormat="false" ht="12.75" hidden="false" customHeight="false" outlineLevel="0" collapsed="false">
      <c r="A10" s="1" t="s">
        <v>270</v>
      </c>
      <c r="B10" s="0" t="s">
        <v>271</v>
      </c>
      <c r="C10" s="0" t="n">
        <v>3287116</v>
      </c>
      <c r="D10" s="0" t="n">
        <v>1308624</v>
      </c>
      <c r="E10" s="0" t="n">
        <v>283912</v>
      </c>
      <c r="F10" s="0" t="n">
        <v>80906</v>
      </c>
      <c r="G10" s="0" t="n">
        <f aca="false">F10/(F10+E10+D10)</f>
        <v>0.0483470595335841</v>
      </c>
      <c r="H10" s="0" t="n">
        <f aca="false">D10+E10+F10</f>
        <v>1673442</v>
      </c>
    </row>
    <row r="11" customFormat="false" ht="12.75" hidden="false" customHeight="false" outlineLevel="0" collapsed="false">
      <c r="A11" s="1" t="s">
        <v>272</v>
      </c>
      <c r="B11" s="0" t="s">
        <v>273</v>
      </c>
      <c r="C11" s="0" t="n">
        <v>666168</v>
      </c>
      <c r="D11" s="0" t="n">
        <v>287659</v>
      </c>
      <c r="E11" s="0" t="n">
        <v>14100</v>
      </c>
      <c r="F11" s="0" t="n">
        <v>32367</v>
      </c>
      <c r="G11" s="0" t="n">
        <f aca="false">F11/(F11+E11+D11)</f>
        <v>0.0968706416142413</v>
      </c>
      <c r="H11" s="0" t="n">
        <f aca="false">D11+E11+F11</f>
        <v>334126</v>
      </c>
    </row>
    <row r="12" customFormat="false" ht="12.75" hidden="false" customHeight="false" outlineLevel="0" collapsed="false">
      <c r="A12" s="1" t="s">
        <v>274</v>
      </c>
      <c r="B12" s="0" t="s">
        <v>275</v>
      </c>
      <c r="C12" s="0" t="n">
        <v>12937926</v>
      </c>
      <c r="D12" s="0" t="n">
        <v>4956240</v>
      </c>
      <c r="E12" s="0" t="n">
        <v>776449</v>
      </c>
      <c r="F12" s="0" t="n">
        <v>61763</v>
      </c>
      <c r="G12" s="0" t="n">
        <f aca="false">F12/(F12+E12+D12)</f>
        <v>0.0106589889777325</v>
      </c>
      <c r="H12" s="0" t="n">
        <f aca="false">D12+E12+F12</f>
        <v>5794452</v>
      </c>
    </row>
    <row r="13" customFormat="false" ht="12.75" hidden="false" customHeight="false" outlineLevel="0" collapsed="false">
      <c r="A13" s="1" t="s">
        <v>276</v>
      </c>
      <c r="B13" s="0" t="s">
        <v>277</v>
      </c>
      <c r="C13" s="0" t="n">
        <v>6478216</v>
      </c>
      <c r="D13" s="0" t="n">
        <v>1935479</v>
      </c>
      <c r="E13" s="0" t="n">
        <v>1094510</v>
      </c>
      <c r="F13" s="0" t="n">
        <v>76404</v>
      </c>
      <c r="G13" s="0" t="n">
        <f aca="false">F13/(F13+E13+D13)</f>
        <v>0.0245957288726829</v>
      </c>
      <c r="H13" s="0" t="n">
        <f aca="false">D13+E13+F13</f>
        <v>3106393</v>
      </c>
    </row>
    <row r="14" customFormat="false" ht="12.75" hidden="false" customHeight="false" outlineLevel="0" collapsed="false">
      <c r="A14" s="1" t="s">
        <v>278</v>
      </c>
      <c r="B14" s="0" t="s">
        <v>279</v>
      </c>
      <c r="C14" s="0" t="n">
        <v>1108229</v>
      </c>
      <c r="D14" s="0" t="n">
        <v>560286</v>
      </c>
      <c r="E14" s="0" t="n">
        <v>3486</v>
      </c>
      <c r="F14" s="0" t="n">
        <v>3993</v>
      </c>
      <c r="G14" s="0" t="n">
        <f aca="false">F14/(F14+E14+D14)</f>
        <v>0.00703283929090381</v>
      </c>
      <c r="H14" s="0" t="n">
        <f aca="false">D14+E14+F14</f>
        <v>567765</v>
      </c>
    </row>
    <row r="15" customFormat="false" ht="12.75" hidden="false" customHeight="false" outlineLevel="0" collapsed="false">
      <c r="A15" s="1" t="s">
        <v>280</v>
      </c>
      <c r="B15" s="0" t="s">
        <v>281</v>
      </c>
      <c r="C15" s="0" t="n">
        <v>1006749</v>
      </c>
      <c r="D15" s="0" t="n">
        <v>372922</v>
      </c>
      <c r="E15" s="0" t="n">
        <v>50325</v>
      </c>
      <c r="F15" s="0" t="n">
        <v>17562</v>
      </c>
      <c r="G15" s="0" t="n">
        <f aca="false">F15/(F15+E15+D15)</f>
        <v>0.0398403843841664</v>
      </c>
      <c r="H15" s="0" t="n">
        <f aca="false">D15+E15+F15</f>
        <v>440809</v>
      </c>
    </row>
    <row r="16" customFormat="false" ht="12.75" hidden="false" customHeight="false" outlineLevel="0" collapsed="false">
      <c r="A16" s="1" t="s">
        <v>282</v>
      </c>
      <c r="B16" s="0" t="s">
        <v>283</v>
      </c>
      <c r="C16" s="0" t="n">
        <v>11430602</v>
      </c>
      <c r="D16" s="0" t="n">
        <v>4200428</v>
      </c>
      <c r="E16" s="0" t="n">
        <v>998220</v>
      </c>
      <c r="F16" s="0" t="n">
        <v>152763</v>
      </c>
      <c r="G16" s="0" t="n">
        <f aca="false">F16/(F16+E16+D16)</f>
        <v>0.0285463030217638</v>
      </c>
      <c r="H16" s="0" t="n">
        <f aca="false">D16+E16+F16</f>
        <v>5351411</v>
      </c>
    </row>
    <row r="17" customFormat="false" ht="12.75" hidden="false" customHeight="false" outlineLevel="0" collapsed="false">
      <c r="A17" s="1" t="s">
        <v>284</v>
      </c>
      <c r="B17" s="0" t="s">
        <v>285</v>
      </c>
      <c r="C17" s="0" t="n">
        <v>5544159</v>
      </c>
      <c r="D17" s="0" t="n">
        <v>1947671</v>
      </c>
      <c r="E17" s="0" t="n">
        <v>514585</v>
      </c>
      <c r="F17" s="0" t="n">
        <v>124926</v>
      </c>
      <c r="G17" s="0" t="n">
        <f aca="false">F17/(F17+E17+D17)</f>
        <v>0.0482865140527416</v>
      </c>
      <c r="H17" s="0" t="n">
        <f aca="false">D17+E17+F17</f>
        <v>2587182</v>
      </c>
    </row>
    <row r="18" customFormat="false" ht="12.75" hidden="false" customHeight="false" outlineLevel="0" collapsed="false">
      <c r="A18" s="1" t="s">
        <v>586</v>
      </c>
      <c r="B18" s="0" t="s">
        <v>287</v>
      </c>
      <c r="C18" s="0" t="n">
        <v>2776755</v>
      </c>
      <c r="D18" s="0" t="n">
        <v>1096619</v>
      </c>
      <c r="E18" s="0" t="n">
        <v>169518</v>
      </c>
      <c r="F18" s="0" t="n">
        <v>55927</v>
      </c>
      <c r="G18" s="0" t="n">
        <f aca="false">F18/(F18+E18+D18)</f>
        <v>0.0423027932081957</v>
      </c>
      <c r="H18" s="0" t="n">
        <f aca="false">D18+E18+F18</f>
        <v>1322064</v>
      </c>
    </row>
    <row r="19" customFormat="false" ht="12.75" hidden="false" customHeight="false" outlineLevel="0" collapsed="false">
      <c r="A19" s="1" t="s">
        <v>288</v>
      </c>
      <c r="B19" s="0" t="s">
        <v>289</v>
      </c>
      <c r="C19" s="0" t="n">
        <v>2477574</v>
      </c>
      <c r="D19" s="0" t="n">
        <v>941626</v>
      </c>
      <c r="E19" s="0" t="n">
        <v>148338</v>
      </c>
      <c r="F19" s="0" t="n">
        <v>88967</v>
      </c>
      <c r="G19" s="0" t="n">
        <f aca="false">F19/(F19+E19+D19)</f>
        <v>0.075464128095707</v>
      </c>
      <c r="H19" s="0" t="n">
        <f aca="false">D19+E19+F19</f>
        <v>1178931</v>
      </c>
    </row>
    <row r="20" customFormat="false" ht="12.75" hidden="false" customHeight="false" outlineLevel="0" collapsed="false">
      <c r="A20" s="1" t="s">
        <v>290</v>
      </c>
      <c r="B20" s="0" t="s">
        <v>291</v>
      </c>
      <c r="C20" s="0" t="n">
        <v>3685296</v>
      </c>
      <c r="D20" s="0" t="n">
        <v>1160660</v>
      </c>
      <c r="E20" s="0" t="n">
        <v>300800</v>
      </c>
      <c r="F20" s="0" t="n">
        <v>104251</v>
      </c>
      <c r="G20" s="0" t="n">
        <f aca="false">F20/(F20+E20+D20)</f>
        <v>0.066583807612005</v>
      </c>
      <c r="H20" s="0" t="n">
        <f aca="false">D20+E20+F20</f>
        <v>1565711</v>
      </c>
    </row>
    <row r="21" customFormat="false" ht="12.75" hidden="false" customHeight="false" outlineLevel="0" collapsed="false">
      <c r="A21" s="1" t="s">
        <v>292</v>
      </c>
      <c r="B21" s="0" t="s">
        <v>293</v>
      </c>
      <c r="C21" s="0" t="n">
        <v>4219973</v>
      </c>
      <c r="D21" s="0" t="n">
        <v>1217736</v>
      </c>
      <c r="E21" s="0" t="n">
        <v>395728</v>
      </c>
      <c r="F21" s="0" t="n">
        <v>32226</v>
      </c>
      <c r="G21" s="0" t="n">
        <f aca="false">F21/(F21+E21+D21)</f>
        <v>0.019582059804702</v>
      </c>
      <c r="H21" s="0" t="n">
        <f aca="false">D21+E21+F21</f>
        <v>1645690</v>
      </c>
    </row>
    <row r="22" customFormat="false" ht="12.75" hidden="false" customHeight="false" outlineLevel="0" collapsed="false">
      <c r="A22" s="1" t="s">
        <v>294</v>
      </c>
      <c r="B22" s="0" t="s">
        <v>295</v>
      </c>
      <c r="C22" s="0" t="n">
        <v>1227928</v>
      </c>
      <c r="D22" s="0" t="n">
        <v>464593</v>
      </c>
      <c r="E22" s="0" t="n">
        <v>87036</v>
      </c>
      <c r="F22" s="0" t="n">
        <v>19254</v>
      </c>
      <c r="G22" s="0" t="n">
        <f aca="false">F22/(F22+E22+D22)</f>
        <v>0.0337267005673667</v>
      </c>
      <c r="H22" s="0" t="n">
        <f aca="false">D22+E22+F22</f>
        <v>570883</v>
      </c>
    </row>
    <row r="23" customFormat="false" ht="12.75" hidden="false" customHeight="false" outlineLevel="0" collapsed="false">
      <c r="A23" s="1" t="s">
        <v>296</v>
      </c>
      <c r="B23" s="0" t="s">
        <v>297</v>
      </c>
      <c r="C23" s="0" t="n">
        <v>4781468</v>
      </c>
      <c r="D23" s="0" t="n">
        <v>1363948</v>
      </c>
      <c r="E23" s="0" t="n">
        <v>686505</v>
      </c>
      <c r="F23" s="0" t="n">
        <v>432009</v>
      </c>
      <c r="G23" s="0" t="n">
        <f aca="false">F23/(F23+E23+D23)</f>
        <v>0.17402441608371</v>
      </c>
      <c r="H23" s="0" t="n">
        <f aca="false">D23+E23+F23</f>
        <v>2482462</v>
      </c>
    </row>
    <row r="24" customFormat="false" ht="12.75" hidden="false" customHeight="false" outlineLevel="0" collapsed="false">
      <c r="A24" s="1" t="s">
        <v>298</v>
      </c>
      <c r="B24" s="0" t="s">
        <v>299</v>
      </c>
      <c r="C24" s="0" t="n">
        <v>6016425</v>
      </c>
      <c r="D24" s="0" t="n">
        <v>2063962</v>
      </c>
      <c r="E24" s="0" t="n">
        <v>822092</v>
      </c>
      <c r="F24" s="0" t="n">
        <v>93540</v>
      </c>
      <c r="G24" s="0" t="n">
        <f aca="false">F24/(F24+E24+D24)</f>
        <v>0.0313935388512663</v>
      </c>
      <c r="H24" s="0" t="n">
        <f aca="false">D24+E24+F24</f>
        <v>2979594</v>
      </c>
    </row>
    <row r="25" customFormat="false" ht="12.75" hidden="false" customHeight="false" outlineLevel="0" collapsed="false">
      <c r="A25" s="1" t="s">
        <v>300</v>
      </c>
      <c r="B25" s="0" t="s">
        <v>301</v>
      </c>
      <c r="C25" s="0" t="n">
        <v>9295297</v>
      </c>
      <c r="D25" s="0" t="n">
        <v>3014822</v>
      </c>
      <c r="E25" s="0" t="n">
        <v>1005806</v>
      </c>
      <c r="F25" s="0" t="n">
        <v>61775</v>
      </c>
      <c r="G25" s="0" t="n">
        <f aca="false">F25/(F25+E25+D25)</f>
        <v>0.015132019058383</v>
      </c>
      <c r="H25" s="0" t="n">
        <f aca="false">D25+E25+F25</f>
        <v>4082403</v>
      </c>
    </row>
    <row r="26" customFormat="false" ht="12.75" hidden="false" customHeight="false" outlineLevel="0" collapsed="false">
      <c r="A26" s="1" t="s">
        <v>302</v>
      </c>
      <c r="B26" s="0" t="s">
        <v>303</v>
      </c>
      <c r="C26" s="0" t="n">
        <v>4375099</v>
      </c>
      <c r="D26" s="0" t="n">
        <v>1533077</v>
      </c>
      <c r="E26" s="0" t="n">
        <v>585352</v>
      </c>
      <c r="F26" s="0" t="n">
        <v>40304</v>
      </c>
      <c r="G26" s="0" t="n">
        <f aca="false">F26/(F26+E26+D26)</f>
        <v>0.0186702107208256</v>
      </c>
      <c r="H26" s="0" t="n">
        <f aca="false">D26+E26+F26</f>
        <v>2158733</v>
      </c>
    </row>
    <row r="27" customFormat="false" ht="12.75" hidden="false" customHeight="false" outlineLevel="0" collapsed="false">
      <c r="A27" s="1" t="s">
        <v>67</v>
      </c>
      <c r="B27" s="0" t="s">
        <v>304</v>
      </c>
      <c r="C27" s="0" t="n">
        <v>2573216</v>
      </c>
      <c r="D27" s="0" t="n">
        <v>761316</v>
      </c>
      <c r="E27" s="0" t="n">
        <v>207577</v>
      </c>
      <c r="F27" s="0" t="n">
        <v>59121</v>
      </c>
      <c r="G27" s="0" t="n">
        <f aca="false">F27/(F27+E27+D27)</f>
        <v>0.0575099171801162</v>
      </c>
      <c r="H27" s="0" t="n">
        <f aca="false">D27+E27+F27</f>
        <v>1028014</v>
      </c>
    </row>
    <row r="28" customFormat="false" ht="12.75" hidden="false" customHeight="false" outlineLevel="0" collapsed="false">
      <c r="A28" s="1" t="s">
        <v>305</v>
      </c>
      <c r="B28" s="0" t="s">
        <v>306</v>
      </c>
      <c r="C28" s="0" t="n">
        <v>5117073</v>
      </c>
      <c r="D28" s="0" t="n">
        <v>1614411</v>
      </c>
      <c r="E28" s="0" t="n">
        <v>620244</v>
      </c>
      <c r="F28" s="0" t="n">
        <v>111161</v>
      </c>
      <c r="G28" s="0" t="n">
        <f aca="false">F28/(F28+E28+D28)</f>
        <v>0.0473869220774349</v>
      </c>
      <c r="H28" s="0" t="n">
        <f aca="false">D28+E28+F28</f>
        <v>2345816</v>
      </c>
    </row>
    <row r="29" customFormat="false" ht="12.75" hidden="false" customHeight="false" outlineLevel="0" collapsed="false">
      <c r="A29" s="1" t="s">
        <v>307</v>
      </c>
      <c r="B29" s="0" t="s">
        <v>524</v>
      </c>
      <c r="C29" s="0" t="n">
        <v>799065</v>
      </c>
      <c r="D29" s="0" t="n">
        <v>326038</v>
      </c>
      <c r="E29" s="0" t="n">
        <v>19043</v>
      </c>
      <c r="F29" s="0" t="n">
        <v>4103</v>
      </c>
      <c r="G29" s="0" t="n">
        <f aca="false">F29/(F29+E29+D29)</f>
        <v>0.011750252016129</v>
      </c>
      <c r="H29" s="0" t="n">
        <f aca="false">D29+E29+F29</f>
        <v>349184</v>
      </c>
    </row>
    <row r="30" customFormat="false" ht="12.75" hidden="false" customHeight="false" outlineLevel="0" collapsed="false">
      <c r="A30" s="1" t="s">
        <v>309</v>
      </c>
      <c r="B30" s="0" t="s">
        <v>310</v>
      </c>
      <c r="C30" s="0" t="n">
        <v>1578385</v>
      </c>
      <c r="D30" s="0" t="n">
        <v>656998</v>
      </c>
      <c r="E30" s="0" t="n">
        <v>101204</v>
      </c>
      <c r="F30" s="0" t="n">
        <v>16883</v>
      </c>
      <c r="G30" s="0" t="n">
        <f aca="false">F30/(F30+E30+D30)</f>
        <v>0.0217821271215415</v>
      </c>
      <c r="H30" s="0" t="n">
        <f aca="false">D30+E30+F30</f>
        <v>775085</v>
      </c>
    </row>
    <row r="31" customFormat="false" ht="12.75" hidden="false" customHeight="false" outlineLevel="0" collapsed="false">
      <c r="A31" s="1" t="s">
        <v>311</v>
      </c>
      <c r="B31" s="0" t="s">
        <v>312</v>
      </c>
      <c r="C31" s="0" t="n">
        <v>1201833</v>
      </c>
      <c r="D31" s="0" t="n">
        <v>572290</v>
      </c>
      <c r="E31" s="0" t="n">
        <v>24341</v>
      </c>
      <c r="F31" s="0" t="n">
        <v>7978</v>
      </c>
      <c r="G31" s="0" t="n">
        <f aca="false">F31/(F31+E31+D31)</f>
        <v>0.013195304734134</v>
      </c>
      <c r="H31" s="0" t="n">
        <f aca="false">D31+E31+F31</f>
        <v>604609</v>
      </c>
    </row>
    <row r="32" customFormat="false" ht="12.75" hidden="false" customHeight="false" outlineLevel="0" collapsed="false">
      <c r="A32" s="1" t="s">
        <v>315</v>
      </c>
      <c r="B32" s="0" t="s">
        <v>528</v>
      </c>
      <c r="C32" s="0" t="n">
        <v>1109252</v>
      </c>
      <c r="D32" s="0" t="n">
        <v>388368</v>
      </c>
      <c r="E32" s="0" t="n">
        <v>83706</v>
      </c>
      <c r="F32" s="0" t="n">
        <v>94515</v>
      </c>
      <c r="G32" s="0" t="n">
        <f aca="false">F32/(F32+E32+D32)</f>
        <v>0.166814039806632</v>
      </c>
      <c r="H32" s="0" t="n">
        <f aca="false">D32+E32+F32</f>
        <v>566589</v>
      </c>
    </row>
    <row r="33" customFormat="false" ht="12.75" hidden="false" customHeight="false" outlineLevel="0" collapsed="false">
      <c r="A33" s="1" t="s">
        <v>313</v>
      </c>
      <c r="B33" s="0" t="s">
        <v>532</v>
      </c>
      <c r="C33" s="0" t="n">
        <v>7730188</v>
      </c>
      <c r="D33" s="0" t="n">
        <v>2235202</v>
      </c>
      <c r="E33" s="0" t="n">
        <v>1131814</v>
      </c>
      <c r="F33" s="0" t="n">
        <v>445668</v>
      </c>
      <c r="G33" s="0" t="n">
        <f aca="false">F33/(F33+E33+D33)</f>
        <v>0.116890883167868</v>
      </c>
      <c r="H33" s="0" t="n">
        <f aca="false">D33+E33+F33</f>
        <v>3812684</v>
      </c>
    </row>
    <row r="34" customFormat="false" ht="12.75" hidden="false" customHeight="false" outlineLevel="0" collapsed="false">
      <c r="A34" s="1" t="s">
        <v>317</v>
      </c>
      <c r="B34" s="0" t="s">
        <v>536</v>
      </c>
      <c r="C34" s="0" t="n">
        <v>1515069</v>
      </c>
      <c r="D34" s="0" t="n">
        <v>555843</v>
      </c>
      <c r="E34" s="0" t="n">
        <v>60562</v>
      </c>
      <c r="F34" s="0" t="n">
        <v>16730</v>
      </c>
      <c r="G34" s="0" t="n">
        <f aca="false">F34/(F34+E34+D34)</f>
        <v>0.0264240643780552</v>
      </c>
      <c r="H34" s="0" t="n">
        <f aca="false">D34+E34+F34</f>
        <v>633135</v>
      </c>
    </row>
    <row r="35" customFormat="false" ht="12.75" hidden="false" customHeight="false" outlineLevel="0" collapsed="false">
      <c r="A35" s="1" t="s">
        <v>319</v>
      </c>
      <c r="B35" s="0" t="s">
        <v>539</v>
      </c>
      <c r="C35" s="0" t="n">
        <v>17990455</v>
      </c>
      <c r="D35" s="0" t="n">
        <v>5426325</v>
      </c>
      <c r="E35" s="0" t="n">
        <v>2594168</v>
      </c>
      <c r="F35" s="0" t="n">
        <v>200120</v>
      </c>
      <c r="G35" s="0" t="n">
        <f aca="false">F35/(F35+E35+D35)</f>
        <v>0.0243436833725174</v>
      </c>
      <c r="H35" s="0" t="n">
        <f aca="false">D35+E35+F35</f>
        <v>8220613</v>
      </c>
    </row>
    <row r="36" customFormat="false" ht="12.75" hidden="false" customHeight="false" outlineLevel="0" collapsed="false">
      <c r="A36" s="1" t="s">
        <v>321</v>
      </c>
      <c r="B36" s="0" t="s">
        <v>543</v>
      </c>
      <c r="C36" s="0" t="n">
        <v>6628637</v>
      </c>
      <c r="D36" s="0" t="n">
        <v>2582675</v>
      </c>
      <c r="E36" s="0" t="n">
        <v>657483</v>
      </c>
      <c r="F36" s="0" t="n">
        <v>60323</v>
      </c>
      <c r="G36" s="0" t="n">
        <f aca="false">F36/(F36+E36+D36)</f>
        <v>0.0182770329536816</v>
      </c>
      <c r="H36" s="0" t="n">
        <f aca="false">D36+E36+F36</f>
        <v>3300481</v>
      </c>
    </row>
    <row r="37" customFormat="false" ht="12.75" hidden="false" customHeight="false" outlineLevel="0" collapsed="false">
      <c r="A37" s="1" t="s">
        <v>323</v>
      </c>
      <c r="B37" s="0" t="s">
        <v>546</v>
      </c>
      <c r="C37" s="0" t="n">
        <v>638800</v>
      </c>
      <c r="D37" s="0" t="n">
        <v>261956</v>
      </c>
      <c r="E37" s="0" t="n">
        <v>20701</v>
      </c>
      <c r="F37" s="0" t="n">
        <v>10891</v>
      </c>
      <c r="G37" s="0" t="n">
        <f aca="false">F37/(F37+E37+D37)</f>
        <v>0.0371012577159442</v>
      </c>
      <c r="H37" s="0" t="n">
        <f aca="false">D37+E37+F37</f>
        <v>293548</v>
      </c>
    </row>
    <row r="38" customFormat="false" ht="12.75" hidden="false" customHeight="false" outlineLevel="0" collapsed="false">
      <c r="A38" s="1" t="s">
        <v>325</v>
      </c>
      <c r="B38" s="0" t="s">
        <v>326</v>
      </c>
      <c r="C38" s="0" t="n">
        <v>10847115</v>
      </c>
      <c r="D38" s="0" t="n">
        <v>3719156</v>
      </c>
      <c r="E38" s="0" t="n">
        <v>1014795</v>
      </c>
      <c r="F38" s="0" t="n">
        <v>109254</v>
      </c>
      <c r="G38" s="0" t="n">
        <f aca="false">F38/(F38+E38+D38)</f>
        <v>0.0225582026777723</v>
      </c>
      <c r="H38" s="0" t="n">
        <f aca="false">D38+E38+F38</f>
        <v>4843205</v>
      </c>
    </row>
    <row r="39" customFormat="false" ht="12.75" hidden="false" customHeight="false" outlineLevel="0" collapsed="false">
      <c r="A39" s="1" t="s">
        <v>327</v>
      </c>
      <c r="B39" s="0" t="s">
        <v>328</v>
      </c>
      <c r="C39" s="0" t="n">
        <v>3145585</v>
      </c>
      <c r="D39" s="0" t="n">
        <v>1087117</v>
      </c>
      <c r="E39" s="0" t="n">
        <v>246662</v>
      </c>
      <c r="F39" s="0" t="n">
        <v>40559</v>
      </c>
      <c r="G39" s="0" t="n">
        <f aca="false">F39/(F39+E39+D39)</f>
        <v>0.0295116630697834</v>
      </c>
      <c r="H39" s="0" t="n">
        <f aca="false">D39+E39+F39</f>
        <v>1374338</v>
      </c>
    </row>
    <row r="40" customFormat="false" ht="12.75" hidden="false" customHeight="false" outlineLevel="0" collapsed="false">
      <c r="A40" s="1" t="s">
        <v>329</v>
      </c>
      <c r="B40" s="0" t="s">
        <v>330</v>
      </c>
      <c r="C40" s="0" t="n">
        <v>2842321</v>
      </c>
      <c r="D40" s="0" t="n">
        <v>1012834</v>
      </c>
      <c r="E40" s="0" t="n">
        <v>255221</v>
      </c>
      <c r="F40" s="0" t="n">
        <v>26635</v>
      </c>
      <c r="G40" s="0" t="n">
        <f aca="false">F40/(F40+E40+D40)</f>
        <v>0.0205724922568337</v>
      </c>
      <c r="H40" s="0" t="n">
        <f aca="false">D40+E40+F40</f>
        <v>1294690</v>
      </c>
    </row>
    <row r="41" customFormat="false" ht="12.75" hidden="false" customHeight="false" outlineLevel="0" collapsed="false">
      <c r="A41" s="1" t="s">
        <v>331</v>
      </c>
      <c r="B41" s="0" t="s">
        <v>332</v>
      </c>
      <c r="C41" s="0" t="n">
        <v>11881643</v>
      </c>
      <c r="D41" s="0" t="n">
        <v>4006525</v>
      </c>
      <c r="E41" s="0" t="n">
        <v>1110200</v>
      </c>
      <c r="F41" s="0" t="n">
        <v>231407</v>
      </c>
      <c r="G41" s="0" t="n">
        <f aca="false">F41/(F41+E41+D41)</f>
        <v>0.0432687525289204</v>
      </c>
      <c r="H41" s="0" t="n">
        <f aca="false">D41+E41+F41</f>
        <v>5348132</v>
      </c>
    </row>
    <row r="42" customFormat="false" ht="12.75" hidden="false" customHeight="false" outlineLevel="0" collapsed="false">
      <c r="A42" s="1" t="s">
        <v>333</v>
      </c>
      <c r="B42" s="0" t="s">
        <v>555</v>
      </c>
      <c r="C42" s="0" t="n">
        <v>1003464</v>
      </c>
      <c r="D42" s="0" t="n">
        <v>329829</v>
      </c>
      <c r="E42" s="0" t="n">
        <v>92931</v>
      </c>
      <c r="F42" s="0" t="n">
        <v>58470</v>
      </c>
      <c r="G42" s="0" t="n">
        <f aca="false">F42/(F42+E42+D42)</f>
        <v>0.121501153294682</v>
      </c>
      <c r="H42" s="0" t="n">
        <f aca="false">D42+E42+F42</f>
        <v>481230</v>
      </c>
    </row>
    <row r="43" customFormat="false" ht="12.75" hidden="false" customHeight="false" outlineLevel="0" collapsed="false">
      <c r="A43" s="1" t="s">
        <v>335</v>
      </c>
      <c r="B43" s="0" t="s">
        <v>558</v>
      </c>
      <c r="C43" s="0" t="n">
        <v>3486703</v>
      </c>
      <c r="D43" s="0" t="n">
        <v>1239694</v>
      </c>
      <c r="E43" s="0" t="n">
        <v>329556</v>
      </c>
      <c r="F43" s="0" t="n">
        <v>67106</v>
      </c>
      <c r="G43" s="0" t="n">
        <f aca="false">F43/(F43+E43+D43)</f>
        <v>0.0410094135994857</v>
      </c>
      <c r="H43" s="0" t="n">
        <f aca="false">D43+E43+F43</f>
        <v>1636356</v>
      </c>
    </row>
    <row r="44" customFormat="false" ht="12.75" hidden="false" customHeight="false" outlineLevel="0" collapsed="false">
      <c r="A44" s="1" t="s">
        <v>337</v>
      </c>
      <c r="B44" s="0" t="s">
        <v>561</v>
      </c>
      <c r="C44" s="0" t="n">
        <v>696004</v>
      </c>
      <c r="D44" s="0" t="n">
        <v>283710</v>
      </c>
      <c r="E44" s="0" t="n">
        <v>34162</v>
      </c>
      <c r="F44" s="0" t="n">
        <v>6250</v>
      </c>
      <c r="G44" s="0" t="n">
        <f aca="false">F44/(F44+E44+D44)</f>
        <v>0.0192828626258014</v>
      </c>
      <c r="H44" s="0" t="n">
        <f aca="false">D44+E44+F44</f>
        <v>324122</v>
      </c>
    </row>
    <row r="45" customFormat="false" ht="12.75" hidden="false" customHeight="false" outlineLevel="0" collapsed="false">
      <c r="A45" s="1" t="s">
        <v>339</v>
      </c>
      <c r="B45" s="0" t="s">
        <v>340</v>
      </c>
      <c r="C45" s="0" t="n">
        <v>4877185</v>
      </c>
      <c r="D45" s="0" t="n">
        <v>1748489</v>
      </c>
      <c r="E45" s="0" t="n">
        <v>414503</v>
      </c>
      <c r="F45" s="0" t="n">
        <v>76264</v>
      </c>
      <c r="G45" s="0" t="n">
        <f aca="false">F45/(F45+E45+D45)</f>
        <v>0.0340577406067015</v>
      </c>
      <c r="H45" s="0" t="n">
        <f aca="false">D45+E45+F45</f>
        <v>2239256</v>
      </c>
    </row>
    <row r="46" customFormat="false" ht="12.75" hidden="false" customHeight="false" outlineLevel="0" collapsed="false">
      <c r="A46" s="1" t="s">
        <v>341</v>
      </c>
      <c r="B46" s="0" t="s">
        <v>342</v>
      </c>
      <c r="C46" s="0" t="n">
        <v>16986510</v>
      </c>
      <c r="D46" s="0" t="n">
        <v>6312264</v>
      </c>
      <c r="E46" s="0" t="n">
        <v>1230794</v>
      </c>
      <c r="F46" s="0" t="n">
        <v>67429</v>
      </c>
      <c r="G46" s="0" t="n">
        <f aca="false">F46/(F46+E46+D46)</f>
        <v>0.00886001119245063</v>
      </c>
      <c r="H46" s="0" t="n">
        <f aca="false">D46+E46+F46</f>
        <v>7610487</v>
      </c>
    </row>
    <row r="47" customFormat="false" ht="12.75" hidden="false" customHeight="false" outlineLevel="0" collapsed="false">
      <c r="A47" s="1" t="s">
        <v>343</v>
      </c>
      <c r="B47" s="0" t="s">
        <v>344</v>
      </c>
      <c r="C47" s="0" t="n">
        <v>1722850</v>
      </c>
      <c r="D47" s="0" t="n">
        <v>620236</v>
      </c>
      <c r="E47" s="0" t="n">
        <v>102264</v>
      </c>
      <c r="F47" s="0" t="n">
        <v>9876</v>
      </c>
      <c r="G47" s="0" t="n">
        <f aca="false">F47/(F47+E47+D47)</f>
        <v>0.0134848766207522</v>
      </c>
      <c r="H47" s="0" t="n">
        <f aca="false">D47+E47+F47</f>
        <v>732376</v>
      </c>
    </row>
    <row r="48" customFormat="false" ht="12.75" hidden="false" customHeight="false" outlineLevel="0" collapsed="false">
      <c r="A48" s="1" t="s">
        <v>345</v>
      </c>
      <c r="B48" s="0" t="s">
        <v>346</v>
      </c>
      <c r="C48" s="0" t="n">
        <v>562758</v>
      </c>
      <c r="D48" s="0" t="n">
        <v>227512</v>
      </c>
      <c r="E48" s="0" t="n">
        <v>32641</v>
      </c>
      <c r="F48" s="0" t="n">
        <v>16612</v>
      </c>
      <c r="G48" s="0" t="n">
        <f aca="false">F48/(F48+E48+D48)</f>
        <v>0.0600220403591495</v>
      </c>
      <c r="H48" s="0" t="n">
        <f aca="false">D48+E48+F48</f>
        <v>276765</v>
      </c>
    </row>
    <row r="49" customFormat="false" ht="12.75" hidden="false" customHeight="false" outlineLevel="0" collapsed="false">
      <c r="A49" s="1" t="s">
        <v>347</v>
      </c>
      <c r="B49" s="0" t="s">
        <v>348</v>
      </c>
      <c r="C49" s="0" t="n">
        <v>6187358</v>
      </c>
      <c r="D49" s="0" t="n">
        <v>1627940</v>
      </c>
      <c r="E49" s="0" t="n">
        <v>1223270</v>
      </c>
      <c r="F49" s="0" t="n">
        <v>295648</v>
      </c>
      <c r="G49" s="0" t="n">
        <f aca="false">F49/(F49+E49+D49)</f>
        <v>0.0939502195523281</v>
      </c>
      <c r="H49" s="0" t="n">
        <f aca="false">D49+E49+F49</f>
        <v>3146858</v>
      </c>
    </row>
    <row r="50" customFormat="false" ht="12.75" hidden="false" customHeight="false" outlineLevel="0" collapsed="false">
      <c r="A50" s="1" t="s">
        <v>349</v>
      </c>
      <c r="B50" s="0" t="s">
        <v>350</v>
      </c>
      <c r="C50" s="0" t="n">
        <v>4866692</v>
      </c>
      <c r="D50" s="0" t="n">
        <v>1932957</v>
      </c>
      <c r="E50" s="0" t="n">
        <v>303961</v>
      </c>
      <c r="F50" s="0" t="n">
        <v>65748</v>
      </c>
      <c r="G50" s="0" t="n">
        <f aca="false">F50/(F50+E50+D50)</f>
        <v>0.0285529903164419</v>
      </c>
      <c r="H50" s="0" t="n">
        <f aca="false">D50+E50+F50</f>
        <v>2302666</v>
      </c>
    </row>
    <row r="51" customFormat="false" ht="12.75" hidden="false" customHeight="false" outlineLevel="0" collapsed="false">
      <c r="A51" s="1" t="s">
        <v>351</v>
      </c>
      <c r="B51" s="0" t="s">
        <v>570</v>
      </c>
      <c r="C51" s="0" t="n">
        <v>1793477</v>
      </c>
      <c r="D51" s="0" t="n">
        <v>486317</v>
      </c>
      <c r="E51" s="0" t="n">
        <v>110373</v>
      </c>
      <c r="F51" s="0" t="n">
        <v>62446</v>
      </c>
      <c r="G51" s="0" t="n">
        <f aca="false">F51/(F51+E51+D51)</f>
        <v>0.0947391737061851</v>
      </c>
      <c r="H51" s="0" t="n">
        <f aca="false">D51+E51+F51</f>
        <v>659136</v>
      </c>
    </row>
    <row r="52" customFormat="false" ht="12.75" hidden="false" customHeight="false" outlineLevel="0" collapsed="false">
      <c r="A52" s="1" t="s">
        <v>353</v>
      </c>
      <c r="B52" s="0" t="s">
        <v>354</v>
      </c>
      <c r="C52" s="0" t="n">
        <v>4891769</v>
      </c>
      <c r="D52" s="0" t="n">
        <v>1846382</v>
      </c>
      <c r="E52" s="0" t="n">
        <v>425225</v>
      </c>
      <c r="F52" s="0" t="n">
        <v>78084</v>
      </c>
      <c r="G52" s="0" t="n">
        <f aca="false">F52/(F52+E52+D52)</f>
        <v>0.0332316036449048</v>
      </c>
      <c r="H52" s="0" t="n">
        <f aca="false">D52+E52+F52</f>
        <v>2349691</v>
      </c>
    </row>
    <row r="53" customFormat="false" ht="12.75" hidden="false" customHeight="false" outlineLevel="0" collapsed="false">
      <c r="A53" s="1" t="s">
        <v>355</v>
      </c>
      <c r="B53" s="0" t="s">
        <v>356</v>
      </c>
      <c r="C53" s="0" t="n">
        <v>453588</v>
      </c>
      <c r="D53" s="0" t="n">
        <v>196211</v>
      </c>
      <c r="E53" s="0" t="n">
        <v>8040</v>
      </c>
      <c r="F53" s="0" t="n">
        <v>4123</v>
      </c>
      <c r="G53" s="0" t="n">
        <f aca="false">F53/(F53+E53+D53)</f>
        <v>0.0197865376678472</v>
      </c>
      <c r="H53" s="0" t="n">
        <f aca="false">D53+E53+F53</f>
        <v>208374</v>
      </c>
    </row>
    <row r="54" customFormat="false" ht="12.75" hidden="false" customHeight="false" outlineLevel="0" collapsed="false">
      <c r="A54" s="0" t="s">
        <v>448</v>
      </c>
      <c r="B54" s="0" t="s">
        <v>449</v>
      </c>
      <c r="C54" s="0" t="n">
        <v>606900</v>
      </c>
      <c r="D54" s="0" t="n">
        <v>236734</v>
      </c>
      <c r="E54" s="0" t="n">
        <v>0</v>
      </c>
      <c r="F54" s="0" t="n">
        <v>67694</v>
      </c>
      <c r="G54" s="0" t="n">
        <f aca="false">F54/(F54+E54+D54)</f>
        <v>0.22236456567727</v>
      </c>
      <c r="H54" s="0" t="n">
        <f aca="false">D54+E54+F54</f>
        <v>304428</v>
      </c>
    </row>
    <row r="55" customFormat="false" ht="12.75" hidden="false" customHeight="false" outlineLevel="0" collapsed="false">
      <c r="A55" s="1" t="s">
        <v>446</v>
      </c>
      <c r="B55" s="0" t="s">
        <v>260</v>
      </c>
      <c r="C55" s="0" t="n">
        <v>550043</v>
      </c>
      <c r="D55" s="0" t="n">
        <v>247129</v>
      </c>
      <c r="E55" s="0" t="n">
        <v>15043</v>
      </c>
      <c r="F55" s="0" t="n">
        <v>1589</v>
      </c>
      <c r="G55" s="0" t="n">
        <f aca="false">F55/(F55+E55+D55)</f>
        <v>0.0060243932954455</v>
      </c>
      <c r="H55" s="0" t="n">
        <f aca="false">D55+E55+F55</f>
        <v>263761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8" activeCellId="0" sqref="E28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0.778711304475772</v>
      </c>
    </row>
    <row r="5" customFormat="false" ht="12.75" hidden="false" customHeight="false" outlineLevel="0" collapsed="false">
      <c r="A5" s="6" t="s">
        <v>60</v>
      </c>
      <c r="B5" s="6" t="n">
        <v>0.606391295718358</v>
      </c>
    </row>
    <row r="6" customFormat="false" ht="12.75" hidden="false" customHeight="false" outlineLevel="0" collapsed="false">
      <c r="A6" s="6" t="s">
        <v>61</v>
      </c>
      <c r="B6" s="6" t="n">
        <v>0.552100439955373</v>
      </c>
    </row>
    <row r="7" customFormat="false" ht="12.75" hidden="false" customHeight="false" outlineLevel="0" collapsed="false">
      <c r="A7" s="6" t="s">
        <v>62</v>
      </c>
      <c r="B7" s="6" t="n">
        <v>0.0543332849273788</v>
      </c>
    </row>
    <row r="8" customFormat="false" ht="13.5" hidden="false" customHeight="false" outlineLevel="0" collapsed="false">
      <c r="A8" s="7" t="s">
        <v>63</v>
      </c>
      <c r="B8" s="7" t="n">
        <v>34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0.131891919324356</v>
      </c>
      <c r="D12" s="6" t="n">
        <v>0.032972979831089</v>
      </c>
      <c r="E12" s="6" t="n">
        <v>11.1693081126894</v>
      </c>
      <c r="F12" s="6" t="n">
        <v>1.31625292354099E-005</v>
      </c>
    </row>
    <row r="13" customFormat="false" ht="12.75" hidden="false" customHeight="false" outlineLevel="0" collapsed="false">
      <c r="A13" s="6" t="s">
        <v>71</v>
      </c>
      <c r="B13" s="6" t="n">
        <v>29</v>
      </c>
      <c r="C13" s="6" t="n">
        <v>0.0856110696789921</v>
      </c>
      <c r="D13" s="6" t="n">
        <v>0.00295210585099973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33</v>
      </c>
      <c r="C14" s="7" t="n">
        <v>0.217502989003348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-0.0440506691621161</v>
      </c>
      <c r="C17" s="6" t="n">
        <v>0.0235321495892231</v>
      </c>
      <c r="D17" s="6" t="n">
        <v>-1.8719356255618</v>
      </c>
      <c r="E17" s="6" t="n">
        <v>0.0713326216499204</v>
      </c>
      <c r="F17" s="6" t="n">
        <v>-0.0921793453058614</v>
      </c>
      <c r="G17" s="6" t="n">
        <v>0.0040780069816292</v>
      </c>
      <c r="H17" s="6" t="n">
        <v>-0.0921793453058614</v>
      </c>
      <c r="I17" s="6" t="n">
        <v>0.0040780069816292</v>
      </c>
    </row>
    <row r="18" customFormat="false" ht="12.75" hidden="false" customHeight="false" outlineLevel="0" collapsed="false">
      <c r="A18" s="6" t="s">
        <v>84</v>
      </c>
      <c r="B18" s="6" t="n">
        <v>4.26794980958351E-009</v>
      </c>
      <c r="C18" s="6" t="n">
        <v>1.63788851092365E-009</v>
      </c>
      <c r="D18" s="6" t="n">
        <v>2.60576332340025</v>
      </c>
      <c r="E18" s="6" t="n">
        <v>0.014318960442148</v>
      </c>
      <c r="F18" s="6" t="n">
        <v>9.18089848727793E-010</v>
      </c>
      <c r="G18" s="6" t="n">
        <v>7.61780977043922E-009</v>
      </c>
      <c r="H18" s="6" t="n">
        <v>9.18089848727793E-010</v>
      </c>
      <c r="I18" s="6" t="n">
        <v>7.61780977043922E-009</v>
      </c>
    </row>
    <row r="19" customFormat="false" ht="12.75" hidden="false" customHeight="false" outlineLevel="0" collapsed="false">
      <c r="A19" s="6" t="s">
        <v>105</v>
      </c>
      <c r="B19" s="6" t="n">
        <v>0.298959459939743</v>
      </c>
      <c r="C19" s="6" t="n">
        <v>0.0946156901652926</v>
      </c>
      <c r="D19" s="6" t="n">
        <v>3.15972392546589</v>
      </c>
      <c r="E19" s="6" t="n">
        <v>0.00367720487935772</v>
      </c>
      <c r="F19" s="6" t="n">
        <v>0.10544854021621</v>
      </c>
      <c r="G19" s="6" t="n">
        <v>0.492470379663276</v>
      </c>
      <c r="H19" s="6" t="n">
        <v>0.10544854021621</v>
      </c>
      <c r="I19" s="6" t="n">
        <v>0.492470379663276</v>
      </c>
    </row>
    <row r="20" customFormat="false" ht="12.75" hidden="false" customHeight="false" outlineLevel="0" collapsed="false">
      <c r="A20" s="6" t="s">
        <v>100</v>
      </c>
      <c r="B20" s="6" t="n">
        <v>0.979821597984166</v>
      </c>
      <c r="C20" s="6" t="n">
        <v>0.381503670871187</v>
      </c>
      <c r="D20" s="6" t="n">
        <v>2.56831499352728</v>
      </c>
      <c r="E20" s="6" t="n">
        <v>0.0156341908423009</v>
      </c>
      <c r="F20" s="6" t="n">
        <v>0.199558555995932</v>
      </c>
      <c r="G20" s="6" t="n">
        <v>1.7600846399724</v>
      </c>
      <c r="H20" s="6" t="n">
        <v>0.199558555995932</v>
      </c>
      <c r="I20" s="6" t="n">
        <v>1.7600846399724</v>
      </c>
    </row>
    <row r="21" customFormat="false" ht="13.5" hidden="false" customHeight="false" outlineLevel="0" collapsed="false">
      <c r="A21" s="7" t="s">
        <v>143</v>
      </c>
      <c r="B21" s="7" t="n">
        <v>86451.1975442364</v>
      </c>
      <c r="C21" s="7" t="n">
        <v>64642.9908237241</v>
      </c>
      <c r="D21" s="7" t="n">
        <v>1.33736382618777</v>
      </c>
      <c r="E21" s="7" t="n">
        <v>0.19149936777029</v>
      </c>
      <c r="F21" s="7" t="n">
        <v>-45758.6355830751</v>
      </c>
      <c r="G21" s="7" t="n">
        <v>218661.030671548</v>
      </c>
      <c r="H21" s="7" t="n">
        <v>-45758.6355830751</v>
      </c>
      <c r="I21" s="7" t="n">
        <v>218661.030671548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2" activeCellId="0" sqref="H3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0.593726658928594</v>
      </c>
    </row>
    <row r="5" customFormat="false" ht="12.75" hidden="false" customHeight="false" outlineLevel="0" collapsed="false">
      <c r="A5" s="6" t="s">
        <v>60</v>
      </c>
      <c r="B5" s="6" t="n">
        <v>0.352511345522511</v>
      </c>
    </row>
    <row r="6" customFormat="false" ht="12.75" hidden="false" customHeight="false" outlineLevel="0" collapsed="false">
      <c r="A6" s="6" t="s">
        <v>61</v>
      </c>
      <c r="B6" s="6" t="n">
        <v>0.263202565594581</v>
      </c>
    </row>
    <row r="7" customFormat="false" ht="12.75" hidden="false" customHeight="false" outlineLevel="0" collapsed="false">
      <c r="A7" s="6" t="s">
        <v>62</v>
      </c>
      <c r="B7" s="6" t="n">
        <v>2.20362863131691</v>
      </c>
    </row>
    <row r="8" customFormat="false" ht="13.5" hidden="false" customHeight="false" outlineLevel="0" collapsed="false">
      <c r="A8" s="7" t="s">
        <v>63</v>
      </c>
      <c r="B8" s="7" t="n">
        <v>34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76.6682847321329</v>
      </c>
      <c r="D12" s="6" t="n">
        <v>19.1670711830332</v>
      </c>
      <c r="E12" s="6" t="n">
        <v>3.94710739310268</v>
      </c>
      <c r="F12" s="6" t="n">
        <v>0.011194587723957</v>
      </c>
    </row>
    <row r="13" customFormat="false" ht="12.75" hidden="false" customHeight="false" outlineLevel="0" collapsed="false">
      <c r="A13" s="6" t="s">
        <v>71</v>
      </c>
      <c r="B13" s="6" t="n">
        <v>29</v>
      </c>
      <c r="C13" s="6" t="n">
        <v>140.82339519803</v>
      </c>
      <c r="D13" s="6" t="n">
        <v>4.85597914475965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33</v>
      </c>
      <c r="C14" s="7" t="n">
        <v>217.491679930163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-7.05125469851518</v>
      </c>
      <c r="C17" s="6" t="n">
        <v>0.954407940925248</v>
      </c>
      <c r="D17" s="6" t="n">
        <v>-7.38809307441361</v>
      </c>
      <c r="E17" s="6" t="n">
        <v>3.85789997472771E-008</v>
      </c>
      <c r="F17" s="6" t="n">
        <v>-9.00323917505644</v>
      </c>
      <c r="G17" s="6" t="n">
        <v>-5.09927022197393</v>
      </c>
      <c r="H17" s="6" t="n">
        <v>-9.00323917505644</v>
      </c>
      <c r="I17" s="6" t="n">
        <v>-5.09927022197393</v>
      </c>
    </row>
    <row r="18" customFormat="false" ht="12.75" hidden="false" customHeight="false" outlineLevel="0" collapsed="false">
      <c r="A18" s="6" t="s">
        <v>84</v>
      </c>
      <c r="B18" s="6" t="n">
        <v>1.38055382631188E-007</v>
      </c>
      <c r="C18" s="6" t="n">
        <v>6.64288570514469E-008</v>
      </c>
      <c r="D18" s="6" t="n">
        <v>2.0782441360427</v>
      </c>
      <c r="E18" s="6" t="n">
        <v>0.0466433709070526</v>
      </c>
      <c r="F18" s="6" t="n">
        <v>2.19304096511232E-009</v>
      </c>
      <c r="G18" s="6" t="n">
        <v>2.73917724297265E-007</v>
      </c>
      <c r="H18" s="6" t="n">
        <v>2.19304096511232E-009</v>
      </c>
      <c r="I18" s="6" t="n">
        <v>2.73917724297265E-007</v>
      </c>
    </row>
    <row r="19" customFormat="false" ht="12.75" hidden="false" customHeight="false" outlineLevel="0" collapsed="false">
      <c r="A19" s="6" t="s">
        <v>105</v>
      </c>
      <c r="B19" s="6" t="n">
        <v>8.85731429516874</v>
      </c>
      <c r="C19" s="6" t="n">
        <v>3.83738704734537</v>
      </c>
      <c r="D19" s="6" t="n">
        <v>2.30816286861031</v>
      </c>
      <c r="E19" s="6" t="n">
        <v>0.0283185126640117</v>
      </c>
      <c r="F19" s="6" t="n">
        <v>1.00897227525955</v>
      </c>
      <c r="G19" s="6" t="n">
        <v>16.7056563150779</v>
      </c>
      <c r="H19" s="6" t="n">
        <v>1.00897227525955</v>
      </c>
      <c r="I19" s="6" t="n">
        <v>16.7056563150779</v>
      </c>
    </row>
    <row r="20" customFormat="false" ht="12.75" hidden="false" customHeight="false" outlineLevel="0" collapsed="false">
      <c r="A20" s="6" t="s">
        <v>100</v>
      </c>
      <c r="B20" s="6" t="n">
        <v>23.0310924726042</v>
      </c>
      <c r="C20" s="6" t="n">
        <v>15.4728802649777</v>
      </c>
      <c r="D20" s="6" t="n">
        <v>1.48848127033816</v>
      </c>
      <c r="E20" s="6" t="n">
        <v>0.147418855088009</v>
      </c>
      <c r="F20" s="6" t="n">
        <v>-8.6145181615005</v>
      </c>
      <c r="G20" s="6" t="n">
        <v>54.676703106709</v>
      </c>
      <c r="H20" s="6" t="n">
        <v>-8.6145181615005</v>
      </c>
      <c r="I20" s="6" t="n">
        <v>54.676703106709</v>
      </c>
    </row>
    <row r="21" customFormat="false" ht="13.5" hidden="false" customHeight="false" outlineLevel="0" collapsed="false">
      <c r="A21" s="7" t="s">
        <v>143</v>
      </c>
      <c r="B21" s="7" t="n">
        <v>-501738.592112288</v>
      </c>
      <c r="C21" s="7" t="n">
        <v>2621765.74789304</v>
      </c>
      <c r="D21" s="7" t="n">
        <v>-0.191374302801655</v>
      </c>
      <c r="E21" s="7" t="n">
        <v>0.849565966257148</v>
      </c>
      <c r="F21" s="7" t="n">
        <v>-5863854.54019785</v>
      </c>
      <c r="G21" s="7" t="n">
        <v>4860377.35597327</v>
      </c>
      <c r="H21" s="7" t="n">
        <v>-5863854.54019785</v>
      </c>
      <c r="I21" s="7" t="n">
        <v>4860377.35597327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4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0.770263876946544</v>
      </c>
    </row>
    <row r="5" customFormat="false" ht="12.75" hidden="false" customHeight="false" outlineLevel="0" collapsed="false">
      <c r="A5" s="6" t="s">
        <v>60</v>
      </c>
      <c r="B5" s="6" t="n">
        <v>0.593306440128721</v>
      </c>
    </row>
    <row r="6" customFormat="false" ht="12.75" hidden="false" customHeight="false" outlineLevel="0" collapsed="false">
      <c r="A6" s="6" t="s">
        <v>61</v>
      </c>
      <c r="B6" s="6" t="n">
        <v>0.5372107766982</v>
      </c>
    </row>
    <row r="7" customFormat="false" ht="12.75" hidden="false" customHeight="false" outlineLevel="0" collapsed="false">
      <c r="A7" s="6" t="s">
        <v>62</v>
      </c>
      <c r="B7" s="6" t="n">
        <v>0.0552290106426509</v>
      </c>
    </row>
    <row r="8" customFormat="false" ht="13.5" hidden="false" customHeight="false" outlineLevel="0" collapsed="false">
      <c r="A8" s="7" t="s">
        <v>63</v>
      </c>
      <c r="B8" s="7" t="n">
        <v>34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0.129045924122933</v>
      </c>
      <c r="D12" s="6" t="n">
        <v>0.0322614810307332</v>
      </c>
      <c r="E12" s="6" t="n">
        <v>10.5766899586378</v>
      </c>
      <c r="F12" s="6" t="n">
        <v>2.07386341183208E-005</v>
      </c>
    </row>
    <row r="13" customFormat="false" ht="12.75" hidden="false" customHeight="false" outlineLevel="0" collapsed="false">
      <c r="A13" s="6" t="s">
        <v>71</v>
      </c>
      <c r="B13" s="6" t="n">
        <v>29</v>
      </c>
      <c r="C13" s="6" t="n">
        <v>0.0884570648804153</v>
      </c>
      <c r="D13" s="6" t="n">
        <v>0.00305024361656604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33</v>
      </c>
      <c r="C14" s="7" t="n">
        <v>0.217502989003348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-0.0454341094055887</v>
      </c>
      <c r="C17" s="6" t="n">
        <v>0.02395175807645</v>
      </c>
      <c r="D17" s="6" t="n">
        <v>-1.89690081456946</v>
      </c>
      <c r="E17" s="6" t="n">
        <v>0.0678407677982662</v>
      </c>
      <c r="F17" s="6" t="n">
        <v>-0.0944209817337643</v>
      </c>
      <c r="G17" s="6" t="n">
        <v>0.00355276292258684</v>
      </c>
      <c r="H17" s="6" t="n">
        <v>-0.0944209817337643</v>
      </c>
      <c r="I17" s="6" t="n">
        <v>0.00355276292258684</v>
      </c>
    </row>
    <row r="18" customFormat="false" ht="12.75" hidden="false" customHeight="false" outlineLevel="0" collapsed="false">
      <c r="A18" s="6" t="s">
        <v>84</v>
      </c>
      <c r="B18" s="6" t="n">
        <v>4.3336853945452E-009</v>
      </c>
      <c r="C18" s="6" t="n">
        <v>1.66392514556284E-009</v>
      </c>
      <c r="D18" s="6" t="n">
        <v>2.60449540419638</v>
      </c>
      <c r="E18" s="6" t="n">
        <v>0.0143617594728726</v>
      </c>
      <c r="F18" s="6" t="n">
        <v>9.30574507688396E-010</v>
      </c>
      <c r="G18" s="6" t="n">
        <v>7.73679628140201E-009</v>
      </c>
      <c r="H18" s="6" t="n">
        <v>9.30574507688396E-010</v>
      </c>
      <c r="I18" s="6" t="n">
        <v>7.73679628140201E-009</v>
      </c>
    </row>
    <row r="19" customFormat="false" ht="12.75" hidden="false" customHeight="false" outlineLevel="0" collapsed="false">
      <c r="A19" s="6" t="s">
        <v>105</v>
      </c>
      <c r="B19" s="6" t="n">
        <v>0.298485652097628</v>
      </c>
      <c r="C19" s="6" t="n">
        <v>0.106890333676779</v>
      </c>
      <c r="D19" s="6" t="n">
        <v>2.79244756593431</v>
      </c>
      <c r="E19" s="6" t="n">
        <v>0.00916479080336882</v>
      </c>
      <c r="F19" s="6" t="n">
        <v>0.0798702539198693</v>
      </c>
      <c r="G19" s="6" t="n">
        <v>0.517101050275386</v>
      </c>
      <c r="H19" s="6" t="n">
        <v>0.0798702539198693</v>
      </c>
      <c r="I19" s="6" t="n">
        <v>0.517101050275386</v>
      </c>
    </row>
    <row r="20" customFormat="false" ht="12.75" hidden="false" customHeight="false" outlineLevel="0" collapsed="false">
      <c r="A20" s="6" t="s">
        <v>100</v>
      </c>
      <c r="B20" s="6" t="n">
        <v>0.861119659585697</v>
      </c>
      <c r="C20" s="6" t="n">
        <v>0.414908227957122</v>
      </c>
      <c r="D20" s="6" t="n">
        <v>2.07544609039349</v>
      </c>
      <c r="E20" s="6" t="n">
        <v>0.0469199121575806</v>
      </c>
      <c r="F20" s="6" t="n">
        <v>0.0125365899850913</v>
      </c>
      <c r="G20" s="6" t="n">
        <v>1.7097027291863</v>
      </c>
      <c r="H20" s="6" t="n">
        <v>0.0125365899850913</v>
      </c>
      <c r="I20" s="6" t="n">
        <v>1.7097027291863</v>
      </c>
    </row>
    <row r="21" customFormat="false" ht="13.5" hidden="false" customHeight="false" outlineLevel="0" collapsed="false">
      <c r="A21" s="7" t="s">
        <v>373</v>
      </c>
      <c r="B21" s="7" t="n">
        <v>2.02034630247141</v>
      </c>
      <c r="C21" s="7" t="n">
        <v>2.26170240634058</v>
      </c>
      <c r="D21" s="7" t="n">
        <v>0.893285649255826</v>
      </c>
      <c r="E21" s="7" t="n">
        <v>0.379057629640849</v>
      </c>
      <c r="F21" s="7" t="n">
        <v>-2.60535702461207</v>
      </c>
      <c r="G21" s="7" t="n">
        <v>6.64604962955489</v>
      </c>
      <c r="H21" s="7" t="n">
        <v>-2.60535702461207</v>
      </c>
      <c r="I21" s="7" t="n">
        <v>6.64604962955489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4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0.774667781366917</v>
      </c>
    </row>
    <row r="5" customFormat="false" ht="12.75" hidden="false" customHeight="false" outlineLevel="0" collapsed="false">
      <c r="A5" s="6" t="s">
        <v>60</v>
      </c>
      <c r="B5" s="6" t="n">
        <v>0.600110171487941</v>
      </c>
    </row>
    <row r="6" customFormat="false" ht="12.75" hidden="false" customHeight="false" outlineLevel="0" collapsed="false">
      <c r="A6" s="6" t="s">
        <v>61</v>
      </c>
      <c r="B6" s="6" t="n">
        <v>0.54495295376214</v>
      </c>
    </row>
    <row r="7" customFormat="false" ht="12.75" hidden="false" customHeight="false" outlineLevel="0" collapsed="false">
      <c r="A7" s="6" t="s">
        <v>62</v>
      </c>
      <c r="B7" s="6" t="n">
        <v>0.054765088606863</v>
      </c>
    </row>
    <row r="8" customFormat="false" ht="13.5" hidden="false" customHeight="false" outlineLevel="0" collapsed="false">
      <c r="A8" s="7" t="s">
        <v>63</v>
      </c>
      <c r="B8" s="7" t="n">
        <v>34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4</v>
      </c>
      <c r="C12" s="6" t="n">
        <v>0.130525756029939</v>
      </c>
      <c r="D12" s="6" t="n">
        <v>0.0326314390074848</v>
      </c>
      <c r="E12" s="6" t="n">
        <v>10.8799935209064</v>
      </c>
      <c r="F12" s="6" t="n">
        <v>1.64050832427618E-005</v>
      </c>
    </row>
    <row r="13" customFormat="false" ht="12.75" hidden="false" customHeight="false" outlineLevel="0" collapsed="false">
      <c r="A13" s="6" t="s">
        <v>71</v>
      </c>
      <c r="B13" s="6" t="n">
        <v>29</v>
      </c>
      <c r="C13" s="6" t="n">
        <v>0.0869772329734092</v>
      </c>
      <c r="D13" s="6" t="n">
        <v>0.00299921493011756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33</v>
      </c>
      <c r="C14" s="7" t="n">
        <v>0.217502989003348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-0.0435937475545204</v>
      </c>
      <c r="C17" s="6" t="n">
        <v>0.0238926260143037</v>
      </c>
      <c r="D17" s="6" t="n">
        <v>-1.82456911720053</v>
      </c>
      <c r="E17" s="6" t="n">
        <v>0.078384883616584</v>
      </c>
      <c r="F17" s="6" t="n">
        <v>-0.0924596811704052</v>
      </c>
      <c r="G17" s="6" t="n">
        <v>0.00527218606136438</v>
      </c>
      <c r="H17" s="6" t="n">
        <v>-0.0924596811704052</v>
      </c>
      <c r="I17" s="6" t="n">
        <v>0.00527218606136438</v>
      </c>
    </row>
    <row r="18" customFormat="false" ht="12.75" hidden="false" customHeight="false" outlineLevel="0" collapsed="false">
      <c r="A18" s="6" t="s">
        <v>84</v>
      </c>
      <c r="B18" s="6" t="n">
        <v>4.31517038930169E-009</v>
      </c>
      <c r="C18" s="6" t="n">
        <v>1.649435116691E-009</v>
      </c>
      <c r="D18" s="6" t="n">
        <v>2.61615042970501</v>
      </c>
      <c r="E18" s="6" t="n">
        <v>0.0139727706886805</v>
      </c>
      <c r="F18" s="6" t="n">
        <v>9.41694955179108E-010</v>
      </c>
      <c r="G18" s="6" t="n">
        <v>7.68864582342427E-009</v>
      </c>
      <c r="H18" s="6" t="n">
        <v>9.41694955179108E-010</v>
      </c>
      <c r="I18" s="6" t="n">
        <v>7.68864582342427E-009</v>
      </c>
    </row>
    <row r="19" customFormat="false" ht="12.75" hidden="false" customHeight="false" outlineLevel="0" collapsed="false">
      <c r="A19" s="6" t="s">
        <v>105</v>
      </c>
      <c r="B19" s="6" t="n">
        <v>0.296377084451968</v>
      </c>
      <c r="C19" s="6" t="n">
        <v>0.0997013937898745</v>
      </c>
      <c r="D19" s="6" t="n">
        <v>2.97264735412422</v>
      </c>
      <c r="E19" s="6" t="n">
        <v>0.00588692490318324</v>
      </c>
      <c r="F19" s="6" t="n">
        <v>0.0924647272489333</v>
      </c>
      <c r="G19" s="6" t="n">
        <v>0.500289441655002</v>
      </c>
      <c r="H19" s="6" t="n">
        <v>0.0924647272489333</v>
      </c>
      <c r="I19" s="6" t="n">
        <v>0.500289441655002</v>
      </c>
    </row>
    <row r="20" customFormat="false" ht="12.75" hidden="false" customHeight="false" outlineLevel="0" collapsed="false">
      <c r="A20" s="6" t="s">
        <v>100</v>
      </c>
      <c r="B20" s="6" t="n">
        <v>0.930103953482893</v>
      </c>
      <c r="C20" s="6" t="n">
        <v>0.388353489090246</v>
      </c>
      <c r="D20" s="6" t="n">
        <v>2.39499316888268</v>
      </c>
      <c r="E20" s="6" t="n">
        <v>0.0233020978545769</v>
      </c>
      <c r="F20" s="6" t="n">
        <v>0.135831452585747</v>
      </c>
      <c r="G20" s="6" t="n">
        <v>1.72437645438004</v>
      </c>
      <c r="H20" s="6" t="n">
        <v>0.135831452585747</v>
      </c>
      <c r="I20" s="6" t="n">
        <v>1.72437645438004</v>
      </c>
    </row>
    <row r="21" customFormat="false" ht="13.5" hidden="false" customHeight="false" outlineLevel="0" collapsed="false">
      <c r="A21" s="7" t="s">
        <v>373</v>
      </c>
      <c r="B21" s="7" t="n">
        <v>77.631863150235</v>
      </c>
      <c r="C21" s="7" t="n">
        <v>67.9585927986704</v>
      </c>
      <c r="D21" s="7" t="n">
        <v>1.14234065117007</v>
      </c>
      <c r="E21" s="7" t="n">
        <v>0.262656616526685</v>
      </c>
      <c r="F21" s="7" t="n">
        <v>-61.3591411178054</v>
      </c>
      <c r="G21" s="7" t="n">
        <v>216.622867418275</v>
      </c>
      <c r="H21" s="7" t="n">
        <v>-61.3591411178054</v>
      </c>
      <c r="I21" s="7" t="n">
        <v>216.622867418275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2.85"/>
  </cols>
  <sheetData>
    <row r="1" customFormat="false" ht="12.75" hidden="false" customHeight="false" outlineLevel="0" collapsed="false">
      <c r="A1" s="0" t="s">
        <v>96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5" t="s">
        <v>58</v>
      </c>
      <c r="B3" s="5"/>
    </row>
    <row r="4" customFormat="false" ht="12.75" hidden="false" customHeight="false" outlineLevel="0" collapsed="false">
      <c r="A4" s="6" t="s">
        <v>59</v>
      </c>
      <c r="B4" s="6" t="n">
        <v>0.762965219870831</v>
      </c>
    </row>
    <row r="5" customFormat="false" ht="12.75" hidden="false" customHeight="false" outlineLevel="0" collapsed="false">
      <c r="A5" s="6" t="s">
        <v>60</v>
      </c>
      <c r="B5" s="6" t="n">
        <v>0.582115926732546</v>
      </c>
    </row>
    <row r="6" customFormat="false" ht="12.75" hidden="false" customHeight="false" outlineLevel="0" collapsed="false">
      <c r="A6" s="6" t="s">
        <v>61</v>
      </c>
      <c r="B6" s="6" t="n">
        <v>0.540327519405801</v>
      </c>
    </row>
    <row r="7" customFormat="false" ht="12.75" hidden="false" customHeight="false" outlineLevel="0" collapsed="false">
      <c r="A7" s="6" t="s">
        <v>62</v>
      </c>
      <c r="B7" s="6" t="n">
        <v>0.0550427212846426</v>
      </c>
    </row>
    <row r="8" customFormat="false" ht="13.5" hidden="false" customHeight="false" outlineLevel="0" collapsed="false">
      <c r="A8" s="7" t="s">
        <v>63</v>
      </c>
      <c r="B8" s="7" t="n">
        <v>34</v>
      </c>
    </row>
    <row r="10" customFormat="false" ht="13.5" hidden="false" customHeight="false" outlineLevel="0" collapsed="false">
      <c r="A10" s="0" t="s">
        <v>64</v>
      </c>
    </row>
    <row r="11" customFormat="false" ht="12.75" hidden="false" customHeight="false" outlineLevel="0" collapsed="false">
      <c r="A11" s="5"/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customFormat="false" ht="12.75" hidden="false" customHeight="false" outlineLevel="0" collapsed="false">
      <c r="A12" s="6" t="s">
        <v>70</v>
      </c>
      <c r="B12" s="6" t="n">
        <v>3</v>
      </c>
      <c r="C12" s="6" t="n">
        <v>0.126611954010783</v>
      </c>
      <c r="D12" s="6" t="n">
        <v>0.042203984670261</v>
      </c>
      <c r="E12" s="6" t="n">
        <v>13.9300816654953</v>
      </c>
      <c r="F12" s="6" t="n">
        <v>7.22619290505231E-006</v>
      </c>
    </row>
    <row r="13" customFormat="false" ht="12.75" hidden="false" customHeight="false" outlineLevel="0" collapsed="false">
      <c r="A13" s="6" t="s">
        <v>71</v>
      </c>
      <c r="B13" s="6" t="n">
        <v>30</v>
      </c>
      <c r="C13" s="6" t="n">
        <v>0.0908910349925654</v>
      </c>
      <c r="D13" s="6" t="n">
        <v>0.00302970116641885</v>
      </c>
      <c r="E13" s="6"/>
      <c r="F13" s="6"/>
    </row>
    <row r="14" customFormat="false" ht="13.5" hidden="false" customHeight="false" outlineLevel="0" collapsed="false">
      <c r="A14" s="7" t="s">
        <v>72</v>
      </c>
      <c r="B14" s="7" t="n">
        <v>33</v>
      </c>
      <c r="C14" s="7" t="n">
        <v>0.217502989003348</v>
      </c>
      <c r="D14" s="7"/>
      <c r="E14" s="7"/>
      <c r="F14" s="7"/>
    </row>
    <row r="15" customFormat="false" ht="13.5" hidden="false" customHeight="false" outlineLevel="0" collapsed="false"/>
    <row r="16" customFormat="false" ht="12.75" hidden="false" customHeight="false" outlineLevel="0" collapsed="false">
      <c r="A16" s="5"/>
      <c r="B16" s="5" t="s">
        <v>73</v>
      </c>
      <c r="C16" s="5" t="s">
        <v>62</v>
      </c>
      <c r="D16" s="5" t="s">
        <v>74</v>
      </c>
      <c r="E16" s="5" t="s">
        <v>75</v>
      </c>
      <c r="F16" s="5" t="s">
        <v>76</v>
      </c>
      <c r="G16" s="5" t="s">
        <v>77</v>
      </c>
      <c r="H16" s="5" t="s">
        <v>78</v>
      </c>
      <c r="I16" s="5" t="s">
        <v>79</v>
      </c>
    </row>
    <row r="17" customFormat="false" ht="12.75" hidden="false" customHeight="false" outlineLevel="0" collapsed="false">
      <c r="A17" s="6" t="s">
        <v>80</v>
      </c>
      <c r="B17" s="6" t="n">
        <v>-0.0489152224217186</v>
      </c>
      <c r="C17" s="6" t="n">
        <v>0.0235528971325322</v>
      </c>
      <c r="D17" s="6" t="n">
        <v>-2.07682401644573</v>
      </c>
      <c r="E17" s="6" t="n">
        <v>0.046479418905102</v>
      </c>
      <c r="F17" s="6" t="n">
        <v>-0.09701660595877</v>
      </c>
      <c r="G17" s="6" t="n">
        <v>-0.00081383888466726</v>
      </c>
      <c r="H17" s="6" t="n">
        <v>-0.09701660595877</v>
      </c>
      <c r="I17" s="6" t="n">
        <v>-0.00081383888466726</v>
      </c>
    </row>
    <row r="18" customFormat="false" ht="12.75" hidden="false" customHeight="false" outlineLevel="0" collapsed="false">
      <c r="A18" s="6" t="s">
        <v>84</v>
      </c>
      <c r="B18" s="6" t="n">
        <v>4.43572578161001E-009</v>
      </c>
      <c r="C18" s="6" t="n">
        <v>1.65440025337383E-009</v>
      </c>
      <c r="D18" s="6" t="n">
        <v>2.68116846123796</v>
      </c>
      <c r="E18" s="6" t="n">
        <v>0.0118069860738938</v>
      </c>
      <c r="F18" s="6" t="n">
        <v>1.05699319242836E-009</v>
      </c>
      <c r="G18" s="6" t="n">
        <v>7.81445837079165E-009</v>
      </c>
      <c r="H18" s="6" t="n">
        <v>1.05699319242836E-009</v>
      </c>
      <c r="I18" s="6" t="n">
        <v>7.81445837079165E-009</v>
      </c>
    </row>
    <row r="19" customFormat="false" ht="12.75" hidden="false" customHeight="false" outlineLevel="0" collapsed="false">
      <c r="A19" s="6" t="s">
        <v>105</v>
      </c>
      <c r="B19" s="6" t="n">
        <v>0.354838026588109</v>
      </c>
      <c r="C19" s="6" t="n">
        <v>0.0859985937221518</v>
      </c>
      <c r="D19" s="6" t="n">
        <v>4.12609103509921</v>
      </c>
      <c r="E19" s="6" t="n">
        <v>0.000269718806603016</v>
      </c>
      <c r="F19" s="6" t="n">
        <v>0.179205648244191</v>
      </c>
      <c r="G19" s="6" t="n">
        <v>0.530470404932028</v>
      </c>
      <c r="H19" s="6" t="n">
        <v>0.179205648244191</v>
      </c>
      <c r="I19" s="6" t="n">
        <v>0.530470404932028</v>
      </c>
    </row>
    <row r="20" customFormat="false" ht="13.5" hidden="false" customHeight="false" outlineLevel="0" collapsed="false">
      <c r="A20" s="7" t="s">
        <v>100</v>
      </c>
      <c r="B20" s="7" t="n">
        <v>0.99322058275638</v>
      </c>
      <c r="C20" s="7" t="n">
        <v>0.386351712690811</v>
      </c>
      <c r="D20" s="7" t="n">
        <v>2.57076790429873</v>
      </c>
      <c r="E20" s="7" t="n">
        <v>0.0153510641396006</v>
      </c>
      <c r="F20" s="7" t="n">
        <v>0.204185934162413</v>
      </c>
      <c r="G20" s="7" t="n">
        <v>1.78225523135035</v>
      </c>
      <c r="H20" s="7" t="n">
        <v>0.204185934162413</v>
      </c>
      <c r="I20" s="7" t="n">
        <v>1.78225523135035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9" min="9" style="0" width="12.7"/>
  </cols>
  <sheetData>
    <row r="1" customFormat="false" ht="12.75" hidden="false" customHeight="false" outlineLevel="0" collapsed="false">
      <c r="A1" s="0" t="s">
        <v>0</v>
      </c>
      <c r="B1" s="0" t="s">
        <v>251</v>
      </c>
      <c r="C1" s="0" t="s">
        <v>117</v>
      </c>
      <c r="D1" s="0" t="s">
        <v>253</v>
      </c>
      <c r="E1" s="1" t="s">
        <v>84</v>
      </c>
      <c r="F1" s="2" t="s">
        <v>105</v>
      </c>
      <c r="G1" s="2" t="s">
        <v>100</v>
      </c>
      <c r="H1" s="2" t="s">
        <v>373</v>
      </c>
      <c r="I1" s="2" t="s">
        <v>143</v>
      </c>
    </row>
    <row r="2" customFormat="false" ht="12.75" hidden="false" customHeight="false" outlineLevel="0" collapsed="false">
      <c r="A2" s="1" t="s">
        <v>266</v>
      </c>
      <c r="B2" s="0" t="s">
        <v>11</v>
      </c>
      <c r="C2" s="2" t="n">
        <v>0.0211415213324095</v>
      </c>
      <c r="D2" s="0" t="n">
        <f aca="false">LN(C2/(1-C2))</f>
        <v>-3.83514813256212</v>
      </c>
      <c r="E2" s="1" t="n">
        <v>31589153</v>
      </c>
      <c r="F2" s="2" t="n">
        <v>0</v>
      </c>
      <c r="G2" s="2" t="n">
        <v>0.004523030247648</v>
      </c>
      <c r="H2" s="2" t="n">
        <f aca="false">I2^0.5</f>
        <v>1.07628117852496E-006</v>
      </c>
      <c r="I2" s="38" t="n">
        <v>1.15838117524707E-012</v>
      </c>
    </row>
    <row r="3" customFormat="false" ht="12.75" hidden="false" customHeight="false" outlineLevel="0" collapsed="false">
      <c r="A3" s="1" t="s">
        <v>268</v>
      </c>
      <c r="B3" s="0" t="s">
        <v>12</v>
      </c>
      <c r="C3" s="2" t="n">
        <v>0.00295777769394722</v>
      </c>
      <c r="D3" s="0" t="n">
        <f aca="false">LN(C3/(1-C3))</f>
        <v>-5.82035491113091</v>
      </c>
      <c r="E3" s="1" t="n">
        <v>3746585</v>
      </c>
      <c r="F3" s="2" t="n">
        <v>0.0147863247863248</v>
      </c>
      <c r="G3" s="2" t="n">
        <v>0.00794454114516863</v>
      </c>
      <c r="H3" s="49" t="n">
        <f aca="false">I3^0.5</f>
        <v>8.11351639293046E-007</v>
      </c>
      <c r="I3" s="38" t="n">
        <v>6.58291482583513E-013</v>
      </c>
    </row>
    <row r="4" customFormat="false" ht="12.75" hidden="false" customHeight="false" outlineLevel="0" collapsed="false">
      <c r="A4" s="1" t="s">
        <v>270</v>
      </c>
      <c r="B4" s="0" t="s">
        <v>13</v>
      </c>
      <c r="C4" s="2" t="n">
        <v>0.000259885785260088</v>
      </c>
      <c r="D4" s="0" t="n">
        <f aca="false">LN(C4/(1-C4))</f>
        <v>-8.25500839136353</v>
      </c>
      <c r="E4" s="1" t="n">
        <v>3274662</v>
      </c>
      <c r="F4" s="2" t="n">
        <v>0.357749077490775</v>
      </c>
      <c r="G4" s="2" t="n">
        <v>0.0456124226267046</v>
      </c>
      <c r="H4" s="49" t="n">
        <f aca="false">I4^0.5</f>
        <v>0.000163700382440606</v>
      </c>
      <c r="I4" s="38" t="n">
        <v>2.67978152112005E-008</v>
      </c>
    </row>
    <row r="5" customFormat="false" ht="12.75" hidden="false" customHeight="false" outlineLevel="0" collapsed="false">
      <c r="A5" s="1" t="s">
        <v>272</v>
      </c>
      <c r="B5" s="0" t="s">
        <v>14</v>
      </c>
      <c r="C5" s="2" t="n">
        <v>0.252590047672857</v>
      </c>
      <c r="D5" s="0" t="n">
        <f aca="false">LN(C5/(1-C5))</f>
        <v>-1.08484602330716</v>
      </c>
      <c r="E5" s="1" t="n">
        <v>717197</v>
      </c>
      <c r="F5" s="2" t="n">
        <v>0.219607843137255</v>
      </c>
      <c r="G5" s="2" t="n">
        <v>0.138328875404208</v>
      </c>
      <c r="H5" s="49" t="n">
        <f aca="false">I5^0.5</f>
        <v>0.00014285755996803</v>
      </c>
      <c r="I5" s="38" t="n">
        <v>2.04082824400193E-008</v>
      </c>
    </row>
    <row r="6" customFormat="false" ht="12.75" hidden="false" customHeight="false" outlineLevel="0" collapsed="false">
      <c r="A6" s="1" t="s">
        <v>274</v>
      </c>
      <c r="B6" s="0" t="s">
        <v>15</v>
      </c>
      <c r="C6" s="2" t="n">
        <v>0.0778335546482334</v>
      </c>
      <c r="D6" s="0" t="n">
        <f aca="false">LN(C6/(1-C6))</f>
        <v>-2.4721531017925</v>
      </c>
      <c r="E6" s="1" t="n">
        <v>14165570</v>
      </c>
      <c r="F6" s="2" t="n">
        <v>0.111015583019882</v>
      </c>
      <c r="G6" s="2" t="n">
        <v>0.00799421046196813</v>
      </c>
      <c r="H6" s="49" t="n">
        <f aca="false">I6^0.5</f>
        <v>1.91186667663024E-006</v>
      </c>
      <c r="I6" s="38" t="n">
        <v>3.65523418920916E-012</v>
      </c>
    </row>
    <row r="7" customFormat="false" ht="12.75" hidden="false" customHeight="false" outlineLevel="0" collapsed="false">
      <c r="A7" s="1" t="s">
        <v>276</v>
      </c>
      <c r="B7" s="0" t="s">
        <v>16</v>
      </c>
      <c r="C7" s="2" t="n">
        <v>0.0041858290740556</v>
      </c>
      <c r="D7" s="0" t="n">
        <f aca="false">LN(C7/(1-C7))</f>
        <v>-5.4718558743742</v>
      </c>
      <c r="E7" s="1" t="n">
        <v>7200882</v>
      </c>
      <c r="F7" s="2" t="n">
        <v>0.00785562632696391</v>
      </c>
      <c r="G7" s="2" t="n">
        <v>0.0281378236648974</v>
      </c>
      <c r="H7" s="49" t="n">
        <f aca="false">I7^0.5</f>
        <v>9.97941273372093E-007</v>
      </c>
      <c r="I7" s="38" t="n">
        <v>9.95886785099514E-013</v>
      </c>
    </row>
    <row r="8" customFormat="false" ht="12.75" hidden="false" customHeight="false" outlineLevel="0" collapsed="false">
      <c r="A8" s="1" t="s">
        <v>282</v>
      </c>
      <c r="B8" s="0" t="s">
        <v>19</v>
      </c>
      <c r="C8" s="2" t="n">
        <v>0.0925020274991467</v>
      </c>
      <c r="D8" s="0" t="n">
        <f aca="false">LN(C8/(1-C8))</f>
        <v>-2.28346076878981</v>
      </c>
      <c r="E8" s="1" t="n">
        <v>11829940</v>
      </c>
      <c r="F8" s="2" t="n">
        <v>0.0825389755011136</v>
      </c>
      <c r="G8" s="2" t="n">
        <v>0.0281937744250442</v>
      </c>
      <c r="H8" s="49" t="n">
        <f aca="false">I8^0.5</f>
        <v>4.51972704324002E-007</v>
      </c>
      <c r="I8" s="38" t="n">
        <v>2.04279325453952E-013</v>
      </c>
    </row>
    <row r="9" customFormat="false" ht="12.75" hidden="false" customHeight="false" outlineLevel="0" collapsed="false">
      <c r="A9" s="1" t="s">
        <v>284</v>
      </c>
      <c r="B9" s="0" t="s">
        <v>20</v>
      </c>
      <c r="C9" s="2" t="n">
        <v>0.0425729531743058</v>
      </c>
      <c r="D9" s="0" t="n">
        <f aca="false">LN(C9/(1-C9))</f>
        <v>-3.11303037721925</v>
      </c>
      <c r="E9" s="1" t="n">
        <v>5803471</v>
      </c>
      <c r="F9" s="2" t="n">
        <v>0.120414428242517</v>
      </c>
      <c r="G9" s="2" t="n">
        <v>0.03280824193038</v>
      </c>
      <c r="H9" s="49" t="n">
        <f aca="false">I9^0.5</f>
        <v>6.89446766706679E-006</v>
      </c>
      <c r="I9" s="38" t="n">
        <v>4.75336844122294E-011</v>
      </c>
    </row>
    <row r="10" customFormat="false" ht="12.75" hidden="false" customHeight="false" outlineLevel="0" collapsed="false">
      <c r="A10" s="1" t="s">
        <v>286</v>
      </c>
      <c r="B10" s="0" t="s">
        <v>21</v>
      </c>
      <c r="C10" s="2" t="n">
        <v>0.00107334901207605</v>
      </c>
      <c r="D10" s="0" t="n">
        <f aca="false">LN(C10/(1-C10))</f>
        <v>-6.8358976752127</v>
      </c>
      <c r="E10" s="1" t="n">
        <v>2841764</v>
      </c>
      <c r="F10" s="2" t="n">
        <v>0</v>
      </c>
      <c r="G10" s="2" t="n">
        <v>0.0369184324665151</v>
      </c>
      <c r="H10" s="49" t="n">
        <f aca="false">I10^0.5</f>
        <v>3.06316372059699E-006</v>
      </c>
      <c r="I10" s="38" t="n">
        <v>9.38297197918158E-012</v>
      </c>
    </row>
    <row r="11" customFormat="false" ht="12.75" hidden="false" customHeight="false" outlineLevel="0" collapsed="false">
      <c r="A11" s="1" t="s">
        <v>288</v>
      </c>
      <c r="B11" s="0" t="s">
        <v>22</v>
      </c>
      <c r="C11" s="2" t="n">
        <v>0.0645640225441334</v>
      </c>
      <c r="D11" s="0" t="n">
        <f aca="false">LN(C11/(1-C11))</f>
        <v>-2.67335537757423</v>
      </c>
      <c r="E11" s="1" t="n">
        <v>2565328</v>
      </c>
      <c r="F11" s="2" t="n">
        <v>0.238988095238095</v>
      </c>
      <c r="G11" s="2" t="n">
        <v>0.0706260870607761</v>
      </c>
      <c r="H11" s="49" t="n">
        <f aca="false">I11^0.5</f>
        <v>2.89748553158722E-007</v>
      </c>
      <c r="I11" s="38" t="n">
        <v>8.3954224057573E-014</v>
      </c>
    </row>
    <row r="12" customFormat="false" ht="12.75" hidden="false" customHeight="false" outlineLevel="0" collapsed="false">
      <c r="A12" s="1" t="s">
        <v>290</v>
      </c>
      <c r="B12" s="0" t="s">
        <v>23</v>
      </c>
      <c r="C12" s="2" t="n">
        <v>0.00845328299918051</v>
      </c>
      <c r="D12" s="0" t="n">
        <f aca="false">LN(C12/(1-C12))</f>
        <v>-4.76471117782185</v>
      </c>
      <c r="E12" s="1" t="n">
        <v>3860219</v>
      </c>
      <c r="F12" s="2" t="n">
        <v>0.239415204678363</v>
      </c>
      <c r="G12" s="2" t="n">
        <v>0.0625602364619358</v>
      </c>
      <c r="H12" s="49" t="n">
        <f aca="false">I12^0.5</f>
        <v>6.79474386643197E-006</v>
      </c>
      <c r="I12" s="38" t="n">
        <v>4.61685442104148E-011</v>
      </c>
    </row>
    <row r="13" customFormat="false" ht="12.75" hidden="false" customHeight="false" outlineLevel="0" collapsed="false">
      <c r="A13" s="1" t="s">
        <v>292</v>
      </c>
      <c r="B13" s="0" t="s">
        <v>24</v>
      </c>
      <c r="C13" s="2" t="n">
        <v>0.0293839643250748</v>
      </c>
      <c r="D13" s="0" t="n">
        <f aca="false">LN(C13/(1-C13))</f>
        <v>-3.49748186381578</v>
      </c>
      <c r="E13" s="1" t="n">
        <v>4342334</v>
      </c>
      <c r="F13" s="2" t="n">
        <v>0</v>
      </c>
      <c r="G13" s="2" t="n">
        <v>0.0211147303966919</v>
      </c>
      <c r="H13" s="49" t="n">
        <f aca="false">I13^0.5</f>
        <v>1.60256982510852E-006</v>
      </c>
      <c r="I13" s="38" t="n">
        <v>2.56823004434834E-012</v>
      </c>
    </row>
    <row r="14" customFormat="false" ht="12.75" hidden="false" customHeight="false" outlineLevel="0" collapsed="false">
      <c r="A14" s="1" t="s">
        <v>294</v>
      </c>
      <c r="B14" s="0" t="s">
        <v>25</v>
      </c>
      <c r="C14" s="2" t="n">
        <v>0.105088318367691</v>
      </c>
      <c r="D14" s="0" t="n">
        <f aca="false">LN(C14/(1-C14))</f>
        <v>-2.14192390974572</v>
      </c>
      <c r="E14" s="1" t="n">
        <v>1241382</v>
      </c>
      <c r="F14" s="2" t="n">
        <v>0.292950391644909</v>
      </c>
      <c r="G14" s="2" t="n">
        <v>0.0206121747105353</v>
      </c>
      <c r="H14" s="49" t="n">
        <f aca="false">I14^0.5</f>
        <v>1.63042214780006E-005</v>
      </c>
      <c r="I14" s="38" t="n">
        <v>2.65827638003696E-010</v>
      </c>
    </row>
    <row r="15" customFormat="false" ht="12.75" hidden="false" customHeight="false" outlineLevel="0" collapsed="false">
      <c r="A15" s="1" t="s">
        <v>296</v>
      </c>
      <c r="B15" s="0" t="s">
        <v>26</v>
      </c>
      <c r="C15" s="2" t="n">
        <v>0.0702579161473665</v>
      </c>
      <c r="D15" s="0" t="n">
        <f aca="false">LN(C15/(1-C15))</f>
        <v>-2.58273423125663</v>
      </c>
      <c r="E15" s="1" t="n">
        <v>5042438</v>
      </c>
      <c r="F15" s="2" t="n">
        <v>0.059493670886076</v>
      </c>
      <c r="G15" s="2" t="n">
        <v>0.0697797782145526</v>
      </c>
      <c r="H15" s="49" t="n">
        <f aca="false">I15^0.5</f>
        <v>2.71544365804605E-005</v>
      </c>
      <c r="I15" s="38" t="n">
        <v>7.3736342600225E-010</v>
      </c>
    </row>
    <row r="16" customFormat="false" ht="12.75" hidden="false" customHeight="false" outlineLevel="0" collapsed="false">
      <c r="A16" s="1" t="s">
        <v>298</v>
      </c>
      <c r="B16" s="0" t="s">
        <v>27</v>
      </c>
      <c r="C16" s="2" t="n">
        <v>0.103944816167345</v>
      </c>
      <c r="D16" s="0" t="n">
        <f aca="false">LN(C16/(1-C16))</f>
        <v>-2.15414185563681</v>
      </c>
      <c r="E16" s="1" t="n">
        <v>6073550</v>
      </c>
      <c r="F16" s="2" t="n">
        <v>0.163254593175853</v>
      </c>
      <c r="G16" s="2" t="n">
        <v>0.0502082263621112</v>
      </c>
      <c r="H16" s="49" t="n">
        <f aca="false">I16^0.5</f>
        <v>5.10049220503812E-006</v>
      </c>
      <c r="I16" s="38" t="n">
        <v>2.60150207336547E-011</v>
      </c>
    </row>
    <row r="17" customFormat="false" ht="12.75" hidden="false" customHeight="false" outlineLevel="0" collapsed="false">
      <c r="A17" s="1" t="s">
        <v>300</v>
      </c>
      <c r="B17" s="0" t="s">
        <v>28</v>
      </c>
      <c r="C17" s="2" t="n">
        <v>0.00738787711371125</v>
      </c>
      <c r="D17" s="0" t="n">
        <f aca="false">LN(C17/(1-C17))</f>
        <v>-4.90049954737258</v>
      </c>
      <c r="E17" s="1" t="n">
        <v>9549353</v>
      </c>
      <c r="F17" s="2" t="n">
        <v>0</v>
      </c>
      <c r="G17" s="2" t="n">
        <v>0.00796925854450259</v>
      </c>
      <c r="H17" s="49" t="n">
        <f aca="false">I17^0.5</f>
        <v>9.60869642430524E-007</v>
      </c>
      <c r="I17" s="38" t="n">
        <v>9.23270469744563E-013</v>
      </c>
    </row>
    <row r="18" customFormat="false" ht="12.75" hidden="false" customHeight="false" outlineLevel="0" collapsed="false">
      <c r="A18" s="1" t="s">
        <v>305</v>
      </c>
      <c r="B18" s="0" t="s">
        <v>31</v>
      </c>
      <c r="C18" s="2" t="n">
        <v>0.000759685797103275</v>
      </c>
      <c r="D18" s="0" t="n">
        <f aca="false">LN(C18/(1-C18))</f>
        <v>-7.18184566052705</v>
      </c>
      <c r="E18" s="1" t="n">
        <v>5323523</v>
      </c>
      <c r="F18" s="2" t="n">
        <v>0</v>
      </c>
      <c r="G18" s="2" t="n">
        <v>0.0724272745344907</v>
      </c>
      <c r="H18" s="49" t="n">
        <f aca="false">I18^0.5</f>
        <v>1.07626800554848E-005</v>
      </c>
      <c r="I18" s="38" t="n">
        <v>1.15835281976731E-010</v>
      </c>
    </row>
    <row r="19" customFormat="false" ht="12.75" hidden="false" customHeight="false" outlineLevel="0" collapsed="false">
      <c r="A19" s="1" t="s">
        <v>309</v>
      </c>
      <c r="B19" s="0" t="s">
        <v>33</v>
      </c>
      <c r="C19" s="2" t="n">
        <v>0.00199508308555689</v>
      </c>
      <c r="D19" s="0" t="n">
        <f aca="false">LN(C19/(1-C19))</f>
        <v>-6.21507250669701</v>
      </c>
      <c r="E19" s="1" t="n">
        <v>1637112</v>
      </c>
      <c r="F19" s="2" t="n">
        <v>0</v>
      </c>
      <c r="G19" s="2" t="n">
        <v>0.0425053293156057</v>
      </c>
      <c r="H19" s="49" t="n">
        <f aca="false">I19^0.5</f>
        <v>3.5744374397148E-007</v>
      </c>
      <c r="I19" s="38" t="n">
        <v>1.27766030104349E-013</v>
      </c>
    </row>
    <row r="20" customFormat="false" ht="12.75" hidden="false" customHeight="false" outlineLevel="0" collapsed="false">
      <c r="A20" s="1" t="s">
        <v>313</v>
      </c>
      <c r="B20" s="0" t="s">
        <v>35</v>
      </c>
      <c r="C20" s="2" t="n">
        <v>0.117777368981519</v>
      </c>
      <c r="D20" s="0" t="n">
        <f aca="false">LN(C20/(1-C20))</f>
        <v>-2.01364830142369</v>
      </c>
      <c r="E20" s="1" t="n">
        <v>1148253</v>
      </c>
      <c r="F20" s="2" t="n">
        <v>0.290225563909774</v>
      </c>
      <c r="G20" s="2" t="n">
        <v>0.0851357193769645</v>
      </c>
      <c r="H20" s="49" t="n">
        <f aca="false">I20^0.5</f>
        <v>0.000273961859261681</v>
      </c>
      <c r="I20" s="38" t="n">
        <v>7.50551003301169E-008</v>
      </c>
    </row>
    <row r="21" customFormat="false" ht="12.75" hidden="false" customHeight="false" outlineLevel="0" collapsed="false">
      <c r="A21" s="1" t="s">
        <v>315</v>
      </c>
      <c r="B21" s="0" t="s">
        <v>36</v>
      </c>
      <c r="C21" s="2" t="n">
        <v>0.273303356469306</v>
      </c>
      <c r="D21" s="0" t="n">
        <f aca="false">LN(C21/(1-C21))</f>
        <v>-0.977926744707258</v>
      </c>
      <c r="E21" s="1" t="n">
        <v>7945298</v>
      </c>
      <c r="F21" s="2" t="n">
        <v>0.424725274725275</v>
      </c>
      <c r="G21" s="2" t="n">
        <v>0.0704522955482905</v>
      </c>
      <c r="H21" s="49" t="n">
        <f aca="false">I21^0.5</f>
        <v>0.00098922901732352</v>
      </c>
      <c r="I21" s="38" t="n">
        <v>9.78574048714857E-007</v>
      </c>
    </row>
    <row r="22" customFormat="false" ht="12.75" hidden="false" customHeight="false" outlineLevel="0" collapsed="false">
      <c r="A22" s="1" t="s">
        <v>319</v>
      </c>
      <c r="B22" s="0" t="s">
        <v>38</v>
      </c>
      <c r="C22" s="2" t="n">
        <v>0.331822037089797</v>
      </c>
      <c r="D22" s="0" t="n">
        <f aca="false">LN(C22/(1-C22))</f>
        <v>-0.699955757260157</v>
      </c>
      <c r="E22" s="1" t="n">
        <v>18136081</v>
      </c>
      <c r="F22" s="2" t="n">
        <v>0.270103092783505</v>
      </c>
      <c r="G22" s="2" t="n">
        <v>0.0509878017590525</v>
      </c>
      <c r="H22" s="49" t="n">
        <f aca="false">I22^0.5</f>
        <v>2.47796393616696E-005</v>
      </c>
      <c r="I22" s="38" t="n">
        <v>6.14030526894406E-010</v>
      </c>
    </row>
    <row r="23" customFormat="false" ht="12.75" hidden="false" customHeight="false" outlineLevel="0" collapsed="false">
      <c r="A23" s="1" t="s">
        <v>321</v>
      </c>
      <c r="B23" s="0" t="s">
        <v>39</v>
      </c>
      <c r="C23" s="2" t="n">
        <v>0.000738443042039357</v>
      </c>
      <c r="D23" s="0" t="n">
        <f aca="false">LN(C23/(1-C23))</f>
        <v>-7.21022786969654</v>
      </c>
      <c r="E23" s="1" t="n">
        <v>7195138</v>
      </c>
      <c r="F23" s="2" t="n">
        <v>0</v>
      </c>
      <c r="G23" s="2" t="n">
        <v>0.0221303868527105</v>
      </c>
      <c r="H23" s="49" t="n">
        <f aca="false">I23^0.5</f>
        <v>1.31639989938476E-006</v>
      </c>
      <c r="I23" s="38" t="n">
        <v>1.73290869510021E-012</v>
      </c>
    </row>
    <row r="24" customFormat="false" ht="12.75" hidden="false" customHeight="false" outlineLevel="0" collapsed="false">
      <c r="A24" s="1" t="s">
        <v>325</v>
      </c>
      <c r="B24" s="0" t="s">
        <v>41</v>
      </c>
      <c r="C24" s="2" t="n">
        <v>0.0328757643019831</v>
      </c>
      <c r="D24" s="0" t="n">
        <f aca="false">LN(C24/(1-C24))</f>
        <v>-3.38159122362958</v>
      </c>
      <c r="E24" s="1" t="n">
        <v>11150506</v>
      </c>
      <c r="F24" s="2" t="n">
        <v>0.124419204956118</v>
      </c>
      <c r="G24" s="2" t="n">
        <v>0.0282688311910131</v>
      </c>
      <c r="H24" s="49" t="n">
        <f aca="false">I24^0.5</f>
        <v>1.96355270633291E-006</v>
      </c>
      <c r="I24" s="38" t="n">
        <v>3.8555392305473E-012</v>
      </c>
    </row>
    <row r="25" customFormat="false" ht="12.75" hidden="false" customHeight="false" outlineLevel="0" collapsed="false">
      <c r="A25" s="1" t="s">
        <v>327</v>
      </c>
      <c r="B25" s="0" t="s">
        <v>42</v>
      </c>
      <c r="C25" s="2" t="n">
        <v>0.0759782565467173</v>
      </c>
      <c r="D25" s="0" t="n">
        <f aca="false">LN(C25/(1-C25))</f>
        <v>-2.4982884019577</v>
      </c>
      <c r="E25" s="1" t="n">
        <v>3277687</v>
      </c>
      <c r="F25" s="2" t="n">
        <v>0.163815789473684</v>
      </c>
      <c r="G25" s="2" t="n">
        <v>0.0108396118772474</v>
      </c>
      <c r="H25" s="49" t="n">
        <f aca="false">I25^0.5</f>
        <v>9.04535778830162E-007</v>
      </c>
      <c r="I25" s="38" t="n">
        <v>8.18184975183888E-013</v>
      </c>
    </row>
    <row r="26" customFormat="false" ht="12.75" hidden="false" customHeight="false" outlineLevel="0" collapsed="false">
      <c r="A26" s="1" t="s">
        <v>329</v>
      </c>
      <c r="B26" s="0" t="s">
        <v>43</v>
      </c>
      <c r="C26" s="2" t="n">
        <v>0.00529904028492617</v>
      </c>
      <c r="D26" s="0" t="n">
        <f aca="false">LN(C26/(1-C26))</f>
        <v>-5.23491642314097</v>
      </c>
      <c r="E26" s="1" t="n">
        <v>3140585</v>
      </c>
      <c r="F26" s="2" t="n">
        <v>0</v>
      </c>
      <c r="G26" s="2" t="n">
        <v>0.0372433830337473</v>
      </c>
      <c r="H26" s="49" t="n">
        <f aca="false">I26^0.5</f>
        <v>1.34961282706028E-006</v>
      </c>
      <c r="I26" s="38" t="n">
        <v>1.82145478296565E-012</v>
      </c>
    </row>
    <row r="27" customFormat="false" ht="12.75" hidden="false" customHeight="false" outlineLevel="0" collapsed="false">
      <c r="A27" s="1" t="s">
        <v>331</v>
      </c>
      <c r="B27" s="0" t="s">
        <v>44</v>
      </c>
      <c r="C27" s="2" t="n">
        <v>0.116977230877519</v>
      </c>
      <c r="D27" s="0" t="n">
        <f aca="false">LN(C27/(1-C27))</f>
        <v>-2.02137167839244</v>
      </c>
      <c r="E27" s="1" t="n">
        <v>12071842</v>
      </c>
      <c r="F27" s="2" t="n">
        <v>0.224868231911835</v>
      </c>
      <c r="G27" s="2" t="n">
        <v>0.0341732303708947</v>
      </c>
      <c r="H27" s="49" t="n">
        <f aca="false">I27^0.5</f>
        <v>8.61581532382133E-005</v>
      </c>
      <c r="I27" s="38" t="n">
        <v>7.42322736941945E-009</v>
      </c>
    </row>
    <row r="28" customFormat="false" ht="12.75" hidden="false" customHeight="false" outlineLevel="0" collapsed="false">
      <c r="A28" s="1" t="s">
        <v>333</v>
      </c>
      <c r="B28" s="0" t="s">
        <v>45</v>
      </c>
      <c r="C28" s="2" t="n">
        <v>0.0373661178404778</v>
      </c>
      <c r="D28" s="0" t="n">
        <f aca="false">LN(C28/(1-C28))</f>
        <v>-3.24890880112165</v>
      </c>
      <c r="E28" s="1" t="n">
        <v>989794</v>
      </c>
      <c r="F28" s="2" t="n">
        <v>0</v>
      </c>
      <c r="G28" s="2" t="n">
        <v>0.0757652407576525</v>
      </c>
      <c r="H28" s="49" t="n">
        <f aca="false">I28^0.5</f>
        <v>0.000114222319555342</v>
      </c>
      <c r="I28" s="38" t="n">
        <v>1.30467382846026E-008</v>
      </c>
    </row>
    <row r="29" customFormat="false" ht="12.75" hidden="false" customHeight="false" outlineLevel="0" collapsed="false">
      <c r="A29" s="1" t="s">
        <v>339</v>
      </c>
      <c r="B29" s="0" t="s">
        <v>48</v>
      </c>
      <c r="C29" s="2" t="n">
        <v>5.80051647196015E-005</v>
      </c>
      <c r="D29" s="0" t="n">
        <f aca="false">LN(C29/(1-C29))</f>
        <v>-9.75492049764553</v>
      </c>
      <c r="E29" s="1" t="n">
        <v>5256051</v>
      </c>
      <c r="F29" s="2" t="n">
        <v>0</v>
      </c>
      <c r="G29" s="2" t="n">
        <v>0.0458630868796215</v>
      </c>
      <c r="H29" s="49" t="n">
        <f aca="false">I29^0.5</f>
        <v>5.42532404041811E-007</v>
      </c>
      <c r="I29" s="38" t="n">
        <v>2.94341409435387E-013</v>
      </c>
    </row>
    <row r="30" customFormat="false" ht="12.75" hidden="false" customHeight="false" outlineLevel="0" collapsed="false">
      <c r="A30" s="1" t="s">
        <v>341</v>
      </c>
      <c r="B30" s="0" t="s">
        <v>49</v>
      </c>
      <c r="C30" s="2" t="n">
        <v>0.0247474685546935</v>
      </c>
      <c r="D30" s="0" t="n">
        <f aca="false">LN(C30/(1-C30))</f>
        <v>-3.67397324090676</v>
      </c>
      <c r="E30" s="1" t="n">
        <v>18723991</v>
      </c>
      <c r="F30" s="2" t="n">
        <v>0.006727760393384</v>
      </c>
      <c r="G30" s="2" t="n">
        <v>0.00910524272123237</v>
      </c>
      <c r="H30" s="49" t="n">
        <f aca="false">I30^0.5</f>
        <v>1.54420974269736E-006</v>
      </c>
      <c r="I30" s="38" t="n">
        <v>2.38458372944146E-012</v>
      </c>
    </row>
    <row r="31" customFormat="false" ht="12.75" hidden="false" customHeight="false" outlineLevel="0" collapsed="false">
      <c r="A31" s="1" t="s">
        <v>343</v>
      </c>
      <c r="B31" s="0" t="s">
        <v>50</v>
      </c>
      <c r="C31" s="2" t="n">
        <v>0.000622986197117817</v>
      </c>
      <c r="D31" s="0" t="n">
        <f aca="false">LN(C31/(1-C31))</f>
        <v>-7.38036301459773</v>
      </c>
      <c r="E31" s="1" t="n">
        <v>1951408</v>
      </c>
      <c r="F31" s="2" t="n">
        <v>0</v>
      </c>
      <c r="G31" s="2" t="n">
        <v>0.00991343868813166</v>
      </c>
      <c r="H31" s="49" t="n">
        <f aca="false">I31^0.5</f>
        <v>6.45569791626753E-007</v>
      </c>
      <c r="I31" s="38" t="n">
        <v>4.16760355861009E-013</v>
      </c>
    </row>
    <row r="32" customFormat="false" ht="12.75" hidden="false" customHeight="false" outlineLevel="0" collapsed="false">
      <c r="A32" s="1" t="s">
        <v>347</v>
      </c>
      <c r="B32" s="0" t="s">
        <v>52</v>
      </c>
      <c r="C32" s="2" t="n">
        <v>0.0465283677535952</v>
      </c>
      <c r="D32" s="0" t="n">
        <f aca="false">LN(C32/(1-C32))</f>
        <v>-3.02004748761433</v>
      </c>
      <c r="E32" s="1" t="n">
        <v>6618358</v>
      </c>
      <c r="F32" s="2" t="n">
        <v>0.102064896755162</v>
      </c>
      <c r="G32" s="2" t="n">
        <v>0.0646098010772455</v>
      </c>
      <c r="H32" s="49" t="n">
        <f aca="false">I32^0.5</f>
        <v>1.47308841943904E-005</v>
      </c>
      <c r="I32" s="38" t="n">
        <v>2.1699894914854E-010</v>
      </c>
    </row>
    <row r="33" customFormat="false" ht="12.75" hidden="false" customHeight="false" outlineLevel="0" collapsed="false">
      <c r="A33" s="1" t="s">
        <v>349</v>
      </c>
      <c r="B33" s="0" t="s">
        <v>53</v>
      </c>
      <c r="C33" s="2" t="n">
        <v>0.0414276298865866</v>
      </c>
      <c r="D33" s="0" t="n">
        <f aca="false">LN(C33/(1-C33))</f>
        <v>-3.14149701635304</v>
      </c>
      <c r="E33" s="1" t="n">
        <v>5430940</v>
      </c>
      <c r="F33" s="2" t="n">
        <v>0</v>
      </c>
      <c r="G33" s="2" t="n">
        <v>0.0152694227003708</v>
      </c>
      <c r="H33" s="49" t="n">
        <f aca="false">I33^0.5</f>
        <v>2.16375188450606E-006</v>
      </c>
      <c r="I33" s="38" t="n">
        <v>4.68182221770351E-012</v>
      </c>
    </row>
    <row r="34" customFormat="false" ht="12.75" hidden="false" customHeight="false" outlineLevel="0" collapsed="false">
      <c r="A34" s="1" t="s">
        <v>351</v>
      </c>
      <c r="B34" s="0" t="s">
        <v>54</v>
      </c>
      <c r="C34" s="2" t="n">
        <v>0.0657245663242686</v>
      </c>
      <c r="D34" s="0" t="n">
        <f aca="false">LN(C34/(1-C34))</f>
        <v>-2.65429851936771</v>
      </c>
      <c r="E34" s="1" t="n">
        <v>1828140</v>
      </c>
      <c r="F34" s="2" t="n">
        <v>0.154107142857143</v>
      </c>
      <c r="G34" s="2" t="n">
        <v>0.083450810945235</v>
      </c>
      <c r="H34" s="49" t="n">
        <f aca="false">I34^0.5</f>
        <v>2.61766018353715E-005</v>
      </c>
      <c r="I34" s="38" t="n">
        <v>6.85214483647577E-010</v>
      </c>
    </row>
    <row r="35" customFormat="false" ht="12.75" hidden="false" customHeight="false" outlineLevel="0" collapsed="false">
      <c r="A35" s="1" t="s">
        <v>353</v>
      </c>
      <c r="B35" s="0" t="s">
        <v>55</v>
      </c>
      <c r="C35" s="2" t="n">
        <v>1.13332512302244E-005</v>
      </c>
      <c r="D35" s="0" t="n">
        <f aca="false">LN(C35/(1-C35))</f>
        <v>-11.387758233119</v>
      </c>
      <c r="E35" s="1" t="n">
        <v>5122871</v>
      </c>
      <c r="F35" s="2" t="n">
        <v>0</v>
      </c>
      <c r="G35" s="2" t="n">
        <v>0.0137079087829872</v>
      </c>
      <c r="H35" s="49" t="n">
        <f aca="false">I35^0.5</f>
        <v>2.49593803316588E-006</v>
      </c>
      <c r="I35" s="38" t="n">
        <v>6.22970666540397E-012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5" t="s">
        <v>587</v>
      </c>
      <c r="B1" s="5" t="s">
        <v>588</v>
      </c>
      <c r="C1" s="5" t="s">
        <v>589</v>
      </c>
    </row>
    <row r="2" customFormat="false" ht="12.75" hidden="false" customHeight="false" outlineLevel="0" collapsed="false">
      <c r="A2" s="50" t="n">
        <v>0</v>
      </c>
      <c r="B2" s="6" t="n">
        <v>0</v>
      </c>
      <c r="C2" s="51" t="n">
        <v>0</v>
      </c>
    </row>
    <row r="3" customFormat="false" ht="12.75" hidden="false" customHeight="false" outlineLevel="0" collapsed="false">
      <c r="A3" s="50" t="n">
        <v>0.01</v>
      </c>
      <c r="B3" s="6" t="n">
        <v>5</v>
      </c>
      <c r="C3" s="51" t="n">
        <v>0.102040816326531</v>
      </c>
    </row>
    <row r="4" customFormat="false" ht="12.75" hidden="false" customHeight="false" outlineLevel="0" collapsed="false">
      <c r="A4" s="50" t="n">
        <v>0.05</v>
      </c>
      <c r="B4" s="6" t="n">
        <v>24</v>
      </c>
      <c r="C4" s="51" t="n">
        <v>0.591836734693878</v>
      </c>
    </row>
    <row r="5" customFormat="false" ht="12.75" hidden="false" customHeight="false" outlineLevel="0" collapsed="false">
      <c r="A5" s="50" t="n">
        <v>0.1</v>
      </c>
      <c r="B5" s="6" t="n">
        <v>15</v>
      </c>
      <c r="C5" s="51" t="n">
        <v>0.897959183673469</v>
      </c>
    </row>
    <row r="6" customFormat="false" ht="12.75" hidden="false" customHeight="false" outlineLevel="0" collapsed="false">
      <c r="A6" s="50" t="n">
        <v>0.15</v>
      </c>
      <c r="B6" s="6" t="n">
        <v>3</v>
      </c>
      <c r="C6" s="51" t="n">
        <v>0.959183673469388</v>
      </c>
    </row>
    <row r="7" customFormat="false" ht="12.75" hidden="false" customHeight="false" outlineLevel="0" collapsed="false">
      <c r="A7" s="50" t="n">
        <v>0.2</v>
      </c>
      <c r="B7" s="6" t="n">
        <v>1</v>
      </c>
      <c r="C7" s="51" t="n">
        <v>0.979591836734694</v>
      </c>
    </row>
    <row r="8" customFormat="false" ht="12.75" hidden="false" customHeight="false" outlineLevel="0" collapsed="false">
      <c r="A8" s="50" t="n">
        <v>0.25</v>
      </c>
      <c r="B8" s="6" t="n">
        <v>0</v>
      </c>
      <c r="C8" s="51" t="n">
        <v>0.979591836734694</v>
      </c>
    </row>
    <row r="9" customFormat="false" ht="12.75" hidden="false" customHeight="false" outlineLevel="0" collapsed="false">
      <c r="A9" s="50" t="n">
        <v>0.3</v>
      </c>
      <c r="B9" s="6" t="n">
        <v>1</v>
      </c>
      <c r="C9" s="51" t="n">
        <v>1</v>
      </c>
    </row>
    <row r="10" customFormat="false" ht="12.75" hidden="false" customHeight="false" outlineLevel="0" collapsed="false">
      <c r="A10" s="50" t="n">
        <v>0.35</v>
      </c>
      <c r="B10" s="6" t="n">
        <v>0</v>
      </c>
      <c r="C10" s="51" t="n">
        <v>1</v>
      </c>
    </row>
    <row r="11" customFormat="false" ht="12.75" hidden="false" customHeight="false" outlineLevel="0" collapsed="false">
      <c r="A11" s="50" t="n">
        <v>1</v>
      </c>
      <c r="B11" s="6" t="n">
        <v>0</v>
      </c>
      <c r="C11" s="51" t="n">
        <v>1</v>
      </c>
    </row>
    <row r="12" customFormat="false" ht="13.5" hidden="false" customHeight="false" outlineLevel="0" collapsed="false">
      <c r="A12" s="7" t="s">
        <v>590</v>
      </c>
      <c r="B12" s="7" t="n">
        <v>0</v>
      </c>
      <c r="C12" s="52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5" t="s">
        <v>587</v>
      </c>
      <c r="B1" s="5" t="s">
        <v>588</v>
      </c>
      <c r="C1" s="5" t="s">
        <v>589</v>
      </c>
    </row>
    <row r="2" customFormat="false" ht="12.75" hidden="false" customHeight="false" outlineLevel="0" collapsed="false">
      <c r="A2" s="50" t="n">
        <v>0</v>
      </c>
      <c r="B2" s="6" t="n">
        <v>15</v>
      </c>
      <c r="C2" s="51" t="n">
        <v>0.306122448979592</v>
      </c>
      <c r="D2" s="0" t="n">
        <f aca="false">B2/$B$13</f>
        <v>0.306122448979592</v>
      </c>
    </row>
    <row r="3" customFormat="false" ht="12.75" hidden="false" customHeight="false" outlineLevel="0" collapsed="false">
      <c r="A3" s="50" t="n">
        <v>0.01</v>
      </c>
      <c r="B3" s="6" t="n">
        <v>13</v>
      </c>
      <c r="C3" s="51" t="n">
        <v>0.571428571428571</v>
      </c>
      <c r="D3" s="0" t="n">
        <f aca="false">B3/$B$13</f>
        <v>0.26530612244898</v>
      </c>
    </row>
    <row r="4" customFormat="false" ht="12.75" hidden="false" customHeight="false" outlineLevel="0" collapsed="false">
      <c r="A4" s="50" t="n">
        <v>0.05</v>
      </c>
      <c r="B4" s="6" t="n">
        <v>8</v>
      </c>
      <c r="C4" s="51" t="n">
        <v>0.73469387755102</v>
      </c>
      <c r="D4" s="0" t="n">
        <f aca="false">B4/$B$13</f>
        <v>0.163265306122449</v>
      </c>
    </row>
    <row r="5" customFormat="false" ht="12.75" hidden="false" customHeight="false" outlineLevel="0" collapsed="false">
      <c r="A5" s="50" t="n">
        <v>0.1</v>
      </c>
      <c r="B5" s="6" t="n">
        <v>6</v>
      </c>
      <c r="C5" s="51" t="n">
        <v>0.857142857142857</v>
      </c>
      <c r="D5" s="0" t="n">
        <f aca="false">B5/$B$13</f>
        <v>0.122448979591837</v>
      </c>
    </row>
    <row r="6" customFormat="false" ht="12.75" hidden="false" customHeight="false" outlineLevel="0" collapsed="false">
      <c r="A6" s="50" t="n">
        <v>0.15</v>
      </c>
      <c r="B6" s="6" t="n">
        <v>4</v>
      </c>
      <c r="C6" s="51" t="n">
        <v>0.938775510204082</v>
      </c>
      <c r="D6" s="0" t="n">
        <f aca="false">B6/$B$13</f>
        <v>0.0816326530612245</v>
      </c>
    </row>
    <row r="7" customFormat="false" ht="12.75" hidden="false" customHeight="false" outlineLevel="0" collapsed="false">
      <c r="A7" s="50" t="n">
        <v>0.2</v>
      </c>
      <c r="B7" s="6" t="n">
        <v>0</v>
      </c>
      <c r="C7" s="51" t="n">
        <v>0.938775510204082</v>
      </c>
      <c r="D7" s="0" t="n">
        <f aca="false">B7/$B$13</f>
        <v>0</v>
      </c>
    </row>
    <row r="8" customFormat="false" ht="12.75" hidden="false" customHeight="false" outlineLevel="0" collapsed="false">
      <c r="A8" s="50" t="n">
        <v>0.25</v>
      </c>
      <c r="B8" s="6" t="n">
        <v>0</v>
      </c>
      <c r="C8" s="51" t="n">
        <v>0.938775510204082</v>
      </c>
      <c r="D8" s="0" t="n">
        <f aca="false">B8/$B$13</f>
        <v>0</v>
      </c>
    </row>
    <row r="9" customFormat="false" ht="12.75" hidden="false" customHeight="false" outlineLevel="0" collapsed="false">
      <c r="A9" s="50" t="n">
        <v>0.3</v>
      </c>
      <c r="B9" s="6" t="n">
        <v>2</v>
      </c>
      <c r="C9" s="51" t="n">
        <v>0.979591836734694</v>
      </c>
      <c r="D9" s="0" t="n">
        <f aca="false">B9/$B$13</f>
        <v>0.0408163265306122</v>
      </c>
    </row>
    <row r="10" customFormat="false" ht="12.75" hidden="false" customHeight="false" outlineLevel="0" collapsed="false">
      <c r="A10" s="50" t="n">
        <v>0.35</v>
      </c>
      <c r="B10" s="6" t="n">
        <v>1</v>
      </c>
      <c r="C10" s="51" t="n">
        <v>1</v>
      </c>
      <c r="D10" s="0" t="n">
        <f aca="false">B10/$B$13</f>
        <v>0.0204081632653061</v>
      </c>
    </row>
    <row r="11" customFormat="false" ht="12.75" hidden="false" customHeight="false" outlineLevel="0" collapsed="false">
      <c r="A11" s="50" t="n">
        <v>1</v>
      </c>
      <c r="B11" s="6" t="n">
        <v>0</v>
      </c>
      <c r="C11" s="51" t="n">
        <v>1</v>
      </c>
      <c r="D11" s="0" t="n">
        <f aca="false">B11/$B$13</f>
        <v>0</v>
      </c>
    </row>
    <row r="12" customFormat="false" ht="13.5" hidden="false" customHeight="false" outlineLevel="0" collapsed="false">
      <c r="A12" s="7" t="s">
        <v>590</v>
      </c>
      <c r="B12" s="7" t="n">
        <v>0</v>
      </c>
      <c r="C12" s="52" t="n">
        <v>1</v>
      </c>
      <c r="D12" s="0" t="n">
        <f aca="false">B12/$B$13</f>
        <v>0</v>
      </c>
    </row>
    <row r="13" customFormat="false" ht="12.75" hidden="false" customHeight="false" outlineLevel="0" collapsed="false">
      <c r="B13" s="0" t="n">
        <f aca="false">SUM(B2:B12)</f>
        <v>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141"/>
  <sheetViews>
    <sheetView showFormulas="false" showGridLines="true" showRowColHeaders="true" showZeros="true" rightToLeft="false" tabSelected="false" showOutlineSymbols="true" defaultGridColor="true" view="normal" topLeftCell="C2" colorId="64" zoomScale="100" zoomScaleNormal="100" zoomScalePageLayoutView="100" workbookViewId="0">
      <selection pane="topLeft" activeCell="N3" activeCellId="0" sqref="N3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3.7"/>
    <col collapsed="false" customWidth="true" hidden="false" outlineLevel="0" max="2" min="2" style="0" width="7.99"/>
    <col collapsed="false" customWidth="true" hidden="false" outlineLevel="0" max="30" min="4" style="0" width="16.42"/>
    <col collapsed="false" customWidth="true" hidden="false" outlineLevel="0" max="32" min="31" style="0" width="10.56"/>
    <col collapsed="false" customWidth="true" hidden="false" outlineLevel="0" max="33" min="33" style="0" width="13.7"/>
    <col collapsed="false" customWidth="true" hidden="false" outlineLevel="0" max="35" min="34" style="0" width="12.28"/>
    <col collapsed="false" customWidth="true" hidden="false" outlineLevel="0" max="49" min="49" style="0" width="9.28"/>
    <col collapsed="false" customWidth="true" hidden="false" outlineLevel="0" max="50" min="50" style="0" width="9.56"/>
    <col collapsed="false" customWidth="true" hidden="false" outlineLevel="0" max="51" min="51" style="0" width="9.28"/>
    <col collapsed="false" customWidth="true" hidden="false" outlineLevel="0" max="59" min="59" style="0" width="2.56"/>
    <col collapsed="false" customWidth="true" hidden="false" outlineLevel="0" max="73" min="72" style="0" width="9.56"/>
  </cols>
  <sheetData>
    <row r="1" customFormat="false" ht="12.75" hidden="false" customHeight="false" outlineLevel="0" collapsed="false">
      <c r="M1" s="0" t="s">
        <v>591</v>
      </c>
      <c r="T1" s="0" t="s">
        <v>592</v>
      </c>
      <c r="AC1" s="0" t="s">
        <v>593</v>
      </c>
      <c r="AJ1" s="0" t="s">
        <v>592</v>
      </c>
      <c r="AU1" s="0" t="s">
        <v>594</v>
      </c>
      <c r="AW1" s="0" t="s">
        <v>595</v>
      </c>
      <c r="BC1" s="0" t="s">
        <v>596</v>
      </c>
      <c r="BH1" s="0" t="s">
        <v>597</v>
      </c>
      <c r="BS1" s="0" t="s">
        <v>598</v>
      </c>
      <c r="BW1" s="0" t="s">
        <v>599</v>
      </c>
    </row>
    <row r="2" customFormat="false" ht="12.75" hidden="false" customHeight="false" outlineLevel="0" collapsed="false">
      <c r="A2" s="0" t="s">
        <v>251</v>
      </c>
      <c r="B2" s="0" t="s">
        <v>117</v>
      </c>
      <c r="C2" s="2" t="s">
        <v>100</v>
      </c>
      <c r="D2" s="0" t="s">
        <v>600</v>
      </c>
      <c r="E2" s="0" t="s">
        <v>72</v>
      </c>
      <c r="F2" s="2" t="s">
        <v>101</v>
      </c>
      <c r="G2" s="0" t="s">
        <v>601</v>
      </c>
      <c r="H2" s="0" t="s">
        <v>602</v>
      </c>
      <c r="I2" s="0" t="s">
        <v>603</v>
      </c>
      <c r="J2" s="0" t="s">
        <v>604</v>
      </c>
      <c r="K2" s="0" t="s">
        <v>605</v>
      </c>
      <c r="L2" s="0" t="s">
        <v>606</v>
      </c>
      <c r="M2" s="0" t="s">
        <v>607</v>
      </c>
      <c r="N2" s="0" t="s">
        <v>608</v>
      </c>
      <c r="O2" s="0" t="s">
        <v>609</v>
      </c>
      <c r="P2" s="0" t="s">
        <v>610</v>
      </c>
      <c r="Q2" s="0" t="s">
        <v>611</v>
      </c>
      <c r="R2" s="0" t="s">
        <v>612</v>
      </c>
      <c r="S2" s="0" t="s">
        <v>613</v>
      </c>
      <c r="T2" s="0" t="s">
        <v>614</v>
      </c>
      <c r="U2" s="0" t="s">
        <v>615</v>
      </c>
      <c r="V2" s="0" t="s">
        <v>616</v>
      </c>
      <c r="W2" s="0" t="s">
        <v>617</v>
      </c>
      <c r="X2" s="0" t="s">
        <v>618</v>
      </c>
      <c r="Y2" s="0" t="s">
        <v>619</v>
      </c>
      <c r="Z2" s="0" t="s">
        <v>620</v>
      </c>
      <c r="AC2" s="0" t="s">
        <v>607</v>
      </c>
      <c r="AD2" s="0" t="s">
        <v>608</v>
      </c>
      <c r="AE2" s="0" t="s">
        <v>609</v>
      </c>
      <c r="AF2" s="0" t="s">
        <v>610</v>
      </c>
      <c r="AG2" s="0" t="s">
        <v>611</v>
      </c>
      <c r="AH2" s="0" t="s">
        <v>612</v>
      </c>
      <c r="AI2" s="0" t="s">
        <v>613</v>
      </c>
      <c r="AJ2" s="0" t="s">
        <v>614</v>
      </c>
      <c r="AK2" s="0" t="s">
        <v>615</v>
      </c>
      <c r="AL2" s="0" t="s">
        <v>616</v>
      </c>
      <c r="AM2" s="0" t="s">
        <v>617</v>
      </c>
      <c r="AN2" s="0" t="s">
        <v>618</v>
      </c>
      <c r="AO2" s="0" t="s">
        <v>619</v>
      </c>
      <c r="AP2" s="0" t="s">
        <v>620</v>
      </c>
      <c r="AR2" s="0" t="s">
        <v>621</v>
      </c>
      <c r="AS2" s="0" t="s">
        <v>622</v>
      </c>
      <c r="AU2" s="0" t="s">
        <v>623</v>
      </c>
      <c r="AV2" s="0" t="s">
        <v>624</v>
      </c>
      <c r="AW2" s="0" t="s">
        <v>625</v>
      </c>
      <c r="AX2" s="0" t="s">
        <v>626</v>
      </c>
      <c r="AY2" s="0" t="s">
        <v>627</v>
      </c>
      <c r="AZ2" s="0" t="s">
        <v>628</v>
      </c>
      <c r="BA2" s="0" t="s">
        <v>629</v>
      </c>
      <c r="BB2" s="0" t="s">
        <v>630</v>
      </c>
      <c r="BC2" s="0" t="s">
        <v>631</v>
      </c>
      <c r="BD2" s="0" t="s">
        <v>632</v>
      </c>
      <c r="BE2" s="0" t="s">
        <v>633</v>
      </c>
      <c r="BF2" s="0" t="s">
        <v>634</v>
      </c>
      <c r="BH2" s="0" t="s">
        <v>625</v>
      </c>
      <c r="BI2" s="0" t="s">
        <v>626</v>
      </c>
      <c r="BJ2" s="0" t="s">
        <v>627</v>
      </c>
      <c r="BK2" s="0" t="s">
        <v>628</v>
      </c>
      <c r="BL2" s="0" t="s">
        <v>629</v>
      </c>
      <c r="BM2" s="0" t="s">
        <v>630</v>
      </c>
      <c r="BN2" s="0" t="s">
        <v>631</v>
      </c>
      <c r="BO2" s="0" t="s">
        <v>632</v>
      </c>
      <c r="BP2" s="0" t="s">
        <v>633</v>
      </c>
      <c r="BQ2" s="0" t="s">
        <v>634</v>
      </c>
      <c r="BS2" s="0" t="s">
        <v>251</v>
      </c>
      <c r="BT2" s="0" t="s">
        <v>635</v>
      </c>
      <c r="BU2" s="0" t="s">
        <v>636</v>
      </c>
      <c r="BW2" s="0" t="s">
        <v>251</v>
      </c>
      <c r="BX2" s="0" t="s">
        <v>635</v>
      </c>
      <c r="BY2" s="0" t="s">
        <v>636</v>
      </c>
      <c r="CB2" s="0" t="s">
        <v>587</v>
      </c>
    </row>
    <row r="3" customFormat="false" ht="12.75" hidden="false" customHeight="false" outlineLevel="0" collapsed="false">
      <c r="A3" s="0" t="s">
        <v>8</v>
      </c>
      <c r="B3" s="2" t="n">
        <v>0</v>
      </c>
      <c r="C3" s="2" t="n">
        <v>0.0238518767065552</v>
      </c>
      <c r="D3" s="2" t="n">
        <f aca="false">1-C3</f>
        <v>0.976148123293445</v>
      </c>
      <c r="E3" s="0" t="n">
        <v>1710683</v>
      </c>
      <c r="F3" s="2" t="n">
        <v>0.0359985175247282</v>
      </c>
      <c r="G3" s="2" t="n">
        <f aca="false">1-F3</f>
        <v>0.964001482475272</v>
      </c>
      <c r="H3" s="0" t="n">
        <v>1735588</v>
      </c>
      <c r="I3" s="4" t="n">
        <f aca="false">0.5*E3*C3</f>
        <v>20401.5</v>
      </c>
      <c r="J3" s="4" t="n">
        <f aca="false">H3*G3</f>
        <v>1673109.40496629</v>
      </c>
      <c r="K3" s="4" t="n">
        <f aca="false">0.5*H3*F3</f>
        <v>31239.2975168539</v>
      </c>
      <c r="L3" s="4" t="n">
        <f aca="false">I3+J3+K3</f>
        <v>1724750.20248315</v>
      </c>
      <c r="M3" s="2" t="n">
        <f aca="false">(I3/L3)*B3</f>
        <v>0</v>
      </c>
      <c r="N3" s="2" t="n">
        <f aca="false">(J3/L3)*B3+(J3/(J3+K3))*(1-B3)</f>
        <v>0.981670829759579</v>
      </c>
      <c r="O3" s="2" t="n">
        <f aca="false">(K3/L3)*B3+(K3/(K3+J3))*(1-B3)</f>
        <v>0.0183291702404208</v>
      </c>
      <c r="P3" s="2" t="n">
        <f aca="false">M3+N3+O3</f>
        <v>1</v>
      </c>
      <c r="Q3" s="2" t="n">
        <f aca="false">M3/(I3/$L3)</f>
        <v>0</v>
      </c>
      <c r="R3" s="2" t="n">
        <f aca="false">N3/(J3/$L3)</f>
        <v>1.01197026170189</v>
      </c>
      <c r="S3" s="2" t="n">
        <f aca="false">O3/(K3/$L3)</f>
        <v>1.01197026170189</v>
      </c>
      <c r="T3" s="2" t="n">
        <f aca="false">M3-I3/$L3</f>
        <v>-0.0118286694331896</v>
      </c>
      <c r="U3" s="2" t="n">
        <f aca="false">N3-J3/$L3</f>
        <v>0.011611859737431</v>
      </c>
      <c r="V3" s="2" t="n">
        <f aca="false">O3-K3/$L3</f>
        <v>0.000216809695758595</v>
      </c>
      <c r="W3" s="2" t="n">
        <f aca="false">T3+U3+V3</f>
        <v>-6.24500451351651E-017</v>
      </c>
      <c r="X3" s="2" t="n">
        <f aca="false">T3/(I3)*$L3</f>
        <v>-1</v>
      </c>
      <c r="Y3" s="2" t="n">
        <f aca="false">U3/(J3)*$L3</f>
        <v>0.01197026170189</v>
      </c>
      <c r="Z3" s="2" t="n">
        <f aca="false">V3/(K3)*$L3</f>
        <v>0.0119702617018901</v>
      </c>
      <c r="AA3" s="2"/>
      <c r="AB3" s="2"/>
      <c r="AC3" s="2" t="n">
        <f aca="false">I3/(I3+K3)*B3</f>
        <v>0</v>
      </c>
      <c r="AD3" s="2" t="n">
        <f aca="false">(J3/(J3+K3))*(1-B3)</f>
        <v>0.981670829759579</v>
      </c>
      <c r="AE3" s="2" t="n">
        <f aca="false">(K3/(K3+I3))*B3+(K3/(K3+J3))*(1-B3)</f>
        <v>0.0183291702404208</v>
      </c>
      <c r="AF3" s="2" t="n">
        <f aca="false">AC3+AD3+AE3</f>
        <v>1</v>
      </c>
      <c r="AG3" s="2" t="n">
        <f aca="false">AC3/(I3/$L3)</f>
        <v>0</v>
      </c>
      <c r="AH3" s="2" t="n">
        <f aca="false">AD3/(J3/$L3)</f>
        <v>1.01197026170189</v>
      </c>
      <c r="AI3" s="2" t="n">
        <f aca="false">AE3/(K3/$L3)</f>
        <v>1.01197026170189</v>
      </c>
      <c r="AJ3" s="2" t="n">
        <f aca="false">AC3-I3/$L3</f>
        <v>-0.0118286694331896</v>
      </c>
      <c r="AK3" s="2" t="n">
        <f aca="false">AD3-J3/$L3</f>
        <v>0.011611859737431</v>
      </c>
      <c r="AL3" s="2" t="n">
        <f aca="false">AE3-K3/$L3</f>
        <v>0.000216809695758595</v>
      </c>
      <c r="AM3" s="2" t="n">
        <f aca="false">AJ3+AK3+AL3</f>
        <v>-6.24500451351651E-017</v>
      </c>
      <c r="AN3" s="2" t="n">
        <f aca="false">AJ3/(I3)*$L3</f>
        <v>-1</v>
      </c>
      <c r="AO3" s="2" t="n">
        <f aca="false">AK3/(J3)*$L3</f>
        <v>0.01197026170189</v>
      </c>
      <c r="AP3" s="2" t="n">
        <f aca="false">AL3/(K3)*$L3</f>
        <v>0.0119702617018901</v>
      </c>
      <c r="AQ3" s="2"/>
      <c r="AR3" s="2" t="n">
        <f aca="false">B3-C3</f>
        <v>-0.0238518767065552</v>
      </c>
      <c r="AS3" s="45" t="n">
        <f aca="false">B3/C3</f>
        <v>0</v>
      </c>
      <c r="AU3" s="32" t="n">
        <v>1001737</v>
      </c>
      <c r="AV3" s="45" t="n">
        <f aca="false">AU3*1000/(L3*365)</f>
        <v>1.59123618455332</v>
      </c>
      <c r="AW3" s="4" t="n">
        <f aca="false">M3*$AU3</f>
        <v>0</v>
      </c>
      <c r="AX3" s="4" t="n">
        <f aca="false">N3*$AU3</f>
        <v>983375.991990872</v>
      </c>
      <c r="AY3" s="4" t="n">
        <f aca="false">O3*$AU3</f>
        <v>18361.0080091284</v>
      </c>
      <c r="AZ3" s="45" t="n">
        <f aca="false">AW3*1000/(I3*365)</f>
        <v>0</v>
      </c>
      <c r="BA3" s="45" t="n">
        <f aca="false">AX3*1000/(J3*365)</f>
        <v>1.61028369811194</v>
      </c>
      <c r="BB3" s="45" t="n">
        <f aca="false">AY3*1000/(K3*365)</f>
        <v>1.61028369811194</v>
      </c>
      <c r="BC3" s="45" t="n">
        <f aca="false">$AV3-AZ3</f>
        <v>1.59123618455332</v>
      </c>
      <c r="BD3" s="45" t="n">
        <f aca="false">$AV3-BA3</f>
        <v>-0.0190475135586201</v>
      </c>
      <c r="BE3" s="45" t="n">
        <f aca="false">$AV3-BB3</f>
        <v>-0.0190475135586206</v>
      </c>
      <c r="BF3" s="2" t="n">
        <f aca="false">SQRT((BC3*$I3)^2+(BD3*$J3)^2+(BE3*$K3)^2)/$L3</f>
        <v>0.0263780558770648</v>
      </c>
      <c r="BG3" s="45"/>
      <c r="BH3" s="4" t="n">
        <f aca="false">AC3*$AU3</f>
        <v>0</v>
      </c>
      <c r="BI3" s="4" t="n">
        <f aca="false">AD3*$AU3</f>
        <v>983375.991990872</v>
      </c>
      <c r="BJ3" s="4" t="n">
        <f aca="false">AE3*$AU3</f>
        <v>18361.0080091284</v>
      </c>
      <c r="BK3" s="45" t="n">
        <f aca="false">BH3*1000/(I3*365)</f>
        <v>0</v>
      </c>
      <c r="BL3" s="45" t="n">
        <f aca="false">BI3*1000/(J3*365)</f>
        <v>1.61028369811194</v>
      </c>
      <c r="BM3" s="45" t="n">
        <f aca="false">BJ3*1000/(K3*365)</f>
        <v>1.61028369811194</v>
      </c>
      <c r="BN3" s="45" t="n">
        <f aca="false">$AV3-BK3</f>
        <v>1.59123618455332</v>
      </c>
      <c r="BO3" s="45" t="n">
        <f aca="false">$AV3-BL3</f>
        <v>-0.0190475135586201</v>
      </c>
      <c r="BP3" s="45" t="n">
        <f aca="false">$AV3-BM3</f>
        <v>-0.0190475135586206</v>
      </c>
      <c r="BQ3" s="2" t="n">
        <f aca="false">SQRT((BN3*$I3)^2+(BO3*$J3)^2+(BP3*$K3)^2)/$L3</f>
        <v>0.0263780558770648</v>
      </c>
      <c r="BS3" s="0" t="s">
        <v>12</v>
      </c>
      <c r="BT3" s="2" t="n">
        <v>0.00859074410430491</v>
      </c>
      <c r="BU3" s="2" t="n">
        <v>0.00510065616185425</v>
      </c>
      <c r="BW3" s="0" t="s">
        <v>11</v>
      </c>
      <c r="BX3" s="2" t="n">
        <v>0.00365636957272633</v>
      </c>
      <c r="BY3" s="2" t="n">
        <v>0.0270620481392174</v>
      </c>
      <c r="CB3" s="0" t="n">
        <v>0</v>
      </c>
    </row>
    <row r="4" customFormat="false" ht="12.75" hidden="false" customHeight="false" outlineLevel="0" collapsed="false">
      <c r="A4" s="0" t="s">
        <v>9</v>
      </c>
      <c r="B4" s="2" t="n">
        <v>0</v>
      </c>
      <c r="C4" s="2" t="n">
        <v>0.0112071877535429</v>
      </c>
      <c r="D4" s="2" t="n">
        <f aca="false">1-C4</f>
        <v>0.988792812246457</v>
      </c>
      <c r="E4" s="0" t="n">
        <v>1583805</v>
      </c>
      <c r="F4" s="2" t="n">
        <v>0.0158043945367121</v>
      </c>
      <c r="G4" s="2" t="n">
        <f aca="false">1-F4</f>
        <v>0.984195605463288</v>
      </c>
      <c r="H4" s="0" t="n">
        <v>1600604</v>
      </c>
      <c r="I4" s="4" t="n">
        <f aca="false">0.5*E4*C4</f>
        <v>8875.00000000001</v>
      </c>
      <c r="J4" s="4" t="n">
        <f aca="false">H4*G4</f>
        <v>1575307.42288696</v>
      </c>
      <c r="K4" s="4" t="n">
        <f aca="false">0.5*H4*F4</f>
        <v>12648.2885565198</v>
      </c>
      <c r="L4" s="4" t="n">
        <f aca="false">I4+J4+K4</f>
        <v>1596830.71144348</v>
      </c>
      <c r="M4" s="2" t="n">
        <f aca="false">(I4/L4)*B4</f>
        <v>0</v>
      </c>
      <c r="N4" s="2" t="n">
        <f aca="false">(J4/L4)*B4+(J4/(J4+K4))*(1-B4)</f>
        <v>0.992034860629065</v>
      </c>
      <c r="O4" s="2" t="n">
        <f aca="false">(K4/L4)*B4+(K4/(K4+J4))*(1-B4)</f>
        <v>0.00796513937093514</v>
      </c>
      <c r="P4" s="2" t="n">
        <f aca="false">M4+N4+O4</f>
        <v>1</v>
      </c>
      <c r="Q4" s="2" t="n">
        <f aca="false">M4/(I4/$L4)</f>
        <v>0</v>
      </c>
      <c r="R4" s="2" t="n">
        <f aca="false">N4/(J4/$L4)</f>
        <v>1.00558894680503</v>
      </c>
      <c r="S4" s="2" t="n">
        <f aca="false">O4/(K4/$L4)</f>
        <v>1.00558894680503</v>
      </c>
      <c r="T4" s="2" t="n">
        <f aca="false">M4-I4/$L4</f>
        <v>-0.00555788408652118</v>
      </c>
      <c r="U4" s="2" t="n">
        <f aca="false">N4-J4/$L4</f>
        <v>0.00551361476516454</v>
      </c>
      <c r="V4" s="2" t="n">
        <f aca="false">O4-K4/$L4</f>
        <v>4.42693213566422E-005</v>
      </c>
      <c r="W4" s="2" t="n">
        <f aca="false">T4+U4+V4</f>
        <v>9.54097911787244E-018</v>
      </c>
      <c r="X4" s="2" t="n">
        <f aca="false">T4/(I4)*$L4</f>
        <v>-1</v>
      </c>
      <c r="Y4" s="2" t="n">
        <f aca="false">U4/(J4)*$L4</f>
        <v>0.00558894680502927</v>
      </c>
      <c r="Z4" s="2" t="n">
        <f aca="false">V4/(K4)*$L4</f>
        <v>0.00558894680502908</v>
      </c>
      <c r="AA4" s="2"/>
      <c r="AB4" s="2"/>
      <c r="AC4" s="2" t="n">
        <f aca="false">I4/(I4+K4)*B4</f>
        <v>0</v>
      </c>
      <c r="AD4" s="2" t="n">
        <f aca="false">(J4/(J4+K4))*(1-B4)</f>
        <v>0.992034860629065</v>
      </c>
      <c r="AE4" s="2" t="n">
        <f aca="false">(K4/(K4+I4))*B4+(K4/(K4+J4))*(1-B4)</f>
        <v>0.00796513937093514</v>
      </c>
      <c r="AF4" s="2" t="n">
        <f aca="false">AC4+AD4+AE4</f>
        <v>1</v>
      </c>
      <c r="AG4" s="2" t="n">
        <f aca="false">AC4/(I4/$L4)</f>
        <v>0</v>
      </c>
      <c r="AH4" s="2" t="n">
        <f aca="false">AD4/(J4/$L4)</f>
        <v>1.00558894680503</v>
      </c>
      <c r="AI4" s="2" t="n">
        <f aca="false">AE4/(K4/$L4)</f>
        <v>1.00558894680503</v>
      </c>
      <c r="AJ4" s="2" t="n">
        <f aca="false">AC4-I4/$L4</f>
        <v>-0.00555788408652118</v>
      </c>
      <c r="AK4" s="2" t="n">
        <f aca="false">AD4-J4/$L4</f>
        <v>0.00551361476516454</v>
      </c>
      <c r="AL4" s="2" t="n">
        <f aca="false">AE4-K4/$L4</f>
        <v>4.42693213566422E-005</v>
      </c>
      <c r="AM4" s="2" t="n">
        <f aca="false">AJ4+AK4+AL4</f>
        <v>9.54097911787244E-018</v>
      </c>
      <c r="AN4" s="2" t="n">
        <f aca="false">AJ4/(I4)*$L4</f>
        <v>-1</v>
      </c>
      <c r="AO4" s="2" t="n">
        <f aca="false">AK4/(J4)*$L4</f>
        <v>0.00558894680502927</v>
      </c>
      <c r="AP4" s="2" t="n">
        <f aca="false">AL4/(K4)*$L4</f>
        <v>0.00558894680502908</v>
      </c>
      <c r="AQ4" s="2"/>
      <c r="AR4" s="2" t="n">
        <f aca="false">B4-C4</f>
        <v>-0.0112071877535429</v>
      </c>
      <c r="AS4" s="45" t="n">
        <f aca="false">B4/C4</f>
        <v>0</v>
      </c>
      <c r="AU4" s="32" t="n">
        <v>1199273</v>
      </c>
      <c r="AV4" s="45" t="n">
        <f aca="false">AU4*1000/(L4*365)</f>
        <v>2.05762541295605</v>
      </c>
      <c r="AW4" s="4" t="n">
        <f aca="false">M4*$AU4</f>
        <v>0</v>
      </c>
      <c r="AX4" s="4" t="n">
        <f aca="false">N4*$AU4</f>
        <v>1189720.6234112</v>
      </c>
      <c r="AY4" s="4" t="n">
        <f aca="false">O4*$AU4</f>
        <v>9552.37658879949</v>
      </c>
      <c r="AZ4" s="45" t="n">
        <f aca="false">AW4*1000/(I4*365)</f>
        <v>0</v>
      </c>
      <c r="BA4" s="45" t="n">
        <f aca="false">AX4*1000/(J4*365)</f>
        <v>2.06912537193374</v>
      </c>
      <c r="BB4" s="45" t="n">
        <f aca="false">AY4*1000/(K4*365)</f>
        <v>2.06912537193374</v>
      </c>
      <c r="BC4" s="45" t="n">
        <f aca="false">$AV4-AZ4</f>
        <v>2.05762541295605</v>
      </c>
      <c r="BD4" s="45" t="n">
        <f aca="false">$AV4-BA4</f>
        <v>-0.0114999589776881</v>
      </c>
      <c r="BE4" s="45" t="n">
        <f aca="false">$AV4-BB4</f>
        <v>-0.0114999589776876</v>
      </c>
      <c r="BF4" s="2" t="n">
        <f aca="false">SQRT((BC4*$I4)^2+(BD4*$J4)^2+(BE4*$K4)^2)/$L4</f>
        <v>0.0161089840520771</v>
      </c>
      <c r="BG4" s="45"/>
      <c r="BH4" s="4" t="n">
        <f aca="false">AC4*$AU4</f>
        <v>0</v>
      </c>
      <c r="BI4" s="4" t="n">
        <f aca="false">AD4*$AU4</f>
        <v>1189720.6234112</v>
      </c>
      <c r="BJ4" s="4" t="n">
        <f aca="false">AE4*$AU4</f>
        <v>9552.37658879949</v>
      </c>
      <c r="BK4" s="45" t="n">
        <f aca="false">BH4*1000/(I4*365)</f>
        <v>0</v>
      </c>
      <c r="BL4" s="45" t="n">
        <f aca="false">BI4*1000/(J4*365)</f>
        <v>2.06912537193374</v>
      </c>
      <c r="BM4" s="45" t="n">
        <f aca="false">BJ4*1000/(K4*365)</f>
        <v>2.06912537193374</v>
      </c>
      <c r="BN4" s="45" t="n">
        <f aca="false">$AV4-BK4</f>
        <v>2.05762541295605</v>
      </c>
      <c r="BO4" s="45" t="n">
        <f aca="false">$AV4-BL4</f>
        <v>-0.0114999589776881</v>
      </c>
      <c r="BP4" s="45" t="n">
        <f aca="false">$AV4-BM4</f>
        <v>-0.0114999589776876</v>
      </c>
      <c r="BQ4" s="2" t="n">
        <f aca="false">SQRT((BN4*$I4)^2+(BO4*$J4)^2+(BP4*$K4)^2)/$L4</f>
        <v>0.0161089840520771</v>
      </c>
      <c r="BS4" s="0" t="s">
        <v>28</v>
      </c>
      <c r="BT4" s="2" t="n">
        <v>0.00738914787209222</v>
      </c>
      <c r="BU4" s="2" t="n">
        <v>0.00803192587757423</v>
      </c>
      <c r="BW4" s="0" t="s">
        <v>28</v>
      </c>
      <c r="BX4" s="2" t="n">
        <v>0.00738914787209222</v>
      </c>
      <c r="BY4" s="2" t="n">
        <v>0.00803192587757423</v>
      </c>
      <c r="CB4" s="0" t="n">
        <v>0.01</v>
      </c>
    </row>
    <row r="5" customFormat="false" ht="12.75" hidden="false" customHeight="false" outlineLevel="0" collapsed="false">
      <c r="A5" s="0" t="s">
        <v>10</v>
      </c>
      <c r="B5" s="2" t="n">
        <v>0</v>
      </c>
      <c r="C5" s="2" t="n">
        <v>0.0402941869973762</v>
      </c>
      <c r="D5" s="2" t="n">
        <f aca="false">1-C5</f>
        <v>0.959705813002624</v>
      </c>
      <c r="E5" s="0" t="n">
        <v>996645</v>
      </c>
      <c r="F5" s="2" t="n">
        <v>0.0322963796327023</v>
      </c>
      <c r="G5" s="2" t="n">
        <f aca="false">1-F5</f>
        <v>0.967703620367298</v>
      </c>
      <c r="H5" s="0" t="n">
        <v>988712</v>
      </c>
      <c r="I5" s="4" t="n">
        <f aca="false">0.5*E5*C5</f>
        <v>20079.5</v>
      </c>
      <c r="J5" s="4" t="n">
        <f aca="false">H5*G5</f>
        <v>956780.181900592</v>
      </c>
      <c r="K5" s="4" t="n">
        <f aca="false">0.5*H5*F5</f>
        <v>15965.9090497042</v>
      </c>
      <c r="L5" s="4" t="n">
        <f aca="false">I5+J5+K5</f>
        <v>992825.590950296</v>
      </c>
      <c r="M5" s="2" t="n">
        <f aca="false">(I5/L5)*B5</f>
        <v>0</v>
      </c>
      <c r="N5" s="2" t="n">
        <f aca="false">(J5/L5)*B5+(J5/(J5+K5))*(1-B5)</f>
        <v>0.983586766168233</v>
      </c>
      <c r="O5" s="2" t="n">
        <f aca="false">(K5/L5)*B5+(K5/(K5+J5))*(1-B5)</f>
        <v>0.0164132338317667</v>
      </c>
      <c r="P5" s="2" t="n">
        <f aca="false">M5+N5+O5</f>
        <v>1</v>
      </c>
      <c r="Q5" s="2" t="n">
        <f aca="false">M5/(I5/$L5)</f>
        <v>0</v>
      </c>
      <c r="R5" s="2" t="n">
        <f aca="false">N5/(J5/$L5)</f>
        <v>1.02064207729726</v>
      </c>
      <c r="S5" s="2" t="n">
        <f aca="false">O5/(K5/$L5)</f>
        <v>1.02064207729726</v>
      </c>
      <c r="T5" s="2" t="n">
        <f aca="false">M5-I5/$L5</f>
        <v>-0.0202245995500384</v>
      </c>
      <c r="U5" s="2" t="n">
        <f aca="false">N5-J5/$L5</f>
        <v>0.0198926484684697</v>
      </c>
      <c r="V5" s="2" t="n">
        <f aca="false">O5-K5/$L5</f>
        <v>0.000331951081568624</v>
      </c>
      <c r="W5" s="2" t="n">
        <f aca="false">T5+U5+V5</f>
        <v>-9.0205620750794E-017</v>
      </c>
      <c r="X5" s="2" t="n">
        <f aca="false">T5/(I5)*$L5</f>
        <v>-1</v>
      </c>
      <c r="Y5" s="2" t="n">
        <f aca="false">U5/(J5)*$L5</f>
        <v>0.0206420772972563</v>
      </c>
      <c r="Z5" s="2" t="n">
        <f aca="false">V5/(K5)*$L5</f>
        <v>0.0206420772972564</v>
      </c>
      <c r="AA5" s="2"/>
      <c r="AB5" s="2"/>
      <c r="AC5" s="2" t="n">
        <f aca="false">I5/(I5+K5)*B5</f>
        <v>0</v>
      </c>
      <c r="AD5" s="2" t="n">
        <f aca="false">(J5/(J5+K5))*(1-B5)</f>
        <v>0.983586766168233</v>
      </c>
      <c r="AE5" s="2" t="n">
        <f aca="false">(K5/(K5+I5))*B5+(K5/(K5+J5))*(1-B5)</f>
        <v>0.0164132338317667</v>
      </c>
      <c r="AF5" s="2" t="n">
        <f aca="false">AC5+AD5+AE5</f>
        <v>1</v>
      </c>
      <c r="AG5" s="2" t="n">
        <f aca="false">AC5/(I5/$L5)</f>
        <v>0</v>
      </c>
      <c r="AH5" s="2" t="n">
        <f aca="false">AD5/(J5/$L5)</f>
        <v>1.02064207729726</v>
      </c>
      <c r="AI5" s="2" t="n">
        <f aca="false">AE5/(K5/$L5)</f>
        <v>1.02064207729726</v>
      </c>
      <c r="AJ5" s="2" t="n">
        <f aca="false">AC5-I5/$L5</f>
        <v>-0.0202245995500384</v>
      </c>
      <c r="AK5" s="2" t="n">
        <f aca="false">AD5-J5/$L5</f>
        <v>0.0198926484684697</v>
      </c>
      <c r="AL5" s="2" t="n">
        <f aca="false">AE5-K5/$L5</f>
        <v>0.000331951081568624</v>
      </c>
      <c r="AM5" s="2" t="n">
        <f aca="false">AJ5+AK5+AL5</f>
        <v>-9.0205620750794E-017</v>
      </c>
      <c r="AN5" s="2" t="n">
        <f aca="false">AJ5/(I5)*$L5</f>
        <v>-1</v>
      </c>
      <c r="AO5" s="2" t="n">
        <f aca="false">AK5/(J5)*$L5</f>
        <v>0.0206420772972563</v>
      </c>
      <c r="AP5" s="2" t="n">
        <f aca="false">AL5/(K5)*$L5</f>
        <v>0.0206420772972564</v>
      </c>
      <c r="AQ5" s="2"/>
      <c r="AR5" s="2" t="n">
        <f aca="false">B5-C5</f>
        <v>-0.0402941869973762</v>
      </c>
      <c r="AS5" s="45" t="n">
        <f aca="false">B5/C5</f>
        <v>0</v>
      </c>
      <c r="AU5" s="32" t="n">
        <v>665735</v>
      </c>
      <c r="AV5" s="45" t="n">
        <f aca="false">AU5*1000/(L5*365)</f>
        <v>1.83711169763817</v>
      </c>
      <c r="AW5" s="4" t="n">
        <f aca="false">M5*$AU5</f>
        <v>0</v>
      </c>
      <c r="AX5" s="4" t="n">
        <f aca="false">N5*$AU5</f>
        <v>654808.135775009</v>
      </c>
      <c r="AY5" s="4" t="n">
        <f aca="false">O5*$AU5</f>
        <v>10926.8642249912</v>
      </c>
      <c r="AZ5" s="45" t="n">
        <f aca="false">AW5*1000/(I5*365)</f>
        <v>0</v>
      </c>
      <c r="BA5" s="45" t="n">
        <f aca="false">AX5*1000/(J5*365)</f>
        <v>1.87503349930451</v>
      </c>
      <c r="BB5" s="45" t="n">
        <f aca="false">AY5*1000/(K5*365)</f>
        <v>1.87503349930451</v>
      </c>
      <c r="BC5" s="45" t="n">
        <f aca="false">$AV5-AZ5</f>
        <v>1.83711169763817</v>
      </c>
      <c r="BD5" s="45" t="n">
        <f aca="false">$AV5-BA5</f>
        <v>-0.037921801666341</v>
      </c>
      <c r="BE5" s="45" t="n">
        <f aca="false">$AV5-BB5</f>
        <v>-0.037921801666341</v>
      </c>
      <c r="BF5" s="2" t="n">
        <f aca="false">SQRT((BC5*$I5)^2+(BD5*$J5)^2+(BE5*$K5)^2)/$L5</f>
        <v>0.0521190266291378</v>
      </c>
      <c r="BG5" s="45"/>
      <c r="BH5" s="4" t="n">
        <f aca="false">AC5*$AU5</f>
        <v>0</v>
      </c>
      <c r="BI5" s="4" t="n">
        <f aca="false">AD5*$AU5</f>
        <v>654808.135775009</v>
      </c>
      <c r="BJ5" s="4" t="n">
        <f aca="false">AE5*$AU5</f>
        <v>10926.8642249912</v>
      </c>
      <c r="BK5" s="45" t="n">
        <f aca="false">BH5*1000/(I5*365)</f>
        <v>0</v>
      </c>
      <c r="BL5" s="45" t="n">
        <f aca="false">BI5*1000/(J5*365)</f>
        <v>1.87503349930451</v>
      </c>
      <c r="BM5" s="45" t="n">
        <f aca="false">BJ5*1000/(K5*365)</f>
        <v>1.87503349930451</v>
      </c>
      <c r="BN5" s="45" t="n">
        <f aca="false">$AV5-BK5</f>
        <v>1.83711169763817</v>
      </c>
      <c r="BO5" s="45" t="n">
        <f aca="false">$AV5-BL5</f>
        <v>-0.037921801666341</v>
      </c>
      <c r="BP5" s="45" t="n">
        <f aca="false">$AV5-BM5</f>
        <v>-0.037921801666341</v>
      </c>
      <c r="BQ5" s="2" t="n">
        <f aca="false">SQRT((BN5*$I5)^2+(BO5*$J5)^2+(BP5*$K5)^2)/$L5</f>
        <v>0.0521190266291378</v>
      </c>
      <c r="BS5" s="0" t="s">
        <v>50</v>
      </c>
      <c r="BT5" s="2" t="n">
        <v>0.0112804688764038</v>
      </c>
      <c r="BU5" s="2" t="n">
        <v>0.0103049187382187</v>
      </c>
      <c r="BW5" s="0" t="s">
        <v>49</v>
      </c>
      <c r="BX5" s="2" t="n">
        <v>0.00800908657783614</v>
      </c>
      <c r="BY5" s="2" t="n">
        <v>0.032041554371547</v>
      </c>
      <c r="CB5" s="0" t="n">
        <v>0.05</v>
      </c>
    </row>
    <row r="6" customFormat="false" ht="12.75" hidden="false" customHeight="false" outlineLevel="0" collapsed="false">
      <c r="A6" s="0" t="s">
        <v>11</v>
      </c>
      <c r="B6" s="2" t="n">
        <v>0.0211415213324095</v>
      </c>
      <c r="C6" s="2" t="n">
        <v>0.004523030247648</v>
      </c>
      <c r="D6" s="2" t="n">
        <f aca="false">1-C6</f>
        <v>0.995476969752352</v>
      </c>
      <c r="E6" s="0" t="n">
        <v>13908817</v>
      </c>
      <c r="F6" s="2" t="n">
        <v>0.00368981200149532</v>
      </c>
      <c r="G6" s="2" t="n">
        <f aca="false">1-F6</f>
        <v>0.996310187998505</v>
      </c>
      <c r="H6" s="0" t="n">
        <v>13940250</v>
      </c>
      <c r="I6" s="4" t="n">
        <f aca="false">0.5*E6*C6</f>
        <v>31455.0000000003</v>
      </c>
      <c r="J6" s="4" t="n">
        <f aca="false">H6*G6</f>
        <v>13888813.0982462</v>
      </c>
      <c r="K6" s="4" t="n">
        <f aca="false">0.5*H6*F6</f>
        <v>25718.4508769226</v>
      </c>
      <c r="L6" s="4" t="n">
        <f aca="false">I6+J6+K6</f>
        <v>13945986.5491231</v>
      </c>
      <c r="M6" s="2" t="n">
        <f aca="false">(I6/L6)*B6</f>
        <v>4.76844396177023E-005</v>
      </c>
      <c r="N6" s="2" t="n">
        <f aca="false">(J6/L6)*B6+(J6/(J6+K6))*(1-B6)</f>
        <v>0.998104087726322</v>
      </c>
      <c r="O6" s="2" t="n">
        <f aca="false">(K6/L6)*B6+(K6/(K6+J6))*(1-B6)</f>
        <v>0.00184822783406067</v>
      </c>
      <c r="P6" s="2" t="n">
        <f aca="false">M6+N6+O6</f>
        <v>1</v>
      </c>
      <c r="Q6" s="2" t="n">
        <f aca="false">M6/(I6/$L6)</f>
        <v>0.0211415213324095</v>
      </c>
      <c r="R6" s="2" t="n">
        <f aca="false">N6/(J6/$L6)</f>
        <v>1.00221279410937</v>
      </c>
      <c r="S6" s="2" t="n">
        <f aca="false">O6/(K6/$L6)</f>
        <v>1.00221279410937</v>
      </c>
      <c r="T6" s="2" t="n">
        <f aca="false">M6-I6/$L6</f>
        <v>-0.00220780317964852</v>
      </c>
      <c r="U6" s="2" t="n">
        <f aca="false">N6-J6/$L6</f>
        <v>0.00220372246177292</v>
      </c>
      <c r="V6" s="2" t="n">
        <f aca="false">O6-K6/$L6</f>
        <v>4.08071787549912E-006</v>
      </c>
      <c r="W6" s="2" t="n">
        <f aca="false">T6+U6+V6</f>
        <v>-1.01481323344643E-016</v>
      </c>
      <c r="X6" s="2" t="n">
        <f aca="false">T6/(I6)*$L6</f>
        <v>-0.978858478667591</v>
      </c>
      <c r="Y6" s="2" t="n">
        <f aca="false">U6/(J6)*$L6</f>
        <v>0.00221279410936608</v>
      </c>
      <c r="Z6" s="2" t="n">
        <f aca="false">V6/(K6)*$L6</f>
        <v>0.00221279410936615</v>
      </c>
      <c r="AA6" s="2"/>
      <c r="AB6" s="2"/>
      <c r="AC6" s="2" t="n">
        <f aca="false">I6/(I6+K6)*B6</f>
        <v>0.01163138735394</v>
      </c>
      <c r="AD6" s="2" t="n">
        <f aca="false">(J6/(J6+K6))*(1-B6)</f>
        <v>0.977049238909127</v>
      </c>
      <c r="AE6" s="2" t="n">
        <f aca="false">(K6/(K6+I6))*B6+(K6/(K6+J6))*(1-B6)</f>
        <v>0.0113193737369333</v>
      </c>
      <c r="AF6" s="2" t="n">
        <f aca="false">AC6+AD6+AE6</f>
        <v>1</v>
      </c>
      <c r="AG6" s="2" t="n">
        <f aca="false">AC6/(I6/$L6)</f>
        <v>5.15692804278128</v>
      </c>
      <c r="AH6" s="2" t="n">
        <f aca="false">AD6/(J6/$L6)</f>
        <v>0.981071272776957</v>
      </c>
      <c r="AI6" s="2" t="n">
        <f aca="false">AE6/(K6/$L6)</f>
        <v>6.13799931555824</v>
      </c>
      <c r="AJ6" s="53" t="n">
        <f aca="false">AC6-I6/$L6</f>
        <v>0.00937589973467374</v>
      </c>
      <c r="AK6" s="2" t="n">
        <f aca="false">AD6-J6/$L6</f>
        <v>-0.018851126355422</v>
      </c>
      <c r="AL6" s="2" t="n">
        <f aca="false">AE6-K6/$L6</f>
        <v>0.00947522662074812</v>
      </c>
      <c r="AM6" s="2" t="n">
        <f aca="false">AJ6+AK6+AL6</f>
        <v>-1.09287578986539E-016</v>
      </c>
      <c r="AN6" s="2" t="n">
        <f aca="false">AJ6/(I6)*$L6</f>
        <v>4.15692804278128</v>
      </c>
      <c r="AO6" s="2" t="n">
        <f aca="false">AK6/(J6)*$L6</f>
        <v>-0.0189287272230434</v>
      </c>
      <c r="AP6" s="2" t="n">
        <f aca="false">AL6/(K6)*$L6</f>
        <v>5.13799931555824</v>
      </c>
      <c r="AQ6" s="2"/>
      <c r="AR6" s="53" t="n">
        <f aca="false">B6-C6</f>
        <v>0.0166184910847615</v>
      </c>
      <c r="AS6" s="54" t="n">
        <f aca="false">B6/C6</f>
        <v>4.67419410767886</v>
      </c>
      <c r="AU6" s="34" t="n">
        <v>5966475</v>
      </c>
      <c r="AV6" s="45" t="n">
        <f aca="false">AU6*1000/(L6*365)</f>
        <v>1.1721298304524</v>
      </c>
      <c r="AW6" s="4" t="n">
        <f aca="false">M6*$AU6</f>
        <v>284.50801686803</v>
      </c>
      <c r="AX6" s="4" t="n">
        <f aca="false">N6*$AU6</f>
        <v>5955163.0868169</v>
      </c>
      <c r="AY6" s="4" t="n">
        <f aca="false">O6*$AU6</f>
        <v>11027.4051662272</v>
      </c>
      <c r="AZ6" s="45" t="n">
        <f aca="false">AW6*1000/(I6*365)</f>
        <v>0.0247806078148629</v>
      </c>
      <c r="BA6" s="45" t="n">
        <f aca="false">AX6*1000/(J6*365)</f>
        <v>1.17472351243664</v>
      </c>
      <c r="BB6" s="45" t="n">
        <f aca="false">AY6*1000/(K6*365)</f>
        <v>1.17472351243664</v>
      </c>
      <c r="BC6" s="45" t="n">
        <f aca="false">$AV6-AZ6</f>
        <v>1.14734922263754</v>
      </c>
      <c r="BD6" s="45" t="n">
        <f aca="false">$AV6-BA6</f>
        <v>-0.00259368198423715</v>
      </c>
      <c r="BE6" s="45" t="n">
        <f aca="false">$AV6-BB6</f>
        <v>-0.00259368198423737</v>
      </c>
      <c r="BF6" s="2" t="n">
        <f aca="false">SQRT((BC6*$I6)^2+(BD6*$J6)^2+(BE6*$K6)^2)/$L6</f>
        <v>0.00365636957272633</v>
      </c>
      <c r="BG6" s="45"/>
      <c r="BH6" s="4" t="n">
        <f aca="false">AC6*$AU6</f>
        <v>69398.3818625989</v>
      </c>
      <c r="BI6" s="4" t="n">
        <f aca="false">AD6*$AU6</f>
        <v>5829539.85772033</v>
      </c>
      <c r="BJ6" s="4" t="n">
        <f aca="false">AE6*$AU6</f>
        <v>67536.7604170691</v>
      </c>
      <c r="BK6" s="45" t="n">
        <f aca="false">BH6*1000/(I6*365)</f>
        <v>6.04458919244044</v>
      </c>
      <c r="BL6" s="45" t="n">
        <f aca="false">BI6*1000/(J6*365)</f>
        <v>1.14994290462177</v>
      </c>
      <c r="BM6" s="45" t="n">
        <f aca="false">BJ6*1000/(K6*365)</f>
        <v>7.19453209706222</v>
      </c>
      <c r="BN6" s="54" t="n">
        <f aca="false">$AV6-BK6</f>
        <v>-4.87245936198804</v>
      </c>
      <c r="BO6" s="45" t="n">
        <f aca="false">$AV6-BL6</f>
        <v>0.0221869258306258</v>
      </c>
      <c r="BP6" s="45" t="n">
        <f aca="false">$AV6-BM6</f>
        <v>-6.02240226660982</v>
      </c>
      <c r="BQ6" s="2" t="n">
        <f aca="false">SQRT((BN6*$I6)^2+(BO6*$J6)^2+(BP6*$K6)^2)/$L6</f>
        <v>0.0270620481392174</v>
      </c>
      <c r="BS6" s="0" t="s">
        <v>17</v>
      </c>
      <c r="BT6" s="2" t="n">
        <v>0.0115779995507024</v>
      </c>
      <c r="BU6" s="2" t="n">
        <v>0.0115779995507024</v>
      </c>
      <c r="BW6" s="0" t="s">
        <v>15</v>
      </c>
      <c r="BX6" s="2" t="n">
        <v>0.008399387103283</v>
      </c>
      <c r="BY6" s="2" t="n">
        <v>0.146403573914671</v>
      </c>
      <c r="CB6" s="0" t="n">
        <v>0.1</v>
      </c>
    </row>
    <row r="7" customFormat="false" ht="12.75" hidden="false" customHeight="false" outlineLevel="0" collapsed="false">
      <c r="A7" s="0" t="s">
        <v>12</v>
      </c>
      <c r="B7" s="2" t="n">
        <v>0.00295777769394722</v>
      </c>
      <c r="C7" s="2" t="n">
        <v>0.00794454114516863</v>
      </c>
      <c r="D7" s="2" t="n">
        <f aca="false">1-C7</f>
        <v>0.992055458854831</v>
      </c>
      <c r="E7" s="0" t="n">
        <v>1628162</v>
      </c>
      <c r="F7" s="2" t="n">
        <v>0.0102502826364698</v>
      </c>
      <c r="G7" s="2" t="n">
        <f aca="false">1-F7</f>
        <v>0.98974971736353</v>
      </c>
      <c r="H7" s="0" t="n">
        <v>1637440</v>
      </c>
      <c r="I7" s="4" t="n">
        <f aca="false">0.5*E7*C7</f>
        <v>6467.50000000002</v>
      </c>
      <c r="J7" s="4" t="n">
        <f aca="false">H7*G7</f>
        <v>1620655.77719974</v>
      </c>
      <c r="K7" s="4" t="n">
        <f aca="false">0.5*H7*F7</f>
        <v>8392.11140013053</v>
      </c>
      <c r="L7" s="4" t="n">
        <f aca="false">I7+J7+K7</f>
        <v>1635515.38859987</v>
      </c>
      <c r="M7" s="2" t="n">
        <f aca="false">(I7/L7)*B7</f>
        <v>1.1696268570105E-005</v>
      </c>
      <c r="N7" s="2" t="n">
        <f aca="false">(J7/L7)*B7+(J7/(J7+K7))*(1-B7)</f>
        <v>0.994836820277525</v>
      </c>
      <c r="O7" s="2" t="n">
        <f aca="false">(K7/L7)*B7+(K7/(K7+J7))*(1-B7)</f>
        <v>0.00515148345390538</v>
      </c>
      <c r="P7" s="2" t="n">
        <f aca="false">M7+N7+O7</f>
        <v>1</v>
      </c>
      <c r="Q7" s="2" t="n">
        <f aca="false">M7/(I7/$L7)</f>
        <v>0.00295777769394722</v>
      </c>
      <c r="R7" s="2" t="n">
        <f aca="false">N7/(J7/$L7)</f>
        <v>1.00395836771767</v>
      </c>
      <c r="S7" s="2" t="n">
        <f aca="false">O7/(K7/$L7)</f>
        <v>1.00395836771767</v>
      </c>
      <c r="T7" s="2" t="n">
        <f aca="false">M7-I7/$L7</f>
        <v>-0.00394271470492536</v>
      </c>
      <c r="U7" s="2" t="n">
        <f aca="false">N7-J7/$L7</f>
        <v>0.00392240363779584</v>
      </c>
      <c r="V7" s="2" t="n">
        <f aca="false">O7-K7/$L7</f>
        <v>2.03110671295886E-005</v>
      </c>
      <c r="W7" s="2" t="n">
        <f aca="false">T7+U7+V7</f>
        <v>6.41847686111419E-017</v>
      </c>
      <c r="X7" s="2" t="n">
        <f aca="false">T7/(I7)*$L7</f>
        <v>-0.997042222306053</v>
      </c>
      <c r="Y7" s="2" t="n">
        <f aca="false">U7/(J7)*$L7</f>
        <v>0.00395836771766529</v>
      </c>
      <c r="Z7" s="2" t="n">
        <f aca="false">V7/(K7)*$L7</f>
        <v>0.00395836771766525</v>
      </c>
      <c r="AA7" s="2"/>
      <c r="AB7" s="2"/>
      <c r="AC7" s="2" t="n">
        <f aca="false">I7/(I7+K7)*B7</f>
        <v>0.00128734370775239</v>
      </c>
      <c r="AD7" s="2" t="n">
        <f aca="false">(J7/(J7+K7))*(1-B7)</f>
        <v>0.991905915719377</v>
      </c>
      <c r="AE7" s="2" t="n">
        <f aca="false">(K7/(K7+I7))*B7+(K7/(K7+J7))*(1-B7)</f>
        <v>0.00680674057287081</v>
      </c>
      <c r="AF7" s="2" t="n">
        <f aca="false">AC7+AD7+AE7</f>
        <v>1</v>
      </c>
      <c r="AG7" s="2" t="n">
        <f aca="false">AC7/(I7/$L7)</f>
        <v>0.325546261220911</v>
      </c>
      <c r="AH7" s="2" t="n">
        <f aca="false">AD7/(J7/$L7)</f>
        <v>1.00100059002372</v>
      </c>
      <c r="AI7" s="2" t="n">
        <f aca="false">AE7/(K7/$L7)</f>
        <v>1.32654685124463</v>
      </c>
      <c r="AJ7" s="2" t="n">
        <f aca="false">AC7-I7/$L7</f>
        <v>-0.00266706726574307</v>
      </c>
      <c r="AK7" s="2" t="n">
        <f aca="false">AD7-J7/$L7</f>
        <v>0.000991499079648128</v>
      </c>
      <c r="AL7" s="2" t="n">
        <f aca="false">AE7-K7/$L7</f>
        <v>0.00167556818609502</v>
      </c>
      <c r="AM7" s="2" t="n">
        <f aca="false">AJ7+AK7+AL7</f>
        <v>7.37257477290143E-017</v>
      </c>
      <c r="AN7" s="2" t="n">
        <f aca="false">AJ7/(I7)*$L7</f>
        <v>-0.67445373877909</v>
      </c>
      <c r="AO7" s="2" t="n">
        <f aca="false">AK7/(J7)*$L7</f>
        <v>0.00100059002371807</v>
      </c>
      <c r="AP7" s="2" t="n">
        <f aca="false">AL7/(K7)*$L7</f>
        <v>0.326546851244629</v>
      </c>
      <c r="AQ7" s="2"/>
      <c r="AR7" s="2" t="n">
        <f aca="false">B7-C7</f>
        <v>-0.0049867634512214</v>
      </c>
      <c r="AS7" s="45" t="n">
        <f aca="false">B7/C7</f>
        <v>0.372303150037301</v>
      </c>
      <c r="AU7" s="32" t="n">
        <v>922112</v>
      </c>
      <c r="AV7" s="45" t="n">
        <f aca="false">AU7*1000/(L7*365)</f>
        <v>1.54467164551603</v>
      </c>
      <c r="AW7" s="4" t="n">
        <f aca="false">M7*$AU7</f>
        <v>10.7852696037167</v>
      </c>
      <c r="AX7" s="4" t="n">
        <f aca="false">N7*$AU7</f>
        <v>917350.970019749</v>
      </c>
      <c r="AY7" s="4" t="n">
        <f aca="false">O7*$AU7</f>
        <v>4750.2447106476</v>
      </c>
      <c r="AZ7" s="45" t="n">
        <f aca="false">AW7*1000/(I7*365)</f>
        <v>0.00456879533758006</v>
      </c>
      <c r="BA7" s="45" t="n">
        <f aca="false">AX7*1000/(J7*365)</f>
        <v>1.55078602389203</v>
      </c>
      <c r="BB7" s="45" t="n">
        <f aca="false">AY7*1000/(K7*365)</f>
        <v>1.55078602389203</v>
      </c>
      <c r="BC7" s="45" t="n">
        <f aca="false">$AV7-AZ7</f>
        <v>1.54010285017845</v>
      </c>
      <c r="BD7" s="45" t="n">
        <f aca="false">$AV7-BA7</f>
        <v>-0.00611437837600337</v>
      </c>
      <c r="BE7" s="45" t="n">
        <f aca="false">$AV7-BB7</f>
        <v>-0.00611437837600359</v>
      </c>
      <c r="BF7" s="2" t="n">
        <f aca="false">SQRT((BC7*$I7)^2+(BD7*$J7)^2+(BE7*$K7)^2)/$L7</f>
        <v>0.00859074410430491</v>
      </c>
      <c r="BG7" s="45"/>
      <c r="BH7" s="4" t="n">
        <f aca="false">AC7*$AU7</f>
        <v>1187.07508104297</v>
      </c>
      <c r="BI7" s="4" t="n">
        <f aca="false">AD7*$AU7</f>
        <v>914648.347755826</v>
      </c>
      <c r="BJ7" s="4" t="n">
        <f aca="false">AE7*$AU7</f>
        <v>6276.57716313105</v>
      </c>
      <c r="BK7" s="45" t="n">
        <f aca="false">BH7*1000/(I7*365)</f>
        <v>0.502862079011694</v>
      </c>
      <c r="BL7" s="45" t="n">
        <f aca="false">BI7*1000/(J7*365)</f>
        <v>1.54621722855445</v>
      </c>
      <c r="BM7" s="45" t="n">
        <f aca="false">BJ7*1000/(K7*365)</f>
        <v>2.04907930756614</v>
      </c>
      <c r="BN7" s="45" t="n">
        <f aca="false">$AV7-BK7</f>
        <v>1.04180956650433</v>
      </c>
      <c r="BO7" s="45" t="n">
        <f aca="false">$AV7-BL7</f>
        <v>-0.00154558303842323</v>
      </c>
      <c r="BP7" s="45" t="n">
        <f aca="false">$AV7-BM7</f>
        <v>-0.504407662050117</v>
      </c>
      <c r="BQ7" s="2" t="n">
        <f aca="false">SQRT((BN7*$I7)^2+(BO7*$J7)^2+(BP7*$K7)^2)/$L7</f>
        <v>0.00510065616185425</v>
      </c>
      <c r="BS7" s="0" t="s">
        <v>55</v>
      </c>
      <c r="BT7" s="2" t="n">
        <v>0.0140188523736331</v>
      </c>
      <c r="BU7" s="2" t="n">
        <v>0.014004126431096</v>
      </c>
      <c r="BW7" s="0" t="s">
        <v>12</v>
      </c>
      <c r="BX7" s="2" t="n">
        <v>0.00859074410430491</v>
      </c>
      <c r="BY7" s="2" t="n">
        <v>0.00510065616185425</v>
      </c>
      <c r="CB7" s="0" t="n">
        <v>0.15</v>
      </c>
    </row>
    <row r="8" customFormat="false" ht="12.75" hidden="false" customHeight="false" outlineLevel="0" collapsed="false">
      <c r="A8" s="0" t="s">
        <v>13</v>
      </c>
      <c r="B8" s="2" t="n">
        <v>0.000259885785260088</v>
      </c>
      <c r="C8" s="2" t="n">
        <v>0.0456124226267046</v>
      </c>
      <c r="D8" s="2" t="n">
        <f aca="false">1-C8</f>
        <v>0.954387577373295</v>
      </c>
      <c r="E8" s="0" t="n">
        <v>1669019</v>
      </c>
      <c r="F8" s="2" t="n">
        <v>0.0474450284948841</v>
      </c>
      <c r="G8" s="2" t="n">
        <f aca="false">1-F8</f>
        <v>0.952554971505116</v>
      </c>
      <c r="H8" s="0" t="n">
        <v>1673442</v>
      </c>
      <c r="I8" s="4" t="n">
        <f aca="false">0.5*E8*C8</f>
        <v>38064</v>
      </c>
      <c r="J8" s="4" t="n">
        <f aca="false">H8*G8</f>
        <v>1594045.49662546</v>
      </c>
      <c r="K8" s="4" t="n">
        <f aca="false">0.5*H8*F8</f>
        <v>39698.2516872679</v>
      </c>
      <c r="L8" s="4" t="n">
        <f aca="false">I8+J8+K8</f>
        <v>1671807.74831273</v>
      </c>
      <c r="M8" s="2" t="n">
        <f aca="false">(I8/L8)*B8</f>
        <v>5.91712326978013E-006</v>
      </c>
      <c r="N8" s="2" t="n">
        <f aca="false">(J8/L8)*B8+(J8/(J8+K8))*(1-B8)</f>
        <v>0.975695280308202</v>
      </c>
      <c r="O8" s="2" t="n">
        <f aca="false">(K8/L8)*B8+(K8/(K8+J8))*(1-B8)</f>
        <v>0.0242988025685287</v>
      </c>
      <c r="P8" s="2" t="n">
        <f aca="false">M8+N8+O8</f>
        <v>1</v>
      </c>
      <c r="Q8" s="2" t="n">
        <f aca="false">M8/(I8/$L8)</f>
        <v>0.000259885785260088</v>
      </c>
      <c r="R8" s="2" t="n">
        <f aca="false">N8/(J8/$L8)</f>
        <v>1.02329258045931</v>
      </c>
      <c r="S8" s="2" t="n">
        <f aca="false">O8/(K8/$L8)</f>
        <v>1.02329258045931</v>
      </c>
      <c r="T8" s="2" t="n">
        <f aca="false">M8-I8/$L8</f>
        <v>-0.0227622510697632</v>
      </c>
      <c r="U8" s="2" t="n">
        <f aca="false">N8-J8/$L8</f>
        <v>0.0222091523522504</v>
      </c>
      <c r="V8" s="2" t="n">
        <f aca="false">O8-K8/$L8</f>
        <v>0.000553098717512749</v>
      </c>
      <c r="W8" s="2" t="n">
        <f aca="false">T8+U8+V8</f>
        <v>0</v>
      </c>
      <c r="X8" s="2" t="n">
        <f aca="false">T8/(I8)*$L8</f>
        <v>-0.99974011421474</v>
      </c>
      <c r="Y8" s="2" t="n">
        <f aca="false">U8/(J8)*$L8</f>
        <v>0.0232925804593105</v>
      </c>
      <c r="Z8" s="2" t="n">
        <f aca="false">V8/(K8)*$L8</f>
        <v>0.0232925804593106</v>
      </c>
      <c r="AA8" s="2"/>
      <c r="AB8" s="2"/>
      <c r="AC8" s="2" t="n">
        <f aca="false">I8/(I8+K8)*B8</f>
        <v>0.00012721201245462</v>
      </c>
      <c r="AD8" s="2" t="n">
        <f aca="false">(J8/(J8+K8))*(1-B8)</f>
        <v>0.975447482817103</v>
      </c>
      <c r="AE8" s="2" t="n">
        <f aca="false">(K8/(K8+I8))*B8+(K8/(K8+J8))*(1-B8)</f>
        <v>0.0244253051704423</v>
      </c>
      <c r="AF8" s="2" t="n">
        <f aca="false">AC8+AD8+AE8</f>
        <v>1</v>
      </c>
      <c r="AG8" s="2" t="n">
        <f aca="false">AC8/(I8/$L8)</f>
        <v>0.00558727480296577</v>
      </c>
      <c r="AH8" s="2" t="n">
        <f aca="false">AD8/(J8/$L8)</f>
        <v>1.02303269467405</v>
      </c>
      <c r="AI8" s="2" t="n">
        <f aca="false">AE8/(K8/$L8)</f>
        <v>1.02861996947702</v>
      </c>
      <c r="AJ8" s="2" t="n">
        <f aca="false">AC8-I8/$L8</f>
        <v>-0.0226409561805783</v>
      </c>
      <c r="AK8" s="2" t="n">
        <f aca="false">AD8-J8/$L8</f>
        <v>0.021961354861152</v>
      </c>
      <c r="AL8" s="2" t="n">
        <f aca="false">AE8-K8/$L8</f>
        <v>0.000679601319426341</v>
      </c>
      <c r="AM8" s="2" t="n">
        <f aca="false">AJ8+AK8+AL8</f>
        <v>5.20417042793042E-017</v>
      </c>
      <c r="AN8" s="2" t="n">
        <f aca="false">AJ8/(I8)*$L8</f>
        <v>-0.994412725197034</v>
      </c>
      <c r="AO8" s="2" t="n">
        <f aca="false">AK8/(J8)*$L8</f>
        <v>0.0230326946740505</v>
      </c>
      <c r="AP8" s="2" t="n">
        <f aca="false">AL8/(K8)*$L8</f>
        <v>0.0286199694770162</v>
      </c>
      <c r="AQ8" s="2"/>
      <c r="AR8" s="2" t="n">
        <f aca="false">B8-C8</f>
        <v>-0.0453525368414445</v>
      </c>
      <c r="AS8" s="45" t="n">
        <f aca="false">B8/C8</f>
        <v>0.00569769747568579</v>
      </c>
      <c r="AU8" s="32" t="n">
        <v>1153096</v>
      </c>
      <c r="AV8" s="45" t="n">
        <f aca="false">AU8*1000/(L8*365)</f>
        <v>1.88967130130606</v>
      </c>
      <c r="AW8" s="4" t="n">
        <f aca="false">M8*$AU8</f>
        <v>6.82301117389039</v>
      </c>
      <c r="AX8" s="4" t="n">
        <f aca="false">N8*$AU8</f>
        <v>1125070.32494227</v>
      </c>
      <c r="AY8" s="4" t="n">
        <f aca="false">O8*$AU8</f>
        <v>28018.8520465601</v>
      </c>
      <c r="AZ8" s="45" t="n">
        <f aca="false">AW8*1000/(I8*365)</f>
        <v>0.000491098710023378</v>
      </c>
      <c r="BA8" s="45" t="n">
        <f aca="false">AX8*1000/(J8*365)</f>
        <v>1.93368662213338</v>
      </c>
      <c r="BB8" s="45" t="n">
        <f aca="false">AY8*1000/(K8*365)</f>
        <v>1.93368662213338</v>
      </c>
      <c r="BC8" s="45" t="n">
        <f aca="false">$AV8-AZ8</f>
        <v>1.88918020259604</v>
      </c>
      <c r="BD8" s="45" t="n">
        <f aca="false">$AV8-BA8</f>
        <v>-0.0440153208273211</v>
      </c>
      <c r="BE8" s="45" t="n">
        <f aca="false">$AV8-BB8</f>
        <v>-0.0440153208273215</v>
      </c>
      <c r="BF8" s="2" t="n">
        <f aca="false">SQRT((BC8*$I8)^2+(BD8*$J8)^2+(BE8*$K8)^2)/$L8</f>
        <v>0.0601043945893269</v>
      </c>
      <c r="BG8" s="45"/>
      <c r="BH8" s="4" t="n">
        <f aca="false">AC8*$AU8</f>
        <v>146.687662713372</v>
      </c>
      <c r="BI8" s="4" t="n">
        <f aca="false">AD8*$AU8</f>
        <v>1124784.59064647</v>
      </c>
      <c r="BJ8" s="4" t="n">
        <f aca="false">AE8*$AU8</f>
        <v>28164.7216908163</v>
      </c>
      <c r="BK8" s="45" t="n">
        <f aca="false">BH8*1000/(I8*365)</f>
        <v>0.0105581128476749</v>
      </c>
      <c r="BL8" s="45" t="n">
        <f aca="false">BI8*1000/(J8*365)</f>
        <v>1.93319552342336</v>
      </c>
      <c r="BM8" s="45" t="n">
        <f aca="false">BJ8*1000/(K8*365)</f>
        <v>1.94375363627103</v>
      </c>
      <c r="BN8" s="45" t="n">
        <f aca="false">$AV8-BK8</f>
        <v>1.87911318845838</v>
      </c>
      <c r="BO8" s="45" t="n">
        <f aca="false">$AV8-BL8</f>
        <v>-0.0435242221172982</v>
      </c>
      <c r="BP8" s="45" t="n">
        <f aca="false">$AV8-BM8</f>
        <v>-0.0540823349649731</v>
      </c>
      <c r="BQ8" s="2" t="n">
        <f aca="false">SQRT((BN8*$I8)^2+(BO8*$J8)^2+(BP8*$K8)^2)/$L8</f>
        <v>0.0596183318179441</v>
      </c>
      <c r="BS8" s="0" t="s">
        <v>9</v>
      </c>
      <c r="BT8" s="2" t="n">
        <v>0.0161089840520771</v>
      </c>
      <c r="BU8" s="2" t="n">
        <v>0.0161089840520771</v>
      </c>
      <c r="BW8" s="0" t="s">
        <v>50</v>
      </c>
      <c r="BX8" s="2" t="n">
        <v>0.0112804688764038</v>
      </c>
      <c r="BY8" s="2" t="n">
        <v>0.0103049187382187</v>
      </c>
      <c r="CB8" s="0" t="n">
        <v>0.2</v>
      </c>
    </row>
    <row r="9" customFormat="false" ht="12.75" hidden="false" customHeight="false" outlineLevel="0" collapsed="false">
      <c r="A9" s="0" t="s">
        <v>14</v>
      </c>
      <c r="B9" s="2" t="n">
        <v>0.252590047672857</v>
      </c>
      <c r="C9" s="2" t="n">
        <v>0.138328875404208</v>
      </c>
      <c r="D9" s="2" t="n">
        <f aca="false">1-C9</f>
        <v>0.861671124595792</v>
      </c>
      <c r="E9" s="0" t="n">
        <v>350686</v>
      </c>
      <c r="F9" s="2" t="n">
        <v>0.0950457155007443</v>
      </c>
      <c r="G9" s="2" t="n">
        <f aca="false">1-F9</f>
        <v>0.904954284499256</v>
      </c>
      <c r="H9" s="0" t="n">
        <v>334126</v>
      </c>
      <c r="I9" s="4" t="n">
        <f aca="false">0.5*E9*C9</f>
        <v>24255</v>
      </c>
      <c r="J9" s="4" t="n">
        <f aca="false">H9*G9</f>
        <v>302368.755262598</v>
      </c>
      <c r="K9" s="4" t="n">
        <f aca="false">0.5*H9*F9</f>
        <v>15878.6223687008</v>
      </c>
      <c r="L9" s="4" t="n">
        <f aca="false">I9+J9+K9</f>
        <v>342502.377631299</v>
      </c>
      <c r="M9" s="2" t="n">
        <f aca="false">(I9/L9)*B9</f>
        <v>0.0178876761343255</v>
      </c>
      <c r="N9" s="2" t="n">
        <f aca="false">(J9/L9)*B9+(J9/(J9+K9))*(1-B9)</f>
        <v>0.933110849508273</v>
      </c>
      <c r="O9" s="2" t="n">
        <f aca="false">(K9/L9)*B9+(K9/(K9+J9))*(1-B9)</f>
        <v>0.0490014743574011</v>
      </c>
      <c r="P9" s="2" t="n">
        <f aca="false">M9+N9+O9</f>
        <v>1</v>
      </c>
      <c r="Q9" s="2" t="n">
        <f aca="false">M9/(I9/$L9)</f>
        <v>0.252590047672857</v>
      </c>
      <c r="R9" s="2" t="n">
        <f aca="false">N9/(J9/$L9)</f>
        <v>1.05696332371573</v>
      </c>
      <c r="S9" s="2" t="n">
        <f aca="false">O9/(K9/$L9)</f>
        <v>1.05696332371573</v>
      </c>
      <c r="T9" s="2" t="n">
        <f aca="false">M9-I9/$L9</f>
        <v>-0.0529293505028159</v>
      </c>
      <c r="U9" s="2" t="n">
        <f aca="false">N9-J9/$L9</f>
        <v>0.0502884955329803</v>
      </c>
      <c r="V9" s="2" t="n">
        <f aca="false">O9-K9/$L9</f>
        <v>0.00264085496983578</v>
      </c>
      <c r="W9" s="2" t="n">
        <f aca="false">T9+U9+V9</f>
        <v>1.52655665885959E-016</v>
      </c>
      <c r="X9" s="2" t="n">
        <f aca="false">T9/(I9)*$L9</f>
        <v>-0.747409952327143</v>
      </c>
      <c r="Y9" s="2" t="n">
        <f aca="false">U9/(J9)*$L9</f>
        <v>0.0569633237157333</v>
      </c>
      <c r="Z9" s="2" t="n">
        <f aca="false">V9/(K9)*$L9</f>
        <v>0.0569633237157332</v>
      </c>
      <c r="AA9" s="2"/>
      <c r="AB9" s="2"/>
      <c r="AC9" s="2" t="n">
        <f aca="false">I9/(I9+K9)*B9</f>
        <v>0.152654339297394</v>
      </c>
      <c r="AD9" s="2" t="n">
        <f aca="false">(J9/(J9+K9))*(1-B9)</f>
        <v>0.71011870903099</v>
      </c>
      <c r="AE9" s="2" t="n">
        <f aca="false">(K9/(K9+I9))*B9+(K9/(K9+J9))*(1-B9)</f>
        <v>0.137226951671616</v>
      </c>
      <c r="AF9" s="2" t="n">
        <f aca="false">AC9+AD9+AE9</f>
        <v>1</v>
      </c>
      <c r="AG9" s="2" t="n">
        <f aca="false">AC9/(I9/$L9)</f>
        <v>2.15561633333715</v>
      </c>
      <c r="AH9" s="2" t="n">
        <f aca="false">AD9/(J9/$L9)</f>
        <v>0.804373276042876</v>
      </c>
      <c r="AI9" s="2" t="n">
        <f aca="false">AE9/(K9/$L9)</f>
        <v>2.95998960938003</v>
      </c>
      <c r="AJ9" s="53" t="n">
        <f aca="false">AC9-I9/$L9</f>
        <v>0.0818373126602527</v>
      </c>
      <c r="AK9" s="2" t="n">
        <f aca="false">AD9-J9/$L9</f>
        <v>-0.172703644944303</v>
      </c>
      <c r="AL9" s="2" t="n">
        <f aca="false">AE9-K9/$L9</f>
        <v>0.0908663322840502</v>
      </c>
      <c r="AM9" s="2" t="n">
        <f aca="false">AJ9+AK9+AL9</f>
        <v>0</v>
      </c>
      <c r="AN9" s="2" t="n">
        <f aca="false">AJ9/(I9)*$L9</f>
        <v>1.15561633333715</v>
      </c>
      <c r="AO9" s="2" t="n">
        <f aca="false">AK9/(J9)*$L9</f>
        <v>-0.195626723957124</v>
      </c>
      <c r="AP9" s="2" t="n">
        <f aca="false">AL9/(K9)*$L9</f>
        <v>1.95998960938003</v>
      </c>
      <c r="AQ9" s="2"/>
      <c r="AR9" s="53" t="n">
        <f aca="false">B9-C9</f>
        <v>0.114261172268649</v>
      </c>
      <c r="AS9" s="54" t="n">
        <f aca="false">B9/C9</f>
        <v>1.82601099687082</v>
      </c>
      <c r="AU9" s="32" t="n">
        <v>441222</v>
      </c>
      <c r="AV9" s="45" t="n">
        <f aca="false">AU9*1000/(L9*365)</f>
        <v>3.52939855664759</v>
      </c>
      <c r="AW9" s="4" t="n">
        <f aca="false">M9*$AU9</f>
        <v>7892.43623933939</v>
      </c>
      <c r="AX9" s="4" t="n">
        <f aca="false">N9*$AU9</f>
        <v>411709.035241739</v>
      </c>
      <c r="AY9" s="4" t="n">
        <f aca="false">O9*$AU9</f>
        <v>21620.5285189212</v>
      </c>
      <c r="AZ9" s="45" t="n">
        <f aca="false">AW9*1000/(I9*365)</f>
        <v>0.891490949680126</v>
      </c>
      <c r="BA9" s="45" t="n">
        <f aca="false">AX9*1000/(J9*365)</f>
        <v>3.73044482915174</v>
      </c>
      <c r="BB9" s="45" t="n">
        <f aca="false">AY9*1000/(K9*365)</f>
        <v>3.73044482915174</v>
      </c>
      <c r="BC9" s="45" t="n">
        <f aca="false">$AV9-AZ9</f>
        <v>2.63790760696746</v>
      </c>
      <c r="BD9" s="45" t="n">
        <f aca="false">$AV9-BA9</f>
        <v>-0.201046272504158</v>
      </c>
      <c r="BE9" s="45" t="n">
        <f aca="false">$AV9-BB9</f>
        <v>-0.201046272504158</v>
      </c>
      <c r="BF9" s="2" t="n">
        <f aca="false">SQRT((BC9*$I9)^2+(BD9*$J9)^2+(BE9*$K9)^2)/$L9</f>
        <v>0.257849632556366</v>
      </c>
      <c r="BG9" s="45"/>
      <c r="BH9" s="4" t="n">
        <f aca="false">AC9*$AU9</f>
        <v>67354.4528934749</v>
      </c>
      <c r="BI9" s="4" t="n">
        <f aca="false">AD9*$AU9</f>
        <v>313319.997036072</v>
      </c>
      <c r="BJ9" s="4" t="n">
        <f aca="false">AE9*$AU9</f>
        <v>60547.5500704536</v>
      </c>
      <c r="BK9" s="45" t="n">
        <f aca="false">BH9*1000/(I9*365)</f>
        <v>7.6080291755661</v>
      </c>
      <c r="BL9" s="45" t="n">
        <f aca="false">BI9*1000/(J9*365)</f>
        <v>2.83895387947162</v>
      </c>
      <c r="BM9" s="45" t="n">
        <f aca="false">BJ9*1000/(K9*365)</f>
        <v>10.4469830550377</v>
      </c>
      <c r="BN9" s="54" t="n">
        <f aca="false">$AV9-BK9</f>
        <v>-4.07863061891851</v>
      </c>
      <c r="BO9" s="45" t="n">
        <f aca="false">$AV9-BL9</f>
        <v>0.690444677175969</v>
      </c>
      <c r="BP9" s="45" t="n">
        <f aca="false">$AV9-BM9</f>
        <v>-6.91758449839013</v>
      </c>
      <c r="BQ9" s="2" t="n">
        <f aca="false">SQRT((BN9*$I9)^2+(BO9*$J9)^2+(BP9*$K9)^2)/$L9</f>
        <v>0.746870980650504</v>
      </c>
      <c r="BS9" s="0" t="s">
        <v>46</v>
      </c>
      <c r="BT9" s="2" t="n">
        <v>0.0164109498025389</v>
      </c>
      <c r="BU9" s="2" t="n">
        <v>0.0164109498025389</v>
      </c>
      <c r="BW9" s="0" t="s">
        <v>42</v>
      </c>
      <c r="BX9" s="2" t="n">
        <v>0.0115517227496793</v>
      </c>
      <c r="BY9" s="2" t="n">
        <v>0.149569305958856</v>
      </c>
      <c r="CB9" s="0" t="n">
        <v>0.25</v>
      </c>
    </row>
    <row r="10" customFormat="false" ht="12.75" hidden="false" customHeight="false" outlineLevel="0" collapsed="false">
      <c r="A10" s="0" t="s">
        <v>15</v>
      </c>
      <c r="B10" s="2" t="n">
        <v>0.0778335546482334</v>
      </c>
      <c r="C10" s="2" t="n">
        <v>0.00799421046196813</v>
      </c>
      <c r="D10" s="2" t="n">
        <f aca="false">1-C10</f>
        <v>0.992005789538032</v>
      </c>
      <c r="E10" s="0" t="n">
        <v>5774554</v>
      </c>
      <c r="F10" s="2" t="n">
        <v>0.00998690499789412</v>
      </c>
      <c r="G10" s="2" t="n">
        <f aca="false">1-F10</f>
        <v>0.990013095002106</v>
      </c>
      <c r="H10" s="0" t="n">
        <v>5794452</v>
      </c>
      <c r="I10" s="4" t="n">
        <f aca="false">0.5*E10*C10</f>
        <v>23081.5</v>
      </c>
      <c r="J10" s="4" t="n">
        <f aca="false">H10*G10</f>
        <v>5736583.35836114</v>
      </c>
      <c r="K10" s="4" t="n">
        <f aca="false">0.5*H10*F10</f>
        <v>28934.3208194288</v>
      </c>
      <c r="L10" s="4" t="n">
        <f aca="false">I10+J10+K10</f>
        <v>5788599.17918057</v>
      </c>
      <c r="M10" s="2" t="n">
        <f aca="false">(I10/L10)*B10</f>
        <v>0.000310354048709158</v>
      </c>
      <c r="N10" s="2" t="n">
        <f aca="false">(J10/L10)*B10+(J10/(J10+K10))*(1-B10)</f>
        <v>0.994672691265632</v>
      </c>
      <c r="O10" s="2" t="n">
        <f aca="false">(K10/L10)*B10+(K10/(K10+J10))*(1-B10)</f>
        <v>0.00501695468565918</v>
      </c>
      <c r="P10" s="2" t="n">
        <f aca="false">M10+N10+O10</f>
        <v>1</v>
      </c>
      <c r="Q10" s="2" t="n">
        <f aca="false">M10/(I10/$L10)</f>
        <v>0.0778335546482334</v>
      </c>
      <c r="R10" s="2" t="n">
        <f aca="false">N10/(J10/$L10)</f>
        <v>1.00369177340055</v>
      </c>
      <c r="S10" s="2" t="n">
        <f aca="false">O10/(K10/$L10)</f>
        <v>1.00369177340055</v>
      </c>
      <c r="T10" s="2" t="n">
        <f aca="false">M10-I10/$L10</f>
        <v>-0.00367705279801388</v>
      </c>
      <c r="U10" s="2" t="n">
        <f aca="false">N10-J10/$L10</f>
        <v>0.00365859946368252</v>
      </c>
      <c r="V10" s="2" t="n">
        <f aca="false">O10-K10/$L10</f>
        <v>1.84533343314339E-005</v>
      </c>
      <c r="W10" s="2" t="n">
        <f aca="false">T10+U10+V10</f>
        <v>7.58941520739853E-017</v>
      </c>
      <c r="X10" s="2" t="n">
        <f aca="false">T10/(I10)*$L10</f>
        <v>-0.922166445351767</v>
      </c>
      <c r="Y10" s="2" t="n">
        <f aca="false">U10/(J10)*$L10</f>
        <v>0.00369177340054785</v>
      </c>
      <c r="Z10" s="2" t="n">
        <f aca="false">V10/(K10)*$L10</f>
        <v>0.00369177340054778</v>
      </c>
      <c r="AA10" s="2"/>
      <c r="AB10" s="2"/>
      <c r="AC10" s="2" t="n">
        <f aca="false">I10/(I10+K10)*B10</f>
        <v>0.0345378610451951</v>
      </c>
      <c r="AD10" s="2" t="n">
        <f aca="false">(J10/(J10+K10))*(1-B10)</f>
        <v>0.917538541794195</v>
      </c>
      <c r="AE10" s="2" t="n">
        <f aca="false">(K10/(K10+I10))*B10+(K10/(K10+J10))*(1-B10)</f>
        <v>0.0479235971606097</v>
      </c>
      <c r="AF10" s="2" t="n">
        <f aca="false">AC10+AD10+AE10</f>
        <v>1</v>
      </c>
      <c r="AG10" s="2" t="n">
        <f aca="false">AC10/(I10/$L10)</f>
        <v>8.66173490010915</v>
      </c>
      <c r="AH10" s="2" t="n">
        <f aca="false">AD10/(J10/$L10)</f>
        <v>0.925858218752314</v>
      </c>
      <c r="AI10" s="2" t="n">
        <f aca="false">AE10/(K10/$L10)</f>
        <v>9.58759311886146</v>
      </c>
      <c r="AJ10" s="53" t="n">
        <f aca="false">AC10-I10/$L10</f>
        <v>0.0305504541984721</v>
      </c>
      <c r="AK10" s="2" t="n">
        <f aca="false">AD10-J10/$L10</f>
        <v>-0.0734755500077539</v>
      </c>
      <c r="AL10" s="2" t="n">
        <f aca="false">AE10-K10/$L10</f>
        <v>0.0429250958092819</v>
      </c>
      <c r="AM10" s="2" t="n">
        <f aca="false">AJ10+AK10+AL10</f>
        <v>0</v>
      </c>
      <c r="AN10" s="2" t="n">
        <f aca="false">AJ10/(I10)*$L10</f>
        <v>7.66173490010915</v>
      </c>
      <c r="AO10" s="2" t="n">
        <f aca="false">AK10/(J10)*$L10</f>
        <v>-0.0741417812476855</v>
      </c>
      <c r="AP10" s="2" t="n">
        <f aca="false">AL10/(K10)*$L10</f>
        <v>8.58759311886146</v>
      </c>
      <c r="AQ10" s="2"/>
      <c r="AR10" s="53" t="n">
        <f aca="false">B10-C10</f>
        <v>0.0698393441862653</v>
      </c>
      <c r="AS10" s="54" t="n">
        <f aca="false">B10/C10</f>
        <v>9.73624037276987</v>
      </c>
      <c r="AU10" s="32" t="n">
        <v>3421260</v>
      </c>
      <c r="AV10" s="45" t="n">
        <f aca="false">AU10*1000/(L10*365)</f>
        <v>1.61927174059753</v>
      </c>
      <c r="AW10" s="4" t="n">
        <f aca="false">M10*$AU10</f>
        <v>1061.80189268669</v>
      </c>
      <c r="AX10" s="4" t="n">
        <f aca="false">N10*$AU10</f>
        <v>3403033.89171946</v>
      </c>
      <c r="AY10" s="4" t="n">
        <f aca="false">O10*$AU10</f>
        <v>17164.3063878583</v>
      </c>
      <c r="AZ10" s="45" t="n">
        <f aca="false">AW10*1000/(I10*365)</f>
        <v>0.126033675512138</v>
      </c>
      <c r="BA10" s="45" t="n">
        <f aca="false">AX10*1000/(J10*365)</f>
        <v>1.62524972493773</v>
      </c>
      <c r="BB10" s="45" t="n">
        <f aca="false">AY10*1000/(K10*365)</f>
        <v>1.62524972493773</v>
      </c>
      <c r="BC10" s="45" t="n">
        <f aca="false">$AV10-AZ10</f>
        <v>1.49323806508539</v>
      </c>
      <c r="BD10" s="45" t="n">
        <f aca="false">$AV10-BA10</f>
        <v>-0.00597798434019659</v>
      </c>
      <c r="BE10" s="45" t="n">
        <f aca="false">$AV10-BB10</f>
        <v>-0.00597798434019659</v>
      </c>
      <c r="BF10" s="2" t="n">
        <f aca="false">SQRT((BC10*$I10)^2+(BD10*$J10)^2+(BE10*$K10)^2)/$L10</f>
        <v>0.008399387103283</v>
      </c>
      <c r="BG10" s="45"/>
      <c r="BH10" s="4" t="n">
        <f aca="false">AC10*$AU10</f>
        <v>118163.002479484</v>
      </c>
      <c r="BI10" s="4" t="n">
        <f aca="false">AD10*$AU10</f>
        <v>3139137.91149881</v>
      </c>
      <c r="BJ10" s="4" t="n">
        <f aca="false">AE10*$AU10</f>
        <v>163959.086021707</v>
      </c>
      <c r="BK10" s="45" t="n">
        <f aca="false">BH10*1000/(I10*365)</f>
        <v>14.0257025482941</v>
      </c>
      <c r="BL10" s="45" t="n">
        <f aca="false">BI10*1000/(J10*365)</f>
        <v>1.49921604942559</v>
      </c>
      <c r="BM10" s="45" t="n">
        <f aca="false">BJ10*1000/(K10*365)</f>
        <v>15.5249185977197</v>
      </c>
      <c r="BN10" s="54" t="n">
        <f aca="false">$AV10-BK10</f>
        <v>-12.4064308076966</v>
      </c>
      <c r="BO10" s="45" t="n">
        <f aca="false">$AV10-BL10</f>
        <v>0.120055691171941</v>
      </c>
      <c r="BP10" s="45" t="n">
        <f aca="false">$AV10-BM10</f>
        <v>-13.9056468571222</v>
      </c>
      <c r="BQ10" s="2" t="n">
        <f aca="false">SQRT((BN10*$I10)^2+(BO10*$J10)^2+(BP10*$K10)^2)/$L10</f>
        <v>0.146403573914671</v>
      </c>
      <c r="BS10" s="0" t="s">
        <v>32</v>
      </c>
      <c r="BT10" s="2" t="n">
        <v>0.0171177395721981</v>
      </c>
      <c r="BU10" s="2" t="n">
        <v>0.0171177395721981</v>
      </c>
      <c r="BW10" s="0" t="s">
        <v>17</v>
      </c>
      <c r="BX10" s="2" t="n">
        <v>0.0115779995507024</v>
      </c>
      <c r="BY10" s="2" t="n">
        <v>0.0115779995507024</v>
      </c>
      <c r="CB10" s="0" t="n">
        <v>0.3</v>
      </c>
    </row>
    <row r="11" customFormat="false" ht="12.75" hidden="false" customHeight="false" outlineLevel="0" collapsed="false">
      <c r="A11" s="0" t="s">
        <v>16</v>
      </c>
      <c r="B11" s="2" t="n">
        <v>0.0041858290740556</v>
      </c>
      <c r="C11" s="2" t="n">
        <v>0.0281378236648974</v>
      </c>
      <c r="D11" s="2" t="n">
        <f aca="false">1-C11</f>
        <v>0.971862176335103</v>
      </c>
      <c r="E11" s="0" t="n">
        <v>3121670</v>
      </c>
      <c r="F11" s="2" t="n">
        <v>0.0238915218027792</v>
      </c>
      <c r="G11" s="2" t="n">
        <f aca="false">1-F11</f>
        <v>0.976108478197221</v>
      </c>
      <c r="H11" s="0" t="n">
        <v>3106393</v>
      </c>
      <c r="I11" s="4" t="n">
        <f aca="false">0.5*E11*C11</f>
        <v>43918.5000000001</v>
      </c>
      <c r="J11" s="4" t="n">
        <f aca="false">H11*G11</f>
        <v>3032176.5439125</v>
      </c>
      <c r="K11" s="4" t="n">
        <f aca="false">0.5*H11*F11</f>
        <v>37108.2280437504</v>
      </c>
      <c r="L11" s="4" t="n">
        <f aca="false">I11+J11+K11</f>
        <v>3113203.27195625</v>
      </c>
      <c r="M11" s="2" t="n">
        <f aca="false">(I11/L11)*B11</f>
        <v>5.90502187392969E-005</v>
      </c>
      <c r="N11" s="2" t="n">
        <f aca="false">(J11/L11)*B11+(J11/(J11+K11))*(1-B11)</f>
        <v>0.987851476320277</v>
      </c>
      <c r="O11" s="2" t="n">
        <f aca="false">(K11/L11)*B11+(K11/(K11+J11))*(1-B11)</f>
        <v>0.012089473460984</v>
      </c>
      <c r="P11" s="2" t="n">
        <f aca="false">M11+N11+O11</f>
        <v>1</v>
      </c>
      <c r="Q11" s="2" t="n">
        <f aca="false">M11/(I11/$L11)</f>
        <v>0.0041858290740556</v>
      </c>
      <c r="R11" s="2" t="n">
        <f aca="false">N11/(J11/$L11)</f>
        <v>1.01424913877833</v>
      </c>
      <c r="S11" s="2" t="n">
        <f aca="false">O11/(K11/$L11)</f>
        <v>1.01424913877833</v>
      </c>
      <c r="T11" s="2" t="n">
        <f aca="false">M11-I11/$L11</f>
        <v>-0.0140481236993977</v>
      </c>
      <c r="U11" s="2" t="n">
        <f aca="false">N11-J11/$L11</f>
        <v>0.0138782792514054</v>
      </c>
      <c r="V11" s="2" t="n">
        <f aca="false">O11-K11/$L11</f>
        <v>0.000169844447992293</v>
      </c>
      <c r="W11" s="2" t="n">
        <f aca="false">T11+U11+V11</f>
        <v>-5.3776427755281E-017</v>
      </c>
      <c r="X11" s="2" t="n">
        <f aca="false">T11/(I11)*$L11</f>
        <v>-0.995814170925944</v>
      </c>
      <c r="Y11" s="2" t="n">
        <f aca="false">U11/(J11)*$L11</f>
        <v>0.0142491387783272</v>
      </c>
      <c r="Z11" s="2" t="n">
        <f aca="false">V11/(K11)*$L11</f>
        <v>0.0142491387783272</v>
      </c>
      <c r="AA11" s="2"/>
      <c r="AB11" s="2"/>
      <c r="AC11" s="2" t="n">
        <f aca="false">I11/(I11+K11)*B11</f>
        <v>0.00226882337010633</v>
      </c>
      <c r="AD11" s="2" t="n">
        <f aca="false">(J11/(J11+K11))*(1-B11)</f>
        <v>0.983774590994635</v>
      </c>
      <c r="AE11" s="2" t="n">
        <f aca="false">(K11/(K11+I11))*B11+(K11/(K11+J11))*(1-B11)</f>
        <v>0.0139565856352587</v>
      </c>
      <c r="AF11" s="2" t="n">
        <f aca="false">AC11+AD11+AE11</f>
        <v>1</v>
      </c>
      <c r="AG11" s="2" t="n">
        <f aca="false">AC11/(I11/$L11)</f>
        <v>0.160827631620065</v>
      </c>
      <c r="AH11" s="2" t="n">
        <f aca="false">AD11/(J11/$L11)</f>
        <v>1.01006330970427</v>
      </c>
      <c r="AI11" s="2" t="n">
        <f aca="false">AE11/(K11/$L11)</f>
        <v>1.17089094132434</v>
      </c>
      <c r="AJ11" s="2" t="n">
        <f aca="false">AC11-I11/$L11</f>
        <v>-0.0118383505480307</v>
      </c>
      <c r="AK11" s="2" t="n">
        <f aca="false">AD11-J11/$L11</f>
        <v>0.00980139392576362</v>
      </c>
      <c r="AL11" s="2" t="n">
        <f aca="false">AE11-K11/$L11</f>
        <v>0.00203695662226702</v>
      </c>
      <c r="AM11" s="2" t="n">
        <f aca="false">AJ11+AK11+AL11</f>
        <v>-5.20417042793042E-017</v>
      </c>
      <c r="AN11" s="2" t="n">
        <f aca="false">AJ11/(I11)*$L11</f>
        <v>-0.839172368379935</v>
      </c>
      <c r="AO11" s="2" t="n">
        <f aca="false">AK11/(J11)*$L11</f>
        <v>0.0100633097042716</v>
      </c>
      <c r="AP11" s="2" t="n">
        <f aca="false">AL11/(K11)*$L11</f>
        <v>0.170890941324337</v>
      </c>
      <c r="AQ11" s="2"/>
      <c r="AR11" s="2" t="n">
        <f aca="false">B11-C11</f>
        <v>-0.0239519945908418</v>
      </c>
      <c r="AS11" s="45" t="n">
        <f aca="false">B11/C11</f>
        <v>0.148761649938034</v>
      </c>
      <c r="AU11" s="32" t="n">
        <v>1436829</v>
      </c>
      <c r="AV11" s="45" t="n">
        <f aca="false">AU11*1000/(L11*365)</f>
        <v>1.26445897178618</v>
      </c>
      <c r="AW11" s="4" t="n">
        <f aca="false">M11*$AU11</f>
        <v>84.8450667409652</v>
      </c>
      <c r="AX11" s="4" t="n">
        <f aca="false">N11*$AU11</f>
        <v>1419373.64886979</v>
      </c>
      <c r="AY11" s="4" t="n">
        <f aca="false">O11*$AU11</f>
        <v>17370.5060634721</v>
      </c>
      <c r="AZ11" s="45" t="n">
        <f aca="false">AW11*1000/(I11*365)</f>
        <v>0.00529280912705305</v>
      </c>
      <c r="BA11" s="45" t="n">
        <f aca="false">AX11*1000/(J11*365)</f>
        <v>1.28247642315466</v>
      </c>
      <c r="BB11" s="45" t="n">
        <f aca="false">AY11*1000/(K11*365)</f>
        <v>1.28247642315466</v>
      </c>
      <c r="BC11" s="45" t="n">
        <f aca="false">$AV11-AZ11</f>
        <v>1.25916616265913</v>
      </c>
      <c r="BD11" s="45" t="n">
        <f aca="false">$AV11-BA11</f>
        <v>-0.0180174513684825</v>
      </c>
      <c r="BE11" s="45" t="n">
        <f aca="false">$AV11-BB11</f>
        <v>-0.0180174513684821</v>
      </c>
      <c r="BF11" s="2" t="n">
        <f aca="false">SQRT((BC11*$I11)^2+(BD11*$J11)^2+(BE11*$K11)^2)/$L11</f>
        <v>0.0249705920437735</v>
      </c>
      <c r="BG11" s="45"/>
      <c r="BH11" s="4" t="n">
        <f aca="false">AC11*$AU11</f>
        <v>3259.91121404651</v>
      </c>
      <c r="BI11" s="4" t="n">
        <f aca="false">AD11*$AU11</f>
        <v>1413515.86180423</v>
      </c>
      <c r="BJ11" s="4" t="n">
        <f aca="false">AE11*$AU11</f>
        <v>20053.2269817231</v>
      </c>
      <c r="BK11" s="45" t="n">
        <f aca="false">BH11*1000/(I11*365)</f>
        <v>0.203359941713115</v>
      </c>
      <c r="BL11" s="45" t="n">
        <f aca="false">BI11*1000/(J11*365)</f>
        <v>1.27718361402761</v>
      </c>
      <c r="BM11" s="45" t="n">
        <f aca="false">BJ11*1000/(K11*365)</f>
        <v>1.48054355574073</v>
      </c>
      <c r="BN11" s="45" t="n">
        <f aca="false">$AV11-BK11</f>
        <v>1.06109903007307</v>
      </c>
      <c r="BO11" s="45" t="n">
        <f aca="false">$AV11-BL11</f>
        <v>-0.0127246422414296</v>
      </c>
      <c r="BP11" s="45" t="n">
        <f aca="false">$AV11-BM11</f>
        <v>-0.216084583954544</v>
      </c>
      <c r="BQ11" s="2" t="n">
        <f aca="false">SQRT((BN11*$I11)^2+(BO11*$J11)^2+(BP11*$K11)^2)/$L11</f>
        <v>0.0196037250783025</v>
      </c>
      <c r="BS11" s="0" t="s">
        <v>16</v>
      </c>
      <c r="BT11" s="2" t="n">
        <v>0.0249705920437735</v>
      </c>
      <c r="BU11" s="2" t="n">
        <v>0.0196037250783025</v>
      </c>
      <c r="BW11" s="0" t="s">
        <v>55</v>
      </c>
      <c r="BX11" s="2" t="n">
        <v>0.0140188523736331</v>
      </c>
      <c r="BY11" s="2" t="n">
        <v>0.014004126431096</v>
      </c>
      <c r="CB11" s="0" t="n">
        <v>0.35</v>
      </c>
    </row>
    <row r="12" customFormat="false" ht="12.75" hidden="false" customHeight="false" outlineLevel="0" collapsed="false">
      <c r="A12" s="0" t="s">
        <v>17</v>
      </c>
      <c r="B12" s="2" t="n">
        <v>0</v>
      </c>
      <c r="C12" s="2" t="n">
        <v>0.00952409571468726</v>
      </c>
      <c r="D12" s="2" t="n">
        <f aca="false">1-C12</f>
        <v>0.990475904285313</v>
      </c>
      <c r="E12" s="0" t="n">
        <v>565723</v>
      </c>
      <c r="F12" s="2" t="n">
        <v>0.00467522963157696</v>
      </c>
      <c r="G12" s="2" t="n">
        <f aca="false">1-F12</f>
        <v>0.995324770368423</v>
      </c>
      <c r="H12" s="0" t="n">
        <v>567765</v>
      </c>
      <c r="I12" s="4" t="n">
        <f aca="false">0.5*E12*C12</f>
        <v>2694.00000000001</v>
      </c>
      <c r="J12" s="4" t="n">
        <f aca="false">H12*G12</f>
        <v>565110.568248228</v>
      </c>
      <c r="K12" s="4" t="n">
        <f aca="false">0.5*H12*F12</f>
        <v>1327.21587588615</v>
      </c>
      <c r="L12" s="4" t="n">
        <f aca="false">I12+J12+K12</f>
        <v>569131.784124114</v>
      </c>
      <c r="M12" s="2" t="n">
        <f aca="false">(I12/L12)*B12</f>
        <v>0</v>
      </c>
      <c r="N12" s="2" t="n">
        <f aca="false">(J12/L12)*B12+(J12/(J12+K12))*(1-B12)</f>
        <v>0.997656907937491</v>
      </c>
      <c r="O12" s="2" t="n">
        <f aca="false">(K12/L12)*B12+(K12/(K12+J12))*(1-B12)</f>
        <v>0.00234309206250856</v>
      </c>
      <c r="P12" s="2" t="n">
        <f aca="false">M12+N12+O12</f>
        <v>1</v>
      </c>
      <c r="Q12" s="2" t="n">
        <f aca="false">M12/(I12/$L12)</f>
        <v>0</v>
      </c>
      <c r="R12" s="2" t="n">
        <f aca="false">N12/(J12/$L12)</f>
        <v>1.00475603866039</v>
      </c>
      <c r="S12" s="2" t="n">
        <f aca="false">O12/(K12/$L12)</f>
        <v>1.00475603866039</v>
      </c>
      <c r="T12" s="2" t="n">
        <f aca="false">M12-I12/$L12</f>
        <v>-0.00473352582854961</v>
      </c>
      <c r="U12" s="2" t="n">
        <f aca="false">N12-J12/$L12</f>
        <v>0.00472243474175305</v>
      </c>
      <c r="V12" s="2" t="n">
        <f aca="false">O12-K12/$L12</f>
        <v>1.10910867965539E-005</v>
      </c>
      <c r="W12" s="2" t="n">
        <f aca="false">T12+U12+V12</f>
        <v>-6.07153216591883E-018</v>
      </c>
      <c r="X12" s="2" t="n">
        <f aca="false">T12/(I12)*$L12</f>
        <v>-1</v>
      </c>
      <c r="Y12" s="2" t="n">
        <f aca="false">U12/(J12)*$L12</f>
        <v>0.00475603866039014</v>
      </c>
      <c r="Z12" s="2" t="n">
        <f aca="false">V12/(K12)*$L12</f>
        <v>0.00475603866039016</v>
      </c>
      <c r="AA12" s="2"/>
      <c r="AB12" s="2"/>
      <c r="AC12" s="2" t="n">
        <f aca="false">I12/(I12+K12)*B12</f>
        <v>0</v>
      </c>
      <c r="AD12" s="2" t="n">
        <f aca="false">(J12/(J12+K12))*(1-B12)</f>
        <v>0.997656907937491</v>
      </c>
      <c r="AE12" s="2" t="n">
        <f aca="false">(K12/(K12+I12))*B12+(K12/(K12+J12))*(1-B12)</f>
        <v>0.00234309206250856</v>
      </c>
      <c r="AF12" s="2" t="n">
        <f aca="false">AC12+AD12+AE12</f>
        <v>1</v>
      </c>
      <c r="AG12" s="2" t="n">
        <f aca="false">AC12/(I12/$L12)</f>
        <v>0</v>
      </c>
      <c r="AH12" s="2" t="n">
        <f aca="false">AD12/(J12/$L12)</f>
        <v>1.00475603866039</v>
      </c>
      <c r="AI12" s="2" t="n">
        <f aca="false">AE12/(K12/$L12)</f>
        <v>1.00475603866039</v>
      </c>
      <c r="AJ12" s="2" t="n">
        <f aca="false">AC12-I12/$L12</f>
        <v>-0.00473352582854961</v>
      </c>
      <c r="AK12" s="2" t="n">
        <f aca="false">AD12-J12/$L12</f>
        <v>0.00472243474175305</v>
      </c>
      <c r="AL12" s="2" t="n">
        <f aca="false">AE12-K12/$L12</f>
        <v>1.10910867965539E-005</v>
      </c>
      <c r="AM12" s="2" t="n">
        <f aca="false">AJ12+AK12+AL12</f>
        <v>-6.07153216591883E-018</v>
      </c>
      <c r="AN12" s="2" t="n">
        <f aca="false">AJ12/(I12)*$L12</f>
        <v>-1</v>
      </c>
      <c r="AO12" s="2" t="n">
        <f aca="false">AK12/(J12)*$L12</f>
        <v>0.00475603866039014</v>
      </c>
      <c r="AP12" s="2" t="n">
        <f aca="false">AL12/(K12)*$L12</f>
        <v>0.00475603866039016</v>
      </c>
      <c r="AQ12" s="2"/>
      <c r="AR12" s="2" t="n">
        <f aca="false">B12-C12</f>
        <v>-0.00952409571468726</v>
      </c>
      <c r="AS12" s="45" t="n">
        <f aca="false">B12/C12</f>
        <v>0</v>
      </c>
      <c r="AU12" s="32" t="n">
        <v>359706</v>
      </c>
      <c r="AV12" s="45" t="n">
        <f aca="false">AU12*1000/(L12*365)</f>
        <v>1.73157767304742</v>
      </c>
      <c r="AW12" s="4" t="n">
        <f aca="false">M12*$AU12</f>
        <v>0</v>
      </c>
      <c r="AX12" s="4" t="n">
        <f aca="false">N12*$AU12</f>
        <v>358863.175726563</v>
      </c>
      <c r="AY12" s="4" t="n">
        <f aca="false">O12*$AU12</f>
        <v>842.824273436703</v>
      </c>
      <c r="AZ12" s="45" t="n">
        <f aca="false">AW12*1000/(I12*365)</f>
        <v>0</v>
      </c>
      <c r="BA12" s="45" t="n">
        <f aca="false">AX12*1000/(J12*365)</f>
        <v>1.7398131234039</v>
      </c>
      <c r="BB12" s="45" t="n">
        <f aca="false">AY12*1000/(K12*365)</f>
        <v>1.7398131234039</v>
      </c>
      <c r="BC12" s="45" t="n">
        <f aca="false">$AV12-AZ12</f>
        <v>1.73157767304742</v>
      </c>
      <c r="BD12" s="45" t="n">
        <f aca="false">$AV12-BA12</f>
        <v>-0.00823545035648166</v>
      </c>
      <c r="BE12" s="45" t="n">
        <f aca="false">$AV12-BB12</f>
        <v>-0.00823545035648188</v>
      </c>
      <c r="BF12" s="2" t="n">
        <f aca="false">SQRT((BC12*$I12)^2+(BD12*$J12)^2+(BE12*$K12)^2)/$L12</f>
        <v>0.0115779995507024</v>
      </c>
      <c r="BG12" s="45"/>
      <c r="BH12" s="4" t="n">
        <f aca="false">AC12*$AU12</f>
        <v>0</v>
      </c>
      <c r="BI12" s="4" t="n">
        <f aca="false">AD12*$AU12</f>
        <v>358863.175726563</v>
      </c>
      <c r="BJ12" s="4" t="n">
        <f aca="false">AE12*$AU12</f>
        <v>842.824273436703</v>
      </c>
      <c r="BK12" s="45" t="n">
        <f aca="false">BH12*1000/(I12*365)</f>
        <v>0</v>
      </c>
      <c r="BL12" s="45" t="n">
        <f aca="false">BI12*1000/(J12*365)</f>
        <v>1.7398131234039</v>
      </c>
      <c r="BM12" s="45" t="n">
        <f aca="false">BJ12*1000/(K12*365)</f>
        <v>1.7398131234039</v>
      </c>
      <c r="BN12" s="45" t="n">
        <f aca="false">$AV12-BK12</f>
        <v>1.73157767304742</v>
      </c>
      <c r="BO12" s="45" t="n">
        <f aca="false">$AV12-BL12</f>
        <v>-0.00823545035648166</v>
      </c>
      <c r="BP12" s="45" t="n">
        <f aca="false">$AV12-BM12</f>
        <v>-0.00823545035648188</v>
      </c>
      <c r="BQ12" s="2" t="n">
        <f aca="false">SQRT((BN12*$I12)^2+(BO12*$J12)^2+(BP12*$K12)^2)/$L12</f>
        <v>0.0115779995507024</v>
      </c>
      <c r="BS12" s="0" t="s">
        <v>39</v>
      </c>
      <c r="BT12" s="2" t="n">
        <v>0.0241013902606502</v>
      </c>
      <c r="BU12" s="2" t="n">
        <v>0.0228804177614424</v>
      </c>
      <c r="BW12" s="0" t="s">
        <v>9</v>
      </c>
      <c r="BX12" s="2" t="n">
        <v>0.0161089840520771</v>
      </c>
      <c r="BY12" s="2" t="n">
        <v>0.0161089840520771</v>
      </c>
      <c r="CB12" s="0" t="n">
        <v>1</v>
      </c>
    </row>
    <row r="13" customFormat="false" ht="12.75" hidden="false" customHeight="false" outlineLevel="0" collapsed="false">
      <c r="A13" s="0" t="s">
        <v>18</v>
      </c>
      <c r="B13" s="2" t="n">
        <v>0</v>
      </c>
      <c r="C13" s="2" t="n">
        <v>0.0261485883128481</v>
      </c>
      <c r="D13" s="2" t="n">
        <f aca="false">1-C13</f>
        <v>0.973851411687152</v>
      </c>
      <c r="E13" s="0" t="n">
        <v>427786</v>
      </c>
      <c r="F13" s="2" t="n">
        <v>0.0397824182916148</v>
      </c>
      <c r="G13" s="2" t="n">
        <f aca="false">1-F13</f>
        <v>0.960217581708385</v>
      </c>
      <c r="H13" s="0" t="n">
        <v>440809</v>
      </c>
      <c r="I13" s="4" t="n">
        <f aca="false">0.5*E13*C13</f>
        <v>5593.00000000001</v>
      </c>
      <c r="J13" s="4" t="n">
        <f aca="false">H13*G13</f>
        <v>423272.551975292</v>
      </c>
      <c r="K13" s="4" t="n">
        <f aca="false">0.5*H13*F13</f>
        <v>8768.22401235421</v>
      </c>
      <c r="L13" s="4" t="n">
        <f aca="false">I13+J13+K13</f>
        <v>437633.775987646</v>
      </c>
      <c r="M13" s="2" t="n">
        <f aca="false">(I13/L13)*B13</f>
        <v>0</v>
      </c>
      <c r="N13" s="2" t="n">
        <f aca="false">(J13/L13)*B13+(J13/(J13+K13))*(1-B13)</f>
        <v>0.979705100768996</v>
      </c>
      <c r="O13" s="2" t="n">
        <f aca="false">(K13/L13)*B13+(K13/(K13+J13))*(1-B13)</f>
        <v>0.0202948992310044</v>
      </c>
      <c r="P13" s="2" t="n">
        <f aca="false">M13+N13+O13</f>
        <v>1</v>
      </c>
      <c r="Q13" s="2" t="n">
        <f aca="false">M13/(I13/$L13)</f>
        <v>0</v>
      </c>
      <c r="R13" s="2" t="n">
        <f aca="false">N13/(J13/$L13)</f>
        <v>1.01294553734474</v>
      </c>
      <c r="S13" s="2" t="n">
        <f aca="false">O13/(K13/$L13)</f>
        <v>1.01294553734474</v>
      </c>
      <c r="T13" s="2" t="n">
        <f aca="false">M13-I13/$L13</f>
        <v>-0.0127800921841049</v>
      </c>
      <c r="U13" s="2" t="n">
        <f aca="false">N13-J13/$L13</f>
        <v>0.0125207215010655</v>
      </c>
      <c r="V13" s="2" t="n">
        <f aca="false">O13-K13/$L13</f>
        <v>0.000259370683039353</v>
      </c>
      <c r="W13" s="2" t="n">
        <f aca="false">T13+U13+V13</f>
        <v>2.77555756156289E-017</v>
      </c>
      <c r="X13" s="2" t="n">
        <f aca="false">T13/(I13)*$L13</f>
        <v>-1</v>
      </c>
      <c r="Y13" s="2" t="n">
        <f aca="false">U13/(J13)*$L13</f>
        <v>0.0129455373447435</v>
      </c>
      <c r="Z13" s="2" t="n">
        <f aca="false">V13/(K13)*$L13</f>
        <v>0.0129455373447433</v>
      </c>
      <c r="AA13" s="2"/>
      <c r="AB13" s="2"/>
      <c r="AC13" s="2" t="n">
        <f aca="false">I13/(I13+K13)*B13</f>
        <v>0</v>
      </c>
      <c r="AD13" s="2" t="n">
        <f aca="false">(J13/(J13+K13))*(1-B13)</f>
        <v>0.979705100768996</v>
      </c>
      <c r="AE13" s="2" t="n">
        <f aca="false">(K13/(K13+I13))*B13+(K13/(K13+J13))*(1-B13)</f>
        <v>0.0202948992310044</v>
      </c>
      <c r="AF13" s="2" t="n">
        <f aca="false">AC13+AD13+AE13</f>
        <v>1</v>
      </c>
      <c r="AG13" s="2" t="n">
        <f aca="false">AC13/(I13/$L13)</f>
        <v>0</v>
      </c>
      <c r="AH13" s="2" t="n">
        <f aca="false">AD13/(J13/$L13)</f>
        <v>1.01294553734474</v>
      </c>
      <c r="AI13" s="2" t="n">
        <f aca="false">AE13/(K13/$L13)</f>
        <v>1.01294553734474</v>
      </c>
      <c r="AJ13" s="2" t="n">
        <f aca="false">AC13-I13/$L13</f>
        <v>-0.0127800921841049</v>
      </c>
      <c r="AK13" s="2" t="n">
        <f aca="false">AD13-J13/$L13</f>
        <v>0.0125207215010655</v>
      </c>
      <c r="AL13" s="2" t="n">
        <f aca="false">AE13-K13/$L13</f>
        <v>0.000259370683039353</v>
      </c>
      <c r="AM13" s="2" t="n">
        <f aca="false">AJ13+AK13+AL13</f>
        <v>2.77555756156289E-017</v>
      </c>
      <c r="AN13" s="2" t="n">
        <f aca="false">AJ13/(I13)*$L13</f>
        <v>-1</v>
      </c>
      <c r="AO13" s="2" t="n">
        <f aca="false">AK13/(J13)*$L13</f>
        <v>0.0129455373447435</v>
      </c>
      <c r="AP13" s="2" t="n">
        <f aca="false">AL13/(K13)*$L13</f>
        <v>0.0129455373447433</v>
      </c>
      <c r="AQ13" s="2"/>
      <c r="AR13" s="2" t="n">
        <f aca="false">B13-C13</f>
        <v>-0.0261485883128481</v>
      </c>
      <c r="AS13" s="45" t="n">
        <f aca="false">B13/C13</f>
        <v>0</v>
      </c>
      <c r="AU13" s="34" t="n">
        <v>349964</v>
      </c>
      <c r="AV13" s="45" t="n">
        <f aca="false">AU13*1000/(L13*365)</f>
        <v>2.1908854664799</v>
      </c>
      <c r="AW13" s="4" t="n">
        <f aca="false">M13*$AU13</f>
        <v>0</v>
      </c>
      <c r="AX13" s="4" t="n">
        <f aca="false">N13*$AU13</f>
        <v>342861.515885521</v>
      </c>
      <c r="AY13" s="4" t="n">
        <f aca="false">O13*$AU13</f>
        <v>7102.48411447922</v>
      </c>
      <c r="AZ13" s="45" t="n">
        <f aca="false">AW13*1000/(I13*365)</f>
        <v>0</v>
      </c>
      <c r="BA13" s="45" t="n">
        <f aca="false">AX13*1000/(J13*365)</f>
        <v>2.21924765610427</v>
      </c>
      <c r="BB13" s="45" t="n">
        <f aca="false">AY13*1000/(K13*365)</f>
        <v>2.21924765610427</v>
      </c>
      <c r="BC13" s="45" t="n">
        <f aca="false">$AV13-AZ13</f>
        <v>2.1908854664799</v>
      </c>
      <c r="BD13" s="45" t="n">
        <f aca="false">$AV13-BA13</f>
        <v>-0.0283621896243709</v>
      </c>
      <c r="BE13" s="45" t="n">
        <f aca="false">$AV13-BB13</f>
        <v>-0.0283621896243709</v>
      </c>
      <c r="BF13" s="2" t="n">
        <f aca="false">SQRT((BC13*$I13)^2+(BD13*$J13)^2+(BE13*$K13)^2)/$L13</f>
        <v>0.0392019450977134</v>
      </c>
      <c r="BG13" s="45"/>
      <c r="BH13" s="4" t="n">
        <f aca="false">AC13*$AU13</f>
        <v>0</v>
      </c>
      <c r="BI13" s="4" t="n">
        <f aca="false">AD13*$AU13</f>
        <v>342861.515885521</v>
      </c>
      <c r="BJ13" s="4" t="n">
        <f aca="false">AE13*$AU13</f>
        <v>7102.48411447922</v>
      </c>
      <c r="BK13" s="45" t="n">
        <f aca="false">BH13*1000/(I13*365)</f>
        <v>0</v>
      </c>
      <c r="BL13" s="45" t="n">
        <f aca="false">BI13*1000/(J13*365)</f>
        <v>2.21924765610427</v>
      </c>
      <c r="BM13" s="45" t="n">
        <f aca="false">BJ13*1000/(K13*365)</f>
        <v>2.21924765610427</v>
      </c>
      <c r="BN13" s="45" t="n">
        <f aca="false">$AV13-BK13</f>
        <v>2.1908854664799</v>
      </c>
      <c r="BO13" s="45" t="n">
        <f aca="false">$AV13-BL13</f>
        <v>-0.0283621896243709</v>
      </c>
      <c r="BP13" s="45" t="n">
        <f aca="false">$AV13-BM13</f>
        <v>-0.0283621896243709</v>
      </c>
      <c r="BQ13" s="2" t="n">
        <f aca="false">SQRT((BN13*$I13)^2+(BO13*$J13)^2+(BP13*$K13)^2)/$L13</f>
        <v>0.0392019450977134</v>
      </c>
      <c r="BS13" s="0" t="s">
        <v>29</v>
      </c>
      <c r="BT13" s="2" t="n">
        <v>0.0249875477336315</v>
      </c>
      <c r="BU13" s="2" t="n">
        <v>0.0249875477336315</v>
      </c>
      <c r="BW13" s="0" t="s">
        <v>46</v>
      </c>
      <c r="BX13" s="2" t="n">
        <v>0.0164109498025389</v>
      </c>
      <c r="BY13" s="2" t="n">
        <v>0.0164109498025389</v>
      </c>
    </row>
    <row r="14" customFormat="false" ht="12.75" hidden="false" customHeight="false" outlineLevel="0" collapsed="false">
      <c r="A14" s="0" t="s">
        <v>19</v>
      </c>
      <c r="B14" s="2" t="n">
        <v>0.0925020274991467</v>
      </c>
      <c r="C14" s="2" t="n">
        <v>0.0281937744250442</v>
      </c>
      <c r="D14" s="2" t="n">
        <f aca="false">1-C14</f>
        <v>0.971806225574956</v>
      </c>
      <c r="E14" s="0" t="n">
        <v>5331106</v>
      </c>
      <c r="F14" s="2" t="n">
        <v>0.0286833403546032</v>
      </c>
      <c r="G14" s="2" t="n">
        <f aca="false">1-F14</f>
        <v>0.971316659645397</v>
      </c>
      <c r="H14" s="0" t="n">
        <v>5351411</v>
      </c>
      <c r="I14" s="4" t="n">
        <f aca="false">0.5*E14*C14</f>
        <v>75151.9999999999</v>
      </c>
      <c r="J14" s="4" t="n">
        <f aca="false">H14*G14</f>
        <v>5197914.65690963</v>
      </c>
      <c r="K14" s="4" t="n">
        <f aca="false">0.5*H14*F14</f>
        <v>76748.1715451837</v>
      </c>
      <c r="L14" s="4" t="n">
        <f aca="false">I14+J14+K14</f>
        <v>5349814.82845482</v>
      </c>
      <c r="M14" s="2" t="n">
        <f aca="false">(I14/L14)*B14</f>
        <v>0.00129943046507719</v>
      </c>
      <c r="N14" s="2" t="n">
        <f aca="false">(J14/L14)*B14+(J14/(J14+K14))*(1-B14)</f>
        <v>0.984169130251363</v>
      </c>
      <c r="O14" s="2" t="n">
        <f aca="false">(K14/L14)*B14+(K14/(K14+J14))*(1-B14)</f>
        <v>0.0145314392835594</v>
      </c>
      <c r="P14" s="2" t="n">
        <f aca="false">M14+N14+O14</f>
        <v>1</v>
      </c>
      <c r="Q14" s="2" t="n">
        <f aca="false">M14/(I14/$L14)</f>
        <v>0.0925020274991467</v>
      </c>
      <c r="R14" s="2" t="n">
        <f aca="false">N14/(J14/$L14)</f>
        <v>1.01292979093592</v>
      </c>
      <c r="S14" s="2" t="n">
        <f aca="false">O14/(K14/$L14)</f>
        <v>1.01292979093592</v>
      </c>
      <c r="T14" s="2" t="n">
        <f aca="false">M14-I14/$L14</f>
        <v>-0.0127481585468412</v>
      </c>
      <c r="U14" s="2" t="n">
        <f aca="false">N14-J14/$L14</f>
        <v>0.0125626684234232</v>
      </c>
      <c r="V14" s="2" t="n">
        <f aca="false">O14-K14/$L14</f>
        <v>0.000185490123417953</v>
      </c>
      <c r="W14" s="2" t="n">
        <f aca="false">T14+U14+V14</f>
        <v>-6.93889390390723E-018</v>
      </c>
      <c r="X14" s="2" t="n">
        <f aca="false">T14/(I14)*$L14</f>
        <v>-0.907497972500853</v>
      </c>
      <c r="Y14" s="2" t="n">
        <f aca="false">U14/(J14)*$L14</f>
        <v>0.012929790935919</v>
      </c>
      <c r="Z14" s="2" t="n">
        <f aca="false">V14/(K14)*$L14</f>
        <v>0.0129297909359191</v>
      </c>
      <c r="AA14" s="2"/>
      <c r="AB14" s="2"/>
      <c r="AC14" s="2" t="n">
        <f aca="false">I14/(I14+K14)*B14</f>
        <v>0.0457650067139525</v>
      </c>
      <c r="AD14" s="2" t="n">
        <f aca="false">(J14/(J14+K14))*(1-B14)</f>
        <v>0.894293562601007</v>
      </c>
      <c r="AE14" s="2" t="n">
        <f aca="false">(K14/(K14+I14))*B14+(K14/(K14+J14))*(1-B14)</f>
        <v>0.0599414306850409</v>
      </c>
      <c r="AF14" s="2" t="n">
        <f aca="false">AC14+AD14+AE14</f>
        <v>1</v>
      </c>
      <c r="AG14" s="2" t="n">
        <f aca="false">AC14/(I14/$L14)</f>
        <v>3.25785490130186</v>
      </c>
      <c r="AH14" s="2" t="n">
        <f aca="false">AD14/(J14/$L14)</f>
        <v>0.920427763436772</v>
      </c>
      <c r="AI14" s="2" t="n">
        <f aca="false">AE14/(K14/$L14)</f>
        <v>4.17828266473864</v>
      </c>
      <c r="AJ14" s="53" t="n">
        <f aca="false">AC14-I14/$L14</f>
        <v>0.0317174177020342</v>
      </c>
      <c r="AK14" s="2" t="n">
        <f aca="false">AD14-J14/$L14</f>
        <v>-0.0773128992269335</v>
      </c>
      <c r="AL14" s="2" t="n">
        <f aca="false">AE14-K14/$L14</f>
        <v>0.0455954815248994</v>
      </c>
      <c r="AM14" s="2" t="n">
        <f aca="false">AJ14+AK14+AL14</f>
        <v>0</v>
      </c>
      <c r="AN14" s="2" t="n">
        <f aca="false">AJ14/(I14)*$L14</f>
        <v>2.25785490130187</v>
      </c>
      <c r="AO14" s="2" t="n">
        <f aca="false">AK14/(J14)*$L14</f>
        <v>-0.0795722365632277</v>
      </c>
      <c r="AP14" s="2" t="n">
        <f aca="false">AL14/(K14)*$L14</f>
        <v>3.17828266473864</v>
      </c>
      <c r="AQ14" s="2"/>
      <c r="AR14" s="53" t="n">
        <f aca="false">B14-C14</f>
        <v>0.0643082530741025</v>
      </c>
      <c r="AS14" s="54" t="n">
        <f aca="false">B14/C14</f>
        <v>3.28093805762233</v>
      </c>
      <c r="AU14" s="32" t="n">
        <v>3006384</v>
      </c>
      <c r="AV14" s="45" t="n">
        <f aca="false">AU14*1000/(L14*365)</f>
        <v>1.53961749280389</v>
      </c>
      <c r="AW14" s="4" t="n">
        <f aca="false">M14*$AU14</f>
        <v>3906.58695932061</v>
      </c>
      <c r="AX14" s="4" t="n">
        <f aca="false">N14*$AU14</f>
        <v>2958790.32648162</v>
      </c>
      <c r="AY14" s="4" t="n">
        <f aca="false">O14*$AU14</f>
        <v>43687.0865590645</v>
      </c>
      <c r="AZ14" s="45" t="n">
        <f aca="false">AW14*1000/(I14*365)</f>
        <v>0.142417739657513</v>
      </c>
      <c r="BA14" s="45" t="n">
        <f aca="false">AX14*1000/(J14*365)</f>
        <v>1.55952442510713</v>
      </c>
      <c r="BB14" s="45" t="n">
        <f aca="false">AY14*1000/(K14*365)</f>
        <v>1.55952442510713</v>
      </c>
      <c r="BC14" s="45" t="n">
        <f aca="false">$AV14-AZ14</f>
        <v>1.39719975314638</v>
      </c>
      <c r="BD14" s="45" t="n">
        <f aca="false">$AV14-BA14</f>
        <v>-0.0199069323032384</v>
      </c>
      <c r="BE14" s="45" t="n">
        <f aca="false">$AV14-BB14</f>
        <v>-0.0199069323032384</v>
      </c>
      <c r="BF14" s="2" t="n">
        <f aca="false">SQRT((BC14*$I14)^2+(BD14*$J14)^2+(BE14*$K14)^2)/$L14</f>
        <v>0.0275574582356939</v>
      </c>
      <c r="BG14" s="45"/>
      <c r="BH14" s="4" t="n">
        <f aca="false">AC14*$AU14</f>
        <v>137587.183944719</v>
      </c>
      <c r="BI14" s="4" t="n">
        <f aca="false">AD14*$AU14</f>
        <v>2688589.85790666</v>
      </c>
      <c r="BJ14" s="4" t="n">
        <f aca="false">AE14*$AU14</f>
        <v>180206.958148616</v>
      </c>
      <c r="BK14" s="45" t="n">
        <f aca="false">BH14*1000/(I14*365)</f>
        <v>5.01585039506125</v>
      </c>
      <c r="BL14" s="45" t="n">
        <f aca="false">BI14*1000/(J14*365)</f>
        <v>1.41710668544962</v>
      </c>
      <c r="BM14" s="45" t="n">
        <f aca="false">BJ14*1000/(K14*365)</f>
        <v>6.43295708051086</v>
      </c>
      <c r="BN14" s="54" t="n">
        <f aca="false">$AV14-BK14</f>
        <v>-3.47623290225736</v>
      </c>
      <c r="BO14" s="45" t="n">
        <f aca="false">$AV14-BL14</f>
        <v>0.122510807354275</v>
      </c>
      <c r="BP14" s="45" t="n">
        <f aca="false">$AV14-BM14</f>
        <v>-4.89333958770697</v>
      </c>
      <c r="BQ14" s="2" t="n">
        <f aca="false">SQRT((BN14*$I14)^2+(BO14*$J14)^2+(BP14*$K14)^2)/$L14</f>
        <v>0.146565010321899</v>
      </c>
      <c r="BS14" s="0" t="s">
        <v>8</v>
      </c>
      <c r="BT14" s="2" t="n">
        <v>0.0263780558770648</v>
      </c>
      <c r="BU14" s="2" t="n">
        <v>0.0263780558770648</v>
      </c>
      <c r="BW14" s="0" t="s">
        <v>32</v>
      </c>
      <c r="BX14" s="2" t="n">
        <v>0.0171177395721981</v>
      </c>
      <c r="BY14" s="2" t="n">
        <v>0.0171177395721981</v>
      </c>
    </row>
    <row r="15" customFormat="false" ht="12.75" hidden="false" customHeight="false" outlineLevel="0" collapsed="false">
      <c r="A15" s="0" t="s">
        <v>20</v>
      </c>
      <c r="B15" s="2" t="n">
        <v>0.0425729531743058</v>
      </c>
      <c r="C15" s="2" t="n">
        <v>0.03280824193038</v>
      </c>
      <c r="D15" s="2" t="n">
        <f aca="false">1-C15</f>
        <v>0.96719175806962</v>
      </c>
      <c r="E15" s="0" t="n">
        <v>2540764</v>
      </c>
      <c r="F15" s="2" t="n">
        <v>0.0482898576543466</v>
      </c>
      <c r="G15" s="2" t="n">
        <f aca="false">1-F15</f>
        <v>0.951710142345653</v>
      </c>
      <c r="H15" s="0" t="n">
        <v>2587182</v>
      </c>
      <c r="I15" s="4" t="n">
        <f aca="false">0.5*E15*C15</f>
        <v>41679</v>
      </c>
      <c r="J15" s="4" t="n">
        <f aca="false">H15*G15</f>
        <v>2462247.34949411</v>
      </c>
      <c r="K15" s="4" t="n">
        <f aca="false">0.5*H15*F15</f>
        <v>62467.3252529438</v>
      </c>
      <c r="L15" s="4" t="n">
        <f aca="false">I15+J15+K15</f>
        <v>2566393.67474706</v>
      </c>
      <c r="M15" s="2" t="n">
        <f aca="false">(I15/L15)*B15</f>
        <v>0.000691397478419509</v>
      </c>
      <c r="N15" s="2" t="n">
        <f aca="false">(J15/L15)*B15+(J15/(J15+K15))*(1-B15)</f>
        <v>0.974583378667113</v>
      </c>
      <c r="O15" s="2" t="n">
        <f aca="false">(K15/L15)*B15+(K15/(K15+J15))*(1-B15)</f>
        <v>0.0247252238544676</v>
      </c>
      <c r="P15" s="2" t="n">
        <f aca="false">M15+N15+O15</f>
        <v>1</v>
      </c>
      <c r="Q15" s="2" t="n">
        <f aca="false">M15/(I15/$L15)</f>
        <v>0.0425729531743058</v>
      </c>
      <c r="R15" s="2" t="n">
        <f aca="false">N15/(J15/$L15)</f>
        <v>1.01580558875971</v>
      </c>
      <c r="S15" s="2" t="n">
        <f aca="false">O15/(K15/$L15)</f>
        <v>1.01580558875971</v>
      </c>
      <c r="T15" s="2" t="n">
        <f aca="false">M15-I15/$L15</f>
        <v>-0.0155489012762553</v>
      </c>
      <c r="U15" s="2" t="n">
        <f aca="false">N15-J15/$L15</f>
        <v>0.0151641852197976</v>
      </c>
      <c r="V15" s="2" t="n">
        <f aca="false">O15-K15/$L15</f>
        <v>0.000384716056457773</v>
      </c>
      <c r="W15" s="2" t="n">
        <f aca="false">T15+U15+V15</f>
        <v>-3.46944695195361E-018</v>
      </c>
      <c r="X15" s="2" t="n">
        <f aca="false">T15/(I15)*$L15</f>
        <v>-0.957427046825694</v>
      </c>
      <c r="Y15" s="2" t="n">
        <f aca="false">U15/(J15)*$L15</f>
        <v>0.0158055887597065</v>
      </c>
      <c r="Z15" s="2" t="n">
        <f aca="false">V15/(K15)*$L15</f>
        <v>0.0158055887597065</v>
      </c>
      <c r="AA15" s="2"/>
      <c r="AB15" s="2"/>
      <c r="AC15" s="2" t="n">
        <f aca="false">I15/(I15+K15)*B15</f>
        <v>0.0170375489585672</v>
      </c>
      <c r="AD15" s="2" t="n">
        <f aca="false">(J15/(J15+K15))*(1-B15)</f>
        <v>0.93373807026995</v>
      </c>
      <c r="AE15" s="2" t="n">
        <f aca="false">(K15/(K15+I15))*B15+(K15/(K15+J15))*(1-B15)</f>
        <v>0.0492243807714827</v>
      </c>
      <c r="AF15" s="2" t="n">
        <f aca="false">AC15+AD15+AE15</f>
        <v>1</v>
      </c>
      <c r="AG15" s="2" t="n">
        <f aca="false">AC15/(I15/$L15)</f>
        <v>1.049090858237</v>
      </c>
      <c r="AH15" s="2" t="n">
        <f aca="false">AD15/(J15/$L15)</f>
        <v>0.973232635585401</v>
      </c>
      <c r="AI15" s="2" t="n">
        <f aca="false">AE15/(K15/$L15)</f>
        <v>2.0223234938224</v>
      </c>
      <c r="AJ15" s="53" t="n">
        <f aca="false">AC15-I15/$L15</f>
        <v>0.00079725020389233</v>
      </c>
      <c r="AK15" s="2" t="n">
        <f aca="false">AD15-J15/$L15</f>
        <v>-0.0256811231773653</v>
      </c>
      <c r="AL15" s="2" t="n">
        <f aca="false">AE15-K15/$L15</f>
        <v>0.0248838729734729</v>
      </c>
      <c r="AM15" s="2" t="n">
        <f aca="false">AJ15+AK15+AL15</f>
        <v>0</v>
      </c>
      <c r="AN15" s="2" t="n">
        <f aca="false">AJ15/(I15)*$L15</f>
        <v>0.0490908582370036</v>
      </c>
      <c r="AO15" s="2" t="n">
        <f aca="false">AK15/(J15)*$L15</f>
        <v>-0.0267673644145993</v>
      </c>
      <c r="AP15" s="2" t="n">
        <f aca="false">AL15/(K15)*$L15</f>
        <v>1.0223234938224</v>
      </c>
      <c r="AQ15" s="2"/>
      <c r="AR15" s="53" t="n">
        <f aca="false">B15-C15</f>
        <v>0.00976471124392579</v>
      </c>
      <c r="AS15" s="54" t="n">
        <f aca="false">B15/C15</f>
        <v>1.29762982315989</v>
      </c>
      <c r="AU15" s="32" t="n">
        <v>1433178</v>
      </c>
      <c r="AV15" s="45" t="n">
        <f aca="false">AU15*1000/(L15*365)</f>
        <v>1.52997379440633</v>
      </c>
      <c r="AW15" s="4" t="n">
        <f aca="false">M15*$AU15</f>
        <v>990.895655326315</v>
      </c>
      <c r="AX15" s="4" t="n">
        <f aca="false">N15*$AU15</f>
        <v>1396751.45747138</v>
      </c>
      <c r="AY15" s="4" t="n">
        <f aca="false">O15*$AU15</f>
        <v>35435.6468732982</v>
      </c>
      <c r="AZ15" s="45" t="n">
        <f aca="false">AW15*1000/(I15*365)</f>
        <v>0.0651355027071755</v>
      </c>
      <c r="BA15" s="45" t="n">
        <f aca="false">AX15*1000/(J15*365)</f>
        <v>1.55415593101384</v>
      </c>
      <c r="BB15" s="45" t="n">
        <f aca="false">AY15*1000/(K15*365)</f>
        <v>1.55415593101384</v>
      </c>
      <c r="BC15" s="45" t="n">
        <f aca="false">$AV15-AZ15</f>
        <v>1.46483829169915</v>
      </c>
      <c r="BD15" s="45" t="n">
        <f aca="false">$AV15-BA15</f>
        <v>-0.0241821366075143</v>
      </c>
      <c r="BE15" s="45" t="n">
        <f aca="false">$AV15-BB15</f>
        <v>-0.0241821366075143</v>
      </c>
      <c r="BF15" s="2" t="n">
        <f aca="false">SQRT((BC15*$I15)^2+(BD15*$J15)^2+(BE15*$K15)^2)/$L15</f>
        <v>0.0332349207045178</v>
      </c>
      <c r="BG15" s="45"/>
      <c r="BH15" s="4" t="n">
        <f aca="false">AC15*$AU15</f>
        <v>24417.8403413414</v>
      </c>
      <c r="BI15" s="4" t="n">
        <f aca="false">AD15*$AU15</f>
        <v>1338212.86007335</v>
      </c>
      <c r="BJ15" s="4" t="n">
        <f aca="false">AE15*$AU15</f>
        <v>70547.2995853121</v>
      </c>
      <c r="BK15" s="45" t="n">
        <f aca="false">BH15*1000/(I15*365)</f>
        <v>1.60508152105386</v>
      </c>
      <c r="BL15" s="45" t="n">
        <f aca="false">BI15*1000/(J15*365)</f>
        <v>1.48902042830667</v>
      </c>
      <c r="BM15" s="45" t="n">
        <f aca="false">BJ15*1000/(K15*365)</f>
        <v>3.09410194936052</v>
      </c>
      <c r="BN15" s="54" t="n">
        <f aca="false">$AV15-BK15</f>
        <v>-0.0751077266475317</v>
      </c>
      <c r="BO15" s="45" t="n">
        <f aca="false">$AV15-BL15</f>
        <v>0.0409533660996613</v>
      </c>
      <c r="BP15" s="45" t="n">
        <f aca="false">$AV15-BM15</f>
        <v>-1.5641281549542</v>
      </c>
      <c r="BQ15" s="2" t="n">
        <f aca="false">SQRT((BN15*$I15)^2+(BO15*$J15)^2+(BP15*$K15)^2)/$L15</f>
        <v>0.0547243808365588</v>
      </c>
      <c r="BS15" s="0" t="s">
        <v>11</v>
      </c>
      <c r="BT15" s="2" t="n">
        <v>0.00365636957272633</v>
      </c>
      <c r="BU15" s="2" t="n">
        <v>0.0270620481392174</v>
      </c>
      <c r="BW15" s="0" t="s">
        <v>53</v>
      </c>
      <c r="BX15" s="2" t="n">
        <v>0.0232156875309901</v>
      </c>
      <c r="BY15" s="2" t="n">
        <v>0.0983877625691519</v>
      </c>
    </row>
    <row r="16" customFormat="false" ht="12.75" hidden="false" customHeight="false" outlineLevel="0" collapsed="false">
      <c r="A16" s="0" t="s">
        <v>21</v>
      </c>
      <c r="B16" s="2" t="n">
        <v>0.00107334901207605</v>
      </c>
      <c r="C16" s="2" t="n">
        <v>0.0369184324665151</v>
      </c>
      <c r="D16" s="2" t="n">
        <f aca="false">1-C16</f>
        <v>0.963081567533485</v>
      </c>
      <c r="E16" s="0" t="n">
        <v>1308425</v>
      </c>
      <c r="F16" s="2" t="n">
        <v>0.0429848737657769</v>
      </c>
      <c r="G16" s="2" t="n">
        <f aca="false">1-F16</f>
        <v>0.957015126234223</v>
      </c>
      <c r="H16" s="0" t="n">
        <v>1322064</v>
      </c>
      <c r="I16" s="4" t="n">
        <f aca="false">0.5*E16*C16</f>
        <v>24152.5</v>
      </c>
      <c r="J16" s="4" t="n">
        <f aca="false">H16*G16</f>
        <v>1265235.24584972</v>
      </c>
      <c r="K16" s="4" t="n">
        <f aca="false">0.5*H16*F16</f>
        <v>28414.377075139</v>
      </c>
      <c r="L16" s="4" t="n">
        <f aca="false">I16+J16+K16</f>
        <v>1317802.12292486</v>
      </c>
      <c r="M16" s="2" t="n">
        <f aca="false">(I16/L16)*B16</f>
        <v>1.96721962752863E-005</v>
      </c>
      <c r="N16" s="2" t="n">
        <f aca="false">(J16/L16)*B16+(J16/(J16+K16))*(1-B16)</f>
        <v>0.978016252216013</v>
      </c>
      <c r="O16" s="2" t="n">
        <f aca="false">(K16/L16)*B16+(K16/(K16+J16))*(1-B16)</f>
        <v>0.0219640755877115</v>
      </c>
      <c r="P16" s="2" t="n">
        <f aca="false">M16+N16+O16</f>
        <v>1</v>
      </c>
      <c r="Q16" s="2" t="n">
        <f aca="false">M16/(I16/$L16)</f>
        <v>0.00107334901207605</v>
      </c>
      <c r="R16" s="2" t="n">
        <f aca="false">N16/(J16/$L16)</f>
        <v>1.01865000809372</v>
      </c>
      <c r="S16" s="2" t="n">
        <f aca="false">O16/(K16/$L16)</f>
        <v>1.01865000809372</v>
      </c>
      <c r="T16" s="2" t="n">
        <f aca="false">M16-I16/$L16</f>
        <v>-0.0183081932547179</v>
      </c>
      <c r="U16" s="2" t="n">
        <f aca="false">N16-J16/$L16</f>
        <v>0.0179060628034076</v>
      </c>
      <c r="V16" s="2" t="n">
        <f aca="false">O16-K16/$L16</f>
        <v>0.000402130451310222</v>
      </c>
      <c r="W16" s="2" t="n">
        <f aca="false">T16+U16+V16</f>
        <v>-6.93889390390723E-017</v>
      </c>
      <c r="X16" s="2" t="n">
        <f aca="false">T16/(I16)*$L16</f>
        <v>-0.998926650987924</v>
      </c>
      <c r="Y16" s="2" t="n">
        <f aca="false">U16/(J16)*$L16</f>
        <v>0.0186500080937194</v>
      </c>
      <c r="Z16" s="2" t="n">
        <f aca="false">V16/(K16)*$L16</f>
        <v>0.0186500080937196</v>
      </c>
      <c r="AA16" s="2"/>
      <c r="AB16" s="2"/>
      <c r="AC16" s="2" t="n">
        <f aca="false">I16/(I16+K16)*B16</f>
        <v>0.000493163441630953</v>
      </c>
      <c r="AD16" s="2" t="n">
        <f aca="false">(J16/(J16+K16))*(1-B16)</f>
        <v>0.976985718892723</v>
      </c>
      <c r="AE16" s="2" t="n">
        <f aca="false">(K16/(K16+I16))*B16+(K16/(K16+J16))*(1-B16)</f>
        <v>0.022521117665646</v>
      </c>
      <c r="AF16" s="2" t="n">
        <f aca="false">AC16+AD16+AE16</f>
        <v>1</v>
      </c>
      <c r="AG16" s="2" t="n">
        <f aca="false">AC16/(I16/$L16)</f>
        <v>0.0269078493046352</v>
      </c>
      <c r="AH16" s="2" t="n">
        <f aca="false">AD16/(J16/$L16)</f>
        <v>1.01757665908164</v>
      </c>
      <c r="AI16" s="2" t="n">
        <f aca="false">AE16/(K16/$L16)</f>
        <v>1.04448450838628</v>
      </c>
      <c r="AJ16" s="2" t="n">
        <f aca="false">AC16-I16/$L16</f>
        <v>-0.0178347020093622</v>
      </c>
      <c r="AK16" s="2" t="n">
        <f aca="false">AD16-J16/$L16</f>
        <v>0.0168755294801174</v>
      </c>
      <c r="AL16" s="2" t="n">
        <f aca="false">AE16-K16/$L16</f>
        <v>0.000959172529244726</v>
      </c>
      <c r="AM16" s="2" t="n">
        <f aca="false">AJ16+AK16+AL16</f>
        <v>-7.28583859910259E-017</v>
      </c>
      <c r="AN16" s="2" t="n">
        <f aca="false">AJ16/(I16)*$L16</f>
        <v>-0.973092150695365</v>
      </c>
      <c r="AO16" s="2" t="n">
        <f aca="false">AK16/(J16)*$L16</f>
        <v>0.0175766590816434</v>
      </c>
      <c r="AP16" s="2" t="n">
        <f aca="false">AL16/(K16)*$L16</f>
        <v>0.0444845083862787</v>
      </c>
      <c r="AQ16" s="2"/>
      <c r="AR16" s="2" t="n">
        <f aca="false">B16-C16</f>
        <v>-0.035845083454439</v>
      </c>
      <c r="AS16" s="45" t="n">
        <f aca="false">B16/C16</f>
        <v>0.0290735261593129</v>
      </c>
      <c r="AU16" s="32" t="n">
        <v>1077704</v>
      </c>
      <c r="AV16" s="45" t="n">
        <f aca="false">AU16*1000/(L16*365)</f>
        <v>2.24055922149891</v>
      </c>
      <c r="AW16" s="4" t="n">
        <f aca="false">M16*$AU16</f>
        <v>21.2008046146611</v>
      </c>
      <c r="AX16" s="4" t="n">
        <f aca="false">N16*$AU16</f>
        <v>1054012.02707821</v>
      </c>
      <c r="AY16" s="4" t="n">
        <f aca="false">O16*$AU16</f>
        <v>23670.7721171791</v>
      </c>
      <c r="AZ16" s="45" t="n">
        <f aca="false">AW16*1000/(I16*365)</f>
        <v>0.00240490202689374</v>
      </c>
      <c r="BA16" s="45" t="n">
        <f aca="false">AX16*1000/(J16*365)</f>
        <v>2.28234566911432</v>
      </c>
      <c r="BB16" s="45" t="n">
        <f aca="false">AY16*1000/(K16*365)</f>
        <v>2.28234566911432</v>
      </c>
      <c r="BC16" s="45" t="n">
        <f aca="false">$AV16-AZ16</f>
        <v>2.23815431947202</v>
      </c>
      <c r="BD16" s="45" t="n">
        <f aca="false">$AV16-BA16</f>
        <v>-0.0417864476154124</v>
      </c>
      <c r="BE16" s="45" t="n">
        <f aca="false">$AV16-BB16</f>
        <v>-0.0417864476154128</v>
      </c>
      <c r="BF16" s="2" t="n">
        <f aca="false">SQRT((BC16*$I16)^2+(BD16*$J16)^2+(BE16*$K16)^2)/$L16</f>
        <v>0.0573853860649703</v>
      </c>
      <c r="BG16" s="45"/>
      <c r="BH16" s="4" t="n">
        <f aca="false">AC16*$AU16</f>
        <v>531.484213699445</v>
      </c>
      <c r="BI16" s="4" t="n">
        <f aca="false">AD16*$AU16</f>
        <v>1052901.41719356</v>
      </c>
      <c r="BJ16" s="4" t="n">
        <f aca="false">AE16*$AU16</f>
        <v>24271.0985927374</v>
      </c>
      <c r="BK16" s="45" t="n">
        <f aca="false">BH16*1000/(I16*365)</f>
        <v>0.0602886298902034</v>
      </c>
      <c r="BL16" s="45" t="n">
        <f aca="false">BI16*1000/(J16*365)</f>
        <v>2.27994076708743</v>
      </c>
      <c r="BM16" s="45" t="n">
        <f aca="false">BJ16*1000/(K16*365)</f>
        <v>2.34022939697763</v>
      </c>
      <c r="BN16" s="45" t="n">
        <f aca="false">$AV16-BK16</f>
        <v>2.18027059160871</v>
      </c>
      <c r="BO16" s="45" t="n">
        <f aca="false">$AV16-BL16</f>
        <v>-0.0393815455885189</v>
      </c>
      <c r="BP16" s="45" t="n">
        <f aca="false">$AV16-BM16</f>
        <v>-0.0996701754787224</v>
      </c>
      <c r="BQ16" s="2" t="n">
        <f aca="false">SQRT((BN16*$I16)^2+(BO16*$J16)^2+(BP16*$K16)^2)/$L16</f>
        <v>0.0550548807195891</v>
      </c>
      <c r="BS16" s="0" t="s">
        <v>37</v>
      </c>
      <c r="BT16" s="2" t="n">
        <v>0.0309256134268734</v>
      </c>
      <c r="BU16" s="2" t="n">
        <v>0.0309256134268734</v>
      </c>
      <c r="BW16" s="0" t="s">
        <v>25</v>
      </c>
      <c r="BX16" s="2" t="n">
        <v>0.0236509369705578</v>
      </c>
      <c r="BY16" s="2" t="n">
        <v>0.212873952052622</v>
      </c>
    </row>
    <row r="17" customFormat="false" ht="12.75" hidden="false" customHeight="false" outlineLevel="0" collapsed="false">
      <c r="A17" s="0" t="s">
        <v>22</v>
      </c>
      <c r="B17" s="2" t="n">
        <v>0.0645640225441334</v>
      </c>
      <c r="C17" s="2" t="n">
        <v>0.0706260870607761</v>
      </c>
      <c r="D17" s="2" t="n">
        <f aca="false">1-C17</f>
        <v>0.929373912939224</v>
      </c>
      <c r="E17" s="0" t="n">
        <v>1167713</v>
      </c>
      <c r="F17" s="2" t="n">
        <v>0.0757243087363327</v>
      </c>
      <c r="G17" s="2" t="n">
        <f aca="false">1-F17</f>
        <v>0.924275691263667</v>
      </c>
      <c r="H17" s="0" t="n">
        <v>1178931</v>
      </c>
      <c r="I17" s="4" t="n">
        <f aca="false">0.5*E17*C17</f>
        <v>41235.5</v>
      </c>
      <c r="J17" s="4" t="n">
        <f aca="false">H17*G17</f>
        <v>1089657.26497717</v>
      </c>
      <c r="K17" s="4" t="n">
        <f aca="false">0.5*H17*F17</f>
        <v>44636.8675114167</v>
      </c>
      <c r="L17" s="4" t="n">
        <f aca="false">I17+J17+K17</f>
        <v>1175529.63248858</v>
      </c>
      <c r="M17" s="2" t="n">
        <f aca="false">(I17/L17)*B17</f>
        <v>0.00226479169732412</v>
      </c>
      <c r="N17" s="2" t="n">
        <f aca="false">(J17/L17)*B17+(J17/(J17+K17))*(1-B17)</f>
        <v>0.958472222601804</v>
      </c>
      <c r="O17" s="2" t="n">
        <f aca="false">(K17/L17)*B17+(K17/(K17+J17))*(1-B17)</f>
        <v>0.0392629857008721</v>
      </c>
      <c r="P17" s="2" t="n">
        <f aca="false">M17+N17+O17</f>
        <v>1</v>
      </c>
      <c r="Q17" s="2" t="n">
        <f aca="false">M17/(I17/$L17)</f>
        <v>0.0645640225441334</v>
      </c>
      <c r="R17" s="2" t="n">
        <f aca="false">N17/(J17/$L17)</f>
        <v>1.03400632088588</v>
      </c>
      <c r="S17" s="2" t="n">
        <f aca="false">O17/(K17/$L17)</f>
        <v>1.03400632088588</v>
      </c>
      <c r="T17" s="2" t="n">
        <f aca="false">M17-I17/$L17</f>
        <v>-0.0328134393062661</v>
      </c>
      <c r="U17" s="2" t="n">
        <f aca="false">N17-J17/$L17</f>
        <v>0.0315221612321265</v>
      </c>
      <c r="V17" s="2" t="n">
        <f aca="false">O17-K17/$L17</f>
        <v>0.00129127807413961</v>
      </c>
      <c r="W17" s="2" t="n">
        <f aca="false">T17+U17+V17</f>
        <v>-6.93889390390723E-018</v>
      </c>
      <c r="X17" s="2" t="n">
        <f aca="false">T17/(I17)*$L17</f>
        <v>-0.935435977455867</v>
      </c>
      <c r="Y17" s="2" t="n">
        <f aca="false">U17/(J17)*$L17</f>
        <v>0.0340063208858833</v>
      </c>
      <c r="Z17" s="2" t="n">
        <f aca="false">V17/(K17)*$L17</f>
        <v>0.0340063208858834</v>
      </c>
      <c r="AA17" s="2"/>
      <c r="AB17" s="2"/>
      <c r="AC17" s="2" t="n">
        <f aca="false">I17/(I17+K17)*B17</f>
        <v>0.0310033347021049</v>
      </c>
      <c r="AD17" s="2" t="n">
        <f aca="false">(J17/(J17+K17))*(1-B17)</f>
        <v>0.898624597942246</v>
      </c>
      <c r="AE17" s="2" t="n">
        <f aca="false">(K17/(K17+I17))*B17+(K17/(K17+J17))*(1-B17)</f>
        <v>0.070372067355649</v>
      </c>
      <c r="AF17" s="2" t="n">
        <f aca="false">AC17+AD17+AE17</f>
        <v>1</v>
      </c>
      <c r="AG17" s="2" t="n">
        <f aca="false">AC17/(I17/$L17)</f>
        <v>0.883834042227836</v>
      </c>
      <c r="AH17" s="2" t="n">
        <f aca="false">AD17/(J17/$L17)</f>
        <v>0.96944229834175</v>
      </c>
      <c r="AI17" s="2" t="n">
        <f aca="false">AE17/(K17/$L17)</f>
        <v>1.85327634056959</v>
      </c>
      <c r="AJ17" s="2" t="n">
        <f aca="false">AC17-I17/$L17</f>
        <v>-0.00407489630148529</v>
      </c>
      <c r="AK17" s="2" t="n">
        <f aca="false">AD17-J17/$L17</f>
        <v>-0.0283254634274313</v>
      </c>
      <c r="AL17" s="2" t="n">
        <f aca="false">AE17-K17/$L17</f>
        <v>0.0324003597289165</v>
      </c>
      <c r="AM17" s="2" t="n">
        <f aca="false">AJ17+AK17+AL17</f>
        <v>0</v>
      </c>
      <c r="AN17" s="2" t="n">
        <f aca="false">AJ17/(I17)*$L17</f>
        <v>-0.116165957772164</v>
      </c>
      <c r="AO17" s="2" t="n">
        <f aca="false">AK17/(J17)*$L17</f>
        <v>-0.0305577016582501</v>
      </c>
      <c r="AP17" s="2" t="n">
        <f aca="false">AL17/(K17)*$L17</f>
        <v>0.853276340569586</v>
      </c>
      <c r="AQ17" s="2"/>
      <c r="AR17" s="2" t="n">
        <f aca="false">B17-C17</f>
        <v>-0.00606206451664271</v>
      </c>
      <c r="AS17" s="45" t="n">
        <f aca="false">B17/C17</f>
        <v>0.914166779317307</v>
      </c>
      <c r="AU17" s="34" t="n">
        <v>1019160</v>
      </c>
      <c r="AV17" s="45" t="n">
        <f aca="false">AU17*1000/(L17*365)</f>
        <v>2.37528608459754</v>
      </c>
      <c r="AW17" s="4" t="n">
        <f aca="false">M17*$AU17</f>
        <v>2308.18510624485</v>
      </c>
      <c r="AX17" s="4" t="n">
        <f aca="false">N17*$AU17</f>
        <v>976836.550386854</v>
      </c>
      <c r="AY17" s="4" t="n">
        <f aca="false">O17*$AU17</f>
        <v>40015.2645069008</v>
      </c>
      <c r="AZ17" s="45" t="n">
        <f aca="false">AW17*1000/(I17*365)</f>
        <v>0.153358024314722</v>
      </c>
      <c r="BA17" s="45" t="n">
        <f aca="false">AX17*1000/(J17*365)</f>
        <v>2.45606082538614</v>
      </c>
      <c r="BB17" s="45" t="n">
        <f aca="false">AY17*1000/(K17*365)</f>
        <v>2.45606082538614</v>
      </c>
      <c r="BC17" s="45" t="n">
        <f aca="false">$AV17-AZ17</f>
        <v>2.22192806028282</v>
      </c>
      <c r="BD17" s="45" t="n">
        <f aca="false">$AV17-BA17</f>
        <v>-0.0807747407885975</v>
      </c>
      <c r="BE17" s="45" t="n">
        <f aca="false">$AV17-BB17</f>
        <v>-0.0807747407885979</v>
      </c>
      <c r="BF17" s="2" t="n">
        <f aca="false">SQRT((BC17*$I17)^2+(BD17*$J17)^2+(BE17*$K17)^2)/$L17</f>
        <v>0.108122121057213</v>
      </c>
      <c r="BG17" s="45"/>
      <c r="BH17" s="4" t="n">
        <f aca="false">AC17*$AU17</f>
        <v>31597.3585949973</v>
      </c>
      <c r="BI17" s="4" t="n">
        <f aca="false">AD17*$AU17</f>
        <v>915842.24523882</v>
      </c>
      <c r="BJ17" s="4" t="n">
        <f aca="false">AE17*$AU17</f>
        <v>71720.3961661832</v>
      </c>
      <c r="BK17" s="45" t="n">
        <f aca="false">BH17*1000/(I17*365)</f>
        <v>2.09935870159737</v>
      </c>
      <c r="BL17" s="45" t="n">
        <f aca="false">BI17*1000/(J17*365)</f>
        <v>2.30270280107142</v>
      </c>
      <c r="BM17" s="45" t="n">
        <f aca="false">BJ17*1000/(K17*365)</f>
        <v>4.40206150266879</v>
      </c>
      <c r="BN17" s="45" t="n">
        <f aca="false">$AV17-BK17</f>
        <v>0.275927383000167</v>
      </c>
      <c r="BO17" s="45" t="n">
        <f aca="false">$AV17-BL17</f>
        <v>0.0725832835261246</v>
      </c>
      <c r="BP17" s="45" t="n">
        <f aca="false">$AV17-BM17</f>
        <v>-2.02677541807125</v>
      </c>
      <c r="BQ17" s="2" t="n">
        <f aca="false">SQRT((BN17*$I17)^2+(BO17*$J17)^2+(BP17*$K17)^2)/$L17</f>
        <v>0.102680514870217</v>
      </c>
      <c r="BS17" s="0" t="s">
        <v>49</v>
      </c>
      <c r="BT17" s="2" t="n">
        <v>0.00800908657783614</v>
      </c>
      <c r="BU17" s="2" t="n">
        <v>0.032041554371547</v>
      </c>
      <c r="BW17" s="0" t="s">
        <v>39</v>
      </c>
      <c r="BX17" s="2" t="n">
        <v>0.0241013902606502</v>
      </c>
      <c r="BY17" s="2" t="n">
        <v>0.0228804177614424</v>
      </c>
    </row>
    <row r="18" customFormat="false" ht="12.75" hidden="false" customHeight="false" outlineLevel="0" collapsed="false">
      <c r="A18" s="0" t="s">
        <v>23</v>
      </c>
      <c r="B18" s="2" t="n">
        <v>0.00845328299918051</v>
      </c>
      <c r="C18" s="2" t="n">
        <v>0.0625602364619358</v>
      </c>
      <c r="D18" s="2" t="n">
        <f aca="false">1-C18</f>
        <v>0.937439763538064</v>
      </c>
      <c r="E18" s="0" t="n">
        <v>1552216</v>
      </c>
      <c r="F18" s="2" t="n">
        <v>0.0671134356375722</v>
      </c>
      <c r="G18" s="2" t="n">
        <f aca="false">1-F18</f>
        <v>0.932886564362428</v>
      </c>
      <c r="H18" s="0" t="n">
        <v>1565711</v>
      </c>
      <c r="I18" s="4" t="n">
        <f aca="false">0.5*E18*C18</f>
        <v>48553.5</v>
      </c>
      <c r="J18" s="4" t="n">
        <f aca="false">H18*G18</f>
        <v>1460630.75557446</v>
      </c>
      <c r="K18" s="4" t="n">
        <f aca="false">0.5*H18*F18</f>
        <v>52540.1222127694</v>
      </c>
      <c r="L18" s="4" t="n">
        <f aca="false">I18+J18+K18</f>
        <v>1561724.37778723</v>
      </c>
      <c r="M18" s="2" t="n">
        <f aca="false">(I18/L18)*B18</f>
        <v>0.000262809803021868</v>
      </c>
      <c r="N18" s="2" t="n">
        <f aca="false">(J18/L18)*B18+(J18/(J18+K18))*(1-B18)</f>
        <v>0.965024445638736</v>
      </c>
      <c r="O18" s="2" t="n">
        <f aca="false">(K18/L18)*B18+(K18/(K18+J18))*(1-B18)</f>
        <v>0.0347127445582426</v>
      </c>
      <c r="P18" s="2" t="n">
        <f aca="false">M18+N18+O18</f>
        <v>1</v>
      </c>
      <c r="Q18" s="2" t="n">
        <f aca="false">M18/(I18/$L18)</f>
        <v>0.00845328299918051</v>
      </c>
      <c r="R18" s="2" t="n">
        <f aca="false">N18/(J18/$L18)</f>
        <v>1.03181601247461</v>
      </c>
      <c r="S18" s="2" t="n">
        <f aca="false">O18/(K18/$L18)</f>
        <v>1.03181601247461</v>
      </c>
      <c r="T18" s="2" t="n">
        <f aca="false">M18-I18/$L18</f>
        <v>-0.0308268630551263</v>
      </c>
      <c r="U18" s="2" t="n">
        <f aca="false">N18-J18/$L18</f>
        <v>0.0297564967295987</v>
      </c>
      <c r="V18" s="2" t="n">
        <f aca="false">O18-K18/$L18</f>
        <v>0.0010703663255277</v>
      </c>
      <c r="W18" s="2" t="n">
        <f aca="false">T18+U18+V18</f>
        <v>5.20417042793042E-017</v>
      </c>
      <c r="X18" s="2" t="n">
        <f aca="false">T18/(I18)*$L18</f>
        <v>-0.99154671700082</v>
      </c>
      <c r="Y18" s="2" t="n">
        <f aca="false">U18/(J18)*$L18</f>
        <v>0.0318160124746129</v>
      </c>
      <c r="Z18" s="2" t="n">
        <f aca="false">V18/(K18)*$L18</f>
        <v>0.0318160124746127</v>
      </c>
      <c r="AA18" s="2"/>
      <c r="AB18" s="2"/>
      <c r="AC18" s="2" t="n">
        <f aca="false">I18/(I18+K18)*B18</f>
        <v>0.00405996409186798</v>
      </c>
      <c r="AD18" s="2" t="n">
        <f aca="false">(J18/(J18+K18))*(1-B18)</f>
        <v>0.957118360986544</v>
      </c>
      <c r="AE18" s="2" t="n">
        <f aca="false">(K18/(K18+I18))*B18+(K18/(K18+J18))*(1-B18)</f>
        <v>0.0388216749215886</v>
      </c>
      <c r="AF18" s="2" t="n">
        <f aca="false">AC18+AD18+AE18</f>
        <v>1</v>
      </c>
      <c r="AG18" s="2" t="n">
        <f aca="false">AC18/(I18/$L18)</f>
        <v>0.13058883283823</v>
      </c>
      <c r="AH18" s="2" t="n">
        <f aca="false">AD18/(J18/$L18)</f>
        <v>1.02336272947543</v>
      </c>
      <c r="AI18" s="2" t="n">
        <f aca="false">AE18/(K18/$L18)</f>
        <v>1.15395156231366</v>
      </c>
      <c r="AJ18" s="2" t="n">
        <f aca="false">AC18-I18/$L18</f>
        <v>-0.0270297087662802</v>
      </c>
      <c r="AK18" s="2" t="n">
        <f aca="false">AD18-J18/$L18</f>
        <v>0.0218504120774067</v>
      </c>
      <c r="AL18" s="2" t="n">
        <f aca="false">AE18-K18/$L18</f>
        <v>0.00517929668887362</v>
      </c>
      <c r="AM18" s="2" t="n">
        <f aca="false">AJ18+AK18+AL18</f>
        <v>8.32667268468867E-017</v>
      </c>
      <c r="AN18" s="2" t="n">
        <f aca="false">AJ18/(I18)*$L18</f>
        <v>-0.86941116716177</v>
      </c>
      <c r="AO18" s="2" t="n">
        <f aca="false">AK18/(J18)*$L18</f>
        <v>0.0233627294754324</v>
      </c>
      <c r="AP18" s="2" t="n">
        <f aca="false">AL18/(K18)*$L18</f>
        <v>0.153951562313663</v>
      </c>
      <c r="AQ18" s="2"/>
      <c r="AR18" s="2" t="n">
        <f aca="false">B18-C18</f>
        <v>-0.0541069534627553</v>
      </c>
      <c r="AS18" s="45" t="n">
        <f aca="false">B18/C18</f>
        <v>0.135122299359016</v>
      </c>
      <c r="AU18" s="32" t="n">
        <v>1396789</v>
      </c>
      <c r="AV18" s="45" t="n">
        <f aca="false">AU18*1000/(L18*365)</f>
        <v>2.45038063855052</v>
      </c>
      <c r="AW18" s="4" t="n">
        <f aca="false">M18*$AU18</f>
        <v>367.089841953112</v>
      </c>
      <c r="AX18" s="4" t="n">
        <f aca="false">N18*$AU18</f>
        <v>1347935.53039928</v>
      </c>
      <c r="AY18" s="4" t="n">
        <f aca="false">O18*$AU18</f>
        <v>48486.3797587632</v>
      </c>
      <c r="AZ18" s="45" t="n">
        <f aca="false">AW18*1000/(I18*365)</f>
        <v>0.0207137609933802</v>
      </c>
      <c r="BA18" s="45" t="n">
        <f aca="false">AX18*1000/(J18*365)</f>
        <v>2.5283419795142</v>
      </c>
      <c r="BB18" s="45" t="n">
        <f aca="false">AY18*1000/(K18*365)</f>
        <v>2.5283419795142</v>
      </c>
      <c r="BC18" s="45" t="n">
        <f aca="false">$AV18-AZ18</f>
        <v>2.42966687755714</v>
      </c>
      <c r="BD18" s="45" t="n">
        <f aca="false">$AV18-BA18</f>
        <v>-0.0779613409636735</v>
      </c>
      <c r="BE18" s="45" t="n">
        <f aca="false">$AV18-BB18</f>
        <v>-0.077961340963673</v>
      </c>
      <c r="BF18" s="2" t="n">
        <f aca="false">SQRT((BC18*$I18)^2+(BD18*$J18)^2+(BE18*$K18)^2)/$L18</f>
        <v>0.105020760490397</v>
      </c>
      <c r="BG18" s="45"/>
      <c r="BH18" s="4" t="n">
        <f aca="false">AC18*$AU18</f>
        <v>5670.91318391619</v>
      </c>
      <c r="BI18" s="4" t="n">
        <f aca="false">AD18*$AU18</f>
        <v>1336892.39832403</v>
      </c>
      <c r="BJ18" s="4" t="n">
        <f aca="false">AE18*$AU18</f>
        <v>54225.6884920508</v>
      </c>
      <c r="BK18" s="45" t="n">
        <f aca="false">BH18*1000/(I18*365)</f>
        <v>0.31999234759771</v>
      </c>
      <c r="BL18" s="45" t="n">
        <f aca="false">BI18*1000/(J18*365)</f>
        <v>2.50762821852082</v>
      </c>
      <c r="BM18" s="45" t="n">
        <f aca="false">BJ18*1000/(K18*365)</f>
        <v>2.82762056611853</v>
      </c>
      <c r="BN18" s="45" t="n">
        <f aca="false">$AV18-BK18</f>
        <v>2.13038829095281</v>
      </c>
      <c r="BO18" s="45" t="n">
        <f aca="false">$AV18-BL18</f>
        <v>-0.0572475799702934</v>
      </c>
      <c r="BP18" s="45" t="n">
        <f aca="false">$AV18-BM18</f>
        <v>-0.377239927568003</v>
      </c>
      <c r="BQ18" s="2" t="n">
        <f aca="false">SQRT((BN18*$I18)^2+(BO18*$J18)^2+(BP18*$K18)^2)/$L18</f>
        <v>0.0861081599956487</v>
      </c>
      <c r="BS18" s="0" t="s">
        <v>41</v>
      </c>
      <c r="BT18" s="2" t="n">
        <v>0.0285960895670637</v>
      </c>
      <c r="BU18" s="2" t="n">
        <v>0.0353329591593876</v>
      </c>
      <c r="BW18" s="0" t="s">
        <v>16</v>
      </c>
      <c r="BX18" s="2" t="n">
        <v>0.0249705920437735</v>
      </c>
      <c r="BY18" s="2" t="n">
        <v>0.0196037250783025</v>
      </c>
    </row>
    <row r="19" customFormat="false" ht="12.75" hidden="false" customHeight="false" outlineLevel="0" collapsed="false">
      <c r="A19" s="0" t="s">
        <v>24</v>
      </c>
      <c r="B19" s="2" t="n">
        <v>0.0293839643250748</v>
      </c>
      <c r="C19" s="2" t="n">
        <v>0.0211147303966919</v>
      </c>
      <c r="D19" s="2" t="n">
        <f aca="false">1-C19</f>
        <v>0.978885269603308</v>
      </c>
      <c r="E19" s="0" t="n">
        <v>1626779</v>
      </c>
      <c r="F19" s="2" t="n">
        <v>0.0191944537858603</v>
      </c>
      <c r="G19" s="2" t="n">
        <f aca="false">1-F19</f>
        <v>0.98080554621414</v>
      </c>
      <c r="H19" s="0" t="n">
        <v>1645690</v>
      </c>
      <c r="I19" s="4" t="n">
        <f aca="false">0.5*E19*C19</f>
        <v>17174.5</v>
      </c>
      <c r="J19" s="4" t="n">
        <f aca="false">H19*G19</f>
        <v>1614101.87934915</v>
      </c>
      <c r="K19" s="4" t="n">
        <f aca="false">0.5*H19*F19</f>
        <v>15794.0603254262</v>
      </c>
      <c r="L19" s="4" t="n">
        <f aca="false">I19+J19+K19</f>
        <v>1647070.43967457</v>
      </c>
      <c r="M19" s="2" t="n">
        <f aca="false">(I19/L19)*B19</f>
        <v>0.000306395454101348</v>
      </c>
      <c r="N19" s="2" t="n">
        <f aca="false">(J19/L19)*B19+(J19/(J19+K19))*(1-B19)</f>
        <v>0.990006347394811</v>
      </c>
      <c r="O19" s="2" t="n">
        <f aca="false">(K19/L19)*B19+(K19/(K19+J19))*(1-B19)</f>
        <v>0.00968725715108731</v>
      </c>
      <c r="P19" s="2" t="n">
        <f aca="false">M19+N19+O19</f>
        <v>1</v>
      </c>
      <c r="Q19" s="2" t="n">
        <f aca="false">M19/(I19/$L19)</f>
        <v>0.0293839643250748</v>
      </c>
      <c r="R19" s="2" t="n">
        <f aca="false">N19/(J19/$L19)</f>
        <v>1.01022755177121</v>
      </c>
      <c r="S19" s="2" t="n">
        <f aca="false">O19/(K19/$L19)</f>
        <v>1.01022755177121</v>
      </c>
      <c r="T19" s="2" t="n">
        <f aca="false">M19-I19/$L19</f>
        <v>-0.0101209060056913</v>
      </c>
      <c r="U19" s="2" t="n">
        <f aca="false">N19-J19/$L19</f>
        <v>0.0100228321372247</v>
      </c>
      <c r="V19" s="2" t="n">
        <f aca="false">O19-K19/$L19</f>
        <v>9.80738684665805E-005</v>
      </c>
      <c r="W19" s="2" t="n">
        <f aca="false">T19+U19+V19</f>
        <v>-6.24500451351651E-017</v>
      </c>
      <c r="X19" s="2" t="n">
        <f aca="false">T19/(I19)*$L19</f>
        <v>-0.970616035674925</v>
      </c>
      <c r="Y19" s="2" t="n">
        <f aca="false">U19/(J19)*$L19</f>
        <v>0.0102275517712052</v>
      </c>
      <c r="Z19" s="2" t="n">
        <f aca="false">V19/(K19)*$L19</f>
        <v>0.0102275517712054</v>
      </c>
      <c r="AA19" s="2"/>
      <c r="AB19" s="2"/>
      <c r="AC19" s="2" t="n">
        <f aca="false">I19/(I19+K19)*B19</f>
        <v>0.0153071559788977</v>
      </c>
      <c r="AD19" s="2" t="n">
        <f aca="false">(J19/(J19+K19))*(1-B19)</f>
        <v>0.961210546743321</v>
      </c>
      <c r="AE19" s="2" t="n">
        <f aca="false">(K19/(K19+I19))*B19+(K19/(K19+J19))*(1-B19)</f>
        <v>0.0234822972777813</v>
      </c>
      <c r="AF19" s="2" t="n">
        <f aca="false">AC19+AD19+AE19</f>
        <v>1</v>
      </c>
      <c r="AG19" s="2" t="n">
        <f aca="false">AC19/(I19/$L19)</f>
        <v>1.46798824584881</v>
      </c>
      <c r="AH19" s="2" t="n">
        <f aca="false">AD19/(J19/$L19)</f>
        <v>0.98084358744613</v>
      </c>
      <c r="AI19" s="2" t="n">
        <f aca="false">AE19/(K19/$L19)</f>
        <v>2.44883183329494</v>
      </c>
      <c r="AJ19" s="53" t="n">
        <f aca="false">AC19-I19/$L19</f>
        <v>0.00487985451910506</v>
      </c>
      <c r="AK19" s="2" t="n">
        <f aca="false">AD19-J19/$L19</f>
        <v>-0.0187729685142657</v>
      </c>
      <c r="AL19" s="2" t="n">
        <f aca="false">AE19-K19/$L19</f>
        <v>0.0138931139951606</v>
      </c>
      <c r="AM19" s="2" t="n">
        <f aca="false">AJ19+AK19+AL19</f>
        <v>-7.28583859910259E-017</v>
      </c>
      <c r="AN19" s="2" t="n">
        <f aca="false">AJ19/(I19)*$L19</f>
        <v>0.467988245848807</v>
      </c>
      <c r="AO19" s="2" t="n">
        <f aca="false">AK19/(J19)*$L19</f>
        <v>-0.0191564125538696</v>
      </c>
      <c r="AP19" s="2" t="n">
        <f aca="false">AL19/(K19)*$L19</f>
        <v>1.44883183329494</v>
      </c>
      <c r="AQ19" s="2"/>
      <c r="AR19" s="53" t="n">
        <f aca="false">B19-C19</f>
        <v>0.00826923392838294</v>
      </c>
      <c r="AS19" s="54" t="n">
        <f aca="false">B19/C19</f>
        <v>1.39163341293141</v>
      </c>
      <c r="AU19" s="32" t="n">
        <v>1197890</v>
      </c>
      <c r="AV19" s="45" t="n">
        <f aca="false">AU19*1000/(L19*365)</f>
        <v>1.992562268076</v>
      </c>
      <c r="AW19" s="4" t="n">
        <f aca="false">M19*$AU19</f>
        <v>367.028050513463</v>
      </c>
      <c r="AX19" s="4" t="n">
        <f aca="false">N19*$AU19</f>
        <v>1185918.70348077</v>
      </c>
      <c r="AY19" s="4" t="n">
        <f aca="false">O19*$AU19</f>
        <v>11604.268468716</v>
      </c>
      <c r="AZ19" s="45" t="n">
        <f aca="false">AW19*1000/(I19*365)</f>
        <v>0.0585493786006354</v>
      </c>
      <c r="BA19" s="45" t="n">
        <f aca="false">AX19*1000/(J19*365)</f>
        <v>2.0129413018301</v>
      </c>
      <c r="BB19" s="45" t="n">
        <f aca="false">AY19*1000/(K19*365)</f>
        <v>2.0129413018301</v>
      </c>
      <c r="BC19" s="45" t="n">
        <f aca="false">$AV19-AZ19</f>
        <v>1.93401288947537</v>
      </c>
      <c r="BD19" s="45" t="n">
        <f aca="false">$AV19-BA19</f>
        <v>-0.0203790337540972</v>
      </c>
      <c r="BE19" s="45" t="n">
        <f aca="false">$AV19-BB19</f>
        <v>-0.0203790337540977</v>
      </c>
      <c r="BF19" s="2" t="n">
        <f aca="false">SQRT((BC19*$I19)^2+(BD19*$J19)^2+(BE19*$K19)^2)/$L19</f>
        <v>0.0283826154368996</v>
      </c>
      <c r="BG19" s="45"/>
      <c r="BH19" s="4" t="n">
        <f aca="false">AC19*$AU19</f>
        <v>18336.2890755618</v>
      </c>
      <c r="BI19" s="4" t="n">
        <f aca="false">AD19*$AU19</f>
        <v>1151424.50183836</v>
      </c>
      <c r="BJ19" s="4" t="n">
        <f aca="false">AE19*$AU19</f>
        <v>28129.2090860814</v>
      </c>
      <c r="BK19" s="45" t="n">
        <f aca="false">BH19*1000/(I19*365)</f>
        <v>2.92505798865741</v>
      </c>
      <c r="BL19" s="45" t="n">
        <f aca="false">BI19*1000/(J19*365)</f>
        <v>1.95439192322946</v>
      </c>
      <c r="BM19" s="45" t="n">
        <f aca="false">BJ19*1000/(K19*365)</f>
        <v>4.87944991188687</v>
      </c>
      <c r="BN19" s="54" t="n">
        <f aca="false">$AV19-BK19</f>
        <v>-0.932495720581407</v>
      </c>
      <c r="BO19" s="45" t="n">
        <f aca="false">$AV19-BL19</f>
        <v>0.0381703448465378</v>
      </c>
      <c r="BP19" s="45" t="n">
        <f aca="false">$AV19-BM19</f>
        <v>-2.88688764381087</v>
      </c>
      <c r="BQ19" s="2" t="n">
        <f aca="false">SQRT((BN19*$I19)^2+(BO19*$J19)^2+(BP19*$K19)^2)/$L19</f>
        <v>0.0475407127895022</v>
      </c>
      <c r="BS19" s="0" t="s">
        <v>30</v>
      </c>
      <c r="BT19" s="2" t="n">
        <v>0.0372384954709079</v>
      </c>
      <c r="BU19" s="2" t="n">
        <v>0.0372384954709079</v>
      </c>
      <c r="BW19" s="0" t="s">
        <v>29</v>
      </c>
      <c r="BX19" s="2" t="n">
        <v>0.0249875477336315</v>
      </c>
      <c r="BY19" s="2" t="n">
        <v>0.0249875477336315</v>
      </c>
    </row>
    <row r="20" customFormat="false" ht="12.75" hidden="false" customHeight="false" outlineLevel="0" collapsed="false">
      <c r="A20" s="0" t="s">
        <v>25</v>
      </c>
      <c r="B20" s="2" t="n">
        <v>0.105088318367691</v>
      </c>
      <c r="C20" s="2" t="n">
        <v>0.0206121747105353</v>
      </c>
      <c r="D20" s="2" t="n">
        <f aca="false">1-C20</f>
        <v>0.979387825289465</v>
      </c>
      <c r="E20" s="0" t="n">
        <v>566995</v>
      </c>
      <c r="F20" s="2" t="n">
        <v>0.031342669150636</v>
      </c>
      <c r="G20" s="2" t="n">
        <f aca="false">1-F20</f>
        <v>0.968657330849364</v>
      </c>
      <c r="H20" s="0" t="n">
        <v>570883</v>
      </c>
      <c r="I20" s="4" t="n">
        <f aca="false">0.5*E20*C20</f>
        <v>5843.49999999999</v>
      </c>
      <c r="J20" s="4" t="n">
        <f aca="false">H20*G20</f>
        <v>552990.003007278</v>
      </c>
      <c r="K20" s="4" t="n">
        <f aca="false">0.5*H20*F20</f>
        <v>8946.49849636126</v>
      </c>
      <c r="L20" s="4" t="n">
        <f aca="false">I20+J20+K20</f>
        <v>567780.001503639</v>
      </c>
      <c r="M20" s="2" t="n">
        <f aca="false">(I20/L20)*B20</f>
        <v>0.00108155198625407</v>
      </c>
      <c r="N20" s="2" t="n">
        <f aca="false">(J20/L20)*B20+(J20/(J20+K20))*(1-B20)</f>
        <v>0.983014831912586</v>
      </c>
      <c r="O20" s="2" t="n">
        <f aca="false">(K20/L20)*B20+(K20/(K20+J20))*(1-B20)</f>
        <v>0.0159036161011595</v>
      </c>
      <c r="P20" s="2" t="n">
        <f aca="false">M20+N20+O20</f>
        <v>1</v>
      </c>
      <c r="Q20" s="2" t="n">
        <f aca="false">M20/(I20/$L20)</f>
        <v>0.105088318367691</v>
      </c>
      <c r="R20" s="2" t="n">
        <f aca="false">N20/(J20/$L20)</f>
        <v>1.00930606286943</v>
      </c>
      <c r="S20" s="2" t="n">
        <f aca="false">O20/(K20/$L20)</f>
        <v>1.00930606286943</v>
      </c>
      <c r="T20" s="2" t="n">
        <f aca="false">M20-I20/$L20</f>
        <v>-0.00921028637459834</v>
      </c>
      <c r="U20" s="2" t="n">
        <f aca="false">N20-J20/$L20</f>
        <v>0.00906365092205008</v>
      </c>
      <c r="V20" s="2" t="n">
        <f aca="false">O20-K20/$L20</f>
        <v>0.00014663545254831</v>
      </c>
      <c r="W20" s="2" t="n">
        <f aca="false">T20+U20+V20</f>
        <v>5.20417042793042E-017</v>
      </c>
      <c r="X20" s="2" t="n">
        <f aca="false">T20/(I20)*$L20</f>
        <v>-0.894911681632309</v>
      </c>
      <c r="Y20" s="2" t="n">
        <f aca="false">U20/(J20)*$L20</f>
        <v>0.00930606286942646</v>
      </c>
      <c r="Z20" s="2" t="n">
        <f aca="false">V20/(K20)*$L20</f>
        <v>0.00930606286942638</v>
      </c>
      <c r="AA20" s="2"/>
      <c r="AB20" s="2"/>
      <c r="AC20" s="2" t="n">
        <f aca="false">I20/(I20+K20)*B20</f>
        <v>0.0415201927527365</v>
      </c>
      <c r="AD20" s="2" t="n">
        <f aca="false">(J20/(J20+K20))*(1-B20)</f>
        <v>0.880663940130064</v>
      </c>
      <c r="AE20" s="2" t="n">
        <f aca="false">(K20/(K20+I20))*B20+(K20/(K20+J20))*(1-B20)</f>
        <v>0.0778158671171993</v>
      </c>
      <c r="AF20" s="2" t="n">
        <f aca="false">AC20+AD20+AE20</f>
        <v>1</v>
      </c>
      <c r="AG20" s="2" t="n">
        <f aca="false">AC20/(I20/$L20)</f>
        <v>4.03428340952856</v>
      </c>
      <c r="AH20" s="2" t="n">
        <f aca="false">AD20/(J20/$L20)</f>
        <v>0.904217744501735</v>
      </c>
      <c r="AI20" s="2" t="n">
        <f aca="false">AE20/(K20/$L20)</f>
        <v>4.93850115403029</v>
      </c>
      <c r="AJ20" s="53" t="n">
        <f aca="false">AC20-I20/$L20</f>
        <v>0.0312283543918841</v>
      </c>
      <c r="AK20" s="2" t="n">
        <f aca="false">AD20-J20/$L20</f>
        <v>-0.0932872408604721</v>
      </c>
      <c r="AL20" s="2" t="n">
        <f aca="false">AE20-K20/$L20</f>
        <v>0.0620588864685881</v>
      </c>
      <c r="AM20" s="2" t="n">
        <f aca="false">AJ20+AK20+AL20</f>
        <v>0</v>
      </c>
      <c r="AN20" s="2" t="n">
        <f aca="false">AJ20/(I20)*$L20</f>
        <v>3.03428340952856</v>
      </c>
      <c r="AO20" s="2" t="n">
        <f aca="false">AK20/(J20)*$L20</f>
        <v>-0.0957822554982646</v>
      </c>
      <c r="AP20" s="2" t="n">
        <f aca="false">AL20/(K20)*$L20</f>
        <v>3.93850115403029</v>
      </c>
      <c r="AQ20" s="2"/>
      <c r="AR20" s="53" t="n">
        <f aca="false">B20-C20</f>
        <v>0.0844761436571557</v>
      </c>
      <c r="AS20" s="54" t="n">
        <f aca="false">B20/C20</f>
        <v>5.09836151902876</v>
      </c>
      <c r="AU20" s="32" t="n">
        <v>379282</v>
      </c>
      <c r="AV20" s="45" t="n">
        <f aca="false">AU20*1000/(L20*365)</f>
        <v>1.83016091509279</v>
      </c>
      <c r="AW20" s="4" t="n">
        <f aca="false">M20*$AU20</f>
        <v>410.213200450418</v>
      </c>
      <c r="AX20" s="4" t="n">
        <f aca="false">N20*$AU20</f>
        <v>372839.83147747</v>
      </c>
      <c r="AY20" s="4" t="n">
        <f aca="false">O20*$AU20</f>
        <v>6031.95532207997</v>
      </c>
      <c r="AZ20" s="45" t="n">
        <f aca="false">AW20*1000/(I20*365)</f>
        <v>0.192328532909376</v>
      </c>
      <c r="BA20" s="45" t="n">
        <f aca="false">AX20*1000/(J20*365)</f>
        <v>1.84719250762981</v>
      </c>
      <c r="BB20" s="45" t="n">
        <f aca="false">AY20*1000/(K20*365)</f>
        <v>1.84719250762981</v>
      </c>
      <c r="BC20" s="45" t="n">
        <f aca="false">$AV20-AZ20</f>
        <v>1.63783238218342</v>
      </c>
      <c r="BD20" s="45" t="n">
        <f aca="false">$AV20-BA20</f>
        <v>-0.0170315925370206</v>
      </c>
      <c r="BE20" s="45" t="n">
        <f aca="false">$AV20-BB20</f>
        <v>-0.0170315925370204</v>
      </c>
      <c r="BF20" s="2" t="n">
        <f aca="false">SQRT((BC20*$I20)^2+(BD20*$J20)^2+(BE20*$K20)^2)/$L20</f>
        <v>0.0236509369705578</v>
      </c>
      <c r="BG20" s="45"/>
      <c r="BH20" s="4" t="n">
        <f aca="false">AC20*$AU20</f>
        <v>15747.8617476434</v>
      </c>
      <c r="BI20" s="4" t="n">
        <f aca="false">AD20*$AU20</f>
        <v>334019.980540411</v>
      </c>
      <c r="BJ20" s="4" t="n">
        <f aca="false">AE20*$AU20</f>
        <v>29514.1577119456</v>
      </c>
      <c r="BK20" s="45" t="n">
        <f aca="false">BH20*1000/(I20*365)</f>
        <v>7.38338781652646</v>
      </c>
      <c r="BL20" s="45" t="n">
        <f aca="false">BI20*1000/(J20*365)</f>
        <v>1.65486397472044</v>
      </c>
      <c r="BM20" s="45" t="n">
        <f aca="false">BJ20*1000/(K20*365)</f>
        <v>9.0382517912469</v>
      </c>
      <c r="BN20" s="54" t="n">
        <f aca="false">$AV20-BK20</f>
        <v>-5.55322690143367</v>
      </c>
      <c r="BO20" s="45" t="n">
        <f aca="false">$AV20-BL20</f>
        <v>0.175296940372356</v>
      </c>
      <c r="BP20" s="45" t="n">
        <f aca="false">$AV20-BM20</f>
        <v>-7.20809087615411</v>
      </c>
      <c r="BQ20" s="2" t="n">
        <f aca="false">SQRT((BN20*$I20)^2+(BO20*$J20)^2+(BP20*$K20)^2)/$L20</f>
        <v>0.212873952052622</v>
      </c>
      <c r="BS20" s="0" t="s">
        <v>43</v>
      </c>
      <c r="BT20" s="2" t="n">
        <v>0.0489185434306454</v>
      </c>
      <c r="BU20" s="2" t="n">
        <v>0.0380805482260263</v>
      </c>
      <c r="BW20" s="0" t="s">
        <v>8</v>
      </c>
      <c r="BX20" s="2" t="n">
        <v>0.0263780558770648</v>
      </c>
      <c r="BY20" s="2" t="n">
        <v>0.0263780558770648</v>
      </c>
    </row>
    <row r="21" customFormat="false" ht="12.75" hidden="false" customHeight="false" outlineLevel="0" collapsed="false">
      <c r="A21" s="0" t="s">
        <v>26</v>
      </c>
      <c r="B21" s="2" t="n">
        <v>0.0702579161473665</v>
      </c>
      <c r="C21" s="2" t="n">
        <v>0.0697797782145526</v>
      </c>
      <c r="D21" s="2" t="n">
        <f aca="false">1-C21</f>
        <v>0.930220221785447</v>
      </c>
      <c r="E21" s="0" t="n">
        <v>2199964</v>
      </c>
      <c r="F21" s="2" t="n">
        <v>0.173367872424564</v>
      </c>
      <c r="G21" s="2" t="n">
        <f aca="false">1-F21</f>
        <v>0.826632127575436</v>
      </c>
      <c r="H21" s="0" t="n">
        <v>2482462</v>
      </c>
      <c r="I21" s="4" t="n">
        <f aca="false">0.5*E21*C21</f>
        <v>76756.5</v>
      </c>
      <c r="J21" s="4" t="n">
        <f aca="false">H21*G21</f>
        <v>2052082.84468517</v>
      </c>
      <c r="K21" s="4" t="n">
        <f aca="false">0.5*H21*F21</f>
        <v>215189.577657414</v>
      </c>
      <c r="L21" s="4" t="n">
        <f aca="false">I21+J21+K21</f>
        <v>2344028.92234259</v>
      </c>
      <c r="M21" s="2" t="n">
        <f aca="false">(I21/L21)*B21</f>
        <v>0.0023006336181961</v>
      </c>
      <c r="N21" s="2" t="n">
        <f aca="false">(J21/L21)*B21+(J21/(J21+K21))*(1-B21)</f>
        <v>0.903006508494465</v>
      </c>
      <c r="O21" s="2" t="n">
        <f aca="false">(K21/L21)*B21+(K21/(K21+J21))*(1-B21)</f>
        <v>0.0946928578873394</v>
      </c>
      <c r="P21" s="2" t="n">
        <f aca="false">M21+N21+O21</f>
        <v>1</v>
      </c>
      <c r="Q21" s="2" t="n">
        <f aca="false">M21/(I21/$L21)</f>
        <v>0.0702579161473665</v>
      </c>
      <c r="R21" s="2" t="n">
        <f aca="false">N21/(J21/$L21)</f>
        <v>1.03147559488484</v>
      </c>
      <c r="S21" s="2" t="n">
        <f aca="false">O21/(K21/$L21)</f>
        <v>1.03147559488484</v>
      </c>
      <c r="T21" s="2" t="n">
        <f aca="false">M21-I21/$L21</f>
        <v>-0.0304449094373438</v>
      </c>
      <c r="U21" s="2" t="n">
        <f aca="false">N21-J21/$L21</f>
        <v>0.0275553461281094</v>
      </c>
      <c r="V21" s="2" t="n">
        <f aca="false">O21-K21/$L21</f>
        <v>0.00288956330923444</v>
      </c>
      <c r="W21" s="2" t="n">
        <f aca="false">T21+U21+V21</f>
        <v>0</v>
      </c>
      <c r="X21" s="2" t="n">
        <f aca="false">T21/(I21)*$L21</f>
        <v>-0.929742083852634</v>
      </c>
      <c r="Y21" s="2" t="n">
        <f aca="false">U21/(J21)*$L21</f>
        <v>0.0314755948848442</v>
      </c>
      <c r="Z21" s="2" t="n">
        <f aca="false">V21/(K21)*$L21</f>
        <v>0.0314755948848442</v>
      </c>
      <c r="AA21" s="2"/>
      <c r="AB21" s="2"/>
      <c r="AC21" s="2" t="n">
        <f aca="false">I21/(I21+K21)*B21</f>
        <v>0.0184717389732959</v>
      </c>
      <c r="AD21" s="2" t="n">
        <f aca="false">(J21/(J21+K21))*(1-B21)</f>
        <v>0.841499134137815</v>
      </c>
      <c r="AE21" s="2" t="n">
        <f aca="false">(K21/(K21+I21))*B21+(K21/(K21+J21))*(1-B21)</f>
        <v>0.140029126888889</v>
      </c>
      <c r="AF21" s="2" t="n">
        <f aca="false">AC21+AD21+AE21</f>
        <v>1</v>
      </c>
      <c r="AG21" s="2" t="n">
        <f aca="false">AC21/(I21/$L21)</f>
        <v>0.564099332295875</v>
      </c>
      <c r="AH21" s="2" t="n">
        <f aca="false">AD21/(J21/$L21)</f>
        <v>0.961217678737478</v>
      </c>
      <c r="AI21" s="2" t="n">
        <f aca="false">AE21/(K21/$L21)</f>
        <v>1.52531701103335</v>
      </c>
      <c r="AJ21" s="2" t="n">
        <f aca="false">AC21-I21/$L21</f>
        <v>-0.014273804082244</v>
      </c>
      <c r="AK21" s="2" t="n">
        <f aca="false">AD21-J21/$L21</f>
        <v>-0.0339520282285405</v>
      </c>
      <c r="AL21" s="2" t="n">
        <f aca="false">AE21-K21/$L21</f>
        <v>0.0482258323107845</v>
      </c>
      <c r="AM21" s="2" t="n">
        <f aca="false">AJ21+AK21+AL21</f>
        <v>0</v>
      </c>
      <c r="AN21" s="2" t="n">
        <f aca="false">AJ21/(I21)*$L21</f>
        <v>-0.435900667704125</v>
      </c>
      <c r="AO21" s="2" t="n">
        <f aca="false">AK21/(J21)*$L21</f>
        <v>-0.0387823212625222</v>
      </c>
      <c r="AP21" s="2" t="n">
        <f aca="false">AL21/(K21)*$L21</f>
        <v>0.525317011033353</v>
      </c>
      <c r="AQ21" s="2"/>
      <c r="AR21" s="53" t="n">
        <f aca="false">B21-C21</f>
        <v>0.000478137932813844</v>
      </c>
      <c r="AS21" s="54" t="n">
        <f aca="false">B21/C21</f>
        <v>1.00685209877486</v>
      </c>
      <c r="AU21" s="34" t="n">
        <v>1289354</v>
      </c>
      <c r="AV21" s="45" t="n">
        <f aca="false">AU21*1000/(L21*365)</f>
        <v>1.50701071930395</v>
      </c>
      <c r="AW21" s="4" t="n">
        <f aca="false">M21*$AU21</f>
        <v>2966.33115815562</v>
      </c>
      <c r="AX21" s="4" t="n">
        <f aca="false">N21*$AU21</f>
        <v>1164295.05375337</v>
      </c>
      <c r="AY21" s="4" t="n">
        <f aca="false">O21*$AU21</f>
        <v>122092.615088473</v>
      </c>
      <c r="AZ21" s="45" t="n">
        <f aca="false">AW21*1000/(I21*365)</f>
        <v>0.105879432750039</v>
      </c>
      <c r="BA21" s="45" t="n">
        <f aca="false">AX21*1000/(J21*365)</f>
        <v>1.55444477819188</v>
      </c>
      <c r="BB21" s="45" t="n">
        <f aca="false">AY21*1000/(K21*365)</f>
        <v>1.55444477819188</v>
      </c>
      <c r="BC21" s="45" t="n">
        <f aca="false">$AV21-AZ21</f>
        <v>1.40113128655391</v>
      </c>
      <c r="BD21" s="45" t="n">
        <f aca="false">$AV21-BA21</f>
        <v>-0.047434058887929</v>
      </c>
      <c r="BE21" s="45" t="n">
        <f aca="false">$AV21-BB21</f>
        <v>-0.0474340588879287</v>
      </c>
      <c r="BF21" s="2" t="n">
        <f aca="false">SQRT((BC21*$I21)^2+(BD21*$J21)^2+(BE21*$K21)^2)/$L21</f>
        <v>0.0620357660825379</v>
      </c>
      <c r="BG21" s="45"/>
      <c r="BH21" s="4" t="n">
        <f aca="false">AC21*$AU21</f>
        <v>23816.610532175</v>
      </c>
      <c r="BI21" s="4" t="n">
        <f aca="false">AD21*$AU21</f>
        <v>1084990.27459713</v>
      </c>
      <c r="BJ21" s="4" t="n">
        <f aca="false">AE21*$AU21</f>
        <v>180547.114870697</v>
      </c>
      <c r="BK21" s="45" t="n">
        <f aca="false">BH21*1000/(I21*365)</f>
        <v>0.850103740522086</v>
      </c>
      <c r="BL21" s="45" t="n">
        <f aca="false">BI21*1000/(J21*365)</f>
        <v>1.44856534544184</v>
      </c>
      <c r="BM21" s="45" t="n">
        <f aca="false">BJ21*1000/(K21*365)</f>
        <v>2.29866908596393</v>
      </c>
      <c r="BN21" s="45" t="n">
        <f aca="false">$AV21-BK21</f>
        <v>0.656906978781866</v>
      </c>
      <c r="BO21" s="45" t="n">
        <f aca="false">$AV21-BL21</f>
        <v>0.0584453738621102</v>
      </c>
      <c r="BP21" s="45" t="n">
        <f aca="false">$AV21-BM21</f>
        <v>-0.791658366659975</v>
      </c>
      <c r="BQ21" s="2" t="n">
        <f aca="false">SQRT((BN21*$I21)^2+(BO21*$J21)^2+(BP21*$K21)^2)/$L21</f>
        <v>0.0914472756381963</v>
      </c>
      <c r="BS21" s="0" t="s">
        <v>18</v>
      </c>
      <c r="BT21" s="2" t="n">
        <v>0.0392019450977134</v>
      </c>
      <c r="BU21" s="2" t="n">
        <v>0.0392019450977134</v>
      </c>
      <c r="BW21" s="0" t="s">
        <v>19</v>
      </c>
      <c r="BX21" s="2" t="n">
        <v>0.0275574582356939</v>
      </c>
      <c r="BY21" s="2" t="n">
        <v>0.146565010321899</v>
      </c>
    </row>
    <row r="22" customFormat="false" ht="12.75" hidden="false" customHeight="false" outlineLevel="0" collapsed="false">
      <c r="A22" s="0" t="s">
        <v>27</v>
      </c>
      <c r="B22" s="2" t="n">
        <v>0.103944816167345</v>
      </c>
      <c r="C22" s="2" t="n">
        <v>0.0502082263621112</v>
      </c>
      <c r="D22" s="2" t="n">
        <f aca="false">1-C22</f>
        <v>0.949791773637889</v>
      </c>
      <c r="E22" s="0" t="n">
        <v>3044043</v>
      </c>
      <c r="F22" s="2" t="n">
        <v>0.0309692261748951</v>
      </c>
      <c r="G22" s="2" t="n">
        <f aca="false">1-F22</f>
        <v>0.969030773825105</v>
      </c>
      <c r="H22" s="0" t="n">
        <v>2979594</v>
      </c>
      <c r="I22" s="4" t="n">
        <f aca="false">0.5*E22*C22</f>
        <v>76418</v>
      </c>
      <c r="J22" s="4" t="n">
        <f aca="false">H22*G22</f>
        <v>2887318.27950464</v>
      </c>
      <c r="K22" s="4" t="n">
        <f aca="false">0.5*H22*F22</f>
        <v>46137.8602476801</v>
      </c>
      <c r="L22" s="4" t="n">
        <f aca="false">I22+J22+K22</f>
        <v>3009874.13975232</v>
      </c>
      <c r="M22" s="2" t="n">
        <f aca="false">(I22/L22)*B22</f>
        <v>0.00263906548681461</v>
      </c>
      <c r="N22" s="2" t="n">
        <f aca="false">(J22/L22)*B22+(J22/(J22+K22))*(1-B22)</f>
        <v>0.981674284629629</v>
      </c>
      <c r="O22" s="2" t="n">
        <f aca="false">(K22/L22)*B22+(K22/(K22+J22))*(1-B22)</f>
        <v>0.0156866498835569</v>
      </c>
      <c r="P22" s="2" t="n">
        <f aca="false">M22+N22+O22</f>
        <v>1</v>
      </c>
      <c r="Q22" s="2" t="n">
        <f aca="false">M22/(I22/$L22)</f>
        <v>0.103944816167345</v>
      </c>
      <c r="R22" s="2" t="n">
        <f aca="false">N22/(J22/$L22)</f>
        <v>1.02334268582039</v>
      </c>
      <c r="S22" s="2" t="n">
        <f aca="false">O22/(K22/$L22)</f>
        <v>1.02334268582039</v>
      </c>
      <c r="T22" s="2" t="n">
        <f aca="false">M22-I22/$L22</f>
        <v>-0.0227500360010929</v>
      </c>
      <c r="U22" s="2" t="n">
        <f aca="false">N22-J22/$L22</f>
        <v>0.0223922198512538</v>
      </c>
      <c r="V22" s="2" t="n">
        <f aca="false">O22-K22/$L22</f>
        <v>0.000357816149839124</v>
      </c>
      <c r="W22" s="2" t="n">
        <f aca="false">T22+U22+V22</f>
        <v>3.46944695195361E-017</v>
      </c>
      <c r="X22" s="2" t="n">
        <f aca="false">T22/(I22)*$L22</f>
        <v>-0.896055183832655</v>
      </c>
      <c r="Y22" s="2" t="n">
        <f aca="false">U22/(J22)*$L22</f>
        <v>0.0233426858203871</v>
      </c>
      <c r="Z22" s="2" t="n">
        <f aca="false">V22/(K22)*$L22</f>
        <v>0.023342685820387</v>
      </c>
      <c r="AA22" s="2"/>
      <c r="AB22" s="2"/>
      <c r="AC22" s="2" t="n">
        <f aca="false">I22/(I22+K22)*B22</f>
        <v>0.0648133426326834</v>
      </c>
      <c r="AD22" s="2" t="n">
        <f aca="false">(J22/(J22+K22))*(1-B22)</f>
        <v>0.88196188675361</v>
      </c>
      <c r="AE22" s="2" t="n">
        <f aca="false">(K22/(K22+I22))*B22+(K22/(K22+J22))*(1-B22)</f>
        <v>0.0532247706137072</v>
      </c>
      <c r="AF22" s="2" t="n">
        <f aca="false">AC22+AD22+AE22</f>
        <v>1</v>
      </c>
      <c r="AG22" s="2" t="n">
        <f aca="false">AC22/(I22/$L22)</f>
        <v>2.55280174698396</v>
      </c>
      <c r="AH22" s="2" t="n">
        <f aca="false">AD22/(J22/$L22)</f>
        <v>0.919397869653042</v>
      </c>
      <c r="AI22" s="2" t="n">
        <f aca="false">AE22/(K22/$L22)</f>
        <v>3.472199616637</v>
      </c>
      <c r="AJ22" s="53" t="n">
        <f aca="false">AC22-I22/$L22</f>
        <v>0.0394242411447758</v>
      </c>
      <c r="AK22" s="2" t="n">
        <f aca="false">AD22-J22/$L22</f>
        <v>-0.0773201780247652</v>
      </c>
      <c r="AL22" s="2" t="n">
        <f aca="false">AE22-K22/$L22</f>
        <v>0.0378959368799894</v>
      </c>
      <c r="AM22" s="2" t="n">
        <f aca="false">AJ22+AK22+AL22</f>
        <v>0</v>
      </c>
      <c r="AN22" s="2" t="n">
        <f aca="false">AJ22/(I22)*$L22</f>
        <v>1.55280174698396</v>
      </c>
      <c r="AO22" s="2" t="n">
        <f aca="false">AK22/(J22)*$L22</f>
        <v>-0.0806021303469576</v>
      </c>
      <c r="AP22" s="2" t="n">
        <f aca="false">AL22/(K22)*$L22</f>
        <v>2.472199616637</v>
      </c>
      <c r="AQ22" s="2"/>
      <c r="AR22" s="53" t="n">
        <f aca="false">B22-C22</f>
        <v>0.0537365898052336</v>
      </c>
      <c r="AS22" s="54" t="n">
        <f aca="false">B22/C22</f>
        <v>2.07027460834157</v>
      </c>
      <c r="AU22" s="32" t="n">
        <v>2500788</v>
      </c>
      <c r="AV22" s="45" t="n">
        <f aca="false">AU22*1000/(L22*365)</f>
        <v>2.27633238284394</v>
      </c>
      <c r="AW22" s="4" t="n">
        <f aca="false">M22*$AU22</f>
        <v>6599.74330064013</v>
      </c>
      <c r="AX22" s="4" t="n">
        <f aca="false">N22*$AU22</f>
        <v>2454959.27091036</v>
      </c>
      <c r="AY22" s="4" t="n">
        <f aca="false">O22*$AU22</f>
        <v>39228.9857890005</v>
      </c>
      <c r="AZ22" s="45" t="n">
        <f aca="false">AW22*1000/(I22*365)</f>
        <v>0.236612951070487</v>
      </c>
      <c r="BA22" s="45" t="n">
        <f aca="false">AX22*1000/(J22*365)</f>
        <v>2.32946809447944</v>
      </c>
      <c r="BB22" s="45" t="n">
        <f aca="false">AY22*1000/(K22*365)</f>
        <v>2.32946809447944</v>
      </c>
      <c r="BC22" s="45" t="n">
        <f aca="false">$AV22-AZ22</f>
        <v>2.03971943177345</v>
      </c>
      <c r="BD22" s="45" t="n">
        <f aca="false">$AV22-BA22</f>
        <v>-0.0531357116354991</v>
      </c>
      <c r="BE22" s="45" t="n">
        <f aca="false">$AV22-BB22</f>
        <v>-0.0531357116354991</v>
      </c>
      <c r="BF22" s="2" t="n">
        <f aca="false">SQRT((BC22*$I22)^2+(BD22*$J22)^2+(BE22*$K22)^2)/$L22</f>
        <v>0.0726682767758417</v>
      </c>
      <c r="BG22" s="45"/>
      <c r="BH22" s="4" t="n">
        <f aca="false">AC22*$AU22</f>
        <v>162084.429495703</v>
      </c>
      <c r="BI22" s="4" t="n">
        <f aca="false">AD22*$AU22</f>
        <v>2205599.70285079</v>
      </c>
      <c r="BJ22" s="4" t="n">
        <f aca="false">AE22*$AU22</f>
        <v>133103.867653512</v>
      </c>
      <c r="BK22" s="45" t="n">
        <f aca="false">BH22*1000/(I22*365)</f>
        <v>5.81102528364016</v>
      </c>
      <c r="BL22" s="45" t="n">
        <f aca="false">BI22*1000/(J22*365)</f>
        <v>2.09285514340895</v>
      </c>
      <c r="BM22" s="45" t="n">
        <f aca="false">BJ22*1000/(K22*365)</f>
        <v>7.9038804270491</v>
      </c>
      <c r="BN22" s="54" t="n">
        <f aca="false">$AV22-BK22</f>
        <v>-3.53469290079622</v>
      </c>
      <c r="BO22" s="45" t="n">
        <f aca="false">$AV22-BL22</f>
        <v>0.183477239434988</v>
      </c>
      <c r="BP22" s="45" t="n">
        <f aca="false">$AV22-BM22</f>
        <v>-5.62754804420517</v>
      </c>
      <c r="BQ22" s="2" t="n">
        <f aca="false">SQRT((BN22*$I22)^2+(BO22*$J22)^2+(BP22*$K22)^2)/$L22</f>
        <v>0.215577002434244</v>
      </c>
      <c r="BS22" s="0" t="s">
        <v>24</v>
      </c>
      <c r="BT22" s="2" t="n">
        <v>0.0283826154368996</v>
      </c>
      <c r="BU22" s="2" t="n">
        <v>0.0475407127895022</v>
      </c>
      <c r="BW22" s="0" t="s">
        <v>24</v>
      </c>
      <c r="BX22" s="2" t="n">
        <v>0.0283826154368996</v>
      </c>
      <c r="BY22" s="2" t="n">
        <v>0.0475407127895022</v>
      </c>
    </row>
    <row r="23" customFormat="false" ht="12.75" hidden="false" customHeight="false" outlineLevel="0" collapsed="false">
      <c r="A23" s="0" t="s">
        <v>28</v>
      </c>
      <c r="B23" s="2" t="n">
        <v>0.00738787711371125</v>
      </c>
      <c r="C23" s="2" t="n">
        <v>0.00796925854450259</v>
      </c>
      <c r="D23" s="2" t="n">
        <f aca="false">1-C23</f>
        <v>0.992030741455497</v>
      </c>
      <c r="E23" s="0" t="n">
        <v>4057843</v>
      </c>
      <c r="F23" s="2" t="n">
        <v>0.0149153692098973</v>
      </c>
      <c r="G23" s="2" t="n">
        <f aca="false">1-F23</f>
        <v>0.985084630790103</v>
      </c>
      <c r="H23" s="0" t="n">
        <v>4082403</v>
      </c>
      <c r="I23" s="4" t="n">
        <f aca="false">0.5*E23*C23</f>
        <v>16169</v>
      </c>
      <c r="J23" s="4" t="n">
        <f aca="false">H23*G23</f>
        <v>4021512.45199141</v>
      </c>
      <c r="K23" s="4" t="n">
        <f aca="false">0.5*H23*F23</f>
        <v>30445.2740042963</v>
      </c>
      <c r="L23" s="4" t="n">
        <f aca="false">I23+J23+K23</f>
        <v>4068126.7259957</v>
      </c>
      <c r="M23" s="2" t="n">
        <f aca="false">(I23/L23)*B23</f>
        <v>2.9363535872241E-005</v>
      </c>
      <c r="N23" s="2" t="n">
        <f aca="false">(J23/L23)*B23+(J23/(J23+K23))*(1-B23)</f>
        <v>0.992457137537897</v>
      </c>
      <c r="O23" s="2" t="n">
        <f aca="false">(K23/L23)*B23+(K23/(K23+J23))*(1-B23)</f>
        <v>0.00751349892623069</v>
      </c>
      <c r="P23" s="2" t="n">
        <f aca="false">M23+N23+O23</f>
        <v>1</v>
      </c>
      <c r="Q23" s="2" t="n">
        <f aca="false">M23/(I23/$L23)</f>
        <v>0.00738787711371125</v>
      </c>
      <c r="R23" s="2" t="n">
        <f aca="false">N23/(J23/$L23)</f>
        <v>1.00396093604629</v>
      </c>
      <c r="S23" s="2" t="n">
        <f aca="false">O23/(K23/$L23)</f>
        <v>1.00396093604629</v>
      </c>
      <c r="T23" s="2" t="n">
        <f aca="false">M23-I23/$L23</f>
        <v>-0.00394519308171752</v>
      </c>
      <c r="U23" s="2" t="n">
        <f aca="false">N23-J23/$L23</f>
        <v>0.0039155500073087</v>
      </c>
      <c r="V23" s="2" t="n">
        <f aca="false">O23-K23/$L23</f>
        <v>2.96430744087363E-005</v>
      </c>
      <c r="W23" s="2" t="n">
        <f aca="false">T23+U23+V23</f>
        <v>-8.84708972748172E-017</v>
      </c>
      <c r="X23" s="2" t="n">
        <f aca="false">T23/(I23)*$L23</f>
        <v>-0.992612122886289</v>
      </c>
      <c r="Y23" s="2" t="n">
        <f aca="false">U23/(J23)*$L23</f>
        <v>0.00396093604629207</v>
      </c>
      <c r="Z23" s="2" t="n">
        <f aca="false">V23/(K23)*$L23</f>
        <v>0.00396093604629219</v>
      </c>
      <c r="AA23" s="2"/>
      <c r="AB23" s="2"/>
      <c r="AC23" s="2" t="n">
        <f aca="false">I23/(I23+K23)*B23</f>
        <v>0.00256261815942017</v>
      </c>
      <c r="AD23" s="2" t="n">
        <f aca="false">(J23/(J23+K23))*(1-B23)</f>
        <v>0.985153913767428</v>
      </c>
      <c r="AE23" s="2" t="n">
        <f aca="false">(K23/(K23+I23))*B23+(K23/(K23+J23))*(1-B23)</f>
        <v>0.0122834680731518</v>
      </c>
      <c r="AF23" s="2" t="n">
        <f aca="false">AC23+AD23+AE23</f>
        <v>1</v>
      </c>
      <c r="AG23" s="2" t="n">
        <f aca="false">AC23/(I23/$L23)</f>
        <v>0.644755731514572</v>
      </c>
      <c r="AH23" s="2" t="n">
        <f aca="false">AD23/(J23/$L23)</f>
        <v>0.996573058932581</v>
      </c>
      <c r="AI23" s="2" t="n">
        <f aca="false">AE23/(K23/$L23)</f>
        <v>1.64132879044715</v>
      </c>
      <c r="AJ23" s="2" t="n">
        <f aca="false">AC23-I23/$L23</f>
        <v>-0.00141193845816959</v>
      </c>
      <c r="AK23" s="2" t="n">
        <f aca="false">AD23-J23/$L23</f>
        <v>-0.00338767376316029</v>
      </c>
      <c r="AL23" s="2" t="n">
        <f aca="false">AE23-K23/$L23</f>
        <v>0.00479961222132983</v>
      </c>
      <c r="AM23" s="2" t="n">
        <f aca="false">AJ23+AK23+AL23</f>
        <v>-5.8113236445223E-017</v>
      </c>
      <c r="AN23" s="2" t="n">
        <f aca="false">AJ23/(I23)*$L23</f>
        <v>-0.355244268485428</v>
      </c>
      <c r="AO23" s="2" t="n">
        <f aca="false">AK23/(J23)*$L23</f>
        <v>-0.00342694106741915</v>
      </c>
      <c r="AP23" s="2" t="n">
        <f aca="false">AL23/(K23)*$L23</f>
        <v>0.641328790447153</v>
      </c>
      <c r="AQ23" s="2"/>
      <c r="AR23" s="2" t="n">
        <f aca="false">B23-C23</f>
        <v>-0.000581381430791336</v>
      </c>
      <c r="AS23" s="45" t="n">
        <f aca="false">B23/C23</f>
        <v>0.927046985921621</v>
      </c>
      <c r="AU23" s="32" t="n">
        <v>1973894</v>
      </c>
      <c r="AV23" s="45" t="n">
        <f aca="false">AU23*1000/(L23*365)</f>
        <v>1.32934127458865</v>
      </c>
      <c r="AW23" s="4" t="n">
        <f aca="false">M23*$AU23</f>
        <v>57.9605072770013</v>
      </c>
      <c r="AX23" s="4" t="n">
        <f aca="false">N23*$AU23</f>
        <v>1959005.18904323</v>
      </c>
      <c r="AY23" s="4" t="n">
        <f aca="false">O23*$AU23</f>
        <v>14830.8504494932</v>
      </c>
      <c r="AZ23" s="45" t="n">
        <f aca="false">AW23*1000/(I23*365)</f>
        <v>0.00982100997884525</v>
      </c>
      <c r="BA23" s="45" t="n">
        <f aca="false">AX23*1000/(J23*365)</f>
        <v>1.33460671036099</v>
      </c>
      <c r="BB23" s="45" t="n">
        <f aca="false">AY23*1000/(K23*365)</f>
        <v>1.33460671036099</v>
      </c>
      <c r="BC23" s="45" t="n">
        <f aca="false">$AV23-AZ23</f>
        <v>1.31952026460981</v>
      </c>
      <c r="BD23" s="45" t="n">
        <f aca="false">$AV23-BA23</f>
        <v>-0.00526543577234206</v>
      </c>
      <c r="BE23" s="45" t="n">
        <f aca="false">$AV23-BB23</f>
        <v>-0.00526543577234229</v>
      </c>
      <c r="BF23" s="2" t="n">
        <f aca="false">SQRT((BC23*$I23)^2+(BD23*$J23)^2+(BE23*$K23)^2)/$L23</f>
        <v>0.00738914787209222</v>
      </c>
      <c r="BG23" s="45"/>
      <c r="BH23" s="4" t="n">
        <f aca="false">AC23*$AU23</f>
        <v>5058.33660917052</v>
      </c>
      <c r="BI23" s="4" t="n">
        <f aca="false">AD23*$AU23</f>
        <v>1944589.39946204</v>
      </c>
      <c r="BJ23" s="4" t="n">
        <f aca="false">AE23*$AU23</f>
        <v>24246.2639287859</v>
      </c>
      <c r="BK23" s="45" t="n">
        <f aca="false">BH23*1000/(I23*365)</f>
        <v>0.85710040592992</v>
      </c>
      <c r="BL23" s="45" t="n">
        <f aca="false">BI23*1000/(J23*365)</f>
        <v>1.32478570038215</v>
      </c>
      <c r="BM23" s="45" t="n">
        <f aca="false">BJ23*1000/(K23*365)</f>
        <v>2.18188610631207</v>
      </c>
      <c r="BN23" s="45" t="n">
        <f aca="false">$AV23-BK23</f>
        <v>0.472240868658732</v>
      </c>
      <c r="BO23" s="45" t="n">
        <f aca="false">$AV23-BL23</f>
        <v>0.0045555742065031</v>
      </c>
      <c r="BP23" s="45" t="n">
        <f aca="false">$AV23-BM23</f>
        <v>-0.852544831723417</v>
      </c>
      <c r="BQ23" s="2" t="n">
        <f aca="false">SQRT((BN23*$I23)^2+(BO23*$J23)^2+(BP23*$K23)^2)/$L23</f>
        <v>0.00803192587757423</v>
      </c>
      <c r="BS23" s="0" t="s">
        <v>48</v>
      </c>
      <c r="BT23" s="2" t="n">
        <v>0.0484221753713314</v>
      </c>
      <c r="BU23" s="2" t="n">
        <v>0.0483295191260178</v>
      </c>
      <c r="BW23" s="0" t="s">
        <v>41</v>
      </c>
      <c r="BX23" s="2" t="n">
        <v>0.0285960895670637</v>
      </c>
      <c r="BY23" s="2" t="n">
        <v>0.0353329591593876</v>
      </c>
    </row>
    <row r="24" customFormat="false" ht="12.75" hidden="false" customHeight="false" outlineLevel="0" collapsed="false">
      <c r="A24" s="0" t="s">
        <v>29</v>
      </c>
      <c r="B24" s="2" t="n">
        <v>0</v>
      </c>
      <c r="C24" s="2" t="n">
        <v>0.0231171606433715</v>
      </c>
      <c r="D24" s="2" t="n">
        <f aca="false">1-C24</f>
        <v>0.976882839356629</v>
      </c>
      <c r="E24" s="0" t="n">
        <v>2170379</v>
      </c>
      <c r="F24" s="2" t="n">
        <v>0.0177078029509453</v>
      </c>
      <c r="G24" s="2" t="n">
        <f aca="false">1-F24</f>
        <v>0.982292197049055</v>
      </c>
      <c r="H24" s="0" t="n">
        <v>2158733</v>
      </c>
      <c r="I24" s="4" t="n">
        <f aca="false">0.5*E24*C24</f>
        <v>25086.5</v>
      </c>
      <c r="J24" s="4" t="n">
        <f aca="false">H24*G24</f>
        <v>2120506.5814123</v>
      </c>
      <c r="K24" s="4" t="n">
        <f aca="false">0.5*H24*F24</f>
        <v>19113.2092938515</v>
      </c>
      <c r="L24" s="4" t="n">
        <f aca="false">I24+J24+K24</f>
        <v>2164706.29070615</v>
      </c>
      <c r="M24" s="2" t="n">
        <f aca="false">(I24/L24)*B24</f>
        <v>0</v>
      </c>
      <c r="N24" s="2" t="n">
        <f aca="false">(J24/L24)*B24+(J24/(J24+K24))*(1-B24)</f>
        <v>0.991067006681807</v>
      </c>
      <c r="O24" s="2" t="n">
        <f aca="false">(K24/L24)*B24+(K24/(K24+J24))*(1-B24)</f>
        <v>0.008932993318193</v>
      </c>
      <c r="P24" s="2" t="n">
        <f aca="false">M24+N24+O24</f>
        <v>1</v>
      </c>
      <c r="Q24" s="2" t="n">
        <f aca="false">M24/(I24/$L24)</f>
        <v>0</v>
      </c>
      <c r="R24" s="2" t="n">
        <f aca="false">N24/(J24/$L24)</f>
        <v>1.01172474666245</v>
      </c>
      <c r="S24" s="2" t="n">
        <f aca="false">O24/(K24/$L24)</f>
        <v>1.01172474666245</v>
      </c>
      <c r="T24" s="2" t="n">
        <f aca="false">M24-I24/$L24</f>
        <v>-0.0115888700964677</v>
      </c>
      <c r="U24" s="2" t="n">
        <f aca="false">N24-J24/$L24</f>
        <v>0.0114853467973305</v>
      </c>
      <c r="V24" s="2" t="n">
        <f aca="false">O24-K24/$L24</f>
        <v>0.000103523299137154</v>
      </c>
      <c r="W24" s="2" t="n">
        <f aca="false">T24+U24+V24</f>
        <v>-8.15320033709099E-017</v>
      </c>
      <c r="X24" s="2" t="n">
        <f aca="false">T24/(I24)*$L24</f>
        <v>-1</v>
      </c>
      <c r="Y24" s="2" t="n">
        <f aca="false">U24/(J24)*$L24</f>
        <v>0.0117247466624528</v>
      </c>
      <c r="Z24" s="2" t="n">
        <f aca="false">V24/(K24)*$L24</f>
        <v>0.011724746662453</v>
      </c>
      <c r="AA24" s="2"/>
      <c r="AB24" s="2"/>
      <c r="AC24" s="2" t="n">
        <f aca="false">I24/(I24+K24)*B24</f>
        <v>0</v>
      </c>
      <c r="AD24" s="2" t="n">
        <f aca="false">(J24/(J24+K24))*(1-B24)</f>
        <v>0.991067006681807</v>
      </c>
      <c r="AE24" s="2" t="n">
        <f aca="false">(K24/(K24+I24))*B24+(K24/(K24+J24))*(1-B24)</f>
        <v>0.008932993318193</v>
      </c>
      <c r="AF24" s="2" t="n">
        <f aca="false">AC24+AD24+AE24</f>
        <v>1</v>
      </c>
      <c r="AG24" s="2" t="n">
        <f aca="false">AC24/(I24/$L24)</f>
        <v>0</v>
      </c>
      <c r="AH24" s="2" t="n">
        <f aca="false">AD24/(J24/$L24)</f>
        <v>1.01172474666245</v>
      </c>
      <c r="AI24" s="2" t="n">
        <f aca="false">AE24/(K24/$L24)</f>
        <v>1.01172474666245</v>
      </c>
      <c r="AJ24" s="2" t="n">
        <f aca="false">AC24-I24/$L24</f>
        <v>-0.0115888700964677</v>
      </c>
      <c r="AK24" s="2" t="n">
        <f aca="false">AD24-J24/$L24</f>
        <v>0.0114853467973305</v>
      </c>
      <c r="AL24" s="2" t="n">
        <f aca="false">AE24-K24/$L24</f>
        <v>0.000103523299137154</v>
      </c>
      <c r="AM24" s="2" t="n">
        <f aca="false">AJ24+AK24+AL24</f>
        <v>-8.15320033709099E-017</v>
      </c>
      <c r="AN24" s="2" t="n">
        <f aca="false">AJ24/(I24)*$L24</f>
        <v>-1</v>
      </c>
      <c r="AO24" s="2" t="n">
        <f aca="false">AK24/(J24)*$L24</f>
        <v>0.0117247466624528</v>
      </c>
      <c r="AP24" s="2" t="n">
        <f aca="false">AL24/(K24)*$L24</f>
        <v>0.011724746662453</v>
      </c>
      <c r="AQ24" s="2"/>
      <c r="AR24" s="2" t="n">
        <f aca="false">B24-C24</f>
        <v>-0.0231171606433715</v>
      </c>
      <c r="AS24" s="45" t="n">
        <f aca="false">B24/C24</f>
        <v>0</v>
      </c>
      <c r="AU24" s="32" t="n">
        <v>1210014</v>
      </c>
      <c r="AV24" s="45" t="n">
        <f aca="false">AU24*1000/(L24*365)</f>
        <v>1.53143494041108</v>
      </c>
      <c r="AW24" s="4" t="n">
        <f aca="false">M24*$AU24</f>
        <v>0</v>
      </c>
      <c r="AX24" s="4" t="n">
        <f aca="false">N24*$AU24</f>
        <v>1199204.95302308</v>
      </c>
      <c r="AY24" s="4" t="n">
        <f aca="false">O24*$AU24</f>
        <v>10809.04697692</v>
      </c>
      <c r="AZ24" s="45" t="n">
        <f aca="false">AW24*1000/(I24*365)</f>
        <v>0</v>
      </c>
      <c r="BA24" s="45" t="n">
        <f aca="false">AX24*1000/(J24*365)</f>
        <v>1.54939062711743</v>
      </c>
      <c r="BB24" s="45" t="n">
        <f aca="false">AY24*1000/(K24*365)</f>
        <v>1.54939062711743</v>
      </c>
      <c r="BC24" s="45" t="n">
        <f aca="false">$AV24-AZ24</f>
        <v>1.53143494041108</v>
      </c>
      <c r="BD24" s="45" t="n">
        <f aca="false">$AV24-BA24</f>
        <v>-0.0179556867063486</v>
      </c>
      <c r="BE24" s="45" t="n">
        <f aca="false">$AV24-BB24</f>
        <v>-0.0179556867063486</v>
      </c>
      <c r="BF24" s="2" t="n">
        <f aca="false">SQRT((BC24*$I24)^2+(BD24*$J24)^2+(BE24*$K24)^2)/$L24</f>
        <v>0.0249875477336315</v>
      </c>
      <c r="BG24" s="45"/>
      <c r="BH24" s="4" t="n">
        <f aca="false">AC24*$AU24</f>
        <v>0</v>
      </c>
      <c r="BI24" s="4" t="n">
        <f aca="false">AD24*$AU24</f>
        <v>1199204.95302308</v>
      </c>
      <c r="BJ24" s="4" t="n">
        <f aca="false">AE24*$AU24</f>
        <v>10809.04697692</v>
      </c>
      <c r="BK24" s="45" t="n">
        <f aca="false">BH24*1000/(I24*365)</f>
        <v>0</v>
      </c>
      <c r="BL24" s="45" t="n">
        <f aca="false">BI24*1000/(J24*365)</f>
        <v>1.54939062711743</v>
      </c>
      <c r="BM24" s="45" t="n">
        <f aca="false">BJ24*1000/(K24*365)</f>
        <v>1.54939062711743</v>
      </c>
      <c r="BN24" s="45" t="n">
        <f aca="false">$AV24-BK24</f>
        <v>1.53143494041108</v>
      </c>
      <c r="BO24" s="45" t="n">
        <f aca="false">$AV24-BL24</f>
        <v>-0.0179556867063486</v>
      </c>
      <c r="BP24" s="45" t="n">
        <f aca="false">$AV24-BM24</f>
        <v>-0.0179556867063486</v>
      </c>
      <c r="BQ24" s="2" t="n">
        <f aca="false">SQRT((BN24*$I24)^2+(BO24*$J24)^2+(BP24*$K24)^2)/$L24</f>
        <v>0.0249875477336315</v>
      </c>
      <c r="BS24" s="0" t="s">
        <v>47</v>
      </c>
      <c r="BT24" s="2" t="n">
        <v>0.0507222717635897</v>
      </c>
      <c r="BU24" s="2" t="n">
        <v>0.0507222717635897</v>
      </c>
      <c r="BW24" s="0" t="s">
        <v>37</v>
      </c>
      <c r="BX24" s="2" t="n">
        <v>0.0309256134268734</v>
      </c>
      <c r="BY24" s="2" t="n">
        <v>0.0309256134268734</v>
      </c>
    </row>
    <row r="25" customFormat="false" ht="12.75" hidden="false" customHeight="false" outlineLevel="0" collapsed="false">
      <c r="A25" s="0" t="s">
        <v>30</v>
      </c>
      <c r="B25" s="2" t="n">
        <v>0</v>
      </c>
      <c r="C25" s="2" t="n">
        <v>0.0305028704492417</v>
      </c>
      <c r="D25" s="2" t="n">
        <f aca="false">1-C25</f>
        <v>0.969497129550758</v>
      </c>
      <c r="E25" s="0" t="n">
        <v>992005</v>
      </c>
      <c r="F25" s="2" t="n">
        <v>0.0587008990703929</v>
      </c>
      <c r="G25" s="2" t="n">
        <f aca="false">1-F25</f>
        <v>0.941299100929607</v>
      </c>
      <c r="H25" s="0" t="n">
        <v>1028014</v>
      </c>
      <c r="I25" s="4" t="n">
        <f aca="false">0.5*E25*C25</f>
        <v>15129.5</v>
      </c>
      <c r="J25" s="4" t="n">
        <f aca="false">H25*G25</f>
        <v>967668.653943049</v>
      </c>
      <c r="K25" s="4" t="n">
        <f aca="false">0.5*H25*F25</f>
        <v>30172.6730284754</v>
      </c>
      <c r="L25" s="4" t="n">
        <f aca="false">I25+J25+K25</f>
        <v>1012970.82697152</v>
      </c>
      <c r="M25" s="2" t="n">
        <f aca="false">(I25/L25)*B25</f>
        <v>0</v>
      </c>
      <c r="N25" s="2" t="n">
        <f aca="false">(J25/L25)*B25+(J25/(J25+K25))*(1-B25)</f>
        <v>0.969762053131182</v>
      </c>
      <c r="O25" s="2" t="n">
        <f aca="false">(K25/L25)*B25+(K25/(K25+J25))*(1-B25)</f>
        <v>0.0302379468688176</v>
      </c>
      <c r="P25" s="2" t="n">
        <f aca="false">M25+N25+O25</f>
        <v>1</v>
      </c>
      <c r="Q25" s="2" t="n">
        <f aca="false">M25/(I25/$L25)</f>
        <v>0</v>
      </c>
      <c r="R25" s="2" t="n">
        <f aca="false">N25/(J25/$L25)</f>
        <v>1.0151622302976</v>
      </c>
      <c r="S25" s="2" t="n">
        <f aca="false">O25/(K25/$L25)</f>
        <v>1.0151622302976</v>
      </c>
      <c r="T25" s="2" t="n">
        <f aca="false">M25-I25/$L25</f>
        <v>-0.0149357707025311</v>
      </c>
      <c r="U25" s="2" t="n">
        <f aca="false">N25-J25/$L25</f>
        <v>0.0144841436615831</v>
      </c>
      <c r="V25" s="2" t="n">
        <f aca="false">O25-K25/$L25</f>
        <v>0.000451627040947981</v>
      </c>
      <c r="W25" s="2" t="n">
        <f aca="false">T25+U25+V25</f>
        <v>-6.93889390390723E-018</v>
      </c>
      <c r="X25" s="2" t="n">
        <f aca="false">T25/(I25)*$L25</f>
        <v>-1</v>
      </c>
      <c r="Y25" s="2" t="n">
        <f aca="false">U25/(J25)*$L25</f>
        <v>0.015162230297595</v>
      </c>
      <c r="Z25" s="2" t="n">
        <f aca="false">V25/(K25)*$L25</f>
        <v>0.015162230297595</v>
      </c>
      <c r="AA25" s="2"/>
      <c r="AB25" s="2"/>
      <c r="AC25" s="2" t="n">
        <f aca="false">I25/(I25+K25)*B25</f>
        <v>0</v>
      </c>
      <c r="AD25" s="2" t="n">
        <f aca="false">(J25/(J25+K25))*(1-B25)</f>
        <v>0.969762053131182</v>
      </c>
      <c r="AE25" s="2" t="n">
        <f aca="false">(K25/(K25+I25))*B25+(K25/(K25+J25))*(1-B25)</f>
        <v>0.0302379468688176</v>
      </c>
      <c r="AF25" s="2" t="n">
        <f aca="false">AC25+AD25+AE25</f>
        <v>1</v>
      </c>
      <c r="AG25" s="2" t="n">
        <f aca="false">AC25/(I25/$L25)</f>
        <v>0</v>
      </c>
      <c r="AH25" s="2" t="n">
        <f aca="false">AD25/(J25/$L25)</f>
        <v>1.0151622302976</v>
      </c>
      <c r="AI25" s="2" t="n">
        <f aca="false">AE25/(K25/$L25)</f>
        <v>1.0151622302976</v>
      </c>
      <c r="AJ25" s="2" t="n">
        <f aca="false">AC25-I25/$L25</f>
        <v>-0.0149357707025311</v>
      </c>
      <c r="AK25" s="2" t="n">
        <f aca="false">AD25-J25/$L25</f>
        <v>0.0144841436615831</v>
      </c>
      <c r="AL25" s="2" t="n">
        <f aca="false">AE25-K25/$L25</f>
        <v>0.000451627040947981</v>
      </c>
      <c r="AM25" s="2" t="n">
        <f aca="false">AJ25+AK25+AL25</f>
        <v>-6.93889390390723E-018</v>
      </c>
      <c r="AN25" s="2" t="n">
        <f aca="false">AJ25/(I25)*$L25</f>
        <v>-1</v>
      </c>
      <c r="AO25" s="2" t="n">
        <f aca="false">AK25/(J25)*$L25</f>
        <v>0.015162230297595</v>
      </c>
      <c r="AP25" s="2" t="n">
        <f aca="false">AL25/(K25)*$L25</f>
        <v>0.015162230297595</v>
      </c>
      <c r="AQ25" s="2"/>
      <c r="AR25" s="2" t="n">
        <f aca="false">B25-C25</f>
        <v>-0.0305028704492417</v>
      </c>
      <c r="AS25" s="45" t="n">
        <f aca="false">B25/C25</f>
        <v>0</v>
      </c>
      <c r="AU25" s="34" t="n">
        <v>661610</v>
      </c>
      <c r="AV25" s="45" t="n">
        <f aca="false">AU25*1000/(L25*365)</f>
        <v>1.78941988132621</v>
      </c>
      <c r="AW25" s="4" t="n">
        <f aca="false">M25*$AU25</f>
        <v>0</v>
      </c>
      <c r="AX25" s="4" t="n">
        <f aca="false">N25*$AU25</f>
        <v>641604.271972122</v>
      </c>
      <c r="AY25" s="4" t="n">
        <f aca="false">O25*$AU25</f>
        <v>20005.7280278784</v>
      </c>
      <c r="AZ25" s="45" t="n">
        <f aca="false">AW25*1000/(I25*365)</f>
        <v>0</v>
      </c>
      <c r="BA25" s="45" t="n">
        <f aca="false">AX25*1000/(J25*365)</f>
        <v>1.81655147766598</v>
      </c>
      <c r="BB25" s="45" t="n">
        <f aca="false">AY25*1000/(K25*365)</f>
        <v>1.81655147766598</v>
      </c>
      <c r="BC25" s="45" t="n">
        <f aca="false">$AV25-AZ25</f>
        <v>1.78941988132621</v>
      </c>
      <c r="BD25" s="45" t="n">
        <f aca="false">$AV25-BA25</f>
        <v>-0.0271315963397636</v>
      </c>
      <c r="BE25" s="45" t="n">
        <f aca="false">$AV25-BB25</f>
        <v>-0.0271315963397631</v>
      </c>
      <c r="BF25" s="2" t="n">
        <f aca="false">SQRT((BC25*$I25)^2+(BD25*$J25)^2+(BE25*$K25)^2)/$L25</f>
        <v>0.0372384954709079</v>
      </c>
      <c r="BG25" s="45"/>
      <c r="BH25" s="4" t="n">
        <f aca="false">AC25*$AU25</f>
        <v>0</v>
      </c>
      <c r="BI25" s="4" t="n">
        <f aca="false">AD25*$AU25</f>
        <v>641604.271972122</v>
      </c>
      <c r="BJ25" s="4" t="n">
        <f aca="false">AE25*$AU25</f>
        <v>20005.7280278784</v>
      </c>
      <c r="BK25" s="45" t="n">
        <f aca="false">BH25*1000/(I25*365)</f>
        <v>0</v>
      </c>
      <c r="BL25" s="45" t="n">
        <f aca="false">BI25*1000/(J25*365)</f>
        <v>1.81655147766598</v>
      </c>
      <c r="BM25" s="45" t="n">
        <f aca="false">BJ25*1000/(K25*365)</f>
        <v>1.81655147766598</v>
      </c>
      <c r="BN25" s="45" t="n">
        <f aca="false">$AV25-BK25</f>
        <v>1.78941988132621</v>
      </c>
      <c r="BO25" s="45" t="n">
        <f aca="false">$AV25-BL25</f>
        <v>-0.0271315963397636</v>
      </c>
      <c r="BP25" s="45" t="n">
        <f aca="false">$AV25-BM25</f>
        <v>-0.0271315963397631</v>
      </c>
      <c r="BQ25" s="2" t="n">
        <f aca="false">SQRT((BN25*$I25)^2+(BO25*$J25)^2+(BP25*$K25)^2)/$L25</f>
        <v>0.0372384954709079</v>
      </c>
      <c r="BS25" s="0" t="s">
        <v>10</v>
      </c>
      <c r="BT25" s="2" t="n">
        <v>0.0521190266291378</v>
      </c>
      <c r="BU25" s="2" t="n">
        <v>0.0521190266291378</v>
      </c>
      <c r="BW25" s="0" t="s">
        <v>20</v>
      </c>
      <c r="BX25" s="2" t="n">
        <v>0.0332349207045178</v>
      </c>
      <c r="BY25" s="2" t="n">
        <v>0.0547243808365588</v>
      </c>
    </row>
    <row r="26" customFormat="false" ht="12.75" hidden="false" customHeight="false" outlineLevel="0" collapsed="false">
      <c r="A26" s="0" t="s">
        <v>31</v>
      </c>
      <c r="B26" s="2" t="n">
        <v>0.000759685797103275</v>
      </c>
      <c r="C26" s="2" t="n">
        <v>0.0724272745344907</v>
      </c>
      <c r="D26" s="2" t="n">
        <f aca="false">1-C26</f>
        <v>0.927572725465509</v>
      </c>
      <c r="E26" s="0" t="n">
        <v>2399469</v>
      </c>
      <c r="F26" s="2" t="n">
        <v>0.0479660948799265</v>
      </c>
      <c r="G26" s="2" t="n">
        <f aca="false">1-F26</f>
        <v>0.952033905120074</v>
      </c>
      <c r="H26" s="0" t="n">
        <v>2345816</v>
      </c>
      <c r="I26" s="4" t="n">
        <f aca="false">0.5*E26*C26</f>
        <v>86893.5</v>
      </c>
      <c r="J26" s="4" t="n">
        <f aca="false">H26*G26</f>
        <v>2233296.36717315</v>
      </c>
      <c r="K26" s="4" t="n">
        <f aca="false">0.5*H26*F26</f>
        <v>56259.8164134249</v>
      </c>
      <c r="L26" s="4" t="n">
        <f aca="false">I26+J26+K26</f>
        <v>2376449.68358658</v>
      </c>
      <c r="M26" s="2" t="n">
        <f aca="false">(I26/L26)*B26</f>
        <v>2.77774691660912E-005</v>
      </c>
      <c r="N26" s="2" t="n">
        <f aca="false">(J26/L26)*B26+(J26/(J26+K26))*(1-B26)</f>
        <v>0.97540053738879</v>
      </c>
      <c r="O26" s="2" t="n">
        <f aca="false">(K26/L26)*B26+(K26/(K26+J26))*(1-B26)</f>
        <v>0.024571685142044</v>
      </c>
      <c r="P26" s="2" t="n">
        <f aca="false">M26+N26+O26</f>
        <v>1</v>
      </c>
      <c r="Q26" s="2" t="n">
        <f aca="false">M26/(I26/$L26)</f>
        <v>0.000759685797103275</v>
      </c>
      <c r="R26" s="2" t="n">
        <f aca="false">N26/(J26/$L26)</f>
        <v>1.03792328350125</v>
      </c>
      <c r="S26" s="2" t="n">
        <f aca="false">O26/(K26/$L26)</f>
        <v>1.03792328350125</v>
      </c>
      <c r="T26" s="2" t="n">
        <f aca="false">M26-I26/$L26</f>
        <v>-0.0365366407047794</v>
      </c>
      <c r="U26" s="2" t="n">
        <f aca="false">N26-J26/$L26</f>
        <v>0.0356388489348504</v>
      </c>
      <c r="V26" s="2" t="n">
        <f aca="false">O26-K26/$L26</f>
        <v>0.000897791769929036</v>
      </c>
      <c r="W26" s="2" t="n">
        <f aca="false">T26+U26+V26</f>
        <v>1.04083408558608E-017</v>
      </c>
      <c r="X26" s="2" t="n">
        <f aca="false">T26/(I26)*$L26</f>
        <v>-0.999240314202897</v>
      </c>
      <c r="Y26" s="2" t="n">
        <f aca="false">U26/(J26)*$L26</f>
        <v>0.0379232835012481</v>
      </c>
      <c r="Z26" s="2" t="n">
        <f aca="false">V26/(K26)*$L26</f>
        <v>0.0379232835012482</v>
      </c>
      <c r="AA26" s="2"/>
      <c r="AB26" s="2"/>
      <c r="AC26" s="2" t="n">
        <f aca="false">I26/(I26+K26)*B26</f>
        <v>0.000461126290780105</v>
      </c>
      <c r="AD26" s="2" t="n">
        <f aca="false">(J26/(J26+K26))*(1-B26)</f>
        <v>0.97468661378141</v>
      </c>
      <c r="AE26" s="2" t="n">
        <f aca="false">(K26/(K26+I26))*B26+(K26/(K26+J26))*(1-B26)</f>
        <v>0.0248522599278102</v>
      </c>
      <c r="AF26" s="2" t="n">
        <f aca="false">AC26+AD26+AE26</f>
        <v>1</v>
      </c>
      <c r="AG26" s="2" t="n">
        <f aca="false">AC26/(I26/$L26)</f>
        <v>0.0126113394881992</v>
      </c>
      <c r="AH26" s="2" t="n">
        <f aca="false">AD26/(J26/$L26)</f>
        <v>1.03716359770415</v>
      </c>
      <c r="AI26" s="2" t="n">
        <f aca="false">AE26/(K26/$L26)</f>
        <v>1.04977493719234</v>
      </c>
      <c r="AJ26" s="2" t="n">
        <f aca="false">AC26-I26/$L26</f>
        <v>-0.0361032918831654</v>
      </c>
      <c r="AK26" s="2" t="n">
        <f aca="false">AD26-J26/$L26</f>
        <v>0.0349249253274702</v>
      </c>
      <c r="AL26" s="2" t="n">
        <f aca="false">AE26-K26/$L26</f>
        <v>0.00117836655569527</v>
      </c>
      <c r="AM26" s="2" t="n">
        <f aca="false">AJ26+AK26+AL26</f>
        <v>5.20417042793042E-017</v>
      </c>
      <c r="AN26" s="2" t="n">
        <f aca="false">AJ26/(I26)*$L26</f>
        <v>-0.987388660511801</v>
      </c>
      <c r="AO26" s="2" t="n">
        <f aca="false">AK26/(J26)*$L26</f>
        <v>0.0371635977041449</v>
      </c>
      <c r="AP26" s="2" t="n">
        <f aca="false">AL26/(K26)*$L26</f>
        <v>0.049774937192344</v>
      </c>
      <c r="AQ26" s="2"/>
      <c r="AR26" s="2" t="n">
        <f aca="false">B26-C26</f>
        <v>-0.0716675887373875</v>
      </c>
      <c r="AS26" s="45" t="n">
        <f aca="false">B26/C26</f>
        <v>0.0104889463532347</v>
      </c>
      <c r="AU26" s="32" t="n">
        <v>1313107</v>
      </c>
      <c r="AV26" s="45" t="n">
        <f aca="false">AU26*1000/(L26*365)</f>
        <v>1.5138353020915</v>
      </c>
      <c r="AW26" s="4" t="n">
        <f aca="false">M26*$AU26</f>
        <v>36.4747892042786</v>
      </c>
      <c r="AX26" s="4" t="n">
        <f aca="false">N26*$AU26</f>
        <v>1280805.27344898</v>
      </c>
      <c r="AY26" s="4" t="n">
        <f aca="false">O26*$AU26</f>
        <v>32265.2517618139</v>
      </c>
      <c r="AZ26" s="45" t="n">
        <f aca="false">AW26*1000/(I26*365)</f>
        <v>0.00115003917815246</v>
      </c>
      <c r="BA26" s="45" t="n">
        <f aca="false">AX26*1000/(J26*365)</f>
        <v>1.57124490742691</v>
      </c>
      <c r="BB26" s="45" t="n">
        <f aca="false">AY26*1000/(K26*365)</f>
        <v>1.57124490742691</v>
      </c>
      <c r="BC26" s="45" t="n">
        <f aca="false">$AV26-AZ26</f>
        <v>1.51268526291335</v>
      </c>
      <c r="BD26" s="45" t="n">
        <f aca="false">$AV26-BA26</f>
        <v>-0.0574096053354136</v>
      </c>
      <c r="BE26" s="45" t="n">
        <f aca="false">$AV26-BB26</f>
        <v>-0.0574096053354136</v>
      </c>
      <c r="BF26" s="2" t="n">
        <f aca="false">SQRT((BC26*$I26)^2+(BD26*$J26)^2+(BE26*$K26)^2)/$L26</f>
        <v>0.0772776920578819</v>
      </c>
      <c r="BG26" s="45"/>
      <c r="BH26" s="4" t="n">
        <f aca="false">AC26*$AU26</f>
        <v>605.508160307392</v>
      </c>
      <c r="BI26" s="4" t="n">
        <f aca="false">AD26*$AU26</f>
        <v>1279867.81536267</v>
      </c>
      <c r="BJ26" s="4" t="n">
        <f aca="false">AE26*$AU26</f>
        <v>32633.6764770271</v>
      </c>
      <c r="BK26" s="45" t="n">
        <f aca="false">BH26*1000/(I26*365)</f>
        <v>0.0190914909238964</v>
      </c>
      <c r="BL26" s="45" t="n">
        <f aca="false">BI26*1000/(J26*365)</f>
        <v>1.57009486824876</v>
      </c>
      <c r="BM26" s="45" t="n">
        <f aca="false">BJ26*1000/(K26*365)</f>
        <v>1.58918635917266</v>
      </c>
      <c r="BN26" s="45" t="n">
        <f aca="false">$AV26-BK26</f>
        <v>1.4947438111676</v>
      </c>
      <c r="BO26" s="45" t="n">
        <f aca="false">$AV26-BL26</f>
        <v>-0.0562595661572614</v>
      </c>
      <c r="BP26" s="45" t="n">
        <f aca="false">$AV26-BM26</f>
        <v>-0.0753510570811578</v>
      </c>
      <c r="BQ26" s="2" t="n">
        <f aca="false">SQRT((BN26*$I26)^2+(BO26*$J26)^2+(BP26*$K26)^2)/$L26</f>
        <v>0.0760630557203349</v>
      </c>
      <c r="BS26" s="0" t="s">
        <v>20</v>
      </c>
      <c r="BT26" s="2" t="n">
        <v>0.0332349207045178</v>
      </c>
      <c r="BU26" s="2" t="n">
        <v>0.0547243808365588</v>
      </c>
      <c r="BW26" s="0" t="s">
        <v>44</v>
      </c>
      <c r="BX26" s="2" t="n">
        <v>0.0340295233249417</v>
      </c>
      <c r="BY26" s="2" t="n">
        <v>0.197121660280881</v>
      </c>
    </row>
    <row r="27" customFormat="false" ht="12.75" hidden="false" customHeight="false" outlineLevel="0" collapsed="false">
      <c r="A27" s="0" t="s">
        <v>32</v>
      </c>
      <c r="B27" s="2" t="n">
        <v>0</v>
      </c>
      <c r="C27" s="2" t="n">
        <v>0.00796409544263987</v>
      </c>
      <c r="D27" s="2" t="n">
        <f aca="false">1-C27</f>
        <v>0.99203590455736</v>
      </c>
      <c r="E27" s="0" t="n">
        <v>347811</v>
      </c>
      <c r="F27" s="2" t="n">
        <v>0.0123823944448102</v>
      </c>
      <c r="G27" s="2" t="n">
        <f aca="false">1-F27</f>
        <v>0.98761760555519</v>
      </c>
      <c r="H27" s="0" t="n">
        <v>349184</v>
      </c>
      <c r="I27" s="4" t="n">
        <f aca="false">0.5*E27*C27</f>
        <v>1385.00000000001</v>
      </c>
      <c r="J27" s="4" t="n">
        <f aca="false">H27*G27</f>
        <v>344860.265978183</v>
      </c>
      <c r="K27" s="4" t="n">
        <f aca="false">0.5*H27*F27</f>
        <v>2161.86701090829</v>
      </c>
      <c r="L27" s="4" t="n">
        <f aca="false">I27+J27+K27</f>
        <v>348407.132989092</v>
      </c>
      <c r="M27" s="2" t="n">
        <f aca="false">(I27/L27)*B27</f>
        <v>0</v>
      </c>
      <c r="N27" s="2" t="n">
        <f aca="false">(J27/L27)*B27+(J27/(J27+K27))*(1-B27)</f>
        <v>0.993770233061831</v>
      </c>
      <c r="O27" s="2" t="n">
        <f aca="false">(K27/L27)*B27+(K27/(K27+J27))*(1-B27)</f>
        <v>0.0062297669381689</v>
      </c>
      <c r="P27" s="2" t="n">
        <f aca="false">M27+N27+O27</f>
        <v>1</v>
      </c>
      <c r="Q27" s="2" t="n">
        <f aca="false">M27/(I27/$L27)</f>
        <v>0</v>
      </c>
      <c r="R27" s="2" t="n">
        <f aca="false">N27/(J27/$L27)</f>
        <v>1.00399109989922</v>
      </c>
      <c r="S27" s="2" t="n">
        <f aca="false">O27/(K27/$L27)</f>
        <v>1.00399109989922</v>
      </c>
      <c r="T27" s="2" t="n">
        <f aca="false">M27-I27/$L27</f>
        <v>-0.0039752343418393</v>
      </c>
      <c r="U27" s="2" t="n">
        <f aca="false">N27-J27/$L27</f>
        <v>0.00395046955836498</v>
      </c>
      <c r="V27" s="2" t="n">
        <f aca="false">O27-K27/$L27</f>
        <v>2.47647834742638E-005</v>
      </c>
      <c r="W27" s="2" t="n">
        <f aca="false">T27+U27+V27</f>
        <v>-5.63785129692462E-017</v>
      </c>
      <c r="X27" s="2" t="n">
        <f aca="false">T27/(I27)*$L27</f>
        <v>-1</v>
      </c>
      <c r="Y27" s="2" t="n">
        <f aca="false">U27/(J27)*$L27</f>
        <v>0.00399109989922033</v>
      </c>
      <c r="Z27" s="2" t="n">
        <f aca="false">V27/(K27)*$L27</f>
        <v>0.00399109989922035</v>
      </c>
      <c r="AA27" s="2"/>
      <c r="AB27" s="2"/>
      <c r="AC27" s="2" t="n">
        <f aca="false">I27/(I27+K27)*B27</f>
        <v>0</v>
      </c>
      <c r="AD27" s="2" t="n">
        <f aca="false">(J27/(J27+K27))*(1-B27)</f>
        <v>0.993770233061831</v>
      </c>
      <c r="AE27" s="2" t="n">
        <f aca="false">(K27/(K27+I27))*B27+(K27/(K27+J27))*(1-B27)</f>
        <v>0.0062297669381689</v>
      </c>
      <c r="AF27" s="2" t="n">
        <f aca="false">AC27+AD27+AE27</f>
        <v>1</v>
      </c>
      <c r="AG27" s="2" t="n">
        <f aca="false">AC27/(I27/$L27)</f>
        <v>0</v>
      </c>
      <c r="AH27" s="2" t="n">
        <f aca="false">AD27/(J27/$L27)</f>
        <v>1.00399109989922</v>
      </c>
      <c r="AI27" s="2" t="n">
        <f aca="false">AE27/(K27/$L27)</f>
        <v>1.00399109989922</v>
      </c>
      <c r="AJ27" s="2" t="n">
        <f aca="false">AC27-I27/$L27</f>
        <v>-0.0039752343418393</v>
      </c>
      <c r="AK27" s="2" t="n">
        <f aca="false">AD27-J27/$L27</f>
        <v>0.00395046955836498</v>
      </c>
      <c r="AL27" s="2" t="n">
        <f aca="false">AE27-K27/$L27</f>
        <v>2.47647834742638E-005</v>
      </c>
      <c r="AM27" s="2" t="n">
        <f aca="false">AJ27+AK27+AL27</f>
        <v>-5.63785129692462E-017</v>
      </c>
      <c r="AN27" s="2" t="n">
        <f aca="false">AJ27/(I27)*$L27</f>
        <v>-1</v>
      </c>
      <c r="AO27" s="2" t="n">
        <f aca="false">AK27/(J27)*$L27</f>
        <v>0.00399109989922033</v>
      </c>
      <c r="AP27" s="2" t="n">
        <f aca="false">AL27/(K27)*$L27</f>
        <v>0.00399109989922035</v>
      </c>
      <c r="AQ27" s="2"/>
      <c r="AR27" s="2" t="n">
        <f aca="false">B27-C27</f>
        <v>-0.00796409544263987</v>
      </c>
      <c r="AS27" s="45" t="n">
        <f aca="false">B27/C27</f>
        <v>0</v>
      </c>
      <c r="AU27" s="32" t="n">
        <v>388416</v>
      </c>
      <c r="AV27" s="45" t="n">
        <f aca="false">AU27*1000/(L27*365)</f>
        <v>3.05433880049422</v>
      </c>
      <c r="AW27" s="4" t="n">
        <f aca="false">M27*$AU27</f>
        <v>0</v>
      </c>
      <c r="AX27" s="4" t="n">
        <f aca="false">N27*$AU27</f>
        <v>385996.258844944</v>
      </c>
      <c r="AY27" s="4" t="n">
        <f aca="false">O27*$AU27</f>
        <v>2419.74115505581</v>
      </c>
      <c r="AZ27" s="45" t="n">
        <f aca="false">AW27*1000/(I27*365)</f>
        <v>0</v>
      </c>
      <c r="BA27" s="45" t="n">
        <f aca="false">AX27*1000/(J27*365)</f>
        <v>3.06652897177306</v>
      </c>
      <c r="BB27" s="45" t="n">
        <f aca="false">AY27*1000/(K27*365)</f>
        <v>3.06652897177306</v>
      </c>
      <c r="BC27" s="45" t="n">
        <f aca="false">$AV27-AZ27</f>
        <v>3.05433880049422</v>
      </c>
      <c r="BD27" s="45" t="n">
        <f aca="false">$AV27-BA27</f>
        <v>-0.0121901712788373</v>
      </c>
      <c r="BE27" s="45" t="n">
        <f aca="false">$AV27-BB27</f>
        <v>-0.0121901712788373</v>
      </c>
      <c r="BF27" s="2" t="n">
        <f aca="false">SQRT((BC27*$I27)^2+(BD27*$J27)^2+(BE27*$K27)^2)/$L27</f>
        <v>0.0171177395721981</v>
      </c>
      <c r="BG27" s="45"/>
      <c r="BH27" s="4" t="n">
        <f aca="false">AC27*$AU27</f>
        <v>0</v>
      </c>
      <c r="BI27" s="4" t="n">
        <f aca="false">AD27*$AU27</f>
        <v>385996.258844944</v>
      </c>
      <c r="BJ27" s="4" t="n">
        <f aca="false">AE27*$AU27</f>
        <v>2419.74115505581</v>
      </c>
      <c r="BK27" s="45" t="n">
        <f aca="false">BH27*1000/(I27*365)</f>
        <v>0</v>
      </c>
      <c r="BL27" s="45" t="n">
        <f aca="false">BI27*1000/(J27*365)</f>
        <v>3.06652897177306</v>
      </c>
      <c r="BM27" s="45" t="n">
        <f aca="false">BJ27*1000/(K27*365)</f>
        <v>3.06652897177306</v>
      </c>
      <c r="BN27" s="45" t="n">
        <f aca="false">$AV27-BK27</f>
        <v>3.05433880049422</v>
      </c>
      <c r="BO27" s="45" t="n">
        <f aca="false">$AV27-BL27</f>
        <v>-0.0121901712788373</v>
      </c>
      <c r="BP27" s="45" t="n">
        <f aca="false">$AV27-BM27</f>
        <v>-0.0121901712788373</v>
      </c>
      <c r="BQ27" s="2" t="n">
        <f aca="false">SQRT((BN27*$I27)^2+(BO27*$J27)^2+(BP27*$K27)^2)/$L27</f>
        <v>0.0171177395721981</v>
      </c>
      <c r="BS27" s="0" t="s">
        <v>45</v>
      </c>
      <c r="BT27" s="2" t="n">
        <v>0.0822191370810733</v>
      </c>
      <c r="BU27" s="2" t="n">
        <v>0.0549989961520353</v>
      </c>
      <c r="BW27" s="0" t="s">
        <v>38</v>
      </c>
      <c r="BX27" s="2" t="n">
        <v>0.0364538039073933</v>
      </c>
      <c r="BY27" s="2" t="n">
        <v>0.567715957327535</v>
      </c>
    </row>
    <row r="28" customFormat="false" ht="12.75" hidden="false" customHeight="false" outlineLevel="0" collapsed="false">
      <c r="A28" s="0" t="s">
        <v>33</v>
      </c>
      <c r="B28" s="2" t="n">
        <v>0.00199508308555689</v>
      </c>
      <c r="C28" s="2" t="n">
        <v>0.0425053293156057</v>
      </c>
      <c r="D28" s="2" t="n">
        <f aca="false">1-C28</f>
        <v>0.957494670684394</v>
      </c>
      <c r="E28" s="0" t="n">
        <v>789501</v>
      </c>
      <c r="F28" s="2" t="n">
        <v>0.0233357665648155</v>
      </c>
      <c r="G28" s="2" t="n">
        <f aca="false">1-F28</f>
        <v>0.976664233435185</v>
      </c>
      <c r="H28" s="0" t="n">
        <v>775085</v>
      </c>
      <c r="I28" s="4" t="n">
        <f aca="false">0.5*E28*C28</f>
        <v>16779</v>
      </c>
      <c r="J28" s="4" t="n">
        <f aca="false">H28*G28</f>
        <v>756997.79737211</v>
      </c>
      <c r="K28" s="4" t="n">
        <f aca="false">0.5*H28*F28</f>
        <v>9043.60131394501</v>
      </c>
      <c r="L28" s="4" t="n">
        <f aca="false">I28+J28+K28</f>
        <v>782820.398686055</v>
      </c>
      <c r="M28" s="2" t="n">
        <f aca="false">(I28/L28)*B28</f>
        <v>4.27626811319005E-005</v>
      </c>
      <c r="N28" s="2" t="n">
        <f aca="false">(J28/L28)*B28+(J28/(J28+K28))*(1-B28)</f>
        <v>0.988152112163991</v>
      </c>
      <c r="O28" s="2" t="n">
        <f aca="false">(K28/L28)*B28+(K28/(K28+J28))*(1-B28)</f>
        <v>0.0118051251548768</v>
      </c>
      <c r="P28" s="2" t="n">
        <f aca="false">M28+N28+O28</f>
        <v>1</v>
      </c>
      <c r="Q28" s="2" t="n">
        <f aca="false">M28/(I28/$L28)</f>
        <v>0.00199508308555689</v>
      </c>
      <c r="R28" s="2" t="n">
        <f aca="false">N28/(J28/$L28)</f>
        <v>1.02185981662301</v>
      </c>
      <c r="S28" s="2" t="n">
        <f aca="false">O28/(K28/$L28)</f>
        <v>1.02185981662301</v>
      </c>
      <c r="T28" s="2" t="n">
        <f aca="false">M28-I28/$L28</f>
        <v>-0.0213912725435035</v>
      </c>
      <c r="U28" s="2" t="n">
        <f aca="false">N28-J28/$L28</f>
        <v>0.021138735094727</v>
      </c>
      <c r="V28" s="2" t="n">
        <f aca="false">O28-K28/$L28</f>
        <v>0.000252537448776534</v>
      </c>
      <c r="W28" s="2" t="n">
        <f aca="false">T28+U28+V28</f>
        <v>3.46944695195361E-017</v>
      </c>
      <c r="X28" s="2" t="n">
        <f aca="false">T28/(I28)*$L28</f>
        <v>-0.998004916914443</v>
      </c>
      <c r="Y28" s="2" t="n">
        <f aca="false">U28/(J28)*$L28</f>
        <v>0.0218598166230051</v>
      </c>
      <c r="Z28" s="2" t="n">
        <f aca="false">V28/(K28)*$L28</f>
        <v>0.021859816623005</v>
      </c>
      <c r="AA28" s="2"/>
      <c r="AB28" s="2"/>
      <c r="AC28" s="2" t="n">
        <f aca="false">I28/(I28+K28)*B28</f>
        <v>0.00129636432385614</v>
      </c>
      <c r="AD28" s="2" t="n">
        <f aca="false">(J28/(J28+K28))*(1-B28)</f>
        <v>0.986222840131893</v>
      </c>
      <c r="AE28" s="2" t="n">
        <f aca="false">(K28/(K28+I28))*B28+(K28/(K28+J28))*(1-B28)</f>
        <v>0.0124807955442507</v>
      </c>
      <c r="AF28" s="2" t="n">
        <f aca="false">AC28+AD28+AE28</f>
        <v>1</v>
      </c>
      <c r="AG28" s="2" t="n">
        <f aca="false">AC28/(I28/$L28)</f>
        <v>0.0604815803589869</v>
      </c>
      <c r="AH28" s="2" t="n">
        <f aca="false">AD28/(J28/$L28)</f>
        <v>1.01986473353745</v>
      </c>
      <c r="AI28" s="2" t="n">
        <f aca="false">AE28/(K28/$L28)</f>
        <v>1.08034631389644</v>
      </c>
      <c r="AJ28" s="2" t="n">
        <f aca="false">AC28-I28/$L28</f>
        <v>-0.0201376709007792</v>
      </c>
      <c r="AK28" s="2" t="n">
        <f aca="false">AD28-J28/$L28</f>
        <v>0.0192094630626288</v>
      </c>
      <c r="AL28" s="2" t="n">
        <f aca="false">AE28-K28/$L28</f>
        <v>0.000928207838150428</v>
      </c>
      <c r="AM28" s="2" t="n">
        <f aca="false">AJ28+AK28+AL28</f>
        <v>3.12250225675825E-017</v>
      </c>
      <c r="AN28" s="2" t="n">
        <f aca="false">AJ28/(I28)*$L28</f>
        <v>-0.939518419641013</v>
      </c>
      <c r="AO28" s="2" t="n">
        <f aca="false">AK28/(J28)*$L28</f>
        <v>0.0198647335374482</v>
      </c>
      <c r="AP28" s="2" t="n">
        <f aca="false">AL28/(K28)*$L28</f>
        <v>0.0803463138964351</v>
      </c>
      <c r="AQ28" s="2"/>
      <c r="AR28" s="2" t="n">
        <f aca="false">B28-C28</f>
        <v>-0.0405102462300488</v>
      </c>
      <c r="AS28" s="45" t="n">
        <f aca="false">B28/C28</f>
        <v>0.0469372456979035</v>
      </c>
      <c r="AU28" s="32" t="n">
        <v>578157</v>
      </c>
      <c r="AV28" s="45" t="n">
        <f aca="false">AU28*1000/(L28*365)</f>
        <v>2.02344213753322</v>
      </c>
      <c r="AW28" s="4" t="n">
        <f aca="false">M28*$AU28</f>
        <v>24.7235434351762</v>
      </c>
      <c r="AX28" s="4" t="n">
        <f aca="false">N28*$AU28</f>
        <v>571307.060712397</v>
      </c>
      <c r="AY28" s="4" t="n">
        <f aca="false">O28*$AU28</f>
        <v>6825.2157441681</v>
      </c>
      <c r="AZ28" s="45" t="n">
        <f aca="false">AW28*1000/(I28*365)</f>
        <v>0.0040369351831956</v>
      </c>
      <c r="BA28" s="45" t="n">
        <f aca="false">AX28*1000/(J28*365)</f>
        <v>2.06767421160696</v>
      </c>
      <c r="BB28" s="45" t="n">
        <f aca="false">AY28*1000/(K28*365)</f>
        <v>2.06767421160696</v>
      </c>
      <c r="BC28" s="45" t="n">
        <f aca="false">$AV28-AZ28</f>
        <v>2.01940520235002</v>
      </c>
      <c r="BD28" s="45" t="n">
        <f aca="false">$AV28-BA28</f>
        <v>-0.0442320740737374</v>
      </c>
      <c r="BE28" s="45" t="n">
        <f aca="false">$AV28-BB28</f>
        <v>-0.0442320740737374</v>
      </c>
      <c r="BF28" s="2" t="n">
        <f aca="false">SQRT((BC28*$I28)^2+(BD28*$J28)^2+(BE28*$K28)^2)/$L28</f>
        <v>0.0608547132219309</v>
      </c>
      <c r="BG28" s="45"/>
      <c r="BH28" s="4" t="n">
        <f aca="false">AC28*$AU28</f>
        <v>749.502108387694</v>
      </c>
      <c r="BI28" s="4" t="n">
        <f aca="false">AD28*$AU28</f>
        <v>570191.638582135</v>
      </c>
      <c r="BJ28" s="4" t="n">
        <f aca="false">AE28*$AU28</f>
        <v>7215.85930947734</v>
      </c>
      <c r="BK28" s="45" t="n">
        <f aca="false">BH28*1000/(I28*365)</f>
        <v>0.122380978242976</v>
      </c>
      <c r="BL28" s="45" t="n">
        <f aca="false">BI28*1000/(J28*365)</f>
        <v>2.06363727642376</v>
      </c>
      <c r="BM28" s="45" t="n">
        <f aca="false">BJ28*1000/(K28*365)</f>
        <v>2.18601825466674</v>
      </c>
      <c r="BN28" s="45" t="n">
        <f aca="false">$AV28-BK28</f>
        <v>1.90106115929024</v>
      </c>
      <c r="BO28" s="45" t="n">
        <f aca="false">$AV28-BL28</f>
        <v>-0.0401951388905419</v>
      </c>
      <c r="BP28" s="45" t="n">
        <f aca="false">$AV28-BM28</f>
        <v>-0.162576117133518</v>
      </c>
      <c r="BQ28" s="2" t="n">
        <f aca="false">SQRT((BN28*$I28)^2+(BO28*$J28)^2+(BP28*$K28)^2)/$L28</f>
        <v>0.0563444469174346</v>
      </c>
      <c r="BS28" s="0" t="s">
        <v>21</v>
      </c>
      <c r="BT28" s="2" t="n">
        <v>0.0573853860649703</v>
      </c>
      <c r="BU28" s="2" t="n">
        <v>0.0550548807195891</v>
      </c>
      <c r="BW28" s="0" t="s">
        <v>30</v>
      </c>
      <c r="BX28" s="2" t="n">
        <v>0.0372384954709079</v>
      </c>
      <c r="BY28" s="2" t="n">
        <v>0.0372384954709079</v>
      </c>
    </row>
    <row r="29" customFormat="false" ht="12.75" hidden="false" customHeight="false" outlineLevel="0" collapsed="false">
      <c r="A29" s="0" t="s">
        <v>34</v>
      </c>
      <c r="B29" s="2" t="n">
        <v>0</v>
      </c>
      <c r="C29" s="2" t="n">
        <v>0.0433497425670366</v>
      </c>
      <c r="D29" s="2" t="n">
        <f aca="false">1-C29</f>
        <v>0.956650257432963</v>
      </c>
      <c r="E29" s="0" t="n">
        <v>619773</v>
      </c>
      <c r="F29" s="2" t="n">
        <v>0.0123862731576335</v>
      </c>
      <c r="G29" s="2" t="n">
        <f aca="false">1-F29</f>
        <v>0.987613726842367</v>
      </c>
      <c r="H29" s="0" t="n">
        <v>604609</v>
      </c>
      <c r="I29" s="4" t="n">
        <f aca="false">0.5*E29*C29</f>
        <v>13433.5</v>
      </c>
      <c r="J29" s="4" t="n">
        <f aca="false">H29*G29</f>
        <v>597120.147772436</v>
      </c>
      <c r="K29" s="4" t="n">
        <f aca="false">0.5*H29*F29</f>
        <v>3744.42611378182</v>
      </c>
      <c r="L29" s="4" t="n">
        <f aca="false">I29+J29+K29</f>
        <v>614298.073886218</v>
      </c>
      <c r="M29" s="2" t="n">
        <f aca="false">(I29/L29)*B29</f>
        <v>0</v>
      </c>
      <c r="N29" s="2" t="n">
        <f aca="false">(J29/L29)*B29+(J29/(J29+K29))*(1-B29)</f>
        <v>0.993768269462844</v>
      </c>
      <c r="O29" s="2" t="n">
        <f aca="false">(K29/L29)*B29+(K29/(K29+J29))*(1-B29)</f>
        <v>0.00623173053715575</v>
      </c>
      <c r="P29" s="2" t="n">
        <f aca="false">M29+N29+O29</f>
        <v>1</v>
      </c>
      <c r="Q29" s="2" t="n">
        <f aca="false">M29/(I29/$L29)</f>
        <v>0</v>
      </c>
      <c r="R29" s="2" t="n">
        <f aca="false">N29/(J29/$L29)</f>
        <v>1.02235695127292</v>
      </c>
      <c r="S29" s="2" t="n">
        <f aca="false">O29/(K29/$L29)</f>
        <v>1.02235695127292</v>
      </c>
      <c r="T29" s="2" t="n">
        <f aca="false">M29-I29/$L29</f>
        <v>-0.0218680483808389</v>
      </c>
      <c r="U29" s="2" t="n">
        <f aca="false">N29-J29/$L29</f>
        <v>0.021731772595956</v>
      </c>
      <c r="V29" s="2" t="n">
        <f aca="false">O29-K29/$L29</f>
        <v>0.000136275784882874</v>
      </c>
      <c r="W29" s="2" t="n">
        <f aca="false">T29+U29+V29</f>
        <v>-1.56125112837913E-017</v>
      </c>
      <c r="X29" s="2" t="n">
        <f aca="false">T29/(I29)*$L29</f>
        <v>-1</v>
      </c>
      <c r="Y29" s="2" t="n">
        <f aca="false">U29/(J29)*$L29</f>
        <v>0.0223569512729233</v>
      </c>
      <c r="Z29" s="2" t="n">
        <f aca="false">V29/(K29)*$L29</f>
        <v>0.0223569512729234</v>
      </c>
      <c r="AA29" s="2"/>
      <c r="AB29" s="2"/>
      <c r="AC29" s="2" t="n">
        <f aca="false">I29/(I29+K29)*B29</f>
        <v>0</v>
      </c>
      <c r="AD29" s="2" t="n">
        <f aca="false">(J29/(J29+K29))*(1-B29)</f>
        <v>0.993768269462844</v>
      </c>
      <c r="AE29" s="2" t="n">
        <f aca="false">(K29/(K29+I29))*B29+(K29/(K29+J29))*(1-B29)</f>
        <v>0.00623173053715575</v>
      </c>
      <c r="AF29" s="2" t="n">
        <f aca="false">AC29+AD29+AE29</f>
        <v>1</v>
      </c>
      <c r="AG29" s="2" t="n">
        <f aca="false">AC29/(I29/$L29)</f>
        <v>0</v>
      </c>
      <c r="AH29" s="2" t="n">
        <f aca="false">AD29/(J29/$L29)</f>
        <v>1.02235695127292</v>
      </c>
      <c r="AI29" s="2" t="n">
        <f aca="false">AE29/(K29/$L29)</f>
        <v>1.02235695127292</v>
      </c>
      <c r="AJ29" s="2" t="n">
        <f aca="false">AC29-I29/$L29</f>
        <v>-0.0218680483808389</v>
      </c>
      <c r="AK29" s="2" t="n">
        <f aca="false">AD29-J29/$L29</f>
        <v>0.021731772595956</v>
      </c>
      <c r="AL29" s="2" t="n">
        <f aca="false">AE29-K29/$L29</f>
        <v>0.000136275784882874</v>
      </c>
      <c r="AM29" s="2" t="n">
        <f aca="false">AJ29+AK29+AL29</f>
        <v>-1.56125112837913E-017</v>
      </c>
      <c r="AN29" s="2" t="n">
        <f aca="false">AJ29/(I29)*$L29</f>
        <v>-1</v>
      </c>
      <c r="AO29" s="2" t="n">
        <f aca="false">AK29/(J29)*$L29</f>
        <v>0.0223569512729233</v>
      </c>
      <c r="AP29" s="2" t="n">
        <f aca="false">AL29/(K29)*$L29</f>
        <v>0.0223569512729234</v>
      </c>
      <c r="AQ29" s="2"/>
      <c r="AR29" s="2" t="n">
        <f aca="false">B29-C29</f>
        <v>-0.0433497425670366</v>
      </c>
      <c r="AS29" s="45" t="n">
        <f aca="false">B29/C29</f>
        <v>0</v>
      </c>
      <c r="AU29" s="34" t="n">
        <v>484112</v>
      </c>
      <c r="AV29" s="45" t="n">
        <f aca="false">AU29*1000/(L29*365)</f>
        <v>2.15910533169116</v>
      </c>
      <c r="AW29" s="4" t="n">
        <f aca="false">M29*$AU29</f>
        <v>0</v>
      </c>
      <c r="AX29" s="4" t="n">
        <f aca="false">N29*$AU29</f>
        <v>481095.144466196</v>
      </c>
      <c r="AY29" s="4" t="n">
        <f aca="false">O29*$AU29</f>
        <v>3016.85553380354</v>
      </c>
      <c r="AZ29" s="45" t="n">
        <f aca="false">AW29*1000/(I29*365)</f>
        <v>0</v>
      </c>
      <c r="BA29" s="45" t="n">
        <f aca="false">AX29*1000/(J29*365)</f>
        <v>2.20737634438489</v>
      </c>
      <c r="BB29" s="45" t="n">
        <f aca="false">AY29*1000/(K29*365)</f>
        <v>2.20737634438489</v>
      </c>
      <c r="BC29" s="45" t="n">
        <f aca="false">$AV29-AZ29</f>
        <v>2.15910533169116</v>
      </c>
      <c r="BD29" s="45" t="n">
        <f aca="false">$AV29-BA29</f>
        <v>-0.0482710126937285</v>
      </c>
      <c r="BE29" s="45" t="n">
        <f aca="false">$AV29-BB29</f>
        <v>-0.0482710126937285</v>
      </c>
      <c r="BF29" s="2" t="n">
        <f aca="false">SQRT((BC29*$I29)^2+(BD29*$J29)^2+(BE29*$K29)^2)/$L29</f>
        <v>0.0665656078500592</v>
      </c>
      <c r="BG29" s="45"/>
      <c r="BH29" s="4" t="n">
        <f aca="false">AC29*$AU29</f>
        <v>0</v>
      </c>
      <c r="BI29" s="4" t="n">
        <f aca="false">AD29*$AU29</f>
        <v>481095.144466196</v>
      </c>
      <c r="BJ29" s="4" t="n">
        <f aca="false">AE29*$AU29</f>
        <v>3016.85553380354</v>
      </c>
      <c r="BK29" s="45" t="n">
        <f aca="false">BH29*1000/(I29*365)</f>
        <v>0</v>
      </c>
      <c r="BL29" s="45" t="n">
        <f aca="false">BI29*1000/(J29*365)</f>
        <v>2.20737634438489</v>
      </c>
      <c r="BM29" s="45" t="n">
        <f aca="false">BJ29*1000/(K29*365)</f>
        <v>2.20737634438489</v>
      </c>
      <c r="BN29" s="45" t="n">
        <f aca="false">$AV29-BK29</f>
        <v>2.15910533169116</v>
      </c>
      <c r="BO29" s="45" t="n">
        <f aca="false">$AV29-BL29</f>
        <v>-0.0482710126937285</v>
      </c>
      <c r="BP29" s="45" t="n">
        <f aca="false">$AV29-BM29</f>
        <v>-0.0482710126937285</v>
      </c>
      <c r="BQ29" s="2" t="n">
        <f aca="false">SQRT((BN29*$I29)^2+(BO29*$J29)^2+(BP29*$K29)^2)/$L29</f>
        <v>0.0665656078500592</v>
      </c>
      <c r="BS29" s="0" t="s">
        <v>33</v>
      </c>
      <c r="BT29" s="2" t="n">
        <v>0.0608547132219309</v>
      </c>
      <c r="BU29" s="2" t="n">
        <v>0.0563444469174346</v>
      </c>
      <c r="BW29" s="0" t="s">
        <v>18</v>
      </c>
      <c r="BX29" s="2" t="n">
        <v>0.0392019450977134</v>
      </c>
      <c r="BY29" s="2" t="n">
        <v>0.0392019450977134</v>
      </c>
    </row>
    <row r="30" customFormat="false" ht="12.75" hidden="false" customHeight="false" outlineLevel="0" collapsed="false">
      <c r="A30" s="0" t="s">
        <v>35</v>
      </c>
      <c r="B30" s="2" t="n">
        <v>0.117777368981519</v>
      </c>
      <c r="C30" s="2" t="n">
        <v>0.0851357193769645</v>
      </c>
      <c r="D30" s="2" t="n">
        <f aca="false">1-C30</f>
        <v>0.914864280623036</v>
      </c>
      <c r="E30" s="0" t="n">
        <v>513486</v>
      </c>
      <c r="F30" s="2" t="n">
        <v>0.167975827605201</v>
      </c>
      <c r="G30" s="2" t="n">
        <f aca="false">1-F30</f>
        <v>0.832024172394799</v>
      </c>
      <c r="H30" s="0" t="n">
        <v>566589</v>
      </c>
      <c r="I30" s="4" t="n">
        <f aca="false">0.5*E30*C30</f>
        <v>21858</v>
      </c>
      <c r="J30" s="4" t="n">
        <f aca="false">H30*G30</f>
        <v>471415.743812997</v>
      </c>
      <c r="K30" s="4" t="n">
        <f aca="false">0.5*H30*F30</f>
        <v>47586.6280935016</v>
      </c>
      <c r="L30" s="4" t="n">
        <f aca="false">I30+J30+K30</f>
        <v>540860.371906498</v>
      </c>
      <c r="M30" s="2" t="n">
        <f aca="false">(I30/L30)*B30</f>
        <v>0.00475978249640201</v>
      </c>
      <c r="N30" s="2" t="n">
        <f aca="false">(J30/L30)*B30+(J30/(J30+K30))*(1-B30)</f>
        <v>0.903987983106158</v>
      </c>
      <c r="O30" s="2" t="n">
        <f aca="false">(K30/L30)*B30+(K30/(K30+J30))*(1-B30)</f>
        <v>0.0912522343974404</v>
      </c>
      <c r="P30" s="2" t="n">
        <f aca="false">M30+N30+O30</f>
        <v>1</v>
      </c>
      <c r="Q30" s="2" t="n">
        <f aca="false">M30/(I30/$L30)</f>
        <v>0.117777368981519</v>
      </c>
      <c r="R30" s="2" t="n">
        <f aca="false">N30/(J30/$L30)</f>
        <v>1.03715517175377</v>
      </c>
      <c r="S30" s="2" t="n">
        <f aca="false">O30/(K30/$L30)</f>
        <v>1.03715517175377</v>
      </c>
      <c r="T30" s="2" t="n">
        <f aca="false">M30-I30/$L30</f>
        <v>-0.0356536053858567</v>
      </c>
      <c r="U30" s="2" t="n">
        <f aca="false">N30-J30/$L30</f>
        <v>0.032384574353384</v>
      </c>
      <c r="V30" s="2" t="n">
        <f aca="false">O30-K30/$L30</f>
        <v>0.00326903103247259</v>
      </c>
      <c r="W30" s="2" t="n">
        <f aca="false">T30+U30+V30</f>
        <v>-2.08166817117217E-017</v>
      </c>
      <c r="X30" s="2" t="n">
        <f aca="false">T30/(I30)*$L30</f>
        <v>-0.882222631018481</v>
      </c>
      <c r="Y30" s="2" t="n">
        <f aca="false">U30/(J30)*$L30</f>
        <v>0.0371551717537738</v>
      </c>
      <c r="Z30" s="2" t="n">
        <f aca="false">V30/(K30)*$L30</f>
        <v>0.0371551717537738</v>
      </c>
      <c r="AA30" s="2"/>
      <c r="AB30" s="2"/>
      <c r="AC30" s="2" t="n">
        <f aca="false">I30/(I30+K30)*B30</f>
        <v>0.0370709412934265</v>
      </c>
      <c r="AD30" s="2" t="n">
        <f aca="false">(J30/(J30+K30))*(1-B30)</f>
        <v>0.801332826827933</v>
      </c>
      <c r="AE30" s="2" t="n">
        <f aca="false">(K30/(K30+I30))*B30+(K30/(K30+J30))*(1-B30)</f>
        <v>0.161596231878641</v>
      </c>
      <c r="AF30" s="2" t="n">
        <f aca="false">AC30+AD30+AE30</f>
        <v>1</v>
      </c>
      <c r="AG30" s="2" t="n">
        <f aca="false">AC30/(I30/$L30)</f>
        <v>0.91729358106353</v>
      </c>
      <c r="AH30" s="2" t="n">
        <f aca="false">AD30/(J30/$L30)</f>
        <v>0.919377802772255</v>
      </c>
      <c r="AI30" s="2" t="n">
        <f aca="false">AE30/(K30/$L30)</f>
        <v>1.83667138383579</v>
      </c>
      <c r="AJ30" s="2" t="n">
        <f aca="false">AC30-I30/$L30</f>
        <v>-0.00334244658883213</v>
      </c>
      <c r="AK30" s="2" t="n">
        <f aca="false">AD30-J30/$L30</f>
        <v>-0.0702705819248408</v>
      </c>
      <c r="AL30" s="2" t="n">
        <f aca="false">AE30-K30/$L30</f>
        <v>0.0736130285136729</v>
      </c>
      <c r="AM30" s="2" t="n">
        <f aca="false">AJ30+AK30+AL30</f>
        <v>0</v>
      </c>
      <c r="AN30" s="2" t="n">
        <f aca="false">AJ30/(I30)*$L30</f>
        <v>-0.0827064189364697</v>
      </c>
      <c r="AO30" s="2" t="n">
        <f aca="false">AK30/(J30)*$L30</f>
        <v>-0.0806221972277448</v>
      </c>
      <c r="AP30" s="2" t="n">
        <f aca="false">AL30/(K30)*$L30</f>
        <v>0.836671383835785</v>
      </c>
      <c r="AQ30" s="2"/>
      <c r="AR30" s="53" t="n">
        <f aca="false">B30-C30</f>
        <v>0.0326416496045542</v>
      </c>
      <c r="AS30" s="54" t="n">
        <f aca="false">B30/C30</f>
        <v>1.38340722135703</v>
      </c>
      <c r="AU30" s="32" t="n">
        <v>328027</v>
      </c>
      <c r="AV30" s="45" t="n">
        <f aca="false">AU30*1000/(L30*365)</f>
        <v>1.66161944241018</v>
      </c>
      <c r="AW30" s="4" t="n">
        <f aca="false">M30*$AU30</f>
        <v>1561.33717294726</v>
      </c>
      <c r="AX30" s="4" t="n">
        <f aca="false">N30*$AU30</f>
        <v>296532.466134364</v>
      </c>
      <c r="AY30" s="4" t="n">
        <f aca="false">O30*$AU30</f>
        <v>29933.1966926892</v>
      </c>
      <c r="AZ30" s="45" t="n">
        <f aca="false">AW30*1000/(I30*365)</f>
        <v>0.19570116617561</v>
      </c>
      <c r="BA30" s="45" t="n">
        <f aca="false">AX30*1000/(J30*365)</f>
        <v>1.72335719818235</v>
      </c>
      <c r="BB30" s="45" t="n">
        <f aca="false">AY30*1000/(K30*365)</f>
        <v>1.72335719818235</v>
      </c>
      <c r="BC30" s="45" t="n">
        <f aca="false">$AV30-AZ30</f>
        <v>1.46591827623458</v>
      </c>
      <c r="BD30" s="45" t="n">
        <f aca="false">$AV30-BA30</f>
        <v>-0.0617377557721603</v>
      </c>
      <c r="BE30" s="45" t="n">
        <f aca="false">$AV30-BB30</f>
        <v>-0.0617377557721606</v>
      </c>
      <c r="BF30" s="2" t="n">
        <f aca="false">SQRT((BC30*$I30)^2+(BD30*$J30)^2+(BE30*$K30)^2)/$L30</f>
        <v>0.0802172801999633</v>
      </c>
      <c r="BG30" s="45"/>
      <c r="BH30" s="4" t="n">
        <f aca="false">AC30*$AU30</f>
        <v>12160.2696596588</v>
      </c>
      <c r="BI30" s="4" t="n">
        <f aca="false">AD30*$AU30</f>
        <v>262858.803185886</v>
      </c>
      <c r="BJ30" s="4" t="n">
        <f aca="false">AE30*$AU30</f>
        <v>53007.9271544549</v>
      </c>
      <c r="BK30" s="45" t="n">
        <f aca="false">BH30*1000/(I30*365)</f>
        <v>1.52419284869322</v>
      </c>
      <c r="BL30" s="45" t="n">
        <f aca="false">BI30*1000/(J30*365)</f>
        <v>1.52765603200674</v>
      </c>
      <c r="BM30" s="45" t="n">
        <f aca="false">BJ30*1000/(K30*365)</f>
        <v>3.05184888069996</v>
      </c>
      <c r="BN30" s="45" t="n">
        <f aca="false">$AV30-BK30</f>
        <v>0.13742659371696</v>
      </c>
      <c r="BO30" s="45" t="n">
        <f aca="false">$AV30-BL30</f>
        <v>0.133963410403449</v>
      </c>
      <c r="BP30" s="45" t="n">
        <f aca="false">$AV30-BM30</f>
        <v>-1.39022943828978</v>
      </c>
      <c r="BQ30" s="2" t="n">
        <f aca="false">SQRT((BN30*$I30)^2+(BO30*$J30)^2+(BP30*$K30)^2)/$L30</f>
        <v>0.169191739603659</v>
      </c>
      <c r="BS30" s="0" t="s">
        <v>13</v>
      </c>
      <c r="BT30" s="2" t="n">
        <v>0.0601043945893269</v>
      </c>
      <c r="BU30" s="2" t="n">
        <v>0.0596183318179441</v>
      </c>
      <c r="BW30" s="0" t="s">
        <v>48</v>
      </c>
      <c r="BX30" s="2" t="n">
        <v>0.0484221753713314</v>
      </c>
      <c r="BY30" s="2" t="n">
        <v>0.0483295191260178</v>
      </c>
    </row>
    <row r="31" customFormat="false" ht="12.75" hidden="false" customHeight="false" outlineLevel="0" collapsed="false">
      <c r="A31" s="0" t="s">
        <v>36</v>
      </c>
      <c r="B31" s="2" t="n">
        <v>0.273303356469306</v>
      </c>
      <c r="C31" s="2" t="n">
        <v>0.0704522955482905</v>
      </c>
      <c r="D31" s="2" t="n">
        <f aca="false">1-C31</f>
        <v>0.92954770445171</v>
      </c>
      <c r="E31" s="0" t="n">
        <v>3607221</v>
      </c>
      <c r="F31" s="2" t="n">
        <v>0.117079489030126</v>
      </c>
      <c r="G31" s="2" t="n">
        <f aca="false">1-F31</f>
        <v>0.882920510969874</v>
      </c>
      <c r="H31" s="0" t="n">
        <v>3812684</v>
      </c>
      <c r="I31" s="4" t="n">
        <f aca="false">0.5*E31*C31</f>
        <v>127068.5</v>
      </c>
      <c r="J31" s="4" t="n">
        <f aca="false">H31*G31</f>
        <v>3366296.90544666</v>
      </c>
      <c r="K31" s="4" t="n">
        <f aca="false">0.5*H31*F31</f>
        <v>223193.547276668</v>
      </c>
      <c r="L31" s="4" t="n">
        <f aca="false">I31+J31+K31</f>
        <v>3716558.95272333</v>
      </c>
      <c r="M31" s="2" t="n">
        <f aca="false">(I31/L31)*B31</f>
        <v>0.00934419391520016</v>
      </c>
      <c r="N31" s="2" t="n">
        <f aca="false">(J31/L31)*B31+(J31/(J31+K31))*(1-B31)</f>
        <v>0.92905709551502</v>
      </c>
      <c r="O31" s="2" t="n">
        <f aca="false">(K31/L31)*B31+(K31/(K31+J31))*(1-B31)</f>
        <v>0.06159871056978</v>
      </c>
      <c r="P31" s="2" t="n">
        <f aca="false">M31+N31+O31</f>
        <v>1</v>
      </c>
      <c r="Q31" s="2" t="n">
        <f aca="false">M31/(I31/$L31)</f>
        <v>0.273303356469306</v>
      </c>
      <c r="R31" s="2" t="n">
        <f aca="false">N31/(J31/$L31)</f>
        <v>1.02572517009439</v>
      </c>
      <c r="S31" s="2" t="n">
        <f aca="false">O31/(K31/$L31)</f>
        <v>1.02572517009439</v>
      </c>
      <c r="T31" s="2" t="n">
        <f aca="false">M31-I31/$L31</f>
        <v>-0.0248456310321183</v>
      </c>
      <c r="U31" s="2" t="n">
        <f aca="false">N31-J31/$L31</f>
        <v>0.0233007364022472</v>
      </c>
      <c r="V31" s="2" t="n">
        <f aca="false">O31-K31/$L31</f>
        <v>0.00154489462987106</v>
      </c>
      <c r="W31" s="2" t="n">
        <f aca="false">T31+U31+V31</f>
        <v>-6.93889390390723E-017</v>
      </c>
      <c r="X31" s="2" t="n">
        <f aca="false">T31/(I31)*$L31</f>
        <v>-0.726696643530694</v>
      </c>
      <c r="Y31" s="2" t="n">
        <f aca="false">U31/(J31)*$L31</f>
        <v>0.0257251700943853</v>
      </c>
      <c r="Z31" s="2" t="n">
        <f aca="false">V31/(K31)*$L31</f>
        <v>0.0257251700943853</v>
      </c>
      <c r="AA31" s="2"/>
      <c r="AB31" s="2"/>
      <c r="AC31" s="2" t="n">
        <f aca="false">I31/(I31+K31)*B31</f>
        <v>0.0991493306840881</v>
      </c>
      <c r="AD31" s="2" t="n">
        <f aca="false">(J31/(J31+K31))*(1-B31)</f>
        <v>0.681510842426081</v>
      </c>
      <c r="AE31" s="2" t="n">
        <f aca="false">(K31/(K31+I31))*B31+(K31/(K31+J31))*(1-B31)</f>
        <v>0.219339826889831</v>
      </c>
      <c r="AF31" s="2" t="n">
        <f aca="false">AC31+AD31+AE31</f>
        <v>1</v>
      </c>
      <c r="AG31" s="2" t="n">
        <f aca="false">AC31/(I31/$L31)</f>
        <v>2.89996602313299</v>
      </c>
      <c r="AH31" s="2" t="n">
        <f aca="false">AD31/(J31/$L31)</f>
        <v>0.752421813625079</v>
      </c>
      <c r="AI31" s="2" t="n">
        <f aca="false">AE31/(K31/$L31)</f>
        <v>3.65238783675807</v>
      </c>
      <c r="AJ31" s="53" t="n">
        <f aca="false">AC31-I31/$L31</f>
        <v>0.0649595057367697</v>
      </c>
      <c r="AK31" s="2" t="n">
        <f aca="false">AD31-J31/$L31</f>
        <v>-0.224245516686692</v>
      </c>
      <c r="AL31" s="2" t="n">
        <f aca="false">AE31-K31/$L31</f>
        <v>0.159286010949922</v>
      </c>
      <c r="AM31" s="2" t="n">
        <f aca="false">AJ31+AK31+AL31</f>
        <v>0</v>
      </c>
      <c r="AN31" s="2" t="n">
        <f aca="false">AJ31/(I31)*$L31</f>
        <v>1.89996602313299</v>
      </c>
      <c r="AO31" s="2" t="n">
        <f aca="false">AK31/(J31)*$L31</f>
        <v>-0.247578186374921</v>
      </c>
      <c r="AP31" s="2" t="n">
        <f aca="false">AL31/(K31)*$L31</f>
        <v>2.65238783675807</v>
      </c>
      <c r="AQ31" s="2"/>
      <c r="AR31" s="53" t="n">
        <f aca="false">B31-C31</f>
        <v>0.202851060921016</v>
      </c>
      <c r="AS31" s="54" t="n">
        <f aca="false">B31/C31</f>
        <v>3.87926829555149</v>
      </c>
      <c r="AU31" s="32" t="n">
        <v>2101667</v>
      </c>
      <c r="AV31" s="45" t="n">
        <f aca="false">AU31*1000/(L31*365)</f>
        <v>1.54928035692874</v>
      </c>
      <c r="AW31" s="4" t="n">
        <f aca="false">M31*$AU31</f>
        <v>19638.383993177</v>
      </c>
      <c r="AX31" s="4" t="n">
        <f aca="false">N31*$AU31</f>
        <v>1952568.63875976</v>
      </c>
      <c r="AY31" s="4" t="n">
        <f aca="false">O31*$AU31</f>
        <v>129459.977247058</v>
      </c>
      <c r="AZ31" s="45" t="n">
        <f aca="false">AW31*1000/(I31*365)</f>
        <v>0.42342352166059</v>
      </c>
      <c r="BA31" s="45" t="n">
        <f aca="false">AX31*1000/(J31*365)</f>
        <v>1.58913585763462</v>
      </c>
      <c r="BB31" s="45" t="n">
        <f aca="false">AY31*1000/(K31*365)</f>
        <v>1.58913585763462</v>
      </c>
      <c r="BC31" s="45" t="n">
        <f aca="false">$AV31-AZ31</f>
        <v>1.12585683526815</v>
      </c>
      <c r="BD31" s="45" t="n">
        <f aca="false">$AV31-BA31</f>
        <v>-0.0398555007058814</v>
      </c>
      <c r="BE31" s="45" t="n">
        <f aca="false">$AV31-BB31</f>
        <v>-0.0398555007058816</v>
      </c>
      <c r="BF31" s="2" t="n">
        <f aca="false">SQRT((BC31*$I31)^2+(BD31*$J31)^2+(BE31*$K31)^2)/$L31</f>
        <v>0.0528260619785424</v>
      </c>
      <c r="BG31" s="45"/>
      <c r="BH31" s="4" t="n">
        <f aca="false">AC31*$AU31</f>
        <v>208378.876370835</v>
      </c>
      <c r="BI31" s="4" t="n">
        <f aca="false">AD31*$AU31</f>
        <v>1432308.84766909</v>
      </c>
      <c r="BJ31" s="4" t="n">
        <f aca="false">AE31*$AU31</f>
        <v>460979.275960071</v>
      </c>
      <c r="BK31" s="45" t="n">
        <f aca="false">BH31*1000/(I31*365)</f>
        <v>4.4928603954007</v>
      </c>
      <c r="BL31" s="45" t="n">
        <f aca="false">BI31*1000/(J31*365)</f>
        <v>1.16571233597403</v>
      </c>
      <c r="BM31" s="45" t="n">
        <f aca="false">BJ31*1000/(K31*365)</f>
        <v>5.65857273137473</v>
      </c>
      <c r="BN31" s="54" t="n">
        <f aca="false">$AV31-BK31</f>
        <v>-2.94358003847196</v>
      </c>
      <c r="BO31" s="45" t="n">
        <f aca="false">$AV31-BL31</f>
        <v>0.383568020954709</v>
      </c>
      <c r="BP31" s="45" t="n">
        <f aca="false">$AV31-BM31</f>
        <v>-4.10929237444599</v>
      </c>
      <c r="BQ31" s="2" t="n">
        <f aca="false">SQRT((BN31*$I31)^2+(BO31*$J31)^2+(BP31*$K31)^2)/$L31</f>
        <v>0.437867914815341</v>
      </c>
      <c r="BS31" s="0" t="s">
        <v>52</v>
      </c>
      <c r="BT31" s="2" t="n">
        <v>0.0779705994925799</v>
      </c>
      <c r="BU31" s="2" t="n">
        <v>0.0618081028379954</v>
      </c>
      <c r="BW31" s="0" t="s">
        <v>43</v>
      </c>
      <c r="BX31" s="2" t="n">
        <v>0.0489185434306454</v>
      </c>
      <c r="BY31" s="2" t="n">
        <v>0.0380805482260263</v>
      </c>
    </row>
    <row r="32" customFormat="false" ht="12.75" hidden="false" customHeight="false" outlineLevel="0" collapsed="false">
      <c r="A32" s="0" t="s">
        <v>37</v>
      </c>
      <c r="B32" s="2" t="n">
        <v>0</v>
      </c>
      <c r="C32" s="2" t="n">
        <v>0.0190957981584029</v>
      </c>
      <c r="D32" s="2" t="n">
        <f aca="false">1-C32</f>
        <v>0.980904201841597</v>
      </c>
      <c r="E32" s="0" t="n">
        <v>626630</v>
      </c>
      <c r="F32" s="2" t="n">
        <v>0.0251645042035998</v>
      </c>
      <c r="G32" s="2" t="n">
        <f aca="false">1-F32</f>
        <v>0.9748354957964</v>
      </c>
      <c r="H32" s="0" t="n">
        <v>633135</v>
      </c>
      <c r="I32" s="4" t="n">
        <f aca="false">0.5*E32*C32</f>
        <v>5983.00000000001</v>
      </c>
      <c r="J32" s="4" t="n">
        <f aca="false">H32*G32</f>
        <v>617202.471631054</v>
      </c>
      <c r="K32" s="4" t="n">
        <f aca="false">0.5*H32*F32</f>
        <v>7966.26418447309</v>
      </c>
      <c r="L32" s="4" t="n">
        <f aca="false">I32+J32+K32</f>
        <v>631151.735815527</v>
      </c>
      <c r="M32" s="2" t="n">
        <f aca="false">(I32/L32)*B32</f>
        <v>0</v>
      </c>
      <c r="N32" s="2" t="n">
        <f aca="false">(J32/L32)*B32+(J32/(J32+K32))*(1-B32)</f>
        <v>0.98725741751292</v>
      </c>
      <c r="O32" s="2" t="n">
        <f aca="false">(K32/L32)*B32+(K32/(K32+J32))*(1-B32)</f>
        <v>0.0127425824870803</v>
      </c>
      <c r="P32" s="2" t="n">
        <f aca="false">M32+N32+O32</f>
        <v>1</v>
      </c>
      <c r="Q32" s="2" t="n">
        <f aca="false">M32/(I32/$L32)</f>
        <v>0</v>
      </c>
      <c r="R32" s="2" t="n">
        <f aca="false">N32/(J32/$L32)</f>
        <v>1.00957021625881</v>
      </c>
      <c r="S32" s="2" t="n">
        <f aca="false">O32/(K32/$L32)</f>
        <v>1.00957021625881</v>
      </c>
      <c r="T32" s="2" t="n">
        <f aca="false">M32-I32/$L32</f>
        <v>-0.00947949543744694</v>
      </c>
      <c r="U32" s="2" t="n">
        <f aca="false">N32-J32/$L32</f>
        <v>0.00935870218489932</v>
      </c>
      <c r="V32" s="2" t="n">
        <f aca="false">O32-K32/$L32</f>
        <v>0.000120793252547569</v>
      </c>
      <c r="W32" s="2" t="n">
        <f aca="false">T32+U32+V32</f>
        <v>-5.72458747072346E-017</v>
      </c>
      <c r="X32" s="2" t="n">
        <f aca="false">T32/(I32)*$L32</f>
        <v>-1</v>
      </c>
      <c r="Y32" s="2" t="n">
        <f aca="false">U32/(J32)*$L32</f>
        <v>0.00957021625880763</v>
      </c>
      <c r="Z32" s="2" t="n">
        <f aca="false">V32/(K32)*$L32</f>
        <v>0.00957021625880765</v>
      </c>
      <c r="AA32" s="2"/>
      <c r="AB32" s="2"/>
      <c r="AC32" s="2" t="n">
        <f aca="false">I32/(I32+K32)*B32</f>
        <v>0</v>
      </c>
      <c r="AD32" s="2" t="n">
        <f aca="false">(J32/(J32+K32))*(1-B32)</f>
        <v>0.98725741751292</v>
      </c>
      <c r="AE32" s="2" t="n">
        <f aca="false">(K32/(K32+I32))*B32+(K32/(K32+J32))*(1-B32)</f>
        <v>0.0127425824870803</v>
      </c>
      <c r="AF32" s="2" t="n">
        <f aca="false">AC32+AD32+AE32</f>
        <v>1</v>
      </c>
      <c r="AG32" s="2" t="n">
        <f aca="false">AC32/(I32/$L32)</f>
        <v>0</v>
      </c>
      <c r="AH32" s="2" t="n">
        <f aca="false">AD32/(J32/$L32)</f>
        <v>1.00957021625881</v>
      </c>
      <c r="AI32" s="2" t="n">
        <f aca="false">AE32/(K32/$L32)</f>
        <v>1.00957021625881</v>
      </c>
      <c r="AJ32" s="2" t="n">
        <f aca="false">AC32-I32/$L32</f>
        <v>-0.00947949543744694</v>
      </c>
      <c r="AK32" s="2" t="n">
        <f aca="false">AD32-J32/$L32</f>
        <v>0.00935870218489932</v>
      </c>
      <c r="AL32" s="2" t="n">
        <f aca="false">AE32-K32/$L32</f>
        <v>0.000120793252547569</v>
      </c>
      <c r="AM32" s="2" t="n">
        <f aca="false">AJ32+AK32+AL32</f>
        <v>-5.72458747072346E-017</v>
      </c>
      <c r="AN32" s="2" t="n">
        <f aca="false">AJ32/(I32)*$L32</f>
        <v>-1</v>
      </c>
      <c r="AO32" s="2" t="n">
        <f aca="false">AK32/(J32)*$L32</f>
        <v>0.00957021625880763</v>
      </c>
      <c r="AP32" s="2" t="n">
        <f aca="false">AL32/(K32)*$L32</f>
        <v>0.00957021625880765</v>
      </c>
      <c r="AQ32" s="2"/>
      <c r="AR32" s="2" t="n">
        <f aca="false">B32-C32</f>
        <v>-0.0190957981584029</v>
      </c>
      <c r="AS32" s="45" t="n">
        <f aca="false">B32/C32</f>
        <v>0</v>
      </c>
      <c r="AU32" s="32" t="n">
        <v>534803</v>
      </c>
      <c r="AV32" s="45" t="n">
        <f aca="false">AU32*1000/(L32*365)</f>
        <v>2.3214919891441</v>
      </c>
      <c r="AW32" s="4" t="n">
        <f aca="false">M32*$AU32</f>
        <v>0</v>
      </c>
      <c r="AX32" s="4" t="n">
        <f aca="false">N32*$AU32</f>
        <v>527988.228658162</v>
      </c>
      <c r="AY32" s="4" t="n">
        <f aca="false">O32*$AU32</f>
        <v>6814.77134183803</v>
      </c>
      <c r="AZ32" s="45" t="n">
        <f aca="false">AW32*1000/(I32*365)</f>
        <v>0</v>
      </c>
      <c r="BA32" s="45" t="n">
        <f aca="false">AX32*1000/(J32*365)</f>
        <v>2.3437091695233</v>
      </c>
      <c r="BB32" s="45" t="n">
        <f aca="false">AY32*1000/(K32*365)</f>
        <v>2.3437091695233</v>
      </c>
      <c r="BC32" s="45" t="n">
        <f aca="false">$AV32-AZ32</f>
        <v>2.3214919891441</v>
      </c>
      <c r="BD32" s="45" t="n">
        <f aca="false">$AV32-BA32</f>
        <v>-0.0222171803791982</v>
      </c>
      <c r="BE32" s="45" t="n">
        <f aca="false">$AV32-BB32</f>
        <v>-0.0222171803791986</v>
      </c>
      <c r="BF32" s="2" t="n">
        <f aca="false">SQRT((BC32*$I32)^2+(BD32*$J32)^2+(BE32*$K32)^2)/$L32</f>
        <v>0.0309256134268734</v>
      </c>
      <c r="BG32" s="45"/>
      <c r="BH32" s="4" t="n">
        <f aca="false">AC32*$AU32</f>
        <v>0</v>
      </c>
      <c r="BI32" s="4" t="n">
        <f aca="false">AD32*$AU32</f>
        <v>527988.228658162</v>
      </c>
      <c r="BJ32" s="4" t="n">
        <f aca="false">AE32*$AU32</f>
        <v>6814.77134183803</v>
      </c>
      <c r="BK32" s="45" t="n">
        <f aca="false">BH32*1000/(I32*365)</f>
        <v>0</v>
      </c>
      <c r="BL32" s="45" t="n">
        <f aca="false">BI32*1000/(J32*365)</f>
        <v>2.3437091695233</v>
      </c>
      <c r="BM32" s="45" t="n">
        <f aca="false">BJ32*1000/(K32*365)</f>
        <v>2.3437091695233</v>
      </c>
      <c r="BN32" s="45" t="n">
        <f aca="false">$AV32-BK32</f>
        <v>2.3214919891441</v>
      </c>
      <c r="BO32" s="45" t="n">
        <f aca="false">$AV32-BL32</f>
        <v>-0.0222171803791982</v>
      </c>
      <c r="BP32" s="45" t="n">
        <f aca="false">$AV32-BM32</f>
        <v>-0.0222171803791986</v>
      </c>
      <c r="BQ32" s="2" t="n">
        <f aca="false">SQRT((BN32*$I32)^2+(BO32*$J32)^2+(BP32*$K32)^2)/$L32</f>
        <v>0.0309256134268734</v>
      </c>
      <c r="BS32" s="0" t="s">
        <v>56</v>
      </c>
      <c r="BT32" s="2" t="n">
        <v>0.0641925019606728</v>
      </c>
      <c r="BU32" s="2" t="n">
        <v>0.0641925019606728</v>
      </c>
      <c r="BW32" s="0" t="s">
        <v>47</v>
      </c>
      <c r="BX32" s="2" t="n">
        <v>0.0507222717635897</v>
      </c>
      <c r="BY32" s="2" t="n">
        <v>0.0507222717635897</v>
      </c>
    </row>
    <row r="33" customFormat="false" ht="12.75" hidden="false" customHeight="false" outlineLevel="0" collapsed="false">
      <c r="A33" s="0" t="s">
        <v>38</v>
      </c>
      <c r="B33" s="2" t="n">
        <v>0.331822037089797</v>
      </c>
      <c r="C33" s="2" t="n">
        <v>0.0509878017590525</v>
      </c>
      <c r="D33" s="2" t="n">
        <f aca="false">1-C33</f>
        <v>0.949012198240948</v>
      </c>
      <c r="E33" s="0" t="n">
        <v>8422034</v>
      </c>
      <c r="F33" s="2" t="n">
        <v>0.0243517386556935</v>
      </c>
      <c r="G33" s="2" t="n">
        <f aca="false">1-F33</f>
        <v>0.975648261344307</v>
      </c>
      <c r="H33" s="0" t="n">
        <v>8220613</v>
      </c>
      <c r="I33" s="4" t="n">
        <f aca="false">0.5*E33*C33</f>
        <v>214710.5</v>
      </c>
      <c r="J33" s="4" t="n">
        <f aca="false">H33*G33</f>
        <v>8020426.7806344</v>
      </c>
      <c r="K33" s="4" t="n">
        <f aca="false">0.5*H33*F33</f>
        <v>100093.109682798</v>
      </c>
      <c r="L33" s="4" t="n">
        <f aca="false">I33+J33+K33</f>
        <v>8335230.3903172</v>
      </c>
      <c r="M33" s="2" t="n">
        <f aca="false">(I33/L33)*B33</f>
        <v>0.00854753523997763</v>
      </c>
      <c r="N33" s="2" t="n">
        <f aca="false">(J33/L33)*B33+(J33/(J33+K33))*(1-B33)</f>
        <v>0.979231872773192</v>
      </c>
      <c r="O33" s="2" t="n">
        <f aca="false">(K33/L33)*B33+(K33/(K33+J33))*(1-B33)</f>
        <v>0.0122205919868302</v>
      </c>
      <c r="P33" s="2" t="n">
        <f aca="false">M33+N33+O33</f>
        <v>1</v>
      </c>
      <c r="Q33" s="2" t="n">
        <f aca="false">M33/(I33/$L33)</f>
        <v>0.331822037089797</v>
      </c>
      <c r="R33" s="2" t="n">
        <f aca="false">N33/(J33/$L33)</f>
        <v>1.01766695069321</v>
      </c>
      <c r="S33" s="2" t="n">
        <f aca="false">O33/(K33/$L33)</f>
        <v>1.01766695069321</v>
      </c>
      <c r="T33" s="2" t="n">
        <f aca="false">M33-I33/$L33</f>
        <v>-0.0172118607149828</v>
      </c>
      <c r="U33" s="2" t="n">
        <f aca="false">N33-J33/$L33</f>
        <v>0.016999708206811</v>
      </c>
      <c r="V33" s="2" t="n">
        <f aca="false">O33-K33/$L33</f>
        <v>0.000212152508171803</v>
      </c>
      <c r="W33" s="2" t="n">
        <f aca="false">T33+U33+V33</f>
        <v>-3.46944695195361E-018</v>
      </c>
      <c r="X33" s="2" t="n">
        <f aca="false">T33/(I33)*$L33</f>
        <v>-0.668177962910203</v>
      </c>
      <c r="Y33" s="2" t="n">
        <f aca="false">U33/(J33)*$L33</f>
        <v>0.0176669506932058</v>
      </c>
      <c r="Z33" s="2" t="n">
        <f aca="false">V33/(K33)*$L33</f>
        <v>0.0176669506932058</v>
      </c>
      <c r="AA33" s="2"/>
      <c r="AB33" s="2"/>
      <c r="AC33" s="2" t="n">
        <f aca="false">I33/(I33+K33)*B33</f>
        <v>0.226317848027083</v>
      </c>
      <c r="AD33" s="2" t="n">
        <f aca="false">(J33/(J33+K33))*(1-B33)</f>
        <v>0.659942035773451</v>
      </c>
      <c r="AE33" s="2" t="n">
        <f aca="false">(K33/(K33+I33))*B33+(K33/(K33+J33))*(1-B33)</f>
        <v>0.113740116199466</v>
      </c>
      <c r="AF33" s="2" t="n">
        <f aca="false">AC33+AD33+AE33</f>
        <v>1</v>
      </c>
      <c r="AG33" s="2" t="n">
        <f aca="false">AC33/(I33/$L33)</f>
        <v>8.78583676506988</v>
      </c>
      <c r="AH33" s="2" t="n">
        <f aca="false">AD33/(J33/$L33)</f>
        <v>0.685844913603409</v>
      </c>
      <c r="AI33" s="2" t="n">
        <f aca="false">AE33/(K33/$L33)</f>
        <v>9.47168167867329</v>
      </c>
      <c r="AJ33" s="53" t="n">
        <f aca="false">AC33-I33/$L33</f>
        <v>0.200558452072123</v>
      </c>
      <c r="AK33" s="2" t="n">
        <f aca="false">AD33-J33/$L33</f>
        <v>-0.30229012879293</v>
      </c>
      <c r="AL33" s="2" t="n">
        <f aca="false">AE33-K33/$L33</f>
        <v>0.101731676720807</v>
      </c>
      <c r="AM33" s="2" t="n">
        <f aca="false">AJ33+AK33+AL33</f>
        <v>0</v>
      </c>
      <c r="AN33" s="2" t="n">
        <f aca="false">AJ33/(I33)*$L33</f>
        <v>7.78583676506988</v>
      </c>
      <c r="AO33" s="2" t="n">
        <f aca="false">AK33/(J33)*$L33</f>
        <v>-0.314155086396591</v>
      </c>
      <c r="AP33" s="2" t="n">
        <f aca="false">AL33/(K33)*$L33</f>
        <v>8.47168167867329</v>
      </c>
      <c r="AQ33" s="2"/>
      <c r="AR33" s="53" t="n">
        <f aca="false">B33-C33</f>
        <v>0.280834235330744</v>
      </c>
      <c r="AS33" s="54" t="n">
        <f aca="false">B33/C33</f>
        <v>6.50787101310726</v>
      </c>
      <c r="AU33" s="34" t="n">
        <v>4584271</v>
      </c>
      <c r="AV33" s="45" t="n">
        <f aca="false">AU33*1000/(L33*365)</f>
        <v>1.50681456746926</v>
      </c>
      <c r="AW33" s="4" t="n">
        <f aca="false">M33*$AU33</f>
        <v>39184.2179221075</v>
      </c>
      <c r="AX33" s="4" t="n">
        <f aca="false">N33*$AU33</f>
        <v>4489064.27662983</v>
      </c>
      <c r="AY33" s="4" t="n">
        <f aca="false">O33*$AU33</f>
        <v>56022.5054480581</v>
      </c>
      <c r="AZ33" s="45" t="n">
        <f aca="false">AW33*1000/(I33*365)</f>
        <v>0.499994279294232</v>
      </c>
      <c r="BA33" s="45" t="n">
        <f aca="false">AX33*1000/(J33*365)</f>
        <v>1.53343538613655</v>
      </c>
      <c r="BB33" s="45" t="n">
        <f aca="false">AY33*1000/(K33*365)</f>
        <v>1.53343538613655</v>
      </c>
      <c r="BC33" s="45" t="n">
        <f aca="false">$AV33-AZ33</f>
        <v>1.00682028817503</v>
      </c>
      <c r="BD33" s="45" t="n">
        <f aca="false">$AV33-BA33</f>
        <v>-0.0266208186672836</v>
      </c>
      <c r="BE33" s="45" t="n">
        <f aca="false">$AV33-BB33</f>
        <v>-0.0266208186672834</v>
      </c>
      <c r="BF33" s="2" t="n">
        <f aca="false">SQRT((BC33*$I33)^2+(BD33*$J33)^2+(BE33*$K33)^2)/$L33</f>
        <v>0.0364538039073933</v>
      </c>
      <c r="BG33" s="45"/>
      <c r="BH33" s="4" t="n">
        <f aca="false">AC33*$AU33</f>
        <v>1037502.34749297</v>
      </c>
      <c r="BI33" s="4" t="n">
        <f aca="false">AD33*$AU33</f>
        <v>3025353.13627719</v>
      </c>
      <c r="BJ33" s="4" t="n">
        <f aca="false">AE33*$AU33</f>
        <v>521415.516229841</v>
      </c>
      <c r="BK33" s="45" t="n">
        <f aca="false">BH33*1000/(I33*365)</f>
        <v>13.2386268250143</v>
      </c>
      <c r="BL33" s="45" t="n">
        <f aca="false">BI33*1000/(J33*365)</f>
        <v>1.03344110684231</v>
      </c>
      <c r="BM33" s="45" t="n">
        <f aca="false">BJ33*1000/(K33*365)</f>
        <v>14.2720679318566</v>
      </c>
      <c r="BN33" s="54" t="n">
        <f aca="false">$AV33-BK33</f>
        <v>-11.7318122575451</v>
      </c>
      <c r="BO33" s="45" t="n">
        <f aca="false">$AV33-BL33</f>
        <v>0.473373460626948</v>
      </c>
      <c r="BP33" s="45" t="n">
        <f aca="false">$AV33-BM33</f>
        <v>-12.7652533643874</v>
      </c>
      <c r="BQ33" s="2" t="n">
        <f aca="false">SQRT((BN33*$I33)^2+(BO33*$J33)^2+(BP33*$K33)^2)/$L33</f>
        <v>0.567715957327535</v>
      </c>
      <c r="BS33" s="0" t="s">
        <v>51</v>
      </c>
      <c r="BT33" s="2" t="n">
        <v>0.0661127882673879</v>
      </c>
      <c r="BU33" s="2" t="n">
        <v>0.0661127882673879</v>
      </c>
      <c r="BW33" s="0" t="s">
        <v>10</v>
      </c>
      <c r="BX33" s="2" t="n">
        <v>0.0521190266291378</v>
      </c>
      <c r="BY33" s="2" t="n">
        <v>0.0521190266291378</v>
      </c>
    </row>
    <row r="34" customFormat="false" ht="12.75" hidden="false" customHeight="false" outlineLevel="0" collapsed="false">
      <c r="A34" s="0" t="s">
        <v>39</v>
      </c>
      <c r="B34" s="2" t="n">
        <v>0.000738443042039357</v>
      </c>
      <c r="C34" s="2" t="n">
        <v>0.0221303868527105</v>
      </c>
      <c r="D34" s="2" t="n">
        <f aca="false">1-C34</f>
        <v>0.97786961314729</v>
      </c>
      <c r="E34" s="0" t="n">
        <v>3303738</v>
      </c>
      <c r="F34" s="2" t="n">
        <v>0.0177088340756862</v>
      </c>
      <c r="G34" s="2" t="n">
        <f aca="false">1-F34</f>
        <v>0.982291165924314</v>
      </c>
      <c r="H34" s="0" t="n">
        <v>3300481</v>
      </c>
      <c r="I34" s="4" t="n">
        <f aca="false">0.5*E34*C34</f>
        <v>36556.5000000001</v>
      </c>
      <c r="J34" s="4" t="n">
        <f aca="false">H34*G34</f>
        <v>3242033.32960104</v>
      </c>
      <c r="K34" s="4" t="n">
        <f aca="false">0.5*H34*F34</f>
        <v>29223.8351994775</v>
      </c>
      <c r="L34" s="4" t="n">
        <f aca="false">I34+J34+K34</f>
        <v>3307813.66480052</v>
      </c>
      <c r="M34" s="2" t="n">
        <f aca="false">(I34/L34)*B34</f>
        <v>8.16094732105768E-006</v>
      </c>
      <c r="N34" s="2" t="n">
        <f aca="false">(J34/L34)*B34+(J34/(J34+K34))*(1-B34)</f>
        <v>0.991058393825642</v>
      </c>
      <c r="O34" s="2" t="n">
        <f aca="false">(K34/L34)*B34+(K34/(K34+J34))*(1-B34)</f>
        <v>0.00893344522703703</v>
      </c>
      <c r="P34" s="2" t="n">
        <f aca="false">M34+N34+O34</f>
        <v>1</v>
      </c>
      <c r="Q34" s="2" t="n">
        <f aca="false">M34/(I34/$L34)</f>
        <v>0.000738443042039357</v>
      </c>
      <c r="R34" s="2" t="n">
        <f aca="false">N34/(J34/$L34)</f>
        <v>1.01116680935391</v>
      </c>
      <c r="S34" s="2" t="n">
        <f aca="false">O34/(K34/$L34)</f>
        <v>1.01116680935391</v>
      </c>
      <c r="T34" s="2" t="n">
        <f aca="false">M34-I34/$L34</f>
        <v>-0.0110433986943266</v>
      </c>
      <c r="U34" s="2" t="n">
        <f aca="false">N34-J34/$L34</f>
        <v>0.0109447422918407</v>
      </c>
      <c r="V34" s="2" t="n">
        <f aca="false">O34-K34/$L34</f>
        <v>9.86564024858007E-005</v>
      </c>
      <c r="W34" s="2" t="n">
        <f aca="false">T34+U34+V34</f>
        <v>-6.59194920871187E-017</v>
      </c>
      <c r="X34" s="2" t="n">
        <f aca="false">T34/(I34)*$L34</f>
        <v>-0.999261556957961</v>
      </c>
      <c r="Y34" s="2" t="n">
        <f aca="false">U34/(J34)*$L34</f>
        <v>0.0111668093539082</v>
      </c>
      <c r="Z34" s="2" t="n">
        <f aca="false">V34/(K34)*$L34</f>
        <v>0.011166809353908</v>
      </c>
      <c r="AA34" s="2"/>
      <c r="AB34" s="2"/>
      <c r="AC34" s="2" t="n">
        <f aca="false">I34/(I34+K34)*B34</f>
        <v>0.000410379378342332</v>
      </c>
      <c r="AD34" s="2" t="n">
        <f aca="false">(J34/(J34+K34))*(1-B34)</f>
        <v>0.990334635719259</v>
      </c>
      <c r="AE34" s="2" t="n">
        <f aca="false">(K34/(K34+I34))*B34+(K34/(K34+J34))*(1-B34)</f>
        <v>0.00925498490239868</v>
      </c>
      <c r="AF34" s="2" t="n">
        <f aca="false">AC34+AD34+AE34</f>
        <v>1</v>
      </c>
      <c r="AG34" s="2" t="n">
        <f aca="false">AC34/(I34/$L34)</f>
        <v>0.0371331641550232</v>
      </c>
      <c r="AH34" s="2" t="n">
        <f aca="false">AD34/(J34/$L34)</f>
        <v>1.01042836631187</v>
      </c>
      <c r="AI34" s="2" t="n">
        <f aca="false">AE34/(K34/$L34)</f>
        <v>1.04756153046689</v>
      </c>
      <c r="AJ34" s="2" t="n">
        <f aca="false">AC34-I34/$L34</f>
        <v>-0.0106411802633053</v>
      </c>
      <c r="AK34" s="2" t="n">
        <f aca="false">AD34-J34/$L34</f>
        <v>0.0102209841854578</v>
      </c>
      <c r="AL34" s="2" t="n">
        <f aca="false">AE34-K34/$L34</f>
        <v>0.00042019607784745</v>
      </c>
      <c r="AM34" s="2" t="n">
        <f aca="false">AJ34+AK34+AL34</f>
        <v>-6.41847686111419E-017</v>
      </c>
      <c r="AN34" s="2" t="n">
        <f aca="false">AJ34/(I34)*$L34</f>
        <v>-0.962866835844977</v>
      </c>
      <c r="AO34" s="2" t="n">
        <f aca="false">AK34/(J34)*$L34</f>
        <v>0.0104283663118688</v>
      </c>
      <c r="AP34" s="2" t="n">
        <f aca="false">AL34/(K34)*$L34</f>
        <v>0.047561530466892</v>
      </c>
      <c r="AQ34" s="2"/>
      <c r="AR34" s="2" t="n">
        <f aca="false">B34-C34</f>
        <v>-0.0213919438106712</v>
      </c>
      <c r="AS34" s="45" t="n">
        <f aca="false">B34/C34</f>
        <v>0.0333678325170765</v>
      </c>
      <c r="AU34" s="32" t="n">
        <v>1871498</v>
      </c>
      <c r="AV34" s="45" t="n">
        <f aca="false">AU34*1000/(L34*365)</f>
        <v>1.55008482956102</v>
      </c>
      <c r="AW34" s="4" t="n">
        <f aca="false">M34*$AU34</f>
        <v>15.2731965894648</v>
      </c>
      <c r="AX34" s="4" t="n">
        <f aca="false">N34*$AU34</f>
        <v>1854763.8019279</v>
      </c>
      <c r="AY34" s="4" t="n">
        <f aca="false">O34*$AU34</f>
        <v>16718.9248755093</v>
      </c>
      <c r="AZ34" s="45" t="n">
        <f aca="false">AW34*1000/(I34*365)</f>
        <v>0.0011446493569601</v>
      </c>
      <c r="BA34" s="45" t="n">
        <f aca="false">AX34*1000/(J34*365)</f>
        <v>1.56739433133511</v>
      </c>
      <c r="BB34" s="45" t="n">
        <f aca="false">AY34*1000/(K34*365)</f>
        <v>1.56739433133511</v>
      </c>
      <c r="BC34" s="45" t="n">
        <f aca="false">$AV34-AZ34</f>
        <v>1.54894018020406</v>
      </c>
      <c r="BD34" s="45" t="n">
        <f aca="false">$AV34-BA34</f>
        <v>-0.017309501774093</v>
      </c>
      <c r="BE34" s="45" t="n">
        <f aca="false">$AV34-BB34</f>
        <v>-0.017309501774093</v>
      </c>
      <c r="BF34" s="2" t="n">
        <f aca="false">SQRT((BC34*$I34)^2+(BD34*$J34)^2+(BE34*$K34)^2)/$L34</f>
        <v>0.0241013902606502</v>
      </c>
      <c r="BG34" s="45"/>
      <c r="BH34" s="4" t="n">
        <f aca="false">AC34*$AU34</f>
        <v>768.024185808917</v>
      </c>
      <c r="BI34" s="4" t="n">
        <f aca="false">AD34*$AU34</f>
        <v>1853409.29007932</v>
      </c>
      <c r="BJ34" s="4" t="n">
        <f aca="false">AE34*$AU34</f>
        <v>17320.6857348693</v>
      </c>
      <c r="BK34" s="45" t="n">
        <f aca="false">BH34*1000/(I34*365)</f>
        <v>0.0575595544303004</v>
      </c>
      <c r="BL34" s="45" t="n">
        <f aca="false">BI34*1000/(J34*365)</f>
        <v>1.56624968197815</v>
      </c>
      <c r="BM34" s="45" t="n">
        <f aca="false">BJ34*1000/(K34*365)</f>
        <v>1.62380923640845</v>
      </c>
      <c r="BN34" s="45" t="n">
        <f aca="false">$AV34-BK34</f>
        <v>1.49252527513072</v>
      </c>
      <c r="BO34" s="45" t="n">
        <f aca="false">$AV34-BL34</f>
        <v>-0.0161648524171329</v>
      </c>
      <c r="BP34" s="45" t="n">
        <f aca="false">$AV34-BM34</f>
        <v>-0.0737244068474334</v>
      </c>
      <c r="BQ34" s="2" t="n">
        <f aca="false">SQRT((BN34*$I34)^2+(BO34*$J34)^2+(BP34*$K34)^2)/$L34</f>
        <v>0.0228804177614424</v>
      </c>
      <c r="BS34" s="0" t="s">
        <v>34</v>
      </c>
      <c r="BT34" s="2" t="n">
        <v>0.0665656078500592</v>
      </c>
      <c r="BU34" s="2" t="n">
        <v>0.0665656078500592</v>
      </c>
      <c r="BW34" s="0" t="s">
        <v>36</v>
      </c>
      <c r="BX34" s="2" t="n">
        <v>0.0528260619785424</v>
      </c>
      <c r="BY34" s="2" t="n">
        <v>0.437867914815341</v>
      </c>
    </row>
    <row r="35" customFormat="false" ht="12.75" hidden="false" customHeight="false" outlineLevel="0" collapsed="false">
      <c r="A35" s="0" t="s">
        <v>40</v>
      </c>
      <c r="B35" s="2" t="n">
        <v>0</v>
      </c>
      <c r="C35" s="2" t="n">
        <v>0.0585817128891722</v>
      </c>
      <c r="D35" s="2" t="n">
        <f aca="false">1-C35</f>
        <v>0.941418287110828</v>
      </c>
      <c r="E35" s="0" t="n">
        <v>301152</v>
      </c>
      <c r="F35" s="2" t="n">
        <v>0.0366960008154666</v>
      </c>
      <c r="G35" s="2" t="n">
        <f aca="false">1-F35</f>
        <v>0.963303999184533</v>
      </c>
      <c r="H35" s="0" t="n">
        <v>293548</v>
      </c>
      <c r="I35" s="4" t="n">
        <f aca="false">0.5*E35*C35</f>
        <v>8821</v>
      </c>
      <c r="J35" s="4" t="n">
        <f aca="false">H35*G35</f>
        <v>282775.962352621</v>
      </c>
      <c r="K35" s="4" t="n">
        <f aca="false">0.5*H35*F35</f>
        <v>5386.0188236893</v>
      </c>
      <c r="L35" s="4" t="n">
        <f aca="false">I35+J35+K35</f>
        <v>296982.981176311</v>
      </c>
      <c r="M35" s="2" t="n">
        <f aca="false">(I35/L35)*B35</f>
        <v>0</v>
      </c>
      <c r="N35" s="2" t="n">
        <f aca="false">(J35/L35)*B35+(J35/(J35+K35))*(1-B35)</f>
        <v>0.98130905818421</v>
      </c>
      <c r="O35" s="2" t="n">
        <f aca="false">(K35/L35)*B35+(K35/(K35+J35))*(1-B35)</f>
        <v>0.0186909418157904</v>
      </c>
      <c r="P35" s="2" t="n">
        <f aca="false">M35+N35+O35</f>
        <v>1</v>
      </c>
      <c r="Q35" s="2" t="n">
        <f aca="false">M35/(I35/$L35)</f>
        <v>0</v>
      </c>
      <c r="R35" s="2" t="n">
        <f aca="false">N35/(J35/$L35)</f>
        <v>1.03061125539182</v>
      </c>
      <c r="S35" s="2" t="n">
        <f aca="false">O35/(K35/$L35)</f>
        <v>1.03061125539182</v>
      </c>
      <c r="T35" s="2" t="n">
        <f aca="false">M35-I35/$L35</f>
        <v>-0.0297020386995281</v>
      </c>
      <c r="U35" s="2" t="n">
        <f aca="false">N35-J35/$L35</f>
        <v>0.0291468796223848</v>
      </c>
      <c r="V35" s="2" t="n">
        <f aca="false">O35-K35/$L35</f>
        <v>0.000555159077143236</v>
      </c>
      <c r="W35" s="2" t="n">
        <f aca="false">T35+U35+V35</f>
        <v>-2.08166817117217E-017</v>
      </c>
      <c r="X35" s="2" t="n">
        <f aca="false">T35/(I35)*$L35</f>
        <v>-1</v>
      </c>
      <c r="Y35" s="2" t="n">
        <f aca="false">U35/(J35)*$L35</f>
        <v>0.0306112553918169</v>
      </c>
      <c r="Z35" s="2" t="n">
        <f aca="false">V35/(K35)*$L35</f>
        <v>0.0306112553918171</v>
      </c>
      <c r="AA35" s="2"/>
      <c r="AB35" s="2"/>
      <c r="AC35" s="2" t="n">
        <f aca="false">I35/(I35+K35)*B35</f>
        <v>0</v>
      </c>
      <c r="AD35" s="2" t="n">
        <f aca="false">(J35/(J35+K35))*(1-B35)</f>
        <v>0.98130905818421</v>
      </c>
      <c r="AE35" s="2" t="n">
        <f aca="false">(K35/(K35+I35))*B35+(K35/(K35+J35))*(1-B35)</f>
        <v>0.0186909418157904</v>
      </c>
      <c r="AF35" s="2" t="n">
        <f aca="false">AC35+AD35+AE35</f>
        <v>1</v>
      </c>
      <c r="AG35" s="2" t="n">
        <f aca="false">AC35/(I35/$L35)</f>
        <v>0</v>
      </c>
      <c r="AH35" s="2" t="n">
        <f aca="false">AD35/(J35/$L35)</f>
        <v>1.03061125539182</v>
      </c>
      <c r="AI35" s="2" t="n">
        <f aca="false">AE35/(K35/$L35)</f>
        <v>1.03061125539182</v>
      </c>
      <c r="AJ35" s="2" t="n">
        <f aca="false">AC35-I35/$L35</f>
        <v>-0.0297020386995281</v>
      </c>
      <c r="AK35" s="2" t="n">
        <f aca="false">AD35-J35/$L35</f>
        <v>0.0291468796223848</v>
      </c>
      <c r="AL35" s="2" t="n">
        <f aca="false">AE35-K35/$L35</f>
        <v>0.000555159077143236</v>
      </c>
      <c r="AM35" s="2" t="n">
        <f aca="false">AJ35+AK35+AL35</f>
        <v>-2.08166817117217E-017</v>
      </c>
      <c r="AN35" s="2" t="n">
        <f aca="false">AJ35/(I35)*$L35</f>
        <v>-1</v>
      </c>
      <c r="AO35" s="2" t="n">
        <f aca="false">AK35/(J35)*$L35</f>
        <v>0.0306112553918169</v>
      </c>
      <c r="AP35" s="2" t="n">
        <f aca="false">AL35/(K35)*$L35</f>
        <v>0.0306112553918171</v>
      </c>
      <c r="AQ35" s="2"/>
      <c r="AR35" s="2" t="n">
        <f aca="false">B35-C35</f>
        <v>-0.0585817128891722</v>
      </c>
      <c r="AS35" s="45" t="n">
        <f aca="false">B35/C35</f>
        <v>0</v>
      </c>
      <c r="AU35" s="32" t="n">
        <v>270095</v>
      </c>
      <c r="AV35" s="45" t="n">
        <f aca="false">AU35*1000/(L35*365)</f>
        <v>2.49167914753524</v>
      </c>
      <c r="AW35" s="4" t="n">
        <f aca="false">M35*$AU35</f>
        <v>0</v>
      </c>
      <c r="AX35" s="4" t="n">
        <f aca="false">N35*$AU35</f>
        <v>265046.670070264</v>
      </c>
      <c r="AY35" s="4" t="n">
        <f aca="false">O35*$AU35</f>
        <v>5048.3299297359</v>
      </c>
      <c r="AZ35" s="45" t="n">
        <f aca="false">AW35*1000/(I35*365)</f>
        <v>0</v>
      </c>
      <c r="BA35" s="45" t="n">
        <f aca="false">AX35*1000/(J35*365)</f>
        <v>2.5679525742749</v>
      </c>
      <c r="BB35" s="45" t="n">
        <f aca="false">AY35*1000/(K35*365)</f>
        <v>2.5679525742749</v>
      </c>
      <c r="BC35" s="45" t="n">
        <f aca="false">$AV35-AZ35</f>
        <v>2.49167914753524</v>
      </c>
      <c r="BD35" s="45" t="n">
        <f aca="false">$AV35-BA35</f>
        <v>-0.0762734267396659</v>
      </c>
      <c r="BE35" s="45" t="n">
        <f aca="false">$AV35-BB35</f>
        <v>-0.0762734267396663</v>
      </c>
      <c r="BF35" s="2" t="n">
        <f aca="false">SQRT((BC35*$I35)^2+(BD35*$J35)^2+(BE35*$K35)^2)/$L35</f>
        <v>0.103698761801064</v>
      </c>
      <c r="BG35" s="45"/>
      <c r="BH35" s="4" t="n">
        <f aca="false">AC35*$AU35</f>
        <v>0</v>
      </c>
      <c r="BI35" s="4" t="n">
        <f aca="false">AD35*$AU35</f>
        <v>265046.670070264</v>
      </c>
      <c r="BJ35" s="4" t="n">
        <f aca="false">AE35*$AU35</f>
        <v>5048.3299297359</v>
      </c>
      <c r="BK35" s="45" t="n">
        <f aca="false">BH35*1000/(I35*365)</f>
        <v>0</v>
      </c>
      <c r="BL35" s="45" t="n">
        <f aca="false">BI35*1000/(J35*365)</f>
        <v>2.5679525742749</v>
      </c>
      <c r="BM35" s="45" t="n">
        <f aca="false">BJ35*1000/(K35*365)</f>
        <v>2.5679525742749</v>
      </c>
      <c r="BN35" s="45" t="n">
        <f aca="false">$AV35-BK35</f>
        <v>2.49167914753524</v>
      </c>
      <c r="BO35" s="45" t="n">
        <f aca="false">$AV35-BL35</f>
        <v>-0.0762734267396659</v>
      </c>
      <c r="BP35" s="45" t="n">
        <f aca="false">$AV35-BM35</f>
        <v>-0.0762734267396663</v>
      </c>
      <c r="BQ35" s="2" t="n">
        <f aca="false">SQRT((BN35*$I35)^2+(BO35*$J35)^2+(BP35*$K35)^2)/$L35</f>
        <v>0.103698761801064</v>
      </c>
      <c r="BS35" s="0" t="s">
        <v>31</v>
      </c>
      <c r="BT35" s="2" t="n">
        <v>0.0772776920578819</v>
      </c>
      <c r="BU35" s="2" t="n">
        <v>0.0760630557203349</v>
      </c>
      <c r="BW35" s="0" t="s">
        <v>21</v>
      </c>
      <c r="BX35" s="2" t="n">
        <v>0.0573853860649703</v>
      </c>
      <c r="BY35" s="2" t="n">
        <v>0.0550548807195891</v>
      </c>
    </row>
    <row r="36" customFormat="false" ht="12.75" hidden="false" customHeight="false" outlineLevel="0" collapsed="false">
      <c r="A36" s="0" t="s">
        <v>41</v>
      </c>
      <c r="B36" s="2" t="n">
        <v>0.0328757643019831</v>
      </c>
      <c r="C36" s="2" t="n">
        <v>0.0282688311910131</v>
      </c>
      <c r="D36" s="2" t="n">
        <f aca="false">1-C36</f>
        <v>0.971731168808987</v>
      </c>
      <c r="E36" s="0" t="n">
        <v>4859451</v>
      </c>
      <c r="F36" s="2" t="n">
        <v>0.0222724306202026</v>
      </c>
      <c r="G36" s="2" t="n">
        <f aca="false">1-F36</f>
        <v>0.977727569379797</v>
      </c>
      <c r="H36" s="0" t="n">
        <v>4843205</v>
      </c>
      <c r="I36" s="4" t="n">
        <f aca="false">0.5*E36*C36</f>
        <v>68685.4999999999</v>
      </c>
      <c r="J36" s="4" t="n">
        <f aca="false">H36*G36</f>
        <v>4735335.05265808</v>
      </c>
      <c r="K36" s="4" t="n">
        <f aca="false">0.5*H36*F36</f>
        <v>53934.9736709591</v>
      </c>
      <c r="L36" s="4" t="n">
        <f aca="false">I36+J36+K36</f>
        <v>4857955.52632904</v>
      </c>
      <c r="M36" s="2" t="n">
        <f aca="false">(I36/L36)*B36</f>
        <v>0.000464822762729201</v>
      </c>
      <c r="N36" s="2" t="n">
        <f aca="false">(J36/L36)*B36+(J36/(J36+K36))*(1-B36)</f>
        <v>0.98827878468243</v>
      </c>
      <c r="O36" s="2" t="n">
        <f aca="false">(K36/L36)*B36+(K36/(K36+J36))*(1-B36)</f>
        <v>0.0112563925548402</v>
      </c>
      <c r="P36" s="2" t="n">
        <f aca="false">M36+N36+O36</f>
        <v>1</v>
      </c>
      <c r="Q36" s="2" t="n">
        <f aca="false">M36/(I36/$L36)</f>
        <v>0.0328757643019831</v>
      </c>
      <c r="R36" s="2" t="n">
        <f aca="false">N36/(J36/$L36)</f>
        <v>1.01387004936574</v>
      </c>
      <c r="S36" s="2" t="n">
        <f aca="false">O36/(K36/$L36)</f>
        <v>1.01387004936574</v>
      </c>
      <c r="T36" s="2" t="n">
        <f aca="false">M36-I36/$L36</f>
        <v>-0.0136739439731414</v>
      </c>
      <c r="U36" s="2" t="n">
        <f aca="false">N36-J36/$L36</f>
        <v>0.0135199531135499</v>
      </c>
      <c r="V36" s="2" t="n">
        <f aca="false">O36-K36/$L36</f>
        <v>0.000153990859591361</v>
      </c>
      <c r="W36" s="2" t="n">
        <f aca="false">T36+U36+V36</f>
        <v>-1.30104260698261E-016</v>
      </c>
      <c r="X36" s="2" t="n">
        <f aca="false">T36/(I36)*$L36</f>
        <v>-0.967124235698017</v>
      </c>
      <c r="Y36" s="2" t="n">
        <f aca="false">U36/(J36)*$L36</f>
        <v>0.0138700493657385</v>
      </c>
      <c r="Z36" s="2" t="n">
        <f aca="false">V36/(K36)*$L36</f>
        <v>0.0138700493657386</v>
      </c>
      <c r="AA36" s="2"/>
      <c r="AB36" s="2"/>
      <c r="AC36" s="2" t="n">
        <f aca="false">I36/(I36+K36)*B36</f>
        <v>0.0184152633027926</v>
      </c>
      <c r="AD36" s="2" t="n">
        <f aca="false">(J36/(J36+K36))*(1-B36)</f>
        <v>0.956232843084495</v>
      </c>
      <c r="AE36" s="2" t="n">
        <f aca="false">(K36/(K36+I36))*B36+(K36/(K36+J36))*(1-B36)</f>
        <v>0.0253518936127118</v>
      </c>
      <c r="AF36" s="2" t="n">
        <f aca="false">AC36+AD36+AE36</f>
        <v>1</v>
      </c>
      <c r="AG36" s="2" t="n">
        <f aca="false">AC36/(I36/$L36)</f>
        <v>1.30246602457004</v>
      </c>
      <c r="AH36" s="2" t="n">
        <f aca="false">AD36/(J36/$L36)</f>
        <v>0.980994285063755</v>
      </c>
      <c r="AI36" s="2" t="n">
        <f aca="false">AE36/(K36/$L36)</f>
        <v>2.2834603096338</v>
      </c>
      <c r="AJ36" s="53" t="n">
        <f aca="false">AC36-I36/$L36</f>
        <v>0.00427649656692197</v>
      </c>
      <c r="AK36" s="2" t="n">
        <f aca="false">AD36-J36/$L36</f>
        <v>-0.018525988484385</v>
      </c>
      <c r="AL36" s="2" t="n">
        <f aca="false">AE36-K36/$L36</f>
        <v>0.0142494919174629</v>
      </c>
      <c r="AM36" s="2" t="n">
        <f aca="false">AJ36+AK36+AL36</f>
        <v>-1.26634813746307E-016</v>
      </c>
      <c r="AN36" s="2" t="n">
        <f aca="false">AJ36/(I36)*$L36</f>
        <v>0.302466024570045</v>
      </c>
      <c r="AO36" s="2" t="n">
        <f aca="false">AK36/(J36)*$L36</f>
        <v>-0.0190057149362446</v>
      </c>
      <c r="AP36" s="2" t="n">
        <f aca="false">AL36/(K36)*$L36</f>
        <v>1.2834603096338</v>
      </c>
      <c r="AQ36" s="2"/>
      <c r="AR36" s="53" t="n">
        <f aca="false">B36-C36</f>
        <v>0.00460693311097</v>
      </c>
      <c r="AS36" s="54" t="n">
        <f aca="false">B36/C36</f>
        <v>1.16296864485981</v>
      </c>
      <c r="AU36" s="32" t="n">
        <v>2636791</v>
      </c>
      <c r="AV36" s="45" t="n">
        <f aca="false">AU36*1000/(L36*365)</f>
        <v>1.48706279675759</v>
      </c>
      <c r="AW36" s="4" t="n">
        <f aca="false">M36*$AU36</f>
        <v>1225.64047735949</v>
      </c>
      <c r="AX36" s="4" t="n">
        <f aca="false">N36*$AU36</f>
        <v>2605884.60494157</v>
      </c>
      <c r="AY36" s="4" t="n">
        <f aca="false">O36*$AU36</f>
        <v>29680.7545810697</v>
      </c>
      <c r="AZ36" s="45" t="n">
        <f aca="false">AW36*1000/(I36*365)</f>
        <v>0.0488883260084503</v>
      </c>
      <c r="BA36" s="45" t="n">
        <f aca="false">AX36*1000/(J36*365)</f>
        <v>1.50768843115857</v>
      </c>
      <c r="BB36" s="45" t="n">
        <f aca="false">AY36*1000/(K36*365)</f>
        <v>1.50768843115857</v>
      </c>
      <c r="BC36" s="45" t="n">
        <f aca="false">$AV36-AZ36</f>
        <v>1.43817447074914</v>
      </c>
      <c r="BD36" s="45" t="n">
        <f aca="false">$AV36-BA36</f>
        <v>-0.020625634400981</v>
      </c>
      <c r="BE36" s="45" t="n">
        <f aca="false">$AV36-BB36</f>
        <v>-0.020625634400981</v>
      </c>
      <c r="BF36" s="2" t="n">
        <f aca="false">SQRT((BC36*$I36)^2+(BD36*$J36)^2+(BE36*$K36)^2)/$L36</f>
        <v>0.0285960895670637</v>
      </c>
      <c r="BG36" s="45"/>
      <c r="BH36" s="4" t="n">
        <f aca="false">AC36*$AU36</f>
        <v>48557.2005394338</v>
      </c>
      <c r="BI36" s="4" t="n">
        <f aca="false">AD36*$AU36</f>
        <v>2521386.15454961</v>
      </c>
      <c r="BJ36" s="4" t="n">
        <f aca="false">AE36*$AU36</f>
        <v>66847.6449109559</v>
      </c>
      <c r="BK36" s="45" t="n">
        <f aca="false">BH36*1000/(I36*365)</f>
        <v>1.93684876917887</v>
      </c>
      <c r="BL36" s="45" t="n">
        <f aca="false">BI36*1000/(J36*365)</f>
        <v>1.45880010515012</v>
      </c>
      <c r="BM36" s="45" t="n">
        <f aca="false">BJ36*1000/(K36*365)</f>
        <v>3.39564887432899</v>
      </c>
      <c r="BN36" s="54" t="n">
        <f aca="false">$AV36-BK36</f>
        <v>-0.449785972421281</v>
      </c>
      <c r="BO36" s="45" t="n">
        <f aca="false">$AV36-BL36</f>
        <v>0.0282626916074693</v>
      </c>
      <c r="BP36" s="45" t="n">
        <f aca="false">$AV36-BM36</f>
        <v>-1.9085860775714</v>
      </c>
      <c r="BQ36" s="2" t="n">
        <f aca="false">SQRT((BN36*$I36)^2+(BO36*$J36)^2+(BP36*$K36)^2)/$L36</f>
        <v>0.0353329591593876</v>
      </c>
      <c r="BS36" s="0" t="s">
        <v>23</v>
      </c>
      <c r="BT36" s="2" t="n">
        <v>0.105020760490397</v>
      </c>
      <c r="BU36" s="2" t="n">
        <v>0.0861081599956487</v>
      </c>
      <c r="BW36" s="0" t="s">
        <v>13</v>
      </c>
      <c r="BX36" s="2" t="n">
        <v>0.0601043945893269</v>
      </c>
      <c r="BY36" s="2" t="n">
        <v>0.0596183318179441</v>
      </c>
    </row>
    <row r="37" customFormat="false" ht="12.75" hidden="false" customHeight="false" outlineLevel="0" collapsed="false">
      <c r="A37" s="0" t="s">
        <v>42</v>
      </c>
      <c r="B37" s="2" t="n">
        <v>0.0759782565467173</v>
      </c>
      <c r="C37" s="2" t="n">
        <v>0.0108396118772474</v>
      </c>
      <c r="D37" s="2" t="n">
        <f aca="false">1-C37</f>
        <v>0.989160388122753</v>
      </c>
      <c r="E37" s="0" t="n">
        <v>1342668</v>
      </c>
      <c r="F37" s="2" t="n">
        <v>0.0292472634139496</v>
      </c>
      <c r="G37" s="2" t="n">
        <f aca="false">1-F37</f>
        <v>0.97075273658605</v>
      </c>
      <c r="H37" s="0" t="n">
        <v>1374338</v>
      </c>
      <c r="I37" s="4" t="n">
        <f aca="false">0.5*E37*C37</f>
        <v>7276.99999999998</v>
      </c>
      <c r="J37" s="4" t="n">
        <f aca="false">H37*G37</f>
        <v>1334142.3744942</v>
      </c>
      <c r="K37" s="4" t="n">
        <f aca="false">0.5*H37*F37</f>
        <v>20097.8127529003</v>
      </c>
      <c r="L37" s="4" t="n">
        <f aca="false">I37+J37+K37</f>
        <v>1361517.1872471</v>
      </c>
      <c r="M37" s="2" t="n">
        <f aca="false">(I37/L37)*B37</f>
        <v>0.000406086517356697</v>
      </c>
      <c r="N37" s="2" t="n">
        <f aca="false">(J37/L37)*B37+(J37/(J37+K37))*(1-B37)</f>
        <v>0.984759284078423</v>
      </c>
      <c r="O37" s="2" t="n">
        <f aca="false">(K37/L37)*B37+(K37/(K37+J37))*(1-B37)</f>
        <v>0.0148346294042206</v>
      </c>
      <c r="P37" s="2" t="n">
        <f aca="false">M37+N37+O37</f>
        <v>1</v>
      </c>
      <c r="Q37" s="2" t="n">
        <f aca="false">M37/(I37/$L37)</f>
        <v>0.0759782565467173</v>
      </c>
      <c r="R37" s="2" t="n">
        <f aca="false">N37/(J37/$L37)</f>
        <v>1.00496522425669</v>
      </c>
      <c r="S37" s="2" t="n">
        <f aca="false">O37/(K37/$L37)</f>
        <v>1.00496522425669</v>
      </c>
      <c r="T37" s="2" t="n">
        <f aca="false">M37-I37/$L37</f>
        <v>-0.00493868626124745</v>
      </c>
      <c r="U37" s="2" t="n">
        <f aca="false">N37-J37/$L37</f>
        <v>0.00486539291737931</v>
      </c>
      <c r="V37" s="2" t="n">
        <f aca="false">O37-K37/$L37</f>
        <v>7.32933438680784E-005</v>
      </c>
      <c r="W37" s="2" t="n">
        <f aca="false">T37+U37+V37</f>
        <v>-5.89805981832114E-017</v>
      </c>
      <c r="X37" s="2" t="n">
        <f aca="false">T37/(I37)*$L37</f>
        <v>-0.924021743453283</v>
      </c>
      <c r="Y37" s="2" t="n">
        <f aca="false">U37/(J37)*$L37</f>
        <v>0.00496522425669423</v>
      </c>
      <c r="Z37" s="2" t="n">
        <f aca="false">V37/(K37)*$L37</f>
        <v>0.0049652242566943</v>
      </c>
      <c r="AA37" s="2"/>
      <c r="AB37" s="2"/>
      <c r="AC37" s="2" t="n">
        <f aca="false">I37/(I37+K37)*B37</f>
        <v>0.02019717094985</v>
      </c>
      <c r="AD37" s="2" t="n">
        <f aca="false">(J37/(J37+K37))*(1-B37)</f>
        <v>0.910308654627228</v>
      </c>
      <c r="AE37" s="2" t="n">
        <f aca="false">(K37/(K37+I37))*B37+(K37/(K37+J37))*(1-B37)</f>
        <v>0.0694941744229222</v>
      </c>
      <c r="AF37" s="2" t="n">
        <f aca="false">AC37+AD37+AE37</f>
        <v>1</v>
      </c>
      <c r="AG37" s="2" t="n">
        <f aca="false">AC37/(I37/$L37)</f>
        <v>3.77886428225762</v>
      </c>
      <c r="AH37" s="2" t="n">
        <f aca="false">AD37/(J37/$L37)</f>
        <v>0.928986967709977</v>
      </c>
      <c r="AI37" s="2" t="n">
        <f aca="false">AE37/(K37/$L37)</f>
        <v>4.70785124996759</v>
      </c>
      <c r="AJ37" s="53" t="n">
        <f aca="false">AC37-I37/$L37</f>
        <v>0.0148523981712458</v>
      </c>
      <c r="AK37" s="2" t="n">
        <f aca="false">AD37-J37/$L37</f>
        <v>-0.0695852365338155</v>
      </c>
      <c r="AL37" s="2" t="n">
        <f aca="false">AE37-K37/$L37</f>
        <v>0.0547328383625697</v>
      </c>
      <c r="AM37" s="2" t="n">
        <f aca="false">AJ37+AK37+AL37</f>
        <v>0</v>
      </c>
      <c r="AN37" s="2" t="n">
        <f aca="false">AJ37/(I37)*$L37</f>
        <v>2.77886428225761</v>
      </c>
      <c r="AO37" s="2" t="n">
        <f aca="false">AK37/(J37)*$L37</f>
        <v>-0.0710130322900231</v>
      </c>
      <c r="AP37" s="2" t="n">
        <f aca="false">AL37/(K37)*$L37</f>
        <v>3.70785124996759</v>
      </c>
      <c r="AQ37" s="2"/>
      <c r="AR37" s="53" t="n">
        <f aca="false">B37-C37</f>
        <v>0.06513864466947</v>
      </c>
      <c r="AS37" s="54" t="n">
        <f aca="false">B37/C37</f>
        <v>7.0093152233797</v>
      </c>
      <c r="AU37" s="34" t="n">
        <v>828008</v>
      </c>
      <c r="AV37" s="45" t="n">
        <f aca="false">AU37*1000/(L37*365)</f>
        <v>1.66616704492724</v>
      </c>
      <c r="AW37" s="4" t="n">
        <f aca="false">M37*$AU37</f>
        <v>336.242885063484</v>
      </c>
      <c r="AX37" s="4" t="n">
        <f aca="false">N37*$AU37</f>
        <v>815388.565291207</v>
      </c>
      <c r="AY37" s="4" t="n">
        <f aca="false">O37*$AU37</f>
        <v>12283.1918237299</v>
      </c>
      <c r="AZ37" s="45" t="n">
        <f aca="false">AW37*1000/(I37*365)</f>
        <v>0.126592467189168</v>
      </c>
      <c r="BA37" s="45" t="n">
        <f aca="false">AX37*1000/(J37*365)</f>
        <v>1.67443993795442</v>
      </c>
      <c r="BB37" s="45" t="n">
        <f aca="false">AY37*1000/(K37*365)</f>
        <v>1.67443993795442</v>
      </c>
      <c r="BC37" s="45" t="n">
        <f aca="false">$AV37-AZ37</f>
        <v>1.53957457773807</v>
      </c>
      <c r="BD37" s="45" t="n">
        <f aca="false">$AV37-BA37</f>
        <v>-0.00827289302717738</v>
      </c>
      <c r="BE37" s="45" t="n">
        <f aca="false">$AV37-BB37</f>
        <v>-0.00827289302717738</v>
      </c>
      <c r="BF37" s="2" t="n">
        <f aca="false">SQRT((BC37*$I37)^2+(BD37*$J37)^2+(BE37*$K37)^2)/$L37</f>
        <v>0.0115517227496793</v>
      </c>
      <c r="BG37" s="45"/>
      <c r="BH37" s="4" t="n">
        <f aca="false">AC37*$AU37</f>
        <v>16723.4191238434</v>
      </c>
      <c r="BI37" s="4" t="n">
        <f aca="false">AD37*$AU37</f>
        <v>753742.848500582</v>
      </c>
      <c r="BJ37" s="4" t="n">
        <f aca="false">AE37*$AU37</f>
        <v>57541.7323755749</v>
      </c>
      <c r="BK37" s="45" t="n">
        <f aca="false">BH37*1000/(I37*365)</f>
        <v>6.29621913435027</v>
      </c>
      <c r="BL37" s="45" t="n">
        <f aca="false">BI37*1000/(J37*365)</f>
        <v>1.54784747076525</v>
      </c>
      <c r="BM37" s="45" t="n">
        <f aca="false">BJ37*1000/(K37*365)</f>
        <v>7.84406660511553</v>
      </c>
      <c r="BN37" s="54" t="n">
        <f aca="false">$AV37-BK37</f>
        <v>-4.63005208942303</v>
      </c>
      <c r="BO37" s="45" t="n">
        <f aca="false">$AV37-BL37</f>
        <v>0.118319574161991</v>
      </c>
      <c r="BP37" s="45" t="n">
        <f aca="false">$AV37-BM37</f>
        <v>-6.17789956018828</v>
      </c>
      <c r="BQ37" s="2" t="n">
        <f aca="false">SQRT((BN37*$I37)^2+(BO37*$J37)^2+(BP37*$K37)^2)/$L37</f>
        <v>0.149569305958856</v>
      </c>
      <c r="BS37" s="0" t="s">
        <v>26</v>
      </c>
      <c r="BT37" s="2" t="n">
        <v>0.0620357660825379</v>
      </c>
      <c r="BU37" s="2" t="n">
        <v>0.0914472756381963</v>
      </c>
      <c r="BW37" s="0" t="s">
        <v>33</v>
      </c>
      <c r="BX37" s="2" t="n">
        <v>0.0608547132219309</v>
      </c>
      <c r="BY37" s="2" t="n">
        <v>0.0563444469174346</v>
      </c>
    </row>
    <row r="38" customFormat="false" ht="12.75" hidden="false" customHeight="false" outlineLevel="0" collapsed="false">
      <c r="A38" s="0" t="s">
        <v>43</v>
      </c>
      <c r="B38" s="2" t="n">
        <v>0.00529904028492617</v>
      </c>
      <c r="C38" s="2" t="n">
        <v>0.0372433830337473</v>
      </c>
      <c r="D38" s="2" t="n">
        <f aca="false">1-C38</f>
        <v>0.962756616966253</v>
      </c>
      <c r="E38" s="0" t="n">
        <v>1315482</v>
      </c>
      <c r="F38" s="2" t="n">
        <v>0.0211666342060599</v>
      </c>
      <c r="G38" s="2" t="n">
        <f aca="false">1-F38</f>
        <v>0.97883336579394</v>
      </c>
      <c r="H38" s="0" t="n">
        <v>1294690</v>
      </c>
      <c r="I38" s="4" t="n">
        <f aca="false">0.5*E38*C38</f>
        <v>24496.5</v>
      </c>
      <c r="J38" s="4" t="n">
        <f aca="false">H38*G38</f>
        <v>1267285.77035976</v>
      </c>
      <c r="K38" s="4" t="n">
        <f aca="false">0.5*H38*F38</f>
        <v>13702.1148201219</v>
      </c>
      <c r="L38" s="4" t="n">
        <f aca="false">I38+J38+K38</f>
        <v>1305484.38517988</v>
      </c>
      <c r="M38" s="2" t="n">
        <f aca="false">(I38/L38)*B38</f>
        <v>9.94327789847967E-005</v>
      </c>
      <c r="N38" s="2" t="n">
        <f aca="false">(J38/L38)*B38+(J38/(J38+K38))*(1-B38)</f>
        <v>0.989205109020922</v>
      </c>
      <c r="O38" s="2" t="n">
        <f aca="false">(K38/L38)*B38+(K38/(K38+J38))*(1-B38)</f>
        <v>0.0106954582000933</v>
      </c>
      <c r="P38" s="2" t="n">
        <f aca="false">M38+N38+O38</f>
        <v>1</v>
      </c>
      <c r="Q38" s="2" t="n">
        <f aca="false">M38/(I38/$L38)</f>
        <v>0.00529904028492617</v>
      </c>
      <c r="R38" s="2" t="n">
        <f aca="false">N38/(J38/$L38)</f>
        <v>1.01902179742804</v>
      </c>
      <c r="S38" s="2" t="n">
        <f aca="false">O38/(K38/$L38)</f>
        <v>1.01902179742804</v>
      </c>
      <c r="T38" s="2" t="n">
        <f aca="false">M38-I38/$L38</f>
        <v>-0.0186648667240113</v>
      </c>
      <c r="U38" s="2" t="n">
        <f aca="false">N38-J38/$L38</f>
        <v>0.0184652175704841</v>
      </c>
      <c r="V38" s="2" t="n">
        <f aca="false">O38-K38/$L38</f>
        <v>0.000199649153527133</v>
      </c>
      <c r="W38" s="2" t="n">
        <f aca="false">T38+U38+V38</f>
        <v>-5.72458747072346E-017</v>
      </c>
      <c r="X38" s="2" t="n">
        <f aca="false">T38/(I38)*$L38</f>
        <v>-0.994700959715074</v>
      </c>
      <c r="Y38" s="2" t="n">
        <f aca="false">U38/(J38)*$L38</f>
        <v>0.0190217974280363</v>
      </c>
      <c r="Z38" s="2" t="n">
        <f aca="false">V38/(K38)*$L38</f>
        <v>0.0190217974280364</v>
      </c>
      <c r="AA38" s="2"/>
      <c r="AB38" s="2"/>
      <c r="AC38" s="2" t="n">
        <f aca="false">I38/(I38+K38)*B38</f>
        <v>0.00339823684578518</v>
      </c>
      <c r="AD38" s="2" t="n">
        <f aca="false">(J38/(J38+K38))*(1-B38)</f>
        <v>0.984061119229941</v>
      </c>
      <c r="AE38" s="2" t="n">
        <f aca="false">(K38/(K38+I38))*B38+(K38/(K38+J38))*(1-B38)</f>
        <v>0.0125406439242737</v>
      </c>
      <c r="AF38" s="2" t="n">
        <f aca="false">AC38+AD38+AE38</f>
        <v>1</v>
      </c>
      <c r="AG38" s="2" t="n">
        <f aca="false">AC38/(I38/$L38)</f>
        <v>0.181101183406425</v>
      </c>
      <c r="AH38" s="2" t="n">
        <f aca="false">AD38/(J38/$L38)</f>
        <v>1.01372275714311</v>
      </c>
      <c r="AI38" s="2" t="n">
        <f aca="false">AE38/(K38/$L38)</f>
        <v>1.19482394054953</v>
      </c>
      <c r="AJ38" s="2" t="n">
        <f aca="false">AC38-I38/$L38</f>
        <v>-0.0153660626572109</v>
      </c>
      <c r="AK38" s="2" t="n">
        <f aca="false">AD38-J38/$L38</f>
        <v>0.0133212277795034</v>
      </c>
      <c r="AL38" s="2" t="n">
        <f aca="false">AE38-K38/$L38</f>
        <v>0.00204483487770748</v>
      </c>
      <c r="AM38" s="2" t="n">
        <f aca="false">AJ38+AK38+AL38</f>
        <v>-6.76542155630955E-017</v>
      </c>
      <c r="AN38" s="2" t="n">
        <f aca="false">AJ38/(I38)*$L38</f>
        <v>-0.818898816593575</v>
      </c>
      <c r="AO38" s="2" t="n">
        <f aca="false">AK38/(J38)*$L38</f>
        <v>0.0137227571431101</v>
      </c>
      <c r="AP38" s="2" t="n">
        <f aca="false">AL38/(K38)*$L38</f>
        <v>0.194823940549535</v>
      </c>
      <c r="AQ38" s="2"/>
      <c r="AR38" s="2" t="n">
        <f aca="false">B38-C38</f>
        <v>-0.0319443427488211</v>
      </c>
      <c r="AS38" s="45" t="n">
        <f aca="false">B38/C38</f>
        <v>0.142281389424923</v>
      </c>
      <c r="AU38" s="32" t="n">
        <v>887786</v>
      </c>
      <c r="AV38" s="45" t="n">
        <f aca="false">AU38*1000/(L38*365)</f>
        <v>1.8631325189108</v>
      </c>
      <c r="AW38" s="4" t="n">
        <f aca="false">M38*$AU38</f>
        <v>88.2750291237967</v>
      </c>
      <c r="AX38" s="4" t="n">
        <f aca="false">N38*$AU38</f>
        <v>878202.446917248</v>
      </c>
      <c r="AY38" s="4" t="n">
        <f aca="false">O38*$AU38</f>
        <v>9495.27805362804</v>
      </c>
      <c r="AZ38" s="45" t="n">
        <f aca="false">AW38*1000/(I38*365)</f>
        <v>0.00987281427386431</v>
      </c>
      <c r="BA38" s="45" t="n">
        <f aca="false">AX38*1000/(J38*365)</f>
        <v>1.89857264826711</v>
      </c>
      <c r="BB38" s="45" t="n">
        <f aca="false">AY38*1000/(K38*365)</f>
        <v>1.89857264826711</v>
      </c>
      <c r="BC38" s="45" t="n">
        <f aca="false">$AV38-AZ38</f>
        <v>1.85325970463694</v>
      </c>
      <c r="BD38" s="45" t="n">
        <f aca="false">$AV38-BA38</f>
        <v>-0.035440129356308</v>
      </c>
      <c r="BE38" s="45" t="n">
        <f aca="false">$AV38-BB38</f>
        <v>-0.0354401293563083</v>
      </c>
      <c r="BF38" s="2" t="n">
        <f aca="false">SQRT((BC38*$I38)^2+(BD38*$J38)^2+(BE38*$K38)^2)/$L38</f>
        <v>0.0489185434306454</v>
      </c>
      <c r="BG38" s="45"/>
      <c r="BH38" s="4" t="n">
        <f aca="false">AC38*$AU38</f>
        <v>3016.90709637224</v>
      </c>
      <c r="BI38" s="4" t="n">
        <f aca="false">AD38*$AU38</f>
        <v>873635.684796673</v>
      </c>
      <c r="BJ38" s="4" t="n">
        <f aca="false">AE38*$AU38</f>
        <v>11133.4081069552</v>
      </c>
      <c r="BK38" s="45" t="n">
        <f aca="false">BH38*1000/(I38*365)</f>
        <v>0.337415504017739</v>
      </c>
      <c r="BL38" s="45" t="n">
        <f aca="false">BI38*1000/(J38*365)</f>
        <v>1.88869983399324</v>
      </c>
      <c r="BM38" s="45" t="n">
        <f aca="false">BJ38*1000/(K38*365)</f>
        <v>2.22611533801098</v>
      </c>
      <c r="BN38" s="45" t="n">
        <f aca="false">$AV38-BK38</f>
        <v>1.52571701489306</v>
      </c>
      <c r="BO38" s="45" t="n">
        <f aca="false">$AV38-BL38</f>
        <v>-0.025567315082444</v>
      </c>
      <c r="BP38" s="45" t="n">
        <f aca="false">$AV38-BM38</f>
        <v>-0.362982819100183</v>
      </c>
      <c r="BQ38" s="2" t="n">
        <f aca="false">SQRT((BN38*$I38)^2+(BO38*$J38)^2+(BP38*$K38)^2)/$L38</f>
        <v>0.0380805482260263</v>
      </c>
      <c r="BS38" s="0" t="s">
        <v>53</v>
      </c>
      <c r="BT38" s="2" t="n">
        <v>0.0232156875309901</v>
      </c>
      <c r="BU38" s="2" t="n">
        <v>0.0983877625691519</v>
      </c>
      <c r="BW38" s="0" t="s">
        <v>26</v>
      </c>
      <c r="BX38" s="2" t="n">
        <v>0.0620357660825379</v>
      </c>
      <c r="BY38" s="2" t="n">
        <v>0.0914472756381963</v>
      </c>
    </row>
    <row r="39" customFormat="false" ht="12.75" hidden="false" customHeight="false" outlineLevel="0" collapsed="false">
      <c r="A39" s="0" t="s">
        <v>44</v>
      </c>
      <c r="B39" s="2" t="n">
        <v>0.116977230877519</v>
      </c>
      <c r="C39" s="2" t="n">
        <v>0.0341732303708947</v>
      </c>
      <c r="D39" s="2" t="n">
        <f aca="false">1-C39</f>
        <v>0.965826769629105</v>
      </c>
      <c r="E39" s="0" t="n">
        <v>5289696</v>
      </c>
      <c r="F39" s="2" t="n">
        <v>0.0427593939304231</v>
      </c>
      <c r="G39" s="2" t="n">
        <f aca="false">1-F39</f>
        <v>0.957240606069577</v>
      </c>
      <c r="H39" s="0" t="n">
        <v>5348132</v>
      </c>
      <c r="I39" s="4" t="n">
        <f aca="false">0.5*E39*C39</f>
        <v>90383.0000000001</v>
      </c>
      <c r="J39" s="4" t="n">
        <f aca="false">H39*G39</f>
        <v>5119449.1170201</v>
      </c>
      <c r="K39" s="4" t="n">
        <f aca="false">0.5*H39*F39</f>
        <v>114341.441489951</v>
      </c>
      <c r="L39" s="4" t="n">
        <f aca="false">I39+J39+K39</f>
        <v>5324173.55851005</v>
      </c>
      <c r="M39" s="2" t="n">
        <f aca="false">(I39/L39)*B39</f>
        <v>0.00198580172907842</v>
      </c>
      <c r="N39" s="2" t="n">
        <f aca="false">(J39/L39)*B39+(J39/(J39+K39))*(1-B39)</f>
        <v>0.976210807252115</v>
      </c>
      <c r="O39" s="2" t="n">
        <f aca="false">(K39/L39)*B39+(K39/(K39+J39))*(1-B39)</f>
        <v>0.0218033910188069</v>
      </c>
      <c r="P39" s="2" t="n">
        <f aca="false">M39+N39+O39</f>
        <v>1</v>
      </c>
      <c r="Q39" s="2" t="n">
        <f aca="false">M39/(I39/$L39)</f>
        <v>0.116977230877519</v>
      </c>
      <c r="R39" s="2" t="n">
        <f aca="false">N39/(J39/$L39)</f>
        <v>1.01524903338209</v>
      </c>
      <c r="S39" s="2" t="n">
        <f aca="false">O39/(K39/$L39)</f>
        <v>1.01524903338209</v>
      </c>
      <c r="T39" s="2" t="n">
        <f aca="false">M39-I39/$L39</f>
        <v>-0.0149901662792398</v>
      </c>
      <c r="U39" s="2" t="n">
        <f aca="false">N39-J39/$L39</f>
        <v>0.0146626794986013</v>
      </c>
      <c r="V39" s="2" t="n">
        <f aca="false">O39-K39/$L39</f>
        <v>0.000327486780638445</v>
      </c>
      <c r="W39" s="2" t="n">
        <f aca="false">T39+U39+V39</f>
        <v>2.77555756156289E-017</v>
      </c>
      <c r="X39" s="2" t="n">
        <f aca="false">T39/(I39)*$L39</f>
        <v>-0.883022769122481</v>
      </c>
      <c r="Y39" s="2" t="n">
        <f aca="false">U39/(J39)*$L39</f>
        <v>0.0152490333820919</v>
      </c>
      <c r="Z39" s="2" t="n">
        <f aca="false">V39/(K39)*$L39</f>
        <v>0.0152490333820921</v>
      </c>
      <c r="AA39" s="2"/>
      <c r="AB39" s="2"/>
      <c r="AC39" s="2" t="n">
        <f aca="false">I39/(I39+K39)*B39</f>
        <v>0.051643824164111</v>
      </c>
      <c r="AD39" s="2" t="n">
        <f aca="false">(J39/(J39+K39))*(1-B39)</f>
        <v>0.863731569912046</v>
      </c>
      <c r="AE39" s="2" t="n">
        <f aca="false">(K39/(K39+I39))*B39+(K39/(K39+J39))*(1-B39)</f>
        <v>0.0846246059238436</v>
      </c>
      <c r="AF39" s="2" t="n">
        <f aca="false">AC39+AD39+AE39</f>
        <v>1</v>
      </c>
      <c r="AG39" s="2" t="n">
        <f aca="false">AC39/(I39/$L39)</f>
        <v>3.04217256646606</v>
      </c>
      <c r="AH39" s="2" t="n">
        <f aca="false">AD39/(J39/$L39)</f>
        <v>0.898271802504573</v>
      </c>
      <c r="AI39" s="2" t="n">
        <f aca="false">AE39/(K39/$L39)</f>
        <v>3.94044436897063</v>
      </c>
      <c r="AJ39" s="53" t="n">
        <f aca="false">AC39-I39/$L39</f>
        <v>0.0346678561557928</v>
      </c>
      <c r="AK39" s="2" t="n">
        <f aca="false">AD39-J39/$L39</f>
        <v>-0.0978165578414678</v>
      </c>
      <c r="AL39" s="2" t="n">
        <f aca="false">AE39-K39/$L39</f>
        <v>0.0631487016856751</v>
      </c>
      <c r="AM39" s="2" t="n">
        <f aca="false">AJ39+AK39+AL39</f>
        <v>0</v>
      </c>
      <c r="AN39" s="2" t="n">
        <f aca="false">AJ39/(I39)*$L39</f>
        <v>2.04217256646606</v>
      </c>
      <c r="AO39" s="2" t="n">
        <f aca="false">AK39/(J39)*$L39</f>
        <v>-0.101728197495427</v>
      </c>
      <c r="AP39" s="2" t="n">
        <f aca="false">AL39/(K39)*$L39</f>
        <v>2.94044436897063</v>
      </c>
      <c r="AQ39" s="2"/>
      <c r="AR39" s="53" t="n">
        <f aca="false">B39-C39</f>
        <v>0.0828040005066246</v>
      </c>
      <c r="AS39" s="54" t="n">
        <f aca="false">B39/C39</f>
        <v>3.42306623072862</v>
      </c>
      <c r="AU39" s="32" t="n">
        <v>3153335</v>
      </c>
      <c r="AV39" s="45" t="n">
        <f aca="false">AU39*1000/(L39*365)</f>
        <v>1.62265070393768</v>
      </c>
      <c r="AW39" s="4" t="n">
        <f aca="false">M39*$AU39</f>
        <v>6261.89809536349</v>
      </c>
      <c r="AX39" s="4" t="n">
        <f aca="false">N39*$AU39</f>
        <v>3078319.70588635</v>
      </c>
      <c r="AY39" s="4" t="n">
        <f aca="false">O39*$AU39</f>
        <v>68753.3960182896</v>
      </c>
      <c r="AZ39" s="45" t="n">
        <f aca="false">AW39*1000/(I39*365)</f>
        <v>0.189813186028088</v>
      </c>
      <c r="BA39" s="45" t="n">
        <f aca="false">AX39*1000/(J39*365)</f>
        <v>1.64739455868951</v>
      </c>
      <c r="BB39" s="45" t="n">
        <f aca="false">AY39*1000/(K39*365)</f>
        <v>1.64739455868951</v>
      </c>
      <c r="BC39" s="45" t="n">
        <f aca="false">$AV39-AZ39</f>
        <v>1.4328375179096</v>
      </c>
      <c r="BD39" s="45" t="n">
        <f aca="false">$AV39-BA39</f>
        <v>-0.0247438547518206</v>
      </c>
      <c r="BE39" s="45" t="n">
        <f aca="false">$AV39-BB39</f>
        <v>-0.0247438547518211</v>
      </c>
      <c r="BF39" s="2" t="n">
        <f aca="false">SQRT((BC39*$I39)^2+(BD39*$J39)^2+(BE39*$K39)^2)/$L39</f>
        <v>0.0340295233249417</v>
      </c>
      <c r="BG39" s="45"/>
      <c r="BH39" s="4" t="n">
        <f aca="false">AC39*$AU39</f>
        <v>162850.278270537</v>
      </c>
      <c r="BI39" s="4" t="n">
        <f aca="false">AD39*$AU39</f>
        <v>2723634.9900086</v>
      </c>
      <c r="BJ39" s="4" t="n">
        <f aca="false">AE39*$AU39</f>
        <v>266849.731720863</v>
      </c>
      <c r="BK39" s="45" t="n">
        <f aca="false">BH39*1000/(I39*365)</f>
        <v>4.93638345647606</v>
      </c>
      <c r="BL39" s="45" t="n">
        <f aca="false">BI39*1000/(J39*365)</f>
        <v>1.45758137266142</v>
      </c>
      <c r="BM39" s="45" t="n">
        <f aca="false">BJ39*1000/(K39*365)</f>
        <v>6.39396482913748</v>
      </c>
      <c r="BN39" s="54" t="n">
        <f aca="false">$AV39-BK39</f>
        <v>-3.31373275253838</v>
      </c>
      <c r="BO39" s="45" t="n">
        <f aca="false">$AV39-BL39</f>
        <v>0.165069331276267</v>
      </c>
      <c r="BP39" s="45" t="n">
        <f aca="false">$AV39-BM39</f>
        <v>-4.77131412519979</v>
      </c>
      <c r="BQ39" s="2" t="n">
        <f aca="false">SQRT((BN39*$I39)^2+(BO39*$J39)^2+(BP39*$K39)^2)/$L39</f>
        <v>0.197121660280881</v>
      </c>
      <c r="BS39" s="0" t="s">
        <v>22</v>
      </c>
      <c r="BT39" s="2" t="n">
        <v>0.108122121057213</v>
      </c>
      <c r="BU39" s="2" t="n">
        <v>0.102680514870217</v>
      </c>
      <c r="BW39" s="0" t="s">
        <v>56</v>
      </c>
      <c r="BX39" s="2" t="n">
        <v>0.0641925019606728</v>
      </c>
      <c r="BY39" s="2" t="n">
        <v>0.0641925019606728</v>
      </c>
    </row>
    <row r="40" customFormat="false" ht="12.75" hidden="false" customHeight="false" outlineLevel="0" collapsed="false">
      <c r="A40" s="0" t="s">
        <v>45</v>
      </c>
      <c r="B40" s="2" t="n">
        <v>0.0373661178404778</v>
      </c>
      <c r="C40" s="2" t="n">
        <v>0.0757652407576525</v>
      </c>
      <c r="D40" s="2" t="n">
        <f aca="false">1-C40</f>
        <v>0.924234759242348</v>
      </c>
      <c r="E40" s="0" t="n">
        <v>456621</v>
      </c>
      <c r="F40" s="2" t="n">
        <v>0.118844543736755</v>
      </c>
      <c r="G40" s="2" t="n">
        <f aca="false">1-F40</f>
        <v>0.881155456263245</v>
      </c>
      <c r="H40" s="0" t="n">
        <v>481230</v>
      </c>
      <c r="I40" s="4" t="n">
        <f aca="false">0.5*E40*C40</f>
        <v>17298</v>
      </c>
      <c r="J40" s="4" t="n">
        <f aca="false">H40*G40</f>
        <v>424038.440217562</v>
      </c>
      <c r="K40" s="4" t="n">
        <f aca="false">0.5*H40*F40</f>
        <v>28595.7798912193</v>
      </c>
      <c r="L40" s="4" t="n">
        <f aca="false">I40+J40+K40</f>
        <v>469932.220108781</v>
      </c>
      <c r="M40" s="2" t="n">
        <f aca="false">(I40/L40)*B40</f>
        <v>0.00137543049560416</v>
      </c>
      <c r="N40" s="2" t="n">
        <f aca="false">(J40/L40)*B40+(J40/(J40+K40))*(1-B40)</f>
        <v>0.935535109815183</v>
      </c>
      <c r="O40" s="2" t="n">
        <f aca="false">(K40/L40)*B40+(K40/(K40+J40))*(1-B40)</f>
        <v>0.063089459689213</v>
      </c>
      <c r="P40" s="2" t="n">
        <f aca="false">M40+N40+O40</f>
        <v>1</v>
      </c>
      <c r="Q40" s="2" t="n">
        <f aca="false">M40/(I40/$L40)</f>
        <v>0.0373661178404778</v>
      </c>
      <c r="R40" s="2" t="n">
        <f aca="false">N40/(J40/$L40)</f>
        <v>1.03678829428671</v>
      </c>
      <c r="S40" s="2" t="n">
        <f aca="false">O40/(K40/$L40)</f>
        <v>1.03678829428671</v>
      </c>
      <c r="T40" s="2" t="n">
        <f aca="false">M40-I40/$L40</f>
        <v>-0.035434133224023</v>
      </c>
      <c r="U40" s="2" t="n">
        <f aca="false">N40-J40/$L40</f>
        <v>0.03319553386654</v>
      </c>
      <c r="V40" s="2" t="n">
        <f aca="false">O40-K40/$L40</f>
        <v>0.00223859935748291</v>
      </c>
      <c r="W40" s="2" t="n">
        <f aca="false">T40+U40+V40</f>
        <v>-1.17961196366423E-016</v>
      </c>
      <c r="X40" s="2" t="n">
        <f aca="false">T40/(I40)*$L40</f>
        <v>-0.962633882159523</v>
      </c>
      <c r="Y40" s="2" t="n">
        <f aca="false">U40/(J40)*$L40</f>
        <v>0.0367882942867058</v>
      </c>
      <c r="Z40" s="2" t="n">
        <f aca="false">V40/(K40)*$L40</f>
        <v>0.0367882942867057</v>
      </c>
      <c r="AA40" s="2"/>
      <c r="AB40" s="2"/>
      <c r="AC40" s="2" t="n">
        <f aca="false">I40/(I40+K40)*B40</f>
        <v>0.0140838063009112</v>
      </c>
      <c r="AD40" s="2" t="n">
        <f aca="false">(J40/(J40+K40))*(1-B40)</f>
        <v>0.901818182888159</v>
      </c>
      <c r="AE40" s="2" t="n">
        <f aca="false">(K40/(K40+I40))*B40+(K40/(K40+J40))*(1-B40)</f>
        <v>0.0840980108109297</v>
      </c>
      <c r="AF40" s="2" t="n">
        <f aca="false">AC40+AD40+AE40</f>
        <v>1</v>
      </c>
      <c r="AG40" s="2" t="n">
        <f aca="false">AC40/(I40/$L40)</f>
        <v>0.382612692945382</v>
      </c>
      <c r="AH40" s="2" t="n">
        <f aca="false">AD40/(J40/$L40)</f>
        <v>0.999422176446228</v>
      </c>
      <c r="AI40" s="2" t="n">
        <f aca="false">AE40/(K40/$L40)</f>
        <v>1.38203486939161</v>
      </c>
      <c r="AJ40" s="2" t="n">
        <f aca="false">AC40-I40/$L40</f>
        <v>-0.022725757418716</v>
      </c>
      <c r="AK40" s="2" t="n">
        <f aca="false">AD40-J40/$L40</f>
        <v>-0.00052139306048371</v>
      </c>
      <c r="AL40" s="2" t="n">
        <f aca="false">AE40-K40/$L40</f>
        <v>0.0232471504791996</v>
      </c>
      <c r="AM40" s="2" t="n">
        <f aca="false">AJ40+AK40+AL40</f>
        <v>0</v>
      </c>
      <c r="AN40" s="2" t="n">
        <f aca="false">AJ40/(I40)*$L40</f>
        <v>-0.617387307054618</v>
      </c>
      <c r="AO40" s="2" t="n">
        <f aca="false">AK40/(J40)*$L40</f>
        <v>-0.00057782355377194</v>
      </c>
      <c r="AP40" s="2" t="n">
        <f aca="false">AL40/(K40)*$L40</f>
        <v>0.38203486939161</v>
      </c>
      <c r="AQ40" s="2"/>
      <c r="AR40" s="2" t="n">
        <f aca="false">B40-C40</f>
        <v>-0.0383991229171747</v>
      </c>
      <c r="AS40" s="45" t="n">
        <f aca="false">B40/C40</f>
        <v>0.493182856238778</v>
      </c>
      <c r="AU40" s="32" t="n">
        <v>290143</v>
      </c>
      <c r="AV40" s="45" t="n">
        <f aca="false">AU40*1000/(L40*365)</f>
        <v>1.69154676941095</v>
      </c>
      <c r="AW40" s="4" t="n">
        <f aca="false">M40*$AU40</f>
        <v>399.071530286078</v>
      </c>
      <c r="AX40" s="4" t="n">
        <f aca="false">N40*$AU40</f>
        <v>271438.963367107</v>
      </c>
      <c r="AY40" s="4" t="n">
        <f aca="false">O40*$AU40</f>
        <v>18304.9651026073</v>
      </c>
      <c r="AZ40" s="45" t="n">
        <f aca="false">AW40*1000/(I40*365)</f>
        <v>0.063206535918489</v>
      </c>
      <c r="BA40" s="45" t="n">
        <f aca="false">AX40*1000/(J40*365)</f>
        <v>1.75377588976377</v>
      </c>
      <c r="BB40" s="45" t="n">
        <f aca="false">AY40*1000/(K40*365)</f>
        <v>1.75377588976377</v>
      </c>
      <c r="BC40" s="45" t="n">
        <f aca="false">$AV40-AZ40</f>
        <v>1.62834023349246</v>
      </c>
      <c r="BD40" s="45" t="n">
        <f aca="false">$AV40-BA40</f>
        <v>-0.0622291203528165</v>
      </c>
      <c r="BE40" s="45" t="n">
        <f aca="false">$AV40-BB40</f>
        <v>-0.0622291203528165</v>
      </c>
      <c r="BF40" s="2" t="n">
        <f aca="false">SQRT((BC40*$I40)^2+(BD40*$J40)^2+(BE40*$K40)^2)/$L40</f>
        <v>0.0822191370810733</v>
      </c>
      <c r="BG40" s="45"/>
      <c r="BH40" s="4" t="n">
        <f aca="false">AC40*$AU40</f>
        <v>4086.31781156527</v>
      </c>
      <c r="BI40" s="4" t="n">
        <f aca="false">AD40*$AU40</f>
        <v>261656.233037719</v>
      </c>
      <c r="BJ40" s="4" t="n">
        <f aca="false">AE40*$AU40</f>
        <v>24400.4491507156</v>
      </c>
      <c r="BK40" s="45" t="n">
        <f aca="false">BH40*1000/(I40*365)</f>
        <v>0.647207264687385</v>
      </c>
      <c r="BL40" s="45" t="n">
        <f aca="false">BI40*1000/(J40*365)</f>
        <v>1.69056935384528</v>
      </c>
      <c r="BM40" s="45" t="n">
        <f aca="false">BJ40*1000/(K40*365)</f>
        <v>2.33777661853266</v>
      </c>
      <c r="BN40" s="45" t="n">
        <f aca="false">$AV40-BK40</f>
        <v>1.04433950472356</v>
      </c>
      <c r="BO40" s="45" t="n">
        <f aca="false">$AV40-BL40</f>
        <v>0.000977415565672324</v>
      </c>
      <c r="BP40" s="45" t="n">
        <f aca="false">$AV40-BM40</f>
        <v>-0.646229849121712</v>
      </c>
      <c r="BQ40" s="2" t="n">
        <f aca="false">SQRT((BN40*$I40)^2+(BO40*$J40)^2+(BP40*$K40)^2)/$L40</f>
        <v>0.0549989961520353</v>
      </c>
      <c r="BS40" s="0" t="s">
        <v>40</v>
      </c>
      <c r="BT40" s="2" t="n">
        <v>0.103698761801064</v>
      </c>
      <c r="BU40" s="2" t="n">
        <v>0.103698761801064</v>
      </c>
      <c r="BW40" s="0" t="s">
        <v>51</v>
      </c>
      <c r="BX40" s="2" t="n">
        <v>0.0661127882673879</v>
      </c>
      <c r="BY40" s="2" t="n">
        <v>0.0661127882673879</v>
      </c>
    </row>
    <row r="41" customFormat="false" ht="12.75" hidden="false" customHeight="false" outlineLevel="0" collapsed="false">
      <c r="A41" s="0" t="s">
        <v>46</v>
      </c>
      <c r="B41" s="2" t="n">
        <v>0</v>
      </c>
      <c r="C41" s="2" t="n">
        <v>0.0212156597627681</v>
      </c>
      <c r="D41" s="2" t="n">
        <f aca="false">1-C41</f>
        <v>0.978784340237232</v>
      </c>
      <c r="E41" s="0" t="n">
        <v>1611230</v>
      </c>
      <c r="F41" s="2" t="n">
        <v>0.0182349459979287</v>
      </c>
      <c r="G41" s="2" t="n">
        <f aca="false">1-F41</f>
        <v>0.981765054002071</v>
      </c>
      <c r="H41" s="0" t="n">
        <v>1636356</v>
      </c>
      <c r="I41" s="4" t="n">
        <f aca="false">0.5*E41*C41</f>
        <v>17091.6537397824</v>
      </c>
      <c r="J41" s="4" t="n">
        <f aca="false">H41*G41</f>
        <v>1606517.13670661</v>
      </c>
      <c r="K41" s="4" t="n">
        <f aca="false">0.5*H41*F41</f>
        <v>14919.4316466933</v>
      </c>
      <c r="L41" s="4" t="n">
        <f aca="false">I41+J41+K41</f>
        <v>1638528.22209309</v>
      </c>
      <c r="M41" s="2" t="n">
        <f aca="false">(I41/L41)*B41</f>
        <v>0</v>
      </c>
      <c r="N41" s="2" t="n">
        <f aca="false">(J41/L41)*B41+(J41/(J41+K41))*(1-B41)</f>
        <v>0.990798633793091</v>
      </c>
      <c r="O41" s="2" t="n">
        <f aca="false">(K41/L41)*B41+(K41/(K41+J41))*(1-B41)</f>
        <v>0.00920136620690945</v>
      </c>
      <c r="P41" s="2" t="n">
        <f aca="false">M41+N41+O41</f>
        <v>1</v>
      </c>
      <c r="Q41" s="2" t="n">
        <f aca="false">M41/(I41/$L41)</f>
        <v>0</v>
      </c>
      <c r="R41" s="2" t="n">
        <f aca="false">N41/(J41/$L41)</f>
        <v>1.0105410560446</v>
      </c>
      <c r="S41" s="2" t="n">
        <f aca="false">O41/(K41/$L41)</f>
        <v>1.0105410560446</v>
      </c>
      <c r="T41" s="2" t="n">
        <f aca="false">M41-I41/$L41</f>
        <v>-0.0104311012220157</v>
      </c>
      <c r="U41" s="2" t="n">
        <f aca="false">N41-J41/$L41</f>
        <v>0.0103351208397305</v>
      </c>
      <c r="V41" s="2" t="n">
        <f aca="false">O41-K41/$L41</f>
        <v>9.59803822851071E-005</v>
      </c>
      <c r="W41" s="2" t="n">
        <f aca="false">T41+U41+V41</f>
        <v>-3.6429192995513E-017</v>
      </c>
      <c r="X41" s="2" t="n">
        <f aca="false">T41/(I41)*$L41</f>
        <v>-1</v>
      </c>
      <c r="Y41" s="2" t="n">
        <f aca="false">U41/(J41)*$L41</f>
        <v>0.0105410560446038</v>
      </c>
      <c r="Z41" s="2" t="n">
        <f aca="false">V41/(K41)*$L41</f>
        <v>0.0105410560446039</v>
      </c>
      <c r="AA41" s="2"/>
      <c r="AB41" s="2"/>
      <c r="AC41" s="2" t="n">
        <f aca="false">I41/(I41+K41)*B41</f>
        <v>0</v>
      </c>
      <c r="AD41" s="2" t="n">
        <f aca="false">(J41/(J41+K41))*(1-B41)</f>
        <v>0.990798633793091</v>
      </c>
      <c r="AE41" s="2" t="n">
        <f aca="false">(K41/(K41+I41))*B41+(K41/(K41+J41))*(1-B41)</f>
        <v>0.00920136620690945</v>
      </c>
      <c r="AF41" s="2" t="n">
        <f aca="false">AC41+AD41+AE41</f>
        <v>1</v>
      </c>
      <c r="AG41" s="2" t="n">
        <f aca="false">AC41/(I41/$L41)</f>
        <v>0</v>
      </c>
      <c r="AH41" s="2" t="n">
        <f aca="false">AD41/(J41/$L41)</f>
        <v>1.0105410560446</v>
      </c>
      <c r="AI41" s="2" t="n">
        <f aca="false">AE41/(K41/$L41)</f>
        <v>1.0105410560446</v>
      </c>
      <c r="AJ41" s="2" t="n">
        <f aca="false">AC41-I41/$L41</f>
        <v>-0.0104311012220157</v>
      </c>
      <c r="AK41" s="2" t="n">
        <f aca="false">AD41-J41/$L41</f>
        <v>0.0103351208397305</v>
      </c>
      <c r="AL41" s="2" t="n">
        <f aca="false">AE41-K41/$L41</f>
        <v>9.59803822851071E-005</v>
      </c>
      <c r="AM41" s="2" t="n">
        <f aca="false">AJ41+AK41+AL41</f>
        <v>-3.6429192995513E-017</v>
      </c>
      <c r="AN41" s="2" t="n">
        <f aca="false">AJ41/(I41)*$L41</f>
        <v>-1</v>
      </c>
      <c r="AO41" s="2" t="n">
        <f aca="false">AK41/(J41)*$L41</f>
        <v>0.0105410560446038</v>
      </c>
      <c r="AP41" s="2" t="n">
        <f aca="false">AL41/(K41)*$L41</f>
        <v>0.0105410560446039</v>
      </c>
      <c r="AQ41" s="2"/>
      <c r="AR41" s="2" t="n">
        <f aca="false">B41-C41</f>
        <v>-0.0212156597627681</v>
      </c>
      <c r="AS41" s="45" t="n">
        <f aca="false">B41/C41</f>
        <v>0</v>
      </c>
      <c r="AU41" s="34" t="n">
        <v>668381</v>
      </c>
      <c r="AV41" s="45" t="n">
        <f aca="false">AU41*1000/(L41*365)</f>
        <v>1.11757661371168</v>
      </c>
      <c r="AW41" s="4" t="n">
        <f aca="false">M41*$AU41</f>
        <v>0</v>
      </c>
      <c r="AX41" s="4" t="n">
        <f aca="false">N41*$AU41</f>
        <v>662230.98165326</v>
      </c>
      <c r="AY41" s="4" t="n">
        <f aca="false">O41*$AU41</f>
        <v>6150.01834674035</v>
      </c>
      <c r="AZ41" s="45" t="n">
        <f aca="false">AW41*1000/(I41*365)</f>
        <v>0</v>
      </c>
      <c r="BA41" s="45" t="n">
        <f aca="false">AX41*1000/(J41*365)</f>
        <v>1.12935705143095</v>
      </c>
      <c r="BB41" s="45" t="n">
        <f aca="false">AY41*1000/(K41*365)</f>
        <v>1.12935705143095</v>
      </c>
      <c r="BC41" s="45" t="n">
        <f aca="false">$AV41-AZ41</f>
        <v>1.11757661371168</v>
      </c>
      <c r="BD41" s="45" t="n">
        <f aca="false">$AV41-BA41</f>
        <v>-0.0117804377192734</v>
      </c>
      <c r="BE41" s="45" t="n">
        <f aca="false">$AV41-BB41</f>
        <v>-0.0117804377192732</v>
      </c>
      <c r="BF41" s="2" t="n">
        <f aca="false">SQRT((BC41*$I41)^2+(BD41*$J41)^2+(BE41*$K41)^2)/$L41</f>
        <v>0.0164109498025389</v>
      </c>
      <c r="BG41" s="45"/>
      <c r="BH41" s="4" t="n">
        <f aca="false">AC41*$AU41</f>
        <v>0</v>
      </c>
      <c r="BI41" s="4" t="n">
        <f aca="false">AD41*$AU41</f>
        <v>662230.98165326</v>
      </c>
      <c r="BJ41" s="4" t="n">
        <f aca="false">AE41*$AU41</f>
        <v>6150.01834674035</v>
      </c>
      <c r="BK41" s="45" t="n">
        <f aca="false">BH41*1000/(I41*365)</f>
        <v>0</v>
      </c>
      <c r="BL41" s="45" t="n">
        <f aca="false">BI41*1000/(J41*365)</f>
        <v>1.12935705143095</v>
      </c>
      <c r="BM41" s="45" t="n">
        <f aca="false">BJ41*1000/(K41*365)</f>
        <v>1.12935705143095</v>
      </c>
      <c r="BN41" s="45" t="n">
        <f aca="false">$AV41-BK41</f>
        <v>1.11757661371168</v>
      </c>
      <c r="BO41" s="45" t="n">
        <f aca="false">$AV41-BL41</f>
        <v>-0.0117804377192734</v>
      </c>
      <c r="BP41" s="45" t="n">
        <f aca="false">$AV41-BM41</f>
        <v>-0.0117804377192732</v>
      </c>
      <c r="BQ41" s="2" t="n">
        <f aca="false">SQRT((BN41*$I41)^2+(BO41*$J41)^2+(BP41*$K41)^2)/$L41</f>
        <v>0.0164109498025389</v>
      </c>
      <c r="BS41" s="0" t="s">
        <v>54</v>
      </c>
      <c r="BT41" s="2" t="n">
        <v>0.173088374986866</v>
      </c>
      <c r="BU41" s="2" t="n">
        <v>0.141119257540925</v>
      </c>
      <c r="BW41" s="0" t="s">
        <v>34</v>
      </c>
      <c r="BX41" s="2" t="n">
        <v>0.0665656078500592</v>
      </c>
      <c r="BY41" s="2" t="n">
        <v>0.0665656078500592</v>
      </c>
    </row>
    <row r="42" customFormat="false" ht="12.75" hidden="false" customHeight="false" outlineLevel="0" collapsed="false">
      <c r="A42" s="0" t="s">
        <v>47</v>
      </c>
      <c r="B42" s="2" t="n">
        <v>0</v>
      </c>
      <c r="C42" s="2" t="n">
        <v>0.0295761623107812</v>
      </c>
      <c r="D42" s="2" t="n">
        <f aca="false">1-C42</f>
        <v>0.970423837689219</v>
      </c>
      <c r="E42" s="0" t="n">
        <v>325420</v>
      </c>
      <c r="F42" s="2" t="n">
        <v>0.0401567596137732</v>
      </c>
      <c r="G42" s="2" t="n">
        <f aca="false">1-F42</f>
        <v>0.959843240386227</v>
      </c>
      <c r="H42" s="0" t="n">
        <v>324122</v>
      </c>
      <c r="I42" s="4" t="n">
        <f aca="false">0.5*E42*C42</f>
        <v>4812.33736958721</v>
      </c>
      <c r="J42" s="4" t="n">
        <f aca="false">H42*G42</f>
        <v>311106.310760465</v>
      </c>
      <c r="K42" s="4" t="n">
        <f aca="false">0.5*H42*F42</f>
        <v>6507.8446197677</v>
      </c>
      <c r="L42" s="4" t="n">
        <f aca="false">I42+J42+K42</f>
        <v>322426.49274982</v>
      </c>
      <c r="M42" s="2" t="n">
        <f aca="false">(I42/L42)*B42</f>
        <v>0</v>
      </c>
      <c r="N42" s="2" t="n">
        <f aca="false">(J42/L42)*B42+(J42/(J42+K42))*(1-B42)</f>
        <v>0.979510218579594</v>
      </c>
      <c r="O42" s="2" t="n">
        <f aca="false">(K42/L42)*B42+(K42/(K42+J42))*(1-B42)</f>
        <v>0.0204897814204056</v>
      </c>
      <c r="P42" s="2" t="n">
        <f aca="false">M42+N42+O42</f>
        <v>1</v>
      </c>
      <c r="Q42" s="2" t="n">
        <f aca="false">M42/(I42/$L42)</f>
        <v>0</v>
      </c>
      <c r="R42" s="2" t="n">
        <f aca="false">N42/(J42/$L42)</f>
        <v>1.01515152044727</v>
      </c>
      <c r="S42" s="2" t="n">
        <f aca="false">O42/(K42/$L42)</f>
        <v>1.01515152044727</v>
      </c>
      <c r="T42" s="2" t="n">
        <f aca="false">M42-I42/$L42</f>
        <v>-0.0149253782731844</v>
      </c>
      <c r="U42" s="2" t="n">
        <f aca="false">N42-J42/$L42</f>
        <v>0.01461956053475</v>
      </c>
      <c r="V42" s="2" t="n">
        <f aca="false">O42-K42/$L42</f>
        <v>0.000305817738434418</v>
      </c>
      <c r="W42" s="2" t="n">
        <f aca="false">T42+U42+V42</f>
        <v>0</v>
      </c>
      <c r="X42" s="2" t="n">
        <f aca="false">T42/(I42)*$L42</f>
        <v>-1</v>
      </c>
      <c r="Y42" s="2" t="n">
        <f aca="false">U42/(J42)*$L42</f>
        <v>0.0151515204472739</v>
      </c>
      <c r="Z42" s="2" t="n">
        <f aca="false">V42/(K42)*$L42</f>
        <v>0.0151515204472738</v>
      </c>
      <c r="AA42" s="2"/>
      <c r="AB42" s="2"/>
      <c r="AC42" s="2" t="n">
        <f aca="false">I42/(I42+K42)*B42</f>
        <v>0</v>
      </c>
      <c r="AD42" s="2" t="n">
        <f aca="false">(J42/(J42+K42))*(1-B42)</f>
        <v>0.979510218579594</v>
      </c>
      <c r="AE42" s="2" t="n">
        <f aca="false">(K42/(K42+I42))*B42+(K42/(K42+J42))*(1-B42)</f>
        <v>0.0204897814204056</v>
      </c>
      <c r="AF42" s="2" t="n">
        <f aca="false">AC42+AD42+AE42</f>
        <v>1</v>
      </c>
      <c r="AG42" s="2" t="n">
        <f aca="false">AC42/(I42/$L42)</f>
        <v>0</v>
      </c>
      <c r="AH42" s="2" t="n">
        <f aca="false">AD42/(J42/$L42)</f>
        <v>1.01515152044727</v>
      </c>
      <c r="AI42" s="2" t="n">
        <f aca="false">AE42/(K42/$L42)</f>
        <v>1.01515152044727</v>
      </c>
      <c r="AJ42" s="2" t="n">
        <f aca="false">AC42-I42/$L42</f>
        <v>-0.0149253782731844</v>
      </c>
      <c r="AK42" s="2" t="n">
        <f aca="false">AD42-J42/$L42</f>
        <v>0.01461956053475</v>
      </c>
      <c r="AL42" s="2" t="n">
        <f aca="false">AE42-K42/$L42</f>
        <v>0.000305817738434418</v>
      </c>
      <c r="AM42" s="2" t="n">
        <f aca="false">AJ42+AK42+AL42</f>
        <v>0</v>
      </c>
      <c r="AN42" s="2" t="n">
        <f aca="false">AJ42/(I42)*$L42</f>
        <v>-1</v>
      </c>
      <c r="AO42" s="2" t="n">
        <f aca="false">AK42/(J42)*$L42</f>
        <v>0.0151515204472739</v>
      </c>
      <c r="AP42" s="2" t="n">
        <f aca="false">AL42/(K42)*$L42</f>
        <v>0.0151515204472738</v>
      </c>
      <c r="AQ42" s="2"/>
      <c r="AR42" s="2" t="n">
        <f aca="false">B42-C42</f>
        <v>-0.0295761623107812</v>
      </c>
      <c r="AS42" s="45" t="n">
        <f aca="false">B42/C42</f>
        <v>0</v>
      </c>
      <c r="AU42" s="32" t="n">
        <v>285683</v>
      </c>
      <c r="AV42" s="45" t="n">
        <f aca="false">AU42*1000/(L42*365)</f>
        <v>2.42750880676622</v>
      </c>
      <c r="AW42" s="4" t="n">
        <f aca="false">M42*$AU42</f>
        <v>0</v>
      </c>
      <c r="AX42" s="4" t="n">
        <f aca="false">N42*$AU42</f>
        <v>279829.417774474</v>
      </c>
      <c r="AY42" s="4" t="n">
        <f aca="false">O42*$AU42</f>
        <v>5853.58222552573</v>
      </c>
      <c r="AZ42" s="45" t="n">
        <f aca="false">AW42*1000/(I42*365)</f>
        <v>0</v>
      </c>
      <c r="BA42" s="45" t="n">
        <f aca="false">AX42*1000/(J42*365)</f>
        <v>2.46428925608788</v>
      </c>
      <c r="BB42" s="45" t="n">
        <f aca="false">AY42*1000/(K42*365)</f>
        <v>2.46428925608788</v>
      </c>
      <c r="BC42" s="45" t="n">
        <f aca="false">$AV42-AZ42</f>
        <v>2.42750880676622</v>
      </c>
      <c r="BD42" s="45" t="n">
        <f aca="false">$AV42-BA42</f>
        <v>-0.0367804493216553</v>
      </c>
      <c r="BE42" s="45" t="n">
        <f aca="false">$AV42-BB42</f>
        <v>-0.0367804493216553</v>
      </c>
      <c r="BF42" s="2" t="n">
        <f aca="false">SQRT((BC42*$I42)^2+(BD42*$J42)^2+(BE42*$K42)^2)/$L42</f>
        <v>0.0507222717635897</v>
      </c>
      <c r="BG42" s="45"/>
      <c r="BH42" s="4" t="n">
        <f aca="false">AC42*$AU42</f>
        <v>0</v>
      </c>
      <c r="BI42" s="4" t="n">
        <f aca="false">AD42*$AU42</f>
        <v>279829.417774474</v>
      </c>
      <c r="BJ42" s="4" t="n">
        <f aca="false">AE42*$AU42</f>
        <v>5853.58222552573</v>
      </c>
      <c r="BK42" s="45" t="n">
        <f aca="false">BH42*1000/(I42*365)</f>
        <v>0</v>
      </c>
      <c r="BL42" s="45" t="n">
        <f aca="false">BI42*1000/(J42*365)</f>
        <v>2.46428925608788</v>
      </c>
      <c r="BM42" s="45" t="n">
        <f aca="false">BJ42*1000/(K42*365)</f>
        <v>2.46428925608788</v>
      </c>
      <c r="BN42" s="45" t="n">
        <f aca="false">$AV42-BK42</f>
        <v>2.42750880676622</v>
      </c>
      <c r="BO42" s="45" t="n">
        <f aca="false">$AV42-BL42</f>
        <v>-0.0367804493216553</v>
      </c>
      <c r="BP42" s="45" t="n">
        <f aca="false">$AV42-BM42</f>
        <v>-0.0367804493216553</v>
      </c>
      <c r="BQ42" s="2" t="n">
        <f aca="false">SQRT((BN42*$I42)^2+(BO42*$J42)^2+(BP42*$K42)^2)/$L42</f>
        <v>0.0507222717635897</v>
      </c>
      <c r="BS42" s="0" t="s">
        <v>15</v>
      </c>
      <c r="BT42" s="2" t="n">
        <v>0.008399387103283</v>
      </c>
      <c r="BU42" s="2" t="n">
        <v>0.146403573914671</v>
      </c>
      <c r="BW42" s="0" t="s">
        <v>27</v>
      </c>
      <c r="BX42" s="2" t="n">
        <v>0.0726682767758417</v>
      </c>
      <c r="BY42" s="2" t="n">
        <v>0.215577002434244</v>
      </c>
    </row>
    <row r="43" customFormat="false" ht="12.75" hidden="false" customHeight="false" outlineLevel="0" collapsed="false">
      <c r="A43" s="0" t="s">
        <v>48</v>
      </c>
      <c r="B43" s="2" t="n">
        <v>5.80051647196015E-005</v>
      </c>
      <c r="C43" s="2" t="n">
        <v>0.0458630868796215</v>
      </c>
      <c r="D43" s="2" t="n">
        <f aca="false">1-C43</f>
        <v>0.954136913120379</v>
      </c>
      <c r="E43" s="0" t="n">
        <v>2271718</v>
      </c>
      <c r="F43" s="2" t="n">
        <v>0.0329980660228999</v>
      </c>
      <c r="G43" s="2" t="n">
        <f aca="false">1-F43</f>
        <v>0.9670019339771</v>
      </c>
      <c r="H43" s="0" t="n">
        <v>2239256</v>
      </c>
      <c r="I43" s="4" t="n">
        <f aca="false">0.5*E43*C43</f>
        <v>52094</v>
      </c>
      <c r="J43" s="4" t="n">
        <f aca="false">H43*G43</f>
        <v>2165364.88266983</v>
      </c>
      <c r="K43" s="4" t="n">
        <f aca="false">0.5*H43*F43</f>
        <v>36945.5586650874</v>
      </c>
      <c r="L43" s="4" t="n">
        <f aca="false">I43+J43+K43</f>
        <v>2254404.44133491</v>
      </c>
      <c r="M43" s="2" t="n">
        <f aca="false">(I43/L43)*B43</f>
        <v>1.34036333299346E-006</v>
      </c>
      <c r="N43" s="2" t="n">
        <f aca="false">(J43/L43)*B43+(J43/(J43+K43))*(1-B43)</f>
        <v>0.983222864339515</v>
      </c>
      <c r="O43" s="2" t="n">
        <f aca="false">(K43/L43)*B43+(K43/(K43+J43))*(1-B43)</f>
        <v>0.0167757952971521</v>
      </c>
      <c r="P43" s="2" t="n">
        <f aca="false">M43+N43+O43</f>
        <v>1</v>
      </c>
      <c r="Q43" s="2" t="n">
        <f aca="false">M43/(I43/$L43)</f>
        <v>5.80051647196015E-005</v>
      </c>
      <c r="R43" s="2" t="n">
        <f aca="false">N43/(J43/$L43)</f>
        <v>1.0236528771336</v>
      </c>
      <c r="S43" s="2" t="n">
        <f aca="false">O43/(K43/$L43)</f>
        <v>1.0236528771336</v>
      </c>
      <c r="T43" s="2" t="n">
        <f aca="false">M43-I43/$L43</f>
        <v>-0.0231063146096821</v>
      </c>
      <c r="U43" s="2" t="n">
        <f aca="false">N43-J43/$L43</f>
        <v>0.0227186872861569</v>
      </c>
      <c r="V43" s="2" t="n">
        <f aca="false">O43-K43/$L43</f>
        <v>0.000387627323525069</v>
      </c>
      <c r="W43" s="2" t="n">
        <f aca="false">T43+U43+V43</f>
        <v>-1.2490009027033E-016</v>
      </c>
      <c r="X43" s="2" t="n">
        <f aca="false">T43/(I43)*$L43</f>
        <v>-0.99994199483528</v>
      </c>
      <c r="Y43" s="2" t="n">
        <f aca="false">U43/(J43)*$L43</f>
        <v>0.0236528771336044</v>
      </c>
      <c r="Z43" s="2" t="n">
        <f aca="false">V43/(K43)*$L43</f>
        <v>0.0236528771336043</v>
      </c>
      <c r="AA43" s="2"/>
      <c r="AB43" s="2"/>
      <c r="AC43" s="2" t="n">
        <f aca="false">I43/(I43+K43)*B43</f>
        <v>3.39368376955775E-005</v>
      </c>
      <c r="AD43" s="2" t="n">
        <f aca="false">(J43/(J43+K43))*(1-B43)</f>
        <v>0.983167150136511</v>
      </c>
      <c r="AE43" s="2" t="n">
        <f aca="false">(K43/(K43+I43))*B43+(K43/(K43+J43))*(1-B43)</f>
        <v>0.0167989130257934</v>
      </c>
      <c r="AF43" s="2" t="n">
        <f aca="false">AC43+AD43+AE43</f>
        <v>1</v>
      </c>
      <c r="AG43" s="2" t="n">
        <f aca="false">AC43/(I43/$L43)</f>
        <v>0.00146864048884271</v>
      </c>
      <c r="AH43" s="2" t="n">
        <f aca="false">AD43/(J43/$L43)</f>
        <v>1.02359487196888</v>
      </c>
      <c r="AI43" s="2" t="n">
        <f aca="false">AE43/(K43/$L43)</f>
        <v>1.02506351245773</v>
      </c>
      <c r="AJ43" s="2" t="n">
        <f aca="false">AC43-I43/$L43</f>
        <v>-0.0230737181353195</v>
      </c>
      <c r="AK43" s="2" t="n">
        <f aca="false">AD43-J43/$L43</f>
        <v>0.022662973083153</v>
      </c>
      <c r="AL43" s="2" t="n">
        <f aca="false">AE43-K43/$L43</f>
        <v>0.000410745052166331</v>
      </c>
      <c r="AM43" s="2" t="n">
        <f aca="false">AJ43+AK43+AL43</f>
        <v>-1.56125112837913E-016</v>
      </c>
      <c r="AN43" s="2" t="n">
        <f aca="false">AJ43/(I43)*$L43</f>
        <v>-0.998531359511157</v>
      </c>
      <c r="AO43" s="2" t="n">
        <f aca="false">AK43/(J43)*$L43</f>
        <v>0.0235948719688848</v>
      </c>
      <c r="AP43" s="2" t="n">
        <f aca="false">AL43/(K43)*$L43</f>
        <v>0.0250635124577274</v>
      </c>
      <c r="AQ43" s="2"/>
      <c r="AR43" s="2" t="n">
        <f aca="false">B43-C43</f>
        <v>-0.0458050817149019</v>
      </c>
      <c r="AS43" s="45" t="n">
        <f aca="false">B43/C43</f>
        <v>0.00126474619712907</v>
      </c>
      <c r="AU43" s="32" t="n">
        <v>1229518</v>
      </c>
      <c r="AV43" s="45" t="n">
        <f aca="false">AU43*1000/(L43*365)</f>
        <v>1.49420503437209</v>
      </c>
      <c r="AW43" s="4" t="n">
        <f aca="false">M43*$AU43</f>
        <v>1.64800084445545</v>
      </c>
      <c r="AX43" s="4" t="n">
        <f aca="false">N43*$AU43</f>
        <v>1208890.20971699</v>
      </c>
      <c r="AY43" s="4" t="n">
        <f aca="false">O43*$AU43</f>
        <v>20626.1422821639</v>
      </c>
      <c r="AZ43" s="45" t="n">
        <f aca="false">AW43*1000/(I43*365)</f>
        <v>8.66716091436109E-005</v>
      </c>
      <c r="BA43" s="45" t="n">
        <f aca="false">AX43*1000/(J43*365)</f>
        <v>1.52954728246251</v>
      </c>
      <c r="BB43" s="45" t="n">
        <f aca="false">AY43*1000/(K43*365)</f>
        <v>1.52954728246251</v>
      </c>
      <c r="BC43" s="45" t="n">
        <f aca="false">$AV43-AZ43</f>
        <v>1.49411836276295</v>
      </c>
      <c r="BD43" s="45" t="n">
        <f aca="false">$AV43-BA43</f>
        <v>-0.0353422480904162</v>
      </c>
      <c r="BE43" s="45" t="n">
        <f aca="false">$AV43-BB43</f>
        <v>-0.0353422480904164</v>
      </c>
      <c r="BF43" s="2" t="n">
        <f aca="false">SQRT((BC43*$I43)^2+(BD43*$J43)^2+(BE43*$K43)^2)/$L43</f>
        <v>0.0484221753713314</v>
      </c>
      <c r="BG43" s="45"/>
      <c r="BH43" s="4" t="n">
        <f aca="false">AC43*$AU43</f>
        <v>41.7259528097911</v>
      </c>
      <c r="BI43" s="4" t="n">
        <f aca="false">AD43*$AU43</f>
        <v>1208821.70810154</v>
      </c>
      <c r="BJ43" s="4" t="n">
        <f aca="false">AE43*$AU43</f>
        <v>20654.5659456474</v>
      </c>
      <c r="BK43" s="45" t="n">
        <f aca="false">BH43*1000/(I43*365)</f>
        <v>0.00219445001211146</v>
      </c>
      <c r="BL43" s="45" t="n">
        <f aca="false">BI43*1000/(J43*365)</f>
        <v>1.52946061085336</v>
      </c>
      <c r="BM43" s="45" t="n">
        <f aca="false">BJ43*1000/(K43*365)</f>
        <v>1.53165506086547</v>
      </c>
      <c r="BN43" s="45" t="n">
        <f aca="false">$AV43-BK43</f>
        <v>1.49201058435998</v>
      </c>
      <c r="BO43" s="45" t="n">
        <f aca="false">$AV43-BL43</f>
        <v>-0.0352555764812728</v>
      </c>
      <c r="BP43" s="45" t="n">
        <f aca="false">$AV43-BM43</f>
        <v>-0.0374500264933844</v>
      </c>
      <c r="BQ43" s="2" t="n">
        <f aca="false">SQRT((BN43*$I43)^2+(BO43*$J43)^2+(BP43*$K43)^2)/$L43</f>
        <v>0.0483295191260178</v>
      </c>
      <c r="BS43" s="0" t="s">
        <v>19</v>
      </c>
      <c r="BT43" s="2" t="n">
        <v>0.0275574582356939</v>
      </c>
      <c r="BU43" s="2" t="n">
        <v>0.146565010321899</v>
      </c>
      <c r="BW43" s="0" t="s">
        <v>31</v>
      </c>
      <c r="BX43" s="2" t="n">
        <v>0.0772776920578819</v>
      </c>
      <c r="BY43" s="2" t="n">
        <v>0.0760630557203349</v>
      </c>
    </row>
    <row r="44" customFormat="false" ht="12.75" hidden="false" customHeight="false" outlineLevel="0" collapsed="false">
      <c r="A44" s="0" t="s">
        <v>49</v>
      </c>
      <c r="B44" s="2" t="n">
        <v>0.0247474685546935</v>
      </c>
      <c r="C44" s="2" t="n">
        <v>0.00910524272123237</v>
      </c>
      <c r="D44" s="2" t="n">
        <f aca="false">1-C44</f>
        <v>0.990894757278768</v>
      </c>
      <c r="E44" s="0" t="n">
        <v>7527751</v>
      </c>
      <c r="F44" s="2" t="n">
        <v>0.00799104065061407</v>
      </c>
      <c r="G44" s="2" t="n">
        <f aca="false">1-F44</f>
        <v>0.992008959349386</v>
      </c>
      <c r="H44" s="0" t="n">
        <v>7610487</v>
      </c>
      <c r="I44" s="4" t="n">
        <f aca="false">0.5*E44*C44</f>
        <v>34270.9999999998</v>
      </c>
      <c r="J44" s="4" t="n">
        <f aca="false">H44*G44</f>
        <v>7549671.28901203</v>
      </c>
      <c r="K44" s="4" t="n">
        <f aca="false">0.5*H44*F44</f>
        <v>30407.855493985</v>
      </c>
      <c r="L44" s="4" t="n">
        <f aca="false">I44+J44+K44</f>
        <v>7614350.14450602</v>
      </c>
      <c r="M44" s="2" t="n">
        <f aca="false">(I44/L44)*B44</f>
        <v>0.000111384488333498</v>
      </c>
      <c r="N44" s="2" t="n">
        <f aca="false">(J44/L44)*B44+(J44/(J44+K44))*(1-B44)</f>
        <v>0.995877513786878</v>
      </c>
      <c r="O44" s="2" t="n">
        <f aca="false">(K44/L44)*B44+(K44/(K44+J44))*(1-B44)</f>
        <v>0.00401110172478824</v>
      </c>
      <c r="P44" s="2" t="n">
        <f aca="false">M44+N44+O44</f>
        <v>1</v>
      </c>
      <c r="Q44" s="2" t="n">
        <f aca="false">M44/(I44/$L44)</f>
        <v>0.0247474685546935</v>
      </c>
      <c r="R44" s="2" t="n">
        <f aca="false">N44/(J44/$L44)</f>
        <v>1.00440930481965</v>
      </c>
      <c r="S44" s="2" t="n">
        <f aca="false">O44/(K44/$L44)</f>
        <v>1.00440930481965</v>
      </c>
      <c r="T44" s="2" t="n">
        <f aca="false">M44-I44/$L44</f>
        <v>-0.00438945922775531</v>
      </c>
      <c r="U44" s="2" t="n">
        <f aca="false">N44-J44/$L44</f>
        <v>0.00437185069895907</v>
      </c>
      <c r="V44" s="2" t="n">
        <f aca="false">O44-K44/$L44</f>
        <v>1.76085287963068E-005</v>
      </c>
      <c r="W44" s="2" t="n">
        <f aca="false">T44+U44+V44</f>
        <v>6.15826833971767E-017</v>
      </c>
      <c r="X44" s="2" t="n">
        <f aca="false">T44/(I44)*$L44</f>
        <v>-0.975252531445306</v>
      </c>
      <c r="Y44" s="2" t="n">
        <f aca="false">U44/(J44)*$L44</f>
        <v>0.0044093048196452</v>
      </c>
      <c r="Z44" s="2" t="n">
        <f aca="false">V44/(K44)*$L44</f>
        <v>0.00440930481964501</v>
      </c>
      <c r="AA44" s="2"/>
      <c r="AB44" s="2"/>
      <c r="AC44" s="2" t="n">
        <f aca="false">I44/(I44+K44)*B44</f>
        <v>0.0131127937926603</v>
      </c>
      <c r="AD44" s="2" t="n">
        <f aca="false">(J44/(J44+K44))*(1-B44)</f>
        <v>0.97134025856781</v>
      </c>
      <c r="AE44" s="2" t="n">
        <f aca="false">(K44/(K44+I44))*B44+(K44/(K44+J44))*(1-B44)</f>
        <v>0.0155469476395302</v>
      </c>
      <c r="AF44" s="2" t="n">
        <f aca="false">AC44+AD44+AE44</f>
        <v>1</v>
      </c>
      <c r="AG44" s="2" t="n">
        <f aca="false">AC44/(I44/$L44)</f>
        <v>2.91340793411401</v>
      </c>
      <c r="AH44" s="2" t="n">
        <f aca="false">AD44/(J44/$L44)</f>
        <v>0.979661836264952</v>
      </c>
      <c r="AI44" s="2" t="n">
        <f aca="false">AE44/(K44/$L44)</f>
        <v>3.89306977037896</v>
      </c>
      <c r="AJ44" s="53" t="n">
        <f aca="false">AC44-I44/$L44</f>
        <v>0.0086119500765715</v>
      </c>
      <c r="AK44" s="2" t="n">
        <f aca="false">AD44-J44/$L44</f>
        <v>-0.0201654045201097</v>
      </c>
      <c r="AL44" s="2" t="n">
        <f aca="false">AE44-K44/$L44</f>
        <v>0.0115534544435383</v>
      </c>
      <c r="AM44" s="2" t="n">
        <f aca="false">AJ44+AK44+AL44</f>
        <v>7.45931094670027E-017</v>
      </c>
      <c r="AN44" s="2" t="n">
        <f aca="false">AJ44/(I44)*$L44</f>
        <v>1.91340793411401</v>
      </c>
      <c r="AO44" s="2" t="n">
        <f aca="false">AK44/(J44)*$L44</f>
        <v>-0.0203381637350483</v>
      </c>
      <c r="AP44" s="2" t="n">
        <f aca="false">AL44/(K44)*$L44</f>
        <v>2.89306977037896</v>
      </c>
      <c r="AQ44" s="2"/>
      <c r="AR44" s="53" t="n">
        <f aca="false">B44-C44</f>
        <v>0.0156422258334611</v>
      </c>
      <c r="AS44" s="54" t="n">
        <f aca="false">B44/C44</f>
        <v>2.71793617285844</v>
      </c>
      <c r="AU44" s="32" t="n">
        <v>3592957</v>
      </c>
      <c r="AV44" s="45" t="n">
        <f aca="false">AU44*1000/(L44*365)</f>
        <v>1.29278502057352</v>
      </c>
      <c r="AW44" s="4" t="n">
        <f aca="false">M44*$AU44</f>
        <v>400.199677049259</v>
      </c>
      <c r="AX44" s="4" t="n">
        <f aca="false">N44*$AU44</f>
        <v>3578145.08430316</v>
      </c>
      <c r="AY44" s="4" t="n">
        <f aca="false">O44*$AU44</f>
        <v>14411.71601979</v>
      </c>
      <c r="AZ44" s="45" t="n">
        <f aca="false">AW44*1000/(I44*365)</f>
        <v>0.0319931566446219</v>
      </c>
      <c r="BA44" s="45" t="n">
        <f aca="false">AX44*1000/(J44*365)</f>
        <v>1.2984853037955</v>
      </c>
      <c r="BB44" s="45" t="n">
        <f aca="false">AY44*1000/(K44*365)</f>
        <v>1.2984853037955</v>
      </c>
      <c r="BC44" s="45" t="n">
        <f aca="false">$AV44-AZ44</f>
        <v>1.2607918639289</v>
      </c>
      <c r="BD44" s="45" t="n">
        <f aca="false">$AV44-BA44</f>
        <v>-0.00570028322197991</v>
      </c>
      <c r="BE44" s="45" t="n">
        <f aca="false">$AV44-BB44</f>
        <v>-0.00570028322197991</v>
      </c>
      <c r="BF44" s="2" t="n">
        <f aca="false">SQRT((BC44*$I44)^2+(BD44*$J44)^2+(BE44*$K44)^2)/$L44</f>
        <v>0.00800908657783614</v>
      </c>
      <c r="BG44" s="45"/>
      <c r="BH44" s="4" t="n">
        <f aca="false">AC44*$AU44</f>
        <v>47113.7042468954</v>
      </c>
      <c r="BI44" s="4" t="n">
        <f aca="false">AD44*$AU44</f>
        <v>3489983.78140302</v>
      </c>
      <c r="BJ44" s="4" t="n">
        <f aca="false">AE44*$AU44</f>
        <v>55859.5143500837</v>
      </c>
      <c r="BK44" s="45" t="n">
        <f aca="false">BH44*1000/(I44*365)</f>
        <v>3.76641013604263</v>
      </c>
      <c r="BL44" s="45" t="n">
        <f aca="false">BI44*1000/(J44*365)</f>
        <v>1.26649214715088</v>
      </c>
      <c r="BM44" s="45" t="n">
        <f aca="false">BJ44*1000/(K44*365)</f>
        <v>5.0329022831935</v>
      </c>
      <c r="BN44" s="54" t="n">
        <f aca="false">$AV44-BK44</f>
        <v>-2.47362511546911</v>
      </c>
      <c r="BO44" s="45" t="n">
        <f aca="false">$AV44-BL44</f>
        <v>0.026292873422642</v>
      </c>
      <c r="BP44" s="45" t="n">
        <f aca="false">$AV44-BM44</f>
        <v>-3.74011726261998</v>
      </c>
      <c r="BQ44" s="2" t="n">
        <f aca="false">SQRT((BN44*$I44)^2+(BO44*$J44)^2+(BP44*$K44)^2)/$L44</f>
        <v>0.032041554371547</v>
      </c>
      <c r="BS44" s="0" t="s">
        <v>42</v>
      </c>
      <c r="BT44" s="2" t="n">
        <v>0.0115517227496793</v>
      </c>
      <c r="BU44" s="2" t="n">
        <v>0.149569305958856</v>
      </c>
      <c r="BW44" s="0" t="s">
        <v>52</v>
      </c>
      <c r="BX44" s="2" t="n">
        <v>0.0779705994925799</v>
      </c>
      <c r="BY44" s="2" t="n">
        <v>0.0618081028379954</v>
      </c>
    </row>
    <row r="45" customFormat="false" ht="12.75" hidden="false" customHeight="false" outlineLevel="0" collapsed="false">
      <c r="A45" s="0" t="s">
        <v>50</v>
      </c>
      <c r="B45" s="2" t="n">
        <v>0.000622986197117817</v>
      </c>
      <c r="C45" s="2" t="n">
        <v>0.00991343868813166</v>
      </c>
      <c r="D45" s="2" t="n">
        <f aca="false">1-C45</f>
        <v>0.990086561311868</v>
      </c>
      <c r="E45" s="0" t="n">
        <v>730927</v>
      </c>
      <c r="F45" s="2" t="n">
        <v>0.0133017559790412</v>
      </c>
      <c r="G45" s="2" t="n">
        <f aca="false">1-F45</f>
        <v>0.986698244020959</v>
      </c>
      <c r="H45" s="0" t="n">
        <v>732376</v>
      </c>
      <c r="I45" s="4" t="n">
        <f aca="false">0.5*E45*C45</f>
        <v>3623</v>
      </c>
      <c r="J45" s="4" t="n">
        <f aca="false">H45*G45</f>
        <v>722634.113163094</v>
      </c>
      <c r="K45" s="4" t="n">
        <f aca="false">0.5*H45*F45</f>
        <v>4870.94341845312</v>
      </c>
      <c r="L45" s="4" t="n">
        <f aca="false">I45+J45+K45</f>
        <v>731128.056581547</v>
      </c>
      <c r="M45" s="2" t="n">
        <f aca="false">(I45/L45)*B45</f>
        <v>3.08711855856144E-006</v>
      </c>
      <c r="N45" s="2" t="n">
        <f aca="false">(J45/L45)*B45+(J45/(J45+K45))*(1-B45)</f>
        <v>0.993301525217525</v>
      </c>
      <c r="O45" s="2" t="n">
        <f aca="false">(K45/L45)*B45+(K45/(K45+J45))*(1-B45)</f>
        <v>0.00669538766391696</v>
      </c>
      <c r="P45" s="2" t="n">
        <f aca="false">M45+N45+O45</f>
        <v>1</v>
      </c>
      <c r="Q45" s="2" t="n">
        <f aca="false">M45/(I45/$L45)</f>
        <v>0.000622986197117817</v>
      </c>
      <c r="R45" s="2" t="n">
        <f aca="false">N45/(J45/$L45)</f>
        <v>1.00497693162165</v>
      </c>
      <c r="S45" s="2" t="n">
        <f aca="false">O45/(K45/$L45)</f>
        <v>1.00497693162165</v>
      </c>
      <c r="T45" s="2" t="n">
        <f aca="false">M45-I45/$L45</f>
        <v>-0.00495226915232462</v>
      </c>
      <c r="U45" s="2" t="n">
        <f aca="false">N45-J45/$L45</f>
        <v>0.00491911168817272</v>
      </c>
      <c r="V45" s="2" t="n">
        <f aca="false">O45-K45/$L45</f>
        <v>3.31574641518938E-005</v>
      </c>
      <c r="W45" s="2" t="n">
        <f aca="false">T45+U45+V45</f>
        <v>-1.30104260698261E-017</v>
      </c>
      <c r="X45" s="2" t="n">
        <f aca="false">T45/(I45)*$L45</f>
        <v>-0.999377013802882</v>
      </c>
      <c r="Y45" s="2" t="n">
        <f aca="false">U45/(J45)*$L45</f>
        <v>0.00497693162164569</v>
      </c>
      <c r="Z45" s="2" t="n">
        <f aca="false">V45/(K45)*$L45</f>
        <v>0.00497693162164572</v>
      </c>
      <c r="AA45" s="2"/>
      <c r="AB45" s="2"/>
      <c r="AC45" s="2" t="n">
        <f aca="false">I45/(I45+K45)*B45</f>
        <v>0.000265728046557779</v>
      </c>
      <c r="AD45" s="2" t="n">
        <f aca="false">(J45/(J45+K45))*(1-B45)</f>
        <v>0.992685776616422</v>
      </c>
      <c r="AE45" s="2" t="n">
        <f aca="false">(K45/(K45+I45))*B45+(K45/(K45+J45))*(1-B45)</f>
        <v>0.00704849533702052</v>
      </c>
      <c r="AF45" s="2" t="n">
        <f aca="false">AC45+AD45+AE45</f>
        <v>1</v>
      </c>
      <c r="AG45" s="2" t="n">
        <f aca="false">AC45/(I45/$L45)</f>
        <v>0.0536244080207009</v>
      </c>
      <c r="AH45" s="2" t="n">
        <f aca="false">AD45/(J45/$L45)</f>
        <v>1.00435394542453</v>
      </c>
      <c r="AI45" s="2" t="n">
        <f aca="false">AE45/(K45/$L45)</f>
        <v>1.05797835344523</v>
      </c>
      <c r="AJ45" s="2" t="n">
        <f aca="false">AC45-I45/$L45</f>
        <v>-0.00468962822432541</v>
      </c>
      <c r="AK45" s="2" t="n">
        <f aca="false">AD45-J45/$L45</f>
        <v>0.00430336308706991</v>
      </c>
      <c r="AL45" s="2" t="n">
        <f aca="false">AE45-K45/$L45</f>
        <v>0.000386265137255456</v>
      </c>
      <c r="AM45" s="2" t="n">
        <f aca="false">AJ45+AK45+AL45</f>
        <v>-3.81639164714898E-017</v>
      </c>
      <c r="AN45" s="2" t="n">
        <f aca="false">AJ45/(I45)*$L45</f>
        <v>-0.946375591979299</v>
      </c>
      <c r="AO45" s="2" t="n">
        <f aca="false">AK45/(J45)*$L45</f>
        <v>0.00435394542452785</v>
      </c>
      <c r="AP45" s="2" t="n">
        <f aca="false">AL45/(K45)*$L45</f>
        <v>0.0579783534452289</v>
      </c>
      <c r="AQ45" s="2"/>
      <c r="AR45" s="2" t="n">
        <f aca="false">B45-C45</f>
        <v>-0.00929045249101384</v>
      </c>
      <c r="AS45" s="45" t="n">
        <f aca="false">B45/C45</f>
        <v>0.0628425934447604</v>
      </c>
      <c r="AU45" s="34" t="n">
        <v>431264</v>
      </c>
      <c r="AV45" s="45" t="n">
        <f aca="false">AU45*1000/(L45*365)</f>
        <v>1.61605780935814</v>
      </c>
      <c r="AW45" s="4" t="n">
        <f aca="false">M45*$AU45</f>
        <v>1.33136309803944</v>
      </c>
      <c r="AX45" s="4" t="n">
        <f aca="false">N45*$AU45</f>
        <v>428375.18897141</v>
      </c>
      <c r="AY45" s="4" t="n">
        <f aca="false">O45*$AU45</f>
        <v>2887.47966549148</v>
      </c>
      <c r="AZ45" s="45" t="n">
        <f aca="false">AW45*1000/(I45*365)</f>
        <v>0.00100678170897458</v>
      </c>
      <c r="BA45" s="45" t="n">
        <f aca="false">AX45*1000/(J45*365)</f>
        <v>1.62410081857195</v>
      </c>
      <c r="BB45" s="45" t="n">
        <f aca="false">AY45*1000/(K45*365)</f>
        <v>1.62410081857195</v>
      </c>
      <c r="BC45" s="45" t="n">
        <f aca="false">$AV45-AZ45</f>
        <v>1.61505102764917</v>
      </c>
      <c r="BD45" s="45" t="n">
        <f aca="false">$AV45-BA45</f>
        <v>-0.00804300921380174</v>
      </c>
      <c r="BE45" s="45" t="n">
        <f aca="false">$AV45-BB45</f>
        <v>-0.00804300921380197</v>
      </c>
      <c r="BF45" s="2" t="n">
        <f aca="false">SQRT((BC45*$I45)^2+(BD45*$J45)^2+(BE45*$K45)^2)/$L45</f>
        <v>0.0112804688764038</v>
      </c>
      <c r="BG45" s="45"/>
      <c r="BH45" s="4" t="n">
        <f aca="false">AC45*$AU45</f>
        <v>114.598940270694</v>
      </c>
      <c r="BI45" s="4" t="n">
        <f aca="false">AD45*$AU45</f>
        <v>428109.638766705</v>
      </c>
      <c r="BJ45" s="4" t="n">
        <f aca="false">AE45*$AU45</f>
        <v>3039.76229302482</v>
      </c>
      <c r="BK45" s="45" t="n">
        <f aca="false">BH45*1000/(I45*365)</f>
        <v>0.0866601433540613</v>
      </c>
      <c r="BL45" s="45" t="n">
        <f aca="false">BI45*1000/(J45*365)</f>
        <v>1.62309403686297</v>
      </c>
      <c r="BM45" s="45" t="n">
        <f aca="false">BJ45*1000/(K45*365)</f>
        <v>1.70975418021703</v>
      </c>
      <c r="BN45" s="45" t="n">
        <f aca="false">$AV45-BK45</f>
        <v>1.52939766600408</v>
      </c>
      <c r="BO45" s="45" t="n">
        <f aca="false">$AV45-BL45</f>
        <v>-0.00703622750482724</v>
      </c>
      <c r="BP45" s="45" t="n">
        <f aca="false">$AV45-BM45</f>
        <v>-0.0936963708588885</v>
      </c>
      <c r="BQ45" s="2" t="n">
        <f aca="false">SQRT((BN45*$I45)^2+(BO45*$J45)^2+(BP45*$K45)^2)/$L45</f>
        <v>0.0103049187382187</v>
      </c>
      <c r="BS45" s="0" t="s">
        <v>35</v>
      </c>
      <c r="BT45" s="2" t="n">
        <v>0.0802172801999633</v>
      </c>
      <c r="BU45" s="2" t="n">
        <v>0.169191739603659</v>
      </c>
      <c r="BW45" s="0" t="s">
        <v>35</v>
      </c>
      <c r="BX45" s="2" t="n">
        <v>0.0802172801999633</v>
      </c>
      <c r="BY45" s="2" t="n">
        <v>0.169191739603659</v>
      </c>
    </row>
    <row r="46" customFormat="false" ht="12.75" hidden="false" customHeight="false" outlineLevel="0" collapsed="false">
      <c r="A46" s="0" t="s">
        <v>51</v>
      </c>
      <c r="B46" s="2" t="n">
        <v>0</v>
      </c>
      <c r="C46" s="2" t="n">
        <v>0.0494956071368481</v>
      </c>
      <c r="D46" s="2" t="n">
        <f aca="false">1-C46</f>
        <v>0.950504392863152</v>
      </c>
      <c r="E46" s="0" t="n">
        <v>273398</v>
      </c>
      <c r="F46" s="2" t="n">
        <v>0.0583507567879001</v>
      </c>
      <c r="G46" s="2" t="n">
        <f aca="false">1-F46</f>
        <v>0.9416492432121</v>
      </c>
      <c r="H46" s="0" t="n">
        <v>276765</v>
      </c>
      <c r="I46" s="4" t="n">
        <f aca="false">0.5*E46*C46</f>
        <v>6766</v>
      </c>
      <c r="J46" s="4" t="n">
        <f aca="false">H46*G46</f>
        <v>260615.552797597</v>
      </c>
      <c r="K46" s="4" t="n">
        <f aca="false">0.5*H46*F46</f>
        <v>8074.72360120159</v>
      </c>
      <c r="L46" s="4" t="n">
        <f aca="false">I46+J46+K46</f>
        <v>275456.276398798</v>
      </c>
      <c r="M46" s="2" t="n">
        <f aca="false">(I46/L46)*B46</f>
        <v>0</v>
      </c>
      <c r="N46" s="2" t="n">
        <f aca="false">(J46/L46)*B46+(J46/(J46+K46))*(1-B46)</f>
        <v>0.969947838420409</v>
      </c>
      <c r="O46" s="2" t="n">
        <f aca="false">(K46/L46)*B46+(K46/(K46+J46))*(1-B46)</f>
        <v>0.0300521615795908</v>
      </c>
      <c r="P46" s="2" t="n">
        <f aca="false">M46+N46+O46</f>
        <v>1</v>
      </c>
      <c r="Q46" s="2" t="n">
        <f aca="false">M46/(I46/$L46)</f>
        <v>0</v>
      </c>
      <c r="R46" s="2" t="n">
        <f aca="false">N46/(J46/$L46)</f>
        <v>1.02518140995157</v>
      </c>
      <c r="S46" s="2" t="n">
        <f aca="false">O46/(K46/$L46)</f>
        <v>1.02518140995157</v>
      </c>
      <c r="T46" s="2" t="n">
        <f aca="false">M46-I46/$L46</f>
        <v>-0.0245628819515601</v>
      </c>
      <c r="U46" s="2" t="n">
        <f aca="false">N46-J46/$L46</f>
        <v>0.0238247142542914</v>
      </c>
      <c r="V46" s="2" t="n">
        <f aca="false">O46-K46/$L46</f>
        <v>0.000738167697268699</v>
      </c>
      <c r="W46" s="2" t="n">
        <f aca="false">T46+U46+V46</f>
        <v>4.16333634234434E-017</v>
      </c>
      <c r="X46" s="2" t="n">
        <f aca="false">T46/(I46)*$L46</f>
        <v>-1</v>
      </c>
      <c r="Y46" s="2" t="n">
        <f aca="false">U46/(J46)*$L46</f>
        <v>0.0251814099515745</v>
      </c>
      <c r="Z46" s="2" t="n">
        <f aca="false">V46/(K46)*$L46</f>
        <v>0.0251814099515745</v>
      </c>
      <c r="AA46" s="2"/>
      <c r="AB46" s="2"/>
      <c r="AC46" s="2" t="n">
        <f aca="false">I46/(I46+K46)*B46</f>
        <v>0</v>
      </c>
      <c r="AD46" s="2" t="n">
        <f aca="false">(J46/(J46+K46))*(1-B46)</f>
        <v>0.969947838420409</v>
      </c>
      <c r="AE46" s="2" t="n">
        <f aca="false">(K46/(K46+I46))*B46+(K46/(K46+J46))*(1-B46)</f>
        <v>0.0300521615795908</v>
      </c>
      <c r="AF46" s="2" t="n">
        <f aca="false">AC46+AD46+AE46</f>
        <v>1</v>
      </c>
      <c r="AG46" s="2" t="n">
        <f aca="false">AC46/(I46/$L46)</f>
        <v>0</v>
      </c>
      <c r="AH46" s="2" t="n">
        <f aca="false">AD46/(J46/$L46)</f>
        <v>1.02518140995157</v>
      </c>
      <c r="AI46" s="2" t="n">
        <f aca="false">AE46/(K46/$L46)</f>
        <v>1.02518140995157</v>
      </c>
      <c r="AJ46" s="2" t="n">
        <f aca="false">AC46-I46/$L46</f>
        <v>-0.0245628819515601</v>
      </c>
      <c r="AK46" s="2" t="n">
        <f aca="false">AD46-J46/$L46</f>
        <v>0.0238247142542914</v>
      </c>
      <c r="AL46" s="2" t="n">
        <f aca="false">AE46-K46/$L46</f>
        <v>0.000738167697268699</v>
      </c>
      <c r="AM46" s="2" t="n">
        <f aca="false">AJ46+AK46+AL46</f>
        <v>4.16333634234434E-017</v>
      </c>
      <c r="AN46" s="2" t="n">
        <f aca="false">AJ46/(I46)*$L46</f>
        <v>-1</v>
      </c>
      <c r="AO46" s="2" t="n">
        <f aca="false">AK46/(J46)*$L46</f>
        <v>0.0251814099515745</v>
      </c>
      <c r="AP46" s="2" t="n">
        <f aca="false">AL46/(K46)*$L46</f>
        <v>0.0251814099515745</v>
      </c>
      <c r="AQ46" s="2"/>
      <c r="AR46" s="2" t="n">
        <f aca="false">B46-C46</f>
        <v>-0.0494956071368481</v>
      </c>
      <c r="AS46" s="45" t="n">
        <f aca="false">B46/C46</f>
        <v>0</v>
      </c>
      <c r="AU46" s="32" t="n">
        <v>194205</v>
      </c>
      <c r="AV46" s="45" t="n">
        <f aca="false">AU46*1000/(L46*365)</f>
        <v>1.93158965229157</v>
      </c>
      <c r="AW46" s="4" t="n">
        <f aca="false">M46*$AU46</f>
        <v>0</v>
      </c>
      <c r="AX46" s="4" t="n">
        <f aca="false">N46*$AU46</f>
        <v>188368.719960436</v>
      </c>
      <c r="AY46" s="4" t="n">
        <f aca="false">O46*$AU46</f>
        <v>5836.28003956442</v>
      </c>
      <c r="AZ46" s="45" t="n">
        <f aca="false">AW46*1000/(I46*365)</f>
        <v>0</v>
      </c>
      <c r="BA46" s="45" t="n">
        <f aca="false">AX46*1000/(J46*365)</f>
        <v>1.98022980318414</v>
      </c>
      <c r="BB46" s="45" t="n">
        <f aca="false">AY46*1000/(K46*365)</f>
        <v>1.98022980318414</v>
      </c>
      <c r="BC46" s="45" t="n">
        <f aca="false">$AV46-AZ46</f>
        <v>1.93158965229157</v>
      </c>
      <c r="BD46" s="45" t="n">
        <f aca="false">$AV46-BA46</f>
        <v>-0.0486401508925731</v>
      </c>
      <c r="BE46" s="45" t="n">
        <f aca="false">$AV46-BB46</f>
        <v>-0.0486401508925729</v>
      </c>
      <c r="BF46" s="2" t="n">
        <f aca="false">SQRT((BC46*$I46)^2+(BD46*$J46)^2+(BE46*$K46)^2)/$L46</f>
        <v>0.0661127882673879</v>
      </c>
      <c r="BG46" s="45"/>
      <c r="BH46" s="4" t="n">
        <f aca="false">AC46*$AU46</f>
        <v>0</v>
      </c>
      <c r="BI46" s="4" t="n">
        <f aca="false">AD46*$AU46</f>
        <v>188368.719960436</v>
      </c>
      <c r="BJ46" s="4" t="n">
        <f aca="false">AE46*$AU46</f>
        <v>5836.28003956442</v>
      </c>
      <c r="BK46" s="45" t="n">
        <f aca="false">BH46*1000/(I46*365)</f>
        <v>0</v>
      </c>
      <c r="BL46" s="45" t="n">
        <f aca="false">BI46*1000/(J46*365)</f>
        <v>1.98022980318414</v>
      </c>
      <c r="BM46" s="45" t="n">
        <f aca="false">BJ46*1000/(K46*365)</f>
        <v>1.98022980318414</v>
      </c>
      <c r="BN46" s="45" t="n">
        <f aca="false">$AV46-BK46</f>
        <v>1.93158965229157</v>
      </c>
      <c r="BO46" s="45" t="n">
        <f aca="false">$AV46-BL46</f>
        <v>-0.0486401508925731</v>
      </c>
      <c r="BP46" s="45" t="n">
        <f aca="false">$AV46-BM46</f>
        <v>-0.0486401508925729</v>
      </c>
      <c r="BQ46" s="2" t="n">
        <f aca="false">SQRT((BN46*$I46)^2+(BO46*$J46)^2+(BP46*$K46)^2)/$L46</f>
        <v>0.0661127882673879</v>
      </c>
      <c r="BS46" s="0" t="s">
        <v>44</v>
      </c>
      <c r="BT46" s="2" t="n">
        <v>0.0340295233249417</v>
      </c>
      <c r="BU46" s="2" t="n">
        <v>0.197121660280881</v>
      </c>
      <c r="BW46" s="0" t="s">
        <v>45</v>
      </c>
      <c r="BX46" s="2" t="n">
        <v>0.0822191370810733</v>
      </c>
      <c r="BY46" s="2" t="n">
        <v>0.0549989961520353</v>
      </c>
    </row>
    <row r="47" customFormat="false" ht="12.75" hidden="false" customHeight="false" outlineLevel="0" collapsed="false">
      <c r="A47" s="0" t="s">
        <v>52</v>
      </c>
      <c r="B47" s="2" t="n">
        <v>0.0465283677535952</v>
      </c>
      <c r="C47" s="2" t="n">
        <v>0.0646098010772455</v>
      </c>
      <c r="D47" s="2" t="n">
        <f aca="false">1-C47</f>
        <v>0.935390198922755</v>
      </c>
      <c r="E47" s="0" t="n">
        <v>3049073</v>
      </c>
      <c r="F47" s="2" t="n">
        <v>0.092933458258515</v>
      </c>
      <c r="G47" s="2" t="n">
        <f aca="false">1-F47</f>
        <v>0.907066541741485</v>
      </c>
      <c r="H47" s="0" t="n">
        <v>3146858</v>
      </c>
      <c r="I47" s="4" t="n">
        <f aca="false">0.5*E47*C47</f>
        <v>98500</v>
      </c>
      <c r="J47" s="4" t="n">
        <f aca="false">H47*G47</f>
        <v>2854409.60341153</v>
      </c>
      <c r="K47" s="4" t="n">
        <f aca="false">0.5*H47*F47</f>
        <v>146224.198294237</v>
      </c>
      <c r="L47" s="4" t="n">
        <f aca="false">I47+J47+K47</f>
        <v>3099133.80170576</v>
      </c>
      <c r="M47" s="2" t="n">
        <f aca="false">(I47/L47)*B47</f>
        <v>0.00147881457109294</v>
      </c>
      <c r="N47" s="2" t="n">
        <f aca="false">(J47/L47)*B47+(J47/(J47+K47))*(1-B47)</f>
        <v>0.949862145550015</v>
      </c>
      <c r="O47" s="2" t="n">
        <f aca="false">(K47/L47)*B47+(K47/(K47+J47))*(1-B47)</f>
        <v>0.0486590398788923</v>
      </c>
      <c r="P47" s="2" t="n">
        <f aca="false">M47+N47+O47</f>
        <v>1</v>
      </c>
      <c r="Q47" s="2" t="n">
        <f aca="false">M47/(I47/$L47)</f>
        <v>0.0465283677535952</v>
      </c>
      <c r="R47" s="2" t="n">
        <f aca="false">N47/(J47/$L47)</f>
        <v>1.03129903946389</v>
      </c>
      <c r="S47" s="2" t="n">
        <f aca="false">O47/(K47/$L47)</f>
        <v>1.03129903946389</v>
      </c>
      <c r="T47" s="2" t="n">
        <f aca="false">M47-I47/$L47</f>
        <v>-0.0303042597659317</v>
      </c>
      <c r="U47" s="2" t="n">
        <f aca="false">N47-J47/$L47</f>
        <v>0.0288274997272175</v>
      </c>
      <c r="V47" s="2" t="n">
        <f aca="false">O47-K47/$L47</f>
        <v>0.00147676003871404</v>
      </c>
      <c r="W47" s="2" t="n">
        <f aca="false">T47+U47+V47</f>
        <v>-1.14491749414469E-016</v>
      </c>
      <c r="X47" s="2" t="n">
        <f aca="false">T47/(I47)*$L47</f>
        <v>-0.953471632246405</v>
      </c>
      <c r="Y47" s="2" t="n">
        <f aca="false">U47/(J47)*$L47</f>
        <v>0.0312990394638899</v>
      </c>
      <c r="Z47" s="2" t="n">
        <f aca="false">V47/(K47)*$L47</f>
        <v>0.0312990394638899</v>
      </c>
      <c r="AA47" s="2"/>
      <c r="AB47" s="2"/>
      <c r="AC47" s="2" t="n">
        <f aca="false">I47/(I47+K47)*B47</f>
        <v>0.0187273847689506</v>
      </c>
      <c r="AD47" s="2" t="n">
        <f aca="false">(J47/(J47+K47))*(1-B47)</f>
        <v>0.907007906835369</v>
      </c>
      <c r="AE47" s="2" t="n">
        <f aca="false">(K47/(K47+I47))*B47+(K47/(K47+J47))*(1-B47)</f>
        <v>0.0742647083956801</v>
      </c>
      <c r="AF47" s="2" t="n">
        <f aca="false">AC47+AD47+AE47</f>
        <v>1</v>
      </c>
      <c r="AG47" s="2" t="n">
        <f aca="false">AC47/(I47/$L47)</f>
        <v>0.589225087868064</v>
      </c>
      <c r="AH47" s="2" t="n">
        <f aca="false">AD47/(J47/$L47)</f>
        <v>0.984770671710295</v>
      </c>
      <c r="AI47" s="2" t="n">
        <f aca="false">AE47/(K47/$L47)</f>
        <v>1.57399575957836</v>
      </c>
      <c r="AJ47" s="2" t="n">
        <f aca="false">AC47-I47/$L47</f>
        <v>-0.0130556895680741</v>
      </c>
      <c r="AK47" s="2" t="n">
        <f aca="false">AD47-J47/$L47</f>
        <v>-0.0140267389874279</v>
      </c>
      <c r="AL47" s="2" t="n">
        <f aca="false">AE47-K47/$L47</f>
        <v>0.0270824285555018</v>
      </c>
      <c r="AM47" s="2" t="n">
        <f aca="false">AJ47+AK47+AL47</f>
        <v>-1.45716771982052E-016</v>
      </c>
      <c r="AN47" s="2" t="n">
        <f aca="false">AJ47/(I47)*$L47</f>
        <v>-0.410774912131936</v>
      </c>
      <c r="AO47" s="2" t="n">
        <f aca="false">AK47/(J47)*$L47</f>
        <v>-0.0152293282897054</v>
      </c>
      <c r="AP47" s="2" t="n">
        <f aca="false">AL47/(K47)*$L47</f>
        <v>0.573995759578359</v>
      </c>
      <c r="AQ47" s="2"/>
      <c r="AR47" s="2" t="n">
        <f aca="false">B47-C47</f>
        <v>-0.0180814333236502</v>
      </c>
      <c r="AS47" s="45" t="n">
        <f aca="false">B47/C47</f>
        <v>0.720144110921613</v>
      </c>
      <c r="AU47" s="32" t="n">
        <v>2107426</v>
      </c>
      <c r="AV47" s="45" t="n">
        <f aca="false">AU47*1000/(L47*365)</f>
        <v>1.86302697219327</v>
      </c>
      <c r="AW47" s="4" t="n">
        <f aca="false">M47*$AU47</f>
        <v>3116.4922763001</v>
      </c>
      <c r="AX47" s="4" t="n">
        <f aca="false">N47*$AU47</f>
        <v>2001764.18194789</v>
      </c>
      <c r="AY47" s="4" t="n">
        <f aca="false">O47*$AU47</f>
        <v>102545.325775815</v>
      </c>
      <c r="AZ47" s="45" t="n">
        <f aca="false">AW47*1000/(I47*365)</f>
        <v>0.0866836040970754</v>
      </c>
      <c r="BA47" s="45" t="n">
        <f aca="false">AX47*1000/(J47*365)</f>
        <v>1.92133792691824</v>
      </c>
      <c r="BB47" s="45" t="n">
        <f aca="false">AY47*1000/(K47*365)</f>
        <v>1.92133792691824</v>
      </c>
      <c r="BC47" s="45" t="n">
        <f aca="false">$AV47-AZ47</f>
        <v>1.77634336809619</v>
      </c>
      <c r="BD47" s="45" t="n">
        <f aca="false">$AV47-BA47</f>
        <v>-0.0583109547249683</v>
      </c>
      <c r="BE47" s="45" t="n">
        <f aca="false">$AV47-BB47</f>
        <v>-0.0583109547249685</v>
      </c>
      <c r="BF47" s="2" t="n">
        <f aca="false">SQRT((BC47*$I47)^2+(BD47*$J47)^2+(BE47*$K47)^2)/$L47</f>
        <v>0.0779705994925799</v>
      </c>
      <c r="BG47" s="45"/>
      <c r="BH47" s="4" t="n">
        <f aca="false">AC47*$AU47</f>
        <v>39466.5775740904</v>
      </c>
      <c r="BI47" s="4" t="n">
        <f aca="false">AD47*$AU47</f>
        <v>1911452.04507044</v>
      </c>
      <c r="BJ47" s="4" t="n">
        <f aca="false">AE47*$AU47</f>
        <v>156507.377355475</v>
      </c>
      <c r="BK47" s="45" t="n">
        <f aca="false">BH47*1000/(I47*365)</f>
        <v>1.09774223139115</v>
      </c>
      <c r="BL47" s="45" t="n">
        <f aca="false">BI47*1000/(J47*365)</f>
        <v>1.83465432282116</v>
      </c>
      <c r="BM47" s="45" t="n">
        <f aca="false">BJ47*1000/(K47*365)</f>
        <v>2.93239655421231</v>
      </c>
      <c r="BN47" s="45" t="n">
        <f aca="false">$AV47-BK47</f>
        <v>0.765284740802116</v>
      </c>
      <c r="BO47" s="45" t="n">
        <f aca="false">$AV47-BL47</f>
        <v>0.028372649372107</v>
      </c>
      <c r="BP47" s="45" t="n">
        <f aca="false">$AV47-BM47</f>
        <v>-1.06936958201904</v>
      </c>
      <c r="BQ47" s="2" t="n">
        <f aca="false">SQRT((BN47*$I47)^2+(BO47*$J47)^2+(BP47*$K47)^2)/$L47</f>
        <v>0.0618081028379954</v>
      </c>
      <c r="BS47" s="0" t="s">
        <v>25</v>
      </c>
      <c r="BT47" s="2" t="n">
        <v>0.0236509369705578</v>
      </c>
      <c r="BU47" s="2" t="n">
        <v>0.212873952052622</v>
      </c>
      <c r="BW47" s="0" t="s">
        <v>40</v>
      </c>
      <c r="BX47" s="2" t="n">
        <v>0.103698761801064</v>
      </c>
      <c r="BY47" s="2" t="n">
        <v>0.103698761801064</v>
      </c>
    </row>
    <row r="48" customFormat="false" ht="12.75" hidden="false" customHeight="false" outlineLevel="0" collapsed="false">
      <c r="A48" s="0" t="s">
        <v>53</v>
      </c>
      <c r="B48" s="2" t="n">
        <v>0.0414276298865866</v>
      </c>
      <c r="C48" s="2" t="n">
        <v>0.0152694227003708</v>
      </c>
      <c r="D48" s="2" t="n">
        <f aca="false">1-C48</f>
        <v>0.984730577299629</v>
      </c>
      <c r="E48" s="0" t="n">
        <v>2262430</v>
      </c>
      <c r="F48" s="2" t="n">
        <v>0.0270377915926971</v>
      </c>
      <c r="G48" s="2" t="n">
        <f aca="false">1-F48</f>
        <v>0.972962208407303</v>
      </c>
      <c r="H48" s="0" t="n">
        <v>2302666</v>
      </c>
      <c r="I48" s="4" t="n">
        <f aca="false">0.5*E48*C48</f>
        <v>17273</v>
      </c>
      <c r="J48" s="4" t="n">
        <f aca="false">H48*G48</f>
        <v>2240406.99658441</v>
      </c>
      <c r="K48" s="4" t="n">
        <f aca="false">0.5*H48*F48</f>
        <v>31129.5017077948</v>
      </c>
      <c r="L48" s="4" t="n">
        <f aca="false">I48+J48+K48</f>
        <v>2288809.49829221</v>
      </c>
      <c r="M48" s="2" t="n">
        <f aca="false">(I48/L48)*B48</f>
        <v>0.00031264264307053</v>
      </c>
      <c r="N48" s="2" t="n">
        <f aca="false">(J48/L48)*B48+(J48/(J48+K48))*(1-B48)</f>
        <v>0.985987480942221</v>
      </c>
      <c r="O48" s="2" t="n">
        <f aca="false">(K48/L48)*B48+(K48/(K48+J48))*(1-B48)</f>
        <v>0.0136998764147087</v>
      </c>
      <c r="P48" s="2" t="n">
        <f aca="false">M48+N48+O48</f>
        <v>1</v>
      </c>
      <c r="Q48" s="2" t="n">
        <f aca="false">M48/(I48/$L48)</f>
        <v>0.0414276298865866</v>
      </c>
      <c r="R48" s="2" t="n">
        <f aca="false">N48/(J48/$L48)</f>
        <v>1.00728908408974</v>
      </c>
      <c r="S48" s="2" t="n">
        <f aca="false">O48/(K48/$L48)</f>
        <v>1.00728908408974</v>
      </c>
      <c r="T48" s="2" t="n">
        <f aca="false">M48-I48/$L48</f>
        <v>-0.00723407542712631</v>
      </c>
      <c r="U48" s="2" t="n">
        <f aca="false">N48-J48/$L48</f>
        <v>0.0071349384933671</v>
      </c>
      <c r="V48" s="2" t="n">
        <f aca="false">O48-K48/$L48</f>
        <v>9.91369337593074E-005</v>
      </c>
      <c r="W48" s="2" t="n">
        <f aca="false">T48+U48+V48</f>
        <v>1.00613961606655E-016</v>
      </c>
      <c r="X48" s="2" t="n">
        <f aca="false">T48/(I48)*$L48</f>
        <v>-0.958572370113414</v>
      </c>
      <c r="Y48" s="2" t="n">
        <f aca="false">U48/(J48)*$L48</f>
        <v>0.00728908408974165</v>
      </c>
      <c r="Z48" s="2" t="n">
        <f aca="false">V48/(K48)*$L48</f>
        <v>0.0072890840897415</v>
      </c>
      <c r="AA48" s="2"/>
      <c r="AB48" s="2"/>
      <c r="AC48" s="2" t="n">
        <f aca="false">I48/(I48+K48)*B48</f>
        <v>0.0147839352467968</v>
      </c>
      <c r="AD48" s="2" t="n">
        <f aca="false">(J48/(J48+K48))*(1-B48)</f>
        <v>0.945435940100106</v>
      </c>
      <c r="AE48" s="2" t="n">
        <f aca="false">(K48/(K48+I48))*B48+(K48/(K48+J48))*(1-B48)</f>
        <v>0.0397801246530979</v>
      </c>
      <c r="AF48" s="2" t="n">
        <f aca="false">AC48+AD48+AE48</f>
        <v>1</v>
      </c>
      <c r="AG48" s="2" t="n">
        <f aca="false">AC48/(I48/$L48)</f>
        <v>1.958988676837</v>
      </c>
      <c r="AH48" s="2" t="n">
        <f aca="false">AD48/(J48/$L48)</f>
        <v>0.965861454203155</v>
      </c>
      <c r="AI48" s="2" t="n">
        <f aca="false">AE48/(K48/$L48)</f>
        <v>2.92485013104015</v>
      </c>
      <c r="AJ48" s="53" t="n">
        <f aca="false">AC48-I48/$L48</f>
        <v>0.00723721717659994</v>
      </c>
      <c r="AK48" s="2" t="n">
        <f aca="false">AD48-J48/$L48</f>
        <v>-0.0334166023487483</v>
      </c>
      <c r="AL48" s="2" t="n">
        <f aca="false">AE48-K48/$L48</f>
        <v>0.0261793851721485</v>
      </c>
      <c r="AM48" s="2" t="n">
        <f aca="false">AJ48+AK48+AL48</f>
        <v>0</v>
      </c>
      <c r="AN48" s="2" t="n">
        <f aca="false">AJ48/(I48)*$L48</f>
        <v>0.958988676836999</v>
      </c>
      <c r="AO48" s="2" t="n">
        <f aca="false">AK48/(J48)*$L48</f>
        <v>-0.034138545796845</v>
      </c>
      <c r="AP48" s="2" t="n">
        <f aca="false">AL48/(K48)*$L48</f>
        <v>1.92485013104015</v>
      </c>
      <c r="AQ48" s="2"/>
      <c r="AR48" s="53" t="n">
        <f aca="false">B48-C48</f>
        <v>0.0261582071862158</v>
      </c>
      <c r="AS48" s="54" t="n">
        <f aca="false">B48/C48</f>
        <v>2.71311042332862</v>
      </c>
      <c r="AU48" s="32" t="n">
        <v>1908715</v>
      </c>
      <c r="AV48" s="45" t="n">
        <f aca="false">AU48*1000/(L48*365)</f>
        <v>2.28474941592363</v>
      </c>
      <c r="AW48" s="4" t="n">
        <f aca="false">M48*$AU48</f>
        <v>596.745702468366</v>
      </c>
      <c r="AX48" s="4" t="n">
        <f aca="false">N48*$AU48</f>
        <v>1881969.09468663</v>
      </c>
      <c r="AY48" s="4" t="n">
        <f aca="false">O48*$AU48</f>
        <v>26149.1596109007</v>
      </c>
      <c r="AZ48" s="45" t="n">
        <f aca="false">AW48*1000/(I48*365)</f>
        <v>0.0946517531864788</v>
      </c>
      <c r="BA48" s="45" t="n">
        <f aca="false">AX48*1000/(J48*365)</f>
        <v>2.30140314654028</v>
      </c>
      <c r="BB48" s="45" t="n">
        <f aca="false">AY48*1000/(K48*365)</f>
        <v>2.30140314654028</v>
      </c>
      <c r="BC48" s="45" t="n">
        <f aca="false">$AV48-AZ48</f>
        <v>2.19009766273715</v>
      </c>
      <c r="BD48" s="45" t="n">
        <f aca="false">$AV48-BA48</f>
        <v>-0.016653730616655</v>
      </c>
      <c r="BE48" s="45" t="n">
        <f aca="false">$AV48-BB48</f>
        <v>-0.016653730616655</v>
      </c>
      <c r="BF48" s="2" t="n">
        <f aca="false">SQRT((BC48*$I48)^2+(BD48*$J48)^2+(BE48*$K48)^2)/$L48</f>
        <v>0.0232156875309901</v>
      </c>
      <c r="BG48" s="45"/>
      <c r="BH48" s="4" t="n">
        <f aca="false">AC48*$AU48</f>
        <v>28218.3189645897</v>
      </c>
      <c r="BI48" s="4" t="n">
        <f aca="false">AD48*$AU48</f>
        <v>1804567.76040817</v>
      </c>
      <c r="BJ48" s="4" t="n">
        <f aca="false">AE48*$AU48</f>
        <v>75928.9206272377</v>
      </c>
      <c r="BK48" s="45" t="n">
        <f aca="false">BH48*1000/(I48*365)</f>
        <v>4.47579823520433</v>
      </c>
      <c r="BL48" s="45" t="n">
        <f aca="false">BI48*1000/(J48*365)</f>
        <v>2.2067513933538</v>
      </c>
      <c r="BM48" s="45" t="n">
        <f aca="false">BJ48*1000/(K48*365)</f>
        <v>6.68254962855813</v>
      </c>
      <c r="BN48" s="54" t="n">
        <f aca="false">$AV48-BK48</f>
        <v>-2.19104881928071</v>
      </c>
      <c r="BO48" s="45" t="n">
        <f aca="false">$AV48-BL48</f>
        <v>0.0779980225698238</v>
      </c>
      <c r="BP48" s="45" t="n">
        <f aca="false">$AV48-BM48</f>
        <v>-4.39780021263451</v>
      </c>
      <c r="BQ48" s="2" t="n">
        <f aca="false">SQRT((BN48*$I48)^2+(BO48*$J48)^2+(BP48*$K48)^2)/$L48</f>
        <v>0.0983877625691519</v>
      </c>
      <c r="BS48" s="0" t="s">
        <v>27</v>
      </c>
      <c r="BT48" s="2" t="n">
        <v>0.0726682767758417</v>
      </c>
      <c r="BU48" s="2" t="n">
        <v>0.215577002434244</v>
      </c>
      <c r="BW48" s="0" t="s">
        <v>23</v>
      </c>
      <c r="BX48" s="2" t="n">
        <v>0.105020760490397</v>
      </c>
      <c r="BY48" s="2" t="n">
        <v>0.0861081599956487</v>
      </c>
    </row>
    <row r="49" customFormat="false" ht="12.75" hidden="false" customHeight="false" outlineLevel="0" collapsed="false">
      <c r="A49" s="0" t="s">
        <v>54</v>
      </c>
      <c r="B49" s="2" t="n">
        <v>0.0657245663242686</v>
      </c>
      <c r="C49" s="2" t="n">
        <v>0.083450810945235</v>
      </c>
      <c r="D49" s="2" t="n">
        <f aca="false">1-C49</f>
        <v>0.916549189054765</v>
      </c>
      <c r="E49" s="0" t="n">
        <v>643385</v>
      </c>
      <c r="F49" s="2" t="n">
        <v>0.0971717626381163</v>
      </c>
      <c r="G49" s="2" t="n">
        <f aca="false">1-F49</f>
        <v>0.902828237361884</v>
      </c>
      <c r="H49" s="0" t="n">
        <v>659136</v>
      </c>
      <c r="I49" s="4" t="n">
        <f aca="false">0.5*E49*C49</f>
        <v>26845.5</v>
      </c>
      <c r="J49" s="4" t="n">
        <f aca="false">H49*G49</f>
        <v>595086.593061763</v>
      </c>
      <c r="K49" s="4" t="n">
        <f aca="false">0.5*H49*F49</f>
        <v>32024.7034691187</v>
      </c>
      <c r="L49" s="4" t="n">
        <f aca="false">I49+J49+K49</f>
        <v>653956.796530881</v>
      </c>
      <c r="M49" s="2" t="n">
        <f aca="false">(I49/L49)*B49</f>
        <v>0.00269805108627667</v>
      </c>
      <c r="N49" s="2" t="n">
        <f aca="false">(J49/L49)*B49+(J49/(J49+K49))*(1-B49)</f>
        <v>0.94637271297137</v>
      </c>
      <c r="O49" s="2" t="n">
        <f aca="false">(K49/L49)*B49+(K49/(K49+J49))*(1-B49)</f>
        <v>0.050929235942353</v>
      </c>
      <c r="P49" s="2" t="n">
        <f aca="false">M49+N49+O49</f>
        <v>1</v>
      </c>
      <c r="Q49" s="2" t="n">
        <f aca="false">M49/(I49/$L49)</f>
        <v>0.0657245663242686</v>
      </c>
      <c r="R49" s="2" t="n">
        <f aca="false">N49/(J49/$L49)</f>
        <v>1.0399946409728</v>
      </c>
      <c r="S49" s="2" t="n">
        <f aca="false">O49/(K49/$L49)</f>
        <v>1.0399946409728</v>
      </c>
      <c r="T49" s="2" t="n">
        <f aca="false">M49-I49/$L49</f>
        <v>-0.0383528258866524</v>
      </c>
      <c r="U49" s="2" t="n">
        <f aca="false">N49-J49/$L49</f>
        <v>0.0363942614611393</v>
      </c>
      <c r="V49" s="2" t="n">
        <f aca="false">O49-K49/$L49</f>
        <v>0.0019585644255131</v>
      </c>
      <c r="W49" s="2" t="n">
        <f aca="false">T49+U49+V49</f>
        <v>3.46944695195361E-017</v>
      </c>
      <c r="X49" s="2" t="n">
        <f aca="false">T49/(I49)*$L49</f>
        <v>-0.934275433675731</v>
      </c>
      <c r="Y49" s="2" t="n">
        <f aca="false">U49/(J49)*$L49</f>
        <v>0.0399946409728035</v>
      </c>
      <c r="Z49" s="2" t="n">
        <f aca="false">V49/(K49)*$L49</f>
        <v>0.0399946409728033</v>
      </c>
      <c r="AA49" s="2"/>
      <c r="AB49" s="2"/>
      <c r="AC49" s="2" t="n">
        <f aca="false">I49/(I49+K49)*B49</f>
        <v>0.0299711694759761</v>
      </c>
      <c r="AD49" s="2" t="n">
        <f aca="false">(J49/(J49+K49))*(1-B49)</f>
        <v>0.886564773881431</v>
      </c>
      <c r="AE49" s="2" t="n">
        <f aca="false">(K49/(K49+I49))*B49+(K49/(K49+J49))*(1-B49)</f>
        <v>0.083464056642593</v>
      </c>
      <c r="AF49" s="2" t="n">
        <f aca="false">AC49+AD49+AE49</f>
        <v>1</v>
      </c>
      <c r="AG49" s="2" t="n">
        <f aca="false">AC49/(I49/$L49)</f>
        <v>0.730098153463092</v>
      </c>
      <c r="AH49" s="2" t="n">
        <f aca="false">AD49/(J49/$L49)</f>
        <v>0.974270074648535</v>
      </c>
      <c r="AI49" s="2" t="n">
        <f aca="false">AE49/(K49/$L49)</f>
        <v>1.70436822811163</v>
      </c>
      <c r="AJ49" s="2" t="n">
        <f aca="false">AC49-I49/$L49</f>
        <v>-0.011079707496953</v>
      </c>
      <c r="AK49" s="2" t="n">
        <f aca="false">AD49-J49/$L49</f>
        <v>-0.0234136776288001</v>
      </c>
      <c r="AL49" s="2" t="n">
        <f aca="false">AE49-K49/$L49</f>
        <v>0.0344933851257531</v>
      </c>
      <c r="AM49" s="2" t="n">
        <f aca="false">AJ49+AK49+AL49</f>
        <v>0</v>
      </c>
      <c r="AN49" s="2" t="n">
        <f aca="false">AJ49/(I49)*$L49</f>
        <v>-0.269901846536908</v>
      </c>
      <c r="AO49" s="2" t="n">
        <f aca="false">AK49/(J49)*$L49</f>
        <v>-0.0257299253514651</v>
      </c>
      <c r="AP49" s="2" t="n">
        <f aca="false">AL49/(K49)*$L49</f>
        <v>0.704368228111627</v>
      </c>
      <c r="AQ49" s="2"/>
      <c r="AR49" s="2" t="n">
        <f aca="false">B49-C49</f>
        <v>-0.0177262446209664</v>
      </c>
      <c r="AS49" s="45" t="n">
        <f aca="false">B49/C49</f>
        <v>0.787584513317679</v>
      </c>
      <c r="AU49" s="34" t="n">
        <v>780879</v>
      </c>
      <c r="AV49" s="45" t="n">
        <f aca="false">AU49*1000/(L49*365)</f>
        <v>3.27146155815955</v>
      </c>
      <c r="AW49" s="4" t="n">
        <f aca="false">M49*$AU49</f>
        <v>2106.85143420064</v>
      </c>
      <c r="AX49" s="4" t="n">
        <f aca="false">N49*$AU49</f>
        <v>739002.577732371</v>
      </c>
      <c r="AY49" s="4" t="n">
        <f aca="false">O49*$AU49</f>
        <v>39769.5708334287</v>
      </c>
      <c r="AZ49" s="45" t="n">
        <f aca="false">AW49*1000/(I49*365)</f>
        <v>0.215015392156552</v>
      </c>
      <c r="BA49" s="45" t="n">
        <f aca="false">AX49*1000/(J49*365)</f>
        <v>3.40230248863447</v>
      </c>
      <c r="BB49" s="45" t="n">
        <f aca="false">AY49*1000/(K49*365)</f>
        <v>3.40230248863447</v>
      </c>
      <c r="BC49" s="45" t="n">
        <f aca="false">$AV49-AZ49</f>
        <v>3.056446166003</v>
      </c>
      <c r="BD49" s="45" t="n">
        <f aca="false">$AV49-BA49</f>
        <v>-0.13084093047492</v>
      </c>
      <c r="BE49" s="45" t="n">
        <f aca="false">$AV49-BB49</f>
        <v>-0.130840930474919</v>
      </c>
      <c r="BF49" s="2" t="n">
        <f aca="false">SQRT((BC49*$I49)^2+(BD49*$J49)^2+(BE49*$K49)^2)/$L49</f>
        <v>0.173088374986866</v>
      </c>
      <c r="BG49" s="45"/>
      <c r="BH49" s="4" t="n">
        <f aca="false">AC49*$AU49</f>
        <v>23403.8568492307</v>
      </c>
      <c r="BI49" s="4" t="n">
        <f aca="false">AD49*$AU49</f>
        <v>692299.814063758</v>
      </c>
      <c r="BJ49" s="4" t="n">
        <f aca="false">AE49*$AU49</f>
        <v>65175.3290870114</v>
      </c>
      <c r="BK49" s="45" t="n">
        <f aca="false">BH49*1000/(I49*365)</f>
        <v>2.38848804273778</v>
      </c>
      <c r="BL49" s="45" t="n">
        <f aca="false">BI49*1000/(J49*365)</f>
        <v>3.18728709647792</v>
      </c>
      <c r="BM49" s="45" t="n">
        <f aca="false">BJ49*1000/(K49*365)</f>
        <v>5.5757751392157</v>
      </c>
      <c r="BN49" s="45" t="n">
        <f aca="false">$AV49-BK49</f>
        <v>0.882973515421772</v>
      </c>
      <c r="BO49" s="45" t="n">
        <f aca="false">$AV49-BL49</f>
        <v>0.0841744616816329</v>
      </c>
      <c r="BP49" s="45" t="n">
        <f aca="false">$AV49-BM49</f>
        <v>-2.30431358105615</v>
      </c>
      <c r="BQ49" s="2" t="n">
        <f aca="false">SQRT((BN49*$I49)^2+(BO49*$J49)^2+(BP49*$K49)^2)/$L49</f>
        <v>0.141119257540925</v>
      </c>
      <c r="BS49" s="0" t="s">
        <v>36</v>
      </c>
      <c r="BT49" s="2" t="n">
        <v>0.0528260619785424</v>
      </c>
      <c r="BU49" s="2" t="n">
        <v>0.437867914815341</v>
      </c>
      <c r="BW49" s="0" t="s">
        <v>22</v>
      </c>
      <c r="BX49" s="2" t="n">
        <v>0.108122121057213</v>
      </c>
      <c r="BY49" s="2" t="n">
        <v>0.102680514870217</v>
      </c>
    </row>
    <row r="50" customFormat="false" ht="12.75" hidden="false" customHeight="false" outlineLevel="0" collapsed="false">
      <c r="A50" s="0" t="s">
        <v>55</v>
      </c>
      <c r="B50" s="2" t="n">
        <v>1.13332512302244E-005</v>
      </c>
      <c r="C50" s="2" t="n">
        <v>0.0137079087829872</v>
      </c>
      <c r="D50" s="2" t="n">
        <f aca="false">1-C50</f>
        <v>0.986292091217013</v>
      </c>
      <c r="E50" s="0" t="n">
        <v>2303123</v>
      </c>
      <c r="F50" s="2" t="n">
        <v>0.0321774975235133</v>
      </c>
      <c r="G50" s="2" t="n">
        <f aca="false">1-F50</f>
        <v>0.967822502476487</v>
      </c>
      <c r="H50" s="0" t="n">
        <v>2349691</v>
      </c>
      <c r="I50" s="4" t="n">
        <f aca="false">0.5*E50*C50</f>
        <v>15785.4999999999</v>
      </c>
      <c r="J50" s="4" t="n">
        <f aca="false">H50*G50</f>
        <v>2274083.82366648</v>
      </c>
      <c r="K50" s="4" t="n">
        <f aca="false">0.5*H50*F50</f>
        <v>37803.5881667607</v>
      </c>
      <c r="L50" s="4" t="n">
        <f aca="false">I50+J50+K50</f>
        <v>2327672.91183324</v>
      </c>
      <c r="M50" s="2" t="n">
        <f aca="false">(I50/L50)*B50</f>
        <v>7.68583233431227E-008</v>
      </c>
      <c r="N50" s="2" t="n">
        <f aca="false">(J50/L50)*B50+(J50/(J50+K50))*(1-B50)</f>
        <v>0.983648095164352</v>
      </c>
      <c r="O50" s="2" t="n">
        <f aca="false">(K50/L50)*B50+(K50/(K50+J50))*(1-B50)</f>
        <v>0.016351827977325</v>
      </c>
      <c r="P50" s="2" t="n">
        <f aca="false">M50+N50+O50</f>
        <v>1</v>
      </c>
      <c r="Q50" s="2" t="n">
        <f aca="false">M50/(I50/$L50)</f>
        <v>1.13332512302244E-005</v>
      </c>
      <c r="R50" s="2" t="n">
        <f aca="false">N50/(J50/$L50)</f>
        <v>1.00682789352897</v>
      </c>
      <c r="S50" s="2" t="n">
        <f aca="false">O50/(K50/$L50)</f>
        <v>1.00682789352897</v>
      </c>
      <c r="T50" s="2" t="n">
        <f aca="false">M50-I50/$L50</f>
        <v>-0.00678158903629221</v>
      </c>
      <c r="U50" s="2" t="n">
        <f aca="false">N50-J50/$L50</f>
        <v>0.00667069765043504</v>
      </c>
      <c r="V50" s="2" t="n">
        <f aca="false">O50-K50/$L50</f>
        <v>0.000110891385857285</v>
      </c>
      <c r="W50" s="2" t="n">
        <f aca="false">T50+U50+V50</f>
        <v>1.23165366794353E-016</v>
      </c>
      <c r="X50" s="2" t="n">
        <f aca="false">T50/(I50)*$L50</f>
        <v>-0.99998866674877</v>
      </c>
      <c r="Y50" s="2" t="n">
        <f aca="false">U50/(J50)*$L50</f>
        <v>0.00682789352896982</v>
      </c>
      <c r="Z50" s="2" t="n">
        <f aca="false">V50/(K50)*$L50</f>
        <v>0.00682789352896943</v>
      </c>
      <c r="AA50" s="2"/>
      <c r="AB50" s="2"/>
      <c r="AC50" s="2" t="n">
        <f aca="false">I50/(I50+K50)*B50</f>
        <v>3.3383855447959E-006</v>
      </c>
      <c r="AD50" s="2" t="n">
        <f aca="false">(J50/(J50+K50))*(1-B50)</f>
        <v>0.983637022834059</v>
      </c>
      <c r="AE50" s="2" t="n">
        <f aca="false">(K50/(K50+I50))*B50+(K50/(K50+J50))*(1-B50)</f>
        <v>0.0163596387803959</v>
      </c>
      <c r="AF50" s="2" t="n">
        <f aca="false">AC50+AD50+AE50</f>
        <v>1</v>
      </c>
      <c r="AG50" s="2" t="n">
        <f aca="false">AC50/(I50/$L50)</f>
        <v>0.000492266295136492</v>
      </c>
      <c r="AH50" s="2" t="n">
        <f aca="false">AD50/(J50/$L50)</f>
        <v>1.00681656027774</v>
      </c>
      <c r="AI50" s="2" t="n">
        <f aca="false">AE50/(K50/$L50)</f>
        <v>1.00730882657288</v>
      </c>
      <c r="AJ50" s="2" t="n">
        <f aca="false">AC50-I50/$L50</f>
        <v>-0.00677832750907075</v>
      </c>
      <c r="AK50" s="2" t="n">
        <f aca="false">AD50-J50/$L50</f>
        <v>0.00665962532014275</v>
      </c>
      <c r="AL50" s="2" t="n">
        <f aca="false">AE50-K50/$L50</f>
        <v>0.000118702188928108</v>
      </c>
      <c r="AM50" s="2" t="n">
        <f aca="false">AJ50+AK50+AL50</f>
        <v>1.04083408558608E-016</v>
      </c>
      <c r="AN50" s="2" t="n">
        <f aca="false">AJ50/(I50)*$L50</f>
        <v>-0.999507733704864</v>
      </c>
      <c r="AO50" s="2" t="n">
        <f aca="false">AK50/(J50)*$L50</f>
        <v>0.00681656027773957</v>
      </c>
      <c r="AP50" s="2" t="n">
        <f aca="false">AL50/(K50)*$L50</f>
        <v>0.00730882657287563</v>
      </c>
      <c r="AQ50" s="2"/>
      <c r="AR50" s="2" t="n">
        <f aca="false">B50-C50</f>
        <v>-0.013696575531757</v>
      </c>
      <c r="AS50" s="45" t="n">
        <f aca="false">B50/C50</f>
        <v>0.000826767336261387</v>
      </c>
      <c r="AU50" s="32" t="n">
        <v>1251993</v>
      </c>
      <c r="AV50" s="45" t="n">
        <f aca="false">AU50*1000/(L50*365)</f>
        <v>1.47362534949881</v>
      </c>
      <c r="AW50" s="4" t="n">
        <f aca="false">M50*$AU50</f>
        <v>0.0962260828173262</v>
      </c>
      <c r="AX50" s="4" t="n">
        <f aca="false">N50*$AU50</f>
        <v>1231520.5296091</v>
      </c>
      <c r="AY50" s="4" t="n">
        <f aca="false">O50*$AU50</f>
        <v>20472.3741648151</v>
      </c>
      <c r="AZ50" s="45" t="n">
        <f aca="false">AW50*1000/(I50*365)</f>
        <v>1.67009663050973E-005</v>
      </c>
      <c r="BA50" s="45" t="n">
        <f aca="false">AX50*1000/(J50*365)</f>
        <v>1.48368710648678</v>
      </c>
      <c r="BB50" s="45" t="n">
        <f aca="false">AY50*1000/(K50*365)</f>
        <v>1.48368710648678</v>
      </c>
      <c r="BC50" s="45" t="n">
        <f aca="false">$AV50-AZ50</f>
        <v>1.47360864853251</v>
      </c>
      <c r="BD50" s="45" t="n">
        <f aca="false">$AV50-BA50</f>
        <v>-0.0100617569879691</v>
      </c>
      <c r="BE50" s="45" t="n">
        <f aca="false">$AV50-BB50</f>
        <v>-0.0100617569879686</v>
      </c>
      <c r="BF50" s="2" t="n">
        <f aca="false">SQRT((BC50*$I50)^2+(BD50*$J50)^2+(BE50*$K50)^2)/$L50</f>
        <v>0.0140188523736331</v>
      </c>
      <c r="BG50" s="45"/>
      <c r="BH50" s="4" t="n">
        <f aca="false">AC50*$AU50</f>
        <v>4.17963533338565</v>
      </c>
      <c r="BI50" s="4" t="n">
        <f aca="false">AD50*$AU50</f>
        <v>1231506.66712908</v>
      </c>
      <c r="BJ50" s="4" t="n">
        <f aca="false">AE50*$AU50</f>
        <v>20482.1532355842</v>
      </c>
      <c r="BK50" s="45" t="n">
        <f aca="false">BH50*1000/(I50*365)</f>
        <v>0.000725416091217</v>
      </c>
      <c r="BL50" s="45" t="n">
        <f aca="false">BI50*1000/(J50*365)</f>
        <v>1.48367040552048</v>
      </c>
      <c r="BM50" s="45" t="n">
        <f aca="false">BJ50*1000/(K50*365)</f>
        <v>1.48439582161169</v>
      </c>
      <c r="BN50" s="45" t="n">
        <f aca="false">$AV50-BK50</f>
        <v>1.4728999334076</v>
      </c>
      <c r="BO50" s="45" t="n">
        <f aca="false">$AV50-BL50</f>
        <v>-0.0100450560216638</v>
      </c>
      <c r="BP50" s="45" t="n">
        <f aca="false">$AV50-BM50</f>
        <v>-0.0107704721128803</v>
      </c>
      <c r="BQ50" s="2" t="n">
        <f aca="false">SQRT((BN50*$I50)^2+(BO50*$J50)^2+(BP50*$K50)^2)/$L50</f>
        <v>0.014004126431096</v>
      </c>
      <c r="BS50" s="0" t="s">
        <v>38</v>
      </c>
      <c r="BT50" s="2" t="n">
        <v>0.0364538039073933</v>
      </c>
      <c r="BU50" s="2" t="n">
        <v>0.567715957327535</v>
      </c>
      <c r="BW50" s="0" t="s">
        <v>54</v>
      </c>
      <c r="BX50" s="2" t="n">
        <v>0.173088374986866</v>
      </c>
      <c r="BY50" s="2" t="n">
        <v>0.141119257540925</v>
      </c>
    </row>
    <row r="51" customFormat="false" ht="12.75" hidden="false" customHeight="false" outlineLevel="0" collapsed="false">
      <c r="A51" s="0" t="s">
        <v>56</v>
      </c>
      <c r="B51" s="2" t="n">
        <v>0</v>
      </c>
      <c r="C51" s="2" t="n">
        <v>0.0256209952218234</v>
      </c>
      <c r="D51" s="2" t="n">
        <f aca="false">1-C51</f>
        <v>0.974379004778177</v>
      </c>
      <c r="E51" s="0" t="n">
        <v>208657</v>
      </c>
      <c r="F51" s="2" t="n">
        <v>0.0200604415996298</v>
      </c>
      <c r="G51" s="2" t="n">
        <f aca="false">1-F51</f>
        <v>0.97993955840037</v>
      </c>
      <c r="H51" s="0" t="n">
        <v>208374</v>
      </c>
      <c r="I51" s="4" t="n">
        <f aca="false">0.5*E51*C51</f>
        <v>2673</v>
      </c>
      <c r="J51" s="4" t="n">
        <f aca="false">H51*G51</f>
        <v>204193.925542119</v>
      </c>
      <c r="K51" s="4" t="n">
        <f aca="false">0.5*H51*F51</f>
        <v>2090.03722894063</v>
      </c>
      <c r="L51" s="4" t="n">
        <f aca="false">I51+J51+K51</f>
        <v>208956.962771059</v>
      </c>
      <c r="M51" s="2" t="n">
        <f aca="false">(I51/L51)*B51</f>
        <v>0</v>
      </c>
      <c r="N51" s="2" t="n">
        <f aca="false">(J51/L51)*B51+(J51/(J51+K51))*(1-B51)</f>
        <v>0.989868154553245</v>
      </c>
      <c r="O51" s="2" t="n">
        <f aca="false">(K51/L51)*B51+(K51/(K51+J51))*(1-B51)</f>
        <v>0.0101318454467555</v>
      </c>
      <c r="P51" s="2" t="n">
        <f aca="false">M51+N51+O51</f>
        <v>1</v>
      </c>
      <c r="Q51" s="2" t="n">
        <f aca="false">M51/(I51/$L51)</f>
        <v>0</v>
      </c>
      <c r="R51" s="2" t="n">
        <f aca="false">N51/(J51/$L51)</f>
        <v>1.01295786625433</v>
      </c>
      <c r="S51" s="2" t="n">
        <f aca="false">O51/(K51/$L51)</f>
        <v>1.01295786625433</v>
      </c>
      <c r="T51" s="2" t="n">
        <f aca="false">M51-I51/$L51</f>
        <v>-0.0127921078319301</v>
      </c>
      <c r="U51" s="2" t="n">
        <f aca="false">N51-J51/$L51</f>
        <v>0.0126625001724388</v>
      </c>
      <c r="V51" s="2" t="n">
        <f aca="false">O51-K51/$L51</f>
        <v>0.000129607659491347</v>
      </c>
      <c r="W51" s="2" t="n">
        <f aca="false">T51+U51+V51</f>
        <v>-2.42861286636753E-017</v>
      </c>
      <c r="X51" s="2" t="n">
        <f aca="false">T51/(I51)*$L51</f>
        <v>-1</v>
      </c>
      <c r="Y51" s="2" t="n">
        <f aca="false">U51/(J51)*$L51</f>
        <v>0.0129578662543272</v>
      </c>
      <c r="Z51" s="2" t="n">
        <f aca="false">V51/(K51)*$L51</f>
        <v>0.0129578662543273</v>
      </c>
      <c r="AA51" s="2"/>
      <c r="AB51" s="2"/>
      <c r="AC51" s="2" t="n">
        <f aca="false">I51/(I51+K51)*B51</f>
        <v>0</v>
      </c>
      <c r="AD51" s="2" t="n">
        <f aca="false">(J51/(J51+K51))*(1-B51)</f>
        <v>0.989868154553245</v>
      </c>
      <c r="AE51" s="2" t="n">
        <f aca="false">(K51/(K51+I51))*B51+(K51/(K51+J51))*(1-B51)</f>
        <v>0.0101318454467555</v>
      </c>
      <c r="AF51" s="2" t="n">
        <f aca="false">AC51+AD51+AE51</f>
        <v>1</v>
      </c>
      <c r="AG51" s="2" t="n">
        <f aca="false">AC51/(I51/$L51)</f>
        <v>0</v>
      </c>
      <c r="AH51" s="2" t="n">
        <f aca="false">AD51/(J51/$L51)</f>
        <v>1.01295786625433</v>
      </c>
      <c r="AI51" s="2" t="n">
        <f aca="false">AE51/(K51/$L51)</f>
        <v>1.01295786625433</v>
      </c>
      <c r="AJ51" s="2" t="n">
        <f aca="false">AC51-I51/$L51</f>
        <v>-0.0127921078319301</v>
      </c>
      <c r="AK51" s="2" t="n">
        <f aca="false">AD51-J51/$L51</f>
        <v>0.0126625001724388</v>
      </c>
      <c r="AL51" s="2" t="n">
        <f aca="false">AE51-K51/$L51</f>
        <v>0.000129607659491347</v>
      </c>
      <c r="AM51" s="2" t="n">
        <f aca="false">AJ51+AK51+AL51</f>
        <v>-2.42861286636753E-017</v>
      </c>
      <c r="AN51" s="2" t="n">
        <f aca="false">AJ51/(I51)*$L51</f>
        <v>-1</v>
      </c>
      <c r="AO51" s="2" t="n">
        <f aca="false">AK51/(J51)*$L51</f>
        <v>0.0129578662543272</v>
      </c>
      <c r="AP51" s="2" t="n">
        <f aca="false">AL51/(K51)*$L51</f>
        <v>0.0129578662543273</v>
      </c>
      <c r="AQ51" s="2"/>
      <c r="AR51" s="2" t="n">
        <f aca="false">B51-C51</f>
        <v>-0.0256209952218234</v>
      </c>
      <c r="AS51" s="45" t="n">
        <f aca="false">B51/C51</f>
        <v>0</v>
      </c>
      <c r="AU51" s="32" t="n">
        <v>271998</v>
      </c>
      <c r="AV51" s="45" t="n">
        <f aca="false">AU51*1000/(L51*365)</f>
        <v>3.56628460768961</v>
      </c>
      <c r="AW51" s="4" t="n">
        <f aca="false">M51*$AU51</f>
        <v>0</v>
      </c>
      <c r="AX51" s="4" t="n">
        <f aca="false">N51*$AU51</f>
        <v>269242.158302173</v>
      </c>
      <c r="AY51" s="4" t="n">
        <f aca="false">O51*$AU51</f>
        <v>2755.8416978266</v>
      </c>
      <c r="AZ51" s="45" t="n">
        <f aca="false">AW51*1000/(I51*365)</f>
        <v>0</v>
      </c>
      <c r="BA51" s="45" t="n">
        <f aca="false">AX51*1000/(J51*365)</f>
        <v>3.61249604666092</v>
      </c>
      <c r="BB51" s="45" t="n">
        <f aca="false">AY51*1000/(K51*365)</f>
        <v>3.61249604666092</v>
      </c>
      <c r="BC51" s="45" t="n">
        <f aca="false">$AV51-AZ51</f>
        <v>3.56628460768961</v>
      </c>
      <c r="BD51" s="45" t="n">
        <f aca="false">$AV51-BA51</f>
        <v>-0.0462114389713078</v>
      </c>
      <c r="BE51" s="45" t="n">
        <f aca="false">$AV51-BB51</f>
        <v>-0.0462114389713073</v>
      </c>
      <c r="BF51" s="2" t="n">
        <f aca="false">SQRT((BC51*$I51)^2+(BD51*$J51)^2+(BE51*$K51)^2)/$L51</f>
        <v>0.0641925019606728</v>
      </c>
      <c r="BG51" s="45"/>
      <c r="BH51" s="4" t="n">
        <f aca="false">AC51*$AU51</f>
        <v>0</v>
      </c>
      <c r="BI51" s="4" t="n">
        <f aca="false">AD51*$AU51</f>
        <v>269242.158302173</v>
      </c>
      <c r="BJ51" s="4" t="n">
        <f aca="false">AE51*$AU51</f>
        <v>2755.8416978266</v>
      </c>
      <c r="BK51" s="45" t="n">
        <f aca="false">BH51*1000/(I51*365)</f>
        <v>0</v>
      </c>
      <c r="BL51" s="45" t="n">
        <f aca="false">BI51*1000/(J51*365)</f>
        <v>3.61249604666092</v>
      </c>
      <c r="BM51" s="45" t="n">
        <f aca="false">BJ51*1000/(K51*365)</f>
        <v>3.61249604666092</v>
      </c>
      <c r="BN51" s="45" t="n">
        <f aca="false">$AV51-BK51</f>
        <v>3.56628460768961</v>
      </c>
      <c r="BO51" s="45" t="n">
        <f aca="false">$AV51-BL51</f>
        <v>-0.0462114389713078</v>
      </c>
      <c r="BP51" s="45" t="n">
        <f aca="false">$AV51-BM51</f>
        <v>-0.0462114389713073</v>
      </c>
      <c r="BQ51" s="2" t="n">
        <f aca="false">SQRT((BN51*$I51)^2+(BO51*$J51)^2+(BP51*$K51)^2)/$L51</f>
        <v>0.0641925019606728</v>
      </c>
      <c r="BS51" s="0" t="s">
        <v>14</v>
      </c>
      <c r="BT51" s="2" t="n">
        <v>0.257849632556366</v>
      </c>
      <c r="BU51" s="2" t="n">
        <v>0.746870980650504</v>
      </c>
      <c r="BW51" s="0" t="s">
        <v>14</v>
      </c>
      <c r="BX51" s="2" t="n">
        <v>0.257849632556366</v>
      </c>
      <c r="BY51" s="2" t="n">
        <v>0.746870980650504</v>
      </c>
    </row>
    <row r="52" customFormat="false" ht="12.75" hidden="false" customHeight="false" outlineLevel="0" collapsed="false">
      <c r="E52" s="0" t="n">
        <f aca="false">SUM(E3:E51)</f>
        <v>113697627</v>
      </c>
      <c r="F52" s="2"/>
      <c r="H52" s="0" t="n">
        <f aca="false">SUM(H3:H51)</f>
        <v>114502085</v>
      </c>
      <c r="BQ52" s="2"/>
    </row>
    <row r="53" customFormat="false" ht="12.75" hidden="false" customHeight="false" outlineLevel="0" collapsed="false">
      <c r="BQ53" s="2"/>
    </row>
    <row r="54" customFormat="false" ht="12.75" hidden="false" customHeight="false" outlineLevel="0" collapsed="false">
      <c r="BQ54" s="2"/>
    </row>
    <row r="55" customFormat="false" ht="12.75" hidden="false" customHeight="false" outlineLevel="0" collapsed="false">
      <c r="BQ55" s="2"/>
    </row>
    <row r="56" customFormat="false" ht="12.75" hidden="false" customHeight="false" outlineLevel="0" collapsed="false">
      <c r="BQ56" s="2"/>
    </row>
    <row r="57" customFormat="false" ht="12.75" hidden="false" customHeight="false" outlineLevel="0" collapsed="false">
      <c r="BQ57" s="2"/>
    </row>
    <row r="58" customFormat="false" ht="12.75" hidden="false" customHeight="false" outlineLevel="0" collapsed="false">
      <c r="BQ58" s="2"/>
    </row>
    <row r="59" customFormat="false" ht="12.75" hidden="false" customHeight="false" outlineLevel="0" collapsed="false">
      <c r="BQ59" s="2"/>
    </row>
    <row r="60" customFormat="false" ht="12.75" hidden="false" customHeight="false" outlineLevel="0" collapsed="false">
      <c r="BQ60" s="2"/>
    </row>
    <row r="61" customFormat="false" ht="12.75" hidden="false" customHeight="false" outlineLevel="0" collapsed="false">
      <c r="BQ61" s="2"/>
    </row>
    <row r="62" customFormat="false" ht="12.75" hidden="false" customHeight="false" outlineLevel="0" collapsed="false">
      <c r="BQ62" s="2"/>
    </row>
    <row r="63" customFormat="false" ht="12.75" hidden="false" customHeight="false" outlineLevel="0" collapsed="false">
      <c r="BQ63" s="2"/>
    </row>
    <row r="64" customFormat="false" ht="12.75" hidden="false" customHeight="false" outlineLevel="0" collapsed="false">
      <c r="BQ64" s="2"/>
    </row>
    <row r="65" customFormat="false" ht="12.75" hidden="false" customHeight="false" outlineLevel="0" collapsed="false">
      <c r="BQ65" s="2"/>
    </row>
    <row r="66" customFormat="false" ht="12.75" hidden="false" customHeight="false" outlineLevel="0" collapsed="false">
      <c r="BQ66" s="2"/>
    </row>
    <row r="67" customFormat="false" ht="12.75" hidden="false" customHeight="false" outlineLevel="0" collapsed="false">
      <c r="BQ67" s="2"/>
    </row>
    <row r="68" customFormat="false" ht="12.75" hidden="false" customHeight="false" outlineLevel="0" collapsed="false">
      <c r="BQ68" s="2"/>
    </row>
    <row r="69" customFormat="false" ht="12.75" hidden="false" customHeight="false" outlineLevel="0" collapsed="false">
      <c r="BQ69" s="2"/>
    </row>
    <row r="70" customFormat="false" ht="12.75" hidden="false" customHeight="false" outlineLevel="0" collapsed="false">
      <c r="BQ70" s="2"/>
    </row>
    <row r="71" customFormat="false" ht="12.75" hidden="false" customHeight="false" outlineLevel="0" collapsed="false">
      <c r="BQ71" s="2"/>
    </row>
    <row r="72" customFormat="false" ht="12.75" hidden="false" customHeight="false" outlineLevel="0" collapsed="false">
      <c r="BQ72" s="2"/>
    </row>
    <row r="73" customFormat="false" ht="12.75" hidden="false" customHeight="false" outlineLevel="0" collapsed="false">
      <c r="BQ73" s="2"/>
    </row>
    <row r="74" customFormat="false" ht="12.75" hidden="false" customHeight="false" outlineLevel="0" collapsed="false">
      <c r="BQ74" s="2"/>
    </row>
    <row r="75" customFormat="false" ht="12.75" hidden="false" customHeight="false" outlineLevel="0" collapsed="false">
      <c r="BQ75" s="2"/>
    </row>
    <row r="76" customFormat="false" ht="12.75" hidden="false" customHeight="false" outlineLevel="0" collapsed="false">
      <c r="BQ76" s="2"/>
    </row>
    <row r="77" customFormat="false" ht="12.75" hidden="false" customHeight="false" outlineLevel="0" collapsed="false">
      <c r="BQ77" s="2"/>
    </row>
    <row r="78" customFormat="false" ht="12.75" hidden="false" customHeight="false" outlineLevel="0" collapsed="false">
      <c r="BQ78" s="2"/>
    </row>
    <row r="79" customFormat="false" ht="12.75" hidden="false" customHeight="false" outlineLevel="0" collapsed="false">
      <c r="BQ79" s="2"/>
    </row>
    <row r="80" customFormat="false" ht="12.75" hidden="false" customHeight="false" outlineLevel="0" collapsed="false">
      <c r="BQ80" s="2"/>
    </row>
    <row r="81" customFormat="false" ht="12.75" hidden="false" customHeight="false" outlineLevel="0" collapsed="false">
      <c r="BQ81" s="2"/>
    </row>
    <row r="82" customFormat="false" ht="12.75" hidden="false" customHeight="false" outlineLevel="0" collapsed="false">
      <c r="BQ82" s="2"/>
    </row>
    <row r="83" customFormat="false" ht="12.75" hidden="false" customHeight="false" outlineLevel="0" collapsed="false">
      <c r="BQ83" s="2"/>
    </row>
    <row r="84" customFormat="false" ht="12.75" hidden="false" customHeight="false" outlineLevel="0" collapsed="false">
      <c r="BQ84" s="2"/>
    </row>
    <row r="85" customFormat="false" ht="12.75" hidden="false" customHeight="false" outlineLevel="0" collapsed="false">
      <c r="BQ85" s="2"/>
    </row>
    <row r="86" customFormat="false" ht="12.75" hidden="false" customHeight="false" outlineLevel="0" collapsed="false">
      <c r="BQ86" s="2"/>
    </row>
    <row r="87" customFormat="false" ht="12.75" hidden="false" customHeight="false" outlineLevel="0" collapsed="false">
      <c r="BQ87" s="2"/>
    </row>
    <row r="88" customFormat="false" ht="12.75" hidden="false" customHeight="false" outlineLevel="0" collapsed="false">
      <c r="BQ88" s="2"/>
    </row>
    <row r="89" customFormat="false" ht="12.75" hidden="false" customHeight="false" outlineLevel="0" collapsed="false">
      <c r="BQ89" s="2"/>
    </row>
    <row r="90" customFormat="false" ht="12.75" hidden="false" customHeight="false" outlineLevel="0" collapsed="false">
      <c r="BQ90" s="2"/>
    </row>
    <row r="91" customFormat="false" ht="12.75" hidden="false" customHeight="false" outlineLevel="0" collapsed="false">
      <c r="BQ91" s="2"/>
    </row>
    <row r="92" customFormat="false" ht="12.75" hidden="false" customHeight="false" outlineLevel="0" collapsed="false">
      <c r="BQ92" s="2"/>
    </row>
    <row r="93" customFormat="false" ht="12.75" hidden="false" customHeight="false" outlineLevel="0" collapsed="false">
      <c r="BQ93" s="2"/>
    </row>
    <row r="94" customFormat="false" ht="12.75" hidden="false" customHeight="false" outlineLevel="0" collapsed="false">
      <c r="BQ94" s="2"/>
    </row>
    <row r="95" customFormat="false" ht="12.75" hidden="false" customHeight="false" outlineLevel="0" collapsed="false">
      <c r="BQ95" s="2"/>
    </row>
    <row r="96" customFormat="false" ht="12.75" hidden="false" customHeight="false" outlineLevel="0" collapsed="false">
      <c r="BQ96" s="2"/>
    </row>
    <row r="97" customFormat="false" ht="12.75" hidden="false" customHeight="false" outlineLevel="0" collapsed="false">
      <c r="BQ97" s="2"/>
    </row>
    <row r="98" customFormat="false" ht="12.75" hidden="false" customHeight="false" outlineLevel="0" collapsed="false">
      <c r="BQ98" s="2"/>
    </row>
    <row r="99" customFormat="false" ht="12.75" hidden="false" customHeight="false" outlineLevel="0" collapsed="false">
      <c r="BQ99" s="2"/>
    </row>
    <row r="100" customFormat="false" ht="12.75" hidden="false" customHeight="false" outlineLevel="0" collapsed="false">
      <c r="BQ100" s="2"/>
    </row>
    <row r="101" customFormat="false" ht="12.75" hidden="false" customHeight="false" outlineLevel="0" collapsed="false">
      <c r="BQ101" s="2"/>
    </row>
    <row r="102" customFormat="false" ht="12.75" hidden="false" customHeight="false" outlineLevel="0" collapsed="false">
      <c r="BQ102" s="2"/>
    </row>
    <row r="103" customFormat="false" ht="12.75" hidden="false" customHeight="false" outlineLevel="0" collapsed="false">
      <c r="BQ103" s="2"/>
    </row>
    <row r="104" customFormat="false" ht="12.75" hidden="false" customHeight="false" outlineLevel="0" collapsed="false">
      <c r="BQ104" s="2"/>
    </row>
    <row r="105" customFormat="false" ht="12.75" hidden="false" customHeight="false" outlineLevel="0" collapsed="false">
      <c r="BQ105" s="2"/>
    </row>
    <row r="106" customFormat="false" ht="12.75" hidden="false" customHeight="false" outlineLevel="0" collapsed="false">
      <c r="BQ106" s="2"/>
    </row>
    <row r="107" customFormat="false" ht="12.75" hidden="false" customHeight="false" outlineLevel="0" collapsed="false">
      <c r="BQ107" s="2"/>
    </row>
    <row r="108" customFormat="false" ht="12.75" hidden="false" customHeight="false" outlineLevel="0" collapsed="false">
      <c r="BQ108" s="2"/>
    </row>
    <row r="109" customFormat="false" ht="12.75" hidden="false" customHeight="false" outlineLevel="0" collapsed="false">
      <c r="BQ109" s="2"/>
    </row>
    <row r="110" customFormat="false" ht="12.75" hidden="false" customHeight="false" outlineLevel="0" collapsed="false">
      <c r="BQ110" s="2"/>
    </row>
    <row r="111" customFormat="false" ht="12.75" hidden="false" customHeight="false" outlineLevel="0" collapsed="false">
      <c r="BQ111" s="2"/>
    </row>
    <row r="112" customFormat="false" ht="12.75" hidden="false" customHeight="false" outlineLevel="0" collapsed="false">
      <c r="BQ112" s="2"/>
    </row>
    <row r="113" customFormat="false" ht="12.75" hidden="false" customHeight="false" outlineLevel="0" collapsed="false">
      <c r="BQ113" s="2"/>
    </row>
    <row r="114" customFormat="false" ht="12.75" hidden="false" customHeight="false" outlineLevel="0" collapsed="false">
      <c r="BQ114" s="2"/>
    </row>
    <row r="115" customFormat="false" ht="12.75" hidden="false" customHeight="false" outlineLevel="0" collapsed="false">
      <c r="BQ115" s="2"/>
    </row>
    <row r="116" customFormat="false" ht="12.75" hidden="false" customHeight="false" outlineLevel="0" collapsed="false">
      <c r="BQ116" s="2"/>
    </row>
    <row r="117" customFormat="false" ht="12.75" hidden="false" customHeight="false" outlineLevel="0" collapsed="false">
      <c r="BQ117" s="2"/>
    </row>
    <row r="118" customFormat="false" ht="12.75" hidden="false" customHeight="false" outlineLevel="0" collapsed="false">
      <c r="BQ118" s="2"/>
    </row>
    <row r="119" customFormat="false" ht="12.75" hidden="false" customHeight="false" outlineLevel="0" collapsed="false">
      <c r="BQ119" s="2"/>
    </row>
    <row r="120" customFormat="false" ht="12.75" hidden="false" customHeight="false" outlineLevel="0" collapsed="false">
      <c r="BQ120" s="2"/>
    </row>
    <row r="121" customFormat="false" ht="12.75" hidden="false" customHeight="false" outlineLevel="0" collapsed="false">
      <c r="BQ121" s="2"/>
    </row>
    <row r="122" customFormat="false" ht="12.75" hidden="false" customHeight="false" outlineLevel="0" collapsed="false">
      <c r="BQ122" s="2"/>
    </row>
    <row r="123" customFormat="false" ht="12.75" hidden="false" customHeight="false" outlineLevel="0" collapsed="false">
      <c r="BQ123" s="2"/>
    </row>
    <row r="124" customFormat="false" ht="12.75" hidden="false" customHeight="false" outlineLevel="0" collapsed="false">
      <c r="BQ124" s="2"/>
    </row>
    <row r="125" customFormat="false" ht="12.75" hidden="false" customHeight="false" outlineLevel="0" collapsed="false">
      <c r="BQ125" s="2"/>
    </row>
    <row r="126" customFormat="false" ht="12.75" hidden="false" customHeight="false" outlineLevel="0" collapsed="false">
      <c r="BQ126" s="2"/>
    </row>
    <row r="127" customFormat="false" ht="12.75" hidden="false" customHeight="false" outlineLevel="0" collapsed="false">
      <c r="BQ127" s="2"/>
    </row>
    <row r="128" customFormat="false" ht="12.75" hidden="false" customHeight="false" outlineLevel="0" collapsed="false">
      <c r="BQ128" s="2"/>
    </row>
    <row r="129" customFormat="false" ht="12.75" hidden="false" customHeight="false" outlineLevel="0" collapsed="false">
      <c r="BQ129" s="2"/>
    </row>
    <row r="130" customFormat="false" ht="12.75" hidden="false" customHeight="false" outlineLevel="0" collapsed="false">
      <c r="BQ130" s="2"/>
    </row>
    <row r="131" customFormat="false" ht="12.75" hidden="false" customHeight="false" outlineLevel="0" collapsed="false">
      <c r="BQ131" s="2"/>
    </row>
    <row r="132" customFormat="false" ht="12.75" hidden="false" customHeight="false" outlineLevel="0" collapsed="false">
      <c r="BQ132" s="2"/>
    </row>
    <row r="133" customFormat="false" ht="12.75" hidden="false" customHeight="false" outlineLevel="0" collapsed="false">
      <c r="BQ133" s="2"/>
    </row>
    <row r="134" customFormat="false" ht="12.75" hidden="false" customHeight="false" outlineLevel="0" collapsed="false">
      <c r="BQ134" s="2"/>
    </row>
    <row r="135" customFormat="false" ht="12.75" hidden="false" customHeight="false" outlineLevel="0" collapsed="false">
      <c r="BQ135" s="2"/>
    </row>
    <row r="136" customFormat="false" ht="12.75" hidden="false" customHeight="false" outlineLevel="0" collapsed="false">
      <c r="BQ136" s="2"/>
    </row>
    <row r="137" customFormat="false" ht="12.75" hidden="false" customHeight="false" outlineLevel="0" collapsed="false">
      <c r="BQ137" s="2"/>
    </row>
    <row r="138" customFormat="false" ht="12.75" hidden="false" customHeight="false" outlineLevel="0" collapsed="false">
      <c r="BQ138" s="2"/>
    </row>
    <row r="139" customFormat="false" ht="12.75" hidden="false" customHeight="false" outlineLevel="0" collapsed="false">
      <c r="BQ139" s="2"/>
    </row>
    <row r="140" customFormat="false" ht="12.75" hidden="false" customHeight="false" outlineLevel="0" collapsed="false">
      <c r="BQ140" s="2"/>
    </row>
    <row r="141" customFormat="false" ht="12.75" hidden="false" customHeight="false" outlineLevel="0" collapsed="false">
      <c r="BQ14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1998-10-28T06:38:30Z</dcterms:created>
  <dc:creator/>
  <dc:description/>
  <dc:language>en-AU</dc:language>
  <cp:lastModifiedBy>David Levinson</cp:lastModifiedBy>
  <cp:lastPrinted>1998-12-22T10:19:56Z</cp:lastPrinted>
  <cp:revision>0</cp:revision>
  <dc:subject/>
  <dc:title/>
</cp:coreProperties>
</file>