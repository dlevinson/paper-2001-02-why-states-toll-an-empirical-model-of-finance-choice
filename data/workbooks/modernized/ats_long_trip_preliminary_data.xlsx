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ighbors-by-O-OOS" sheetId="1" state="visible" r:id="rId3"/>
    <sheet name="Destinations (2)" sheetId="2" state="visible" r:id="rId4"/>
    <sheet name="Summary" sheetId="3" state="visible" r:id="rId5"/>
    <sheet name="Origins" sheetId="4" state="visible" r:id="rId6"/>
    <sheet name="Neighbors-by-O" sheetId="5" state="visible" r:id="rId7"/>
    <sheet name="TripTable" sheetId="6" state="visible" r:id="rId8"/>
    <sheet name="Destination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<sst xmlns="http://schemas.openxmlformats.org/spreadsheetml/2006/main" count="5994" uniqueCount="231">
  <si>
    <t xml:space="preserve">FULLNAME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</si>
  <si>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</si>
  <si>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</si>
  <si>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</si>
  <si>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</si>
  <si>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</si>
  <si>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</si>
  <si>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</si>
  <si>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</si>
  <si>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Distict-of-Columbia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</si>
  <si>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</si>
  <si>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</si>
  <si>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</si>
  <si>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</si>
  <si>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</si>
  <si>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</si>
  <si>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</si>
  <si>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</si>
  <si>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</si>
  <si>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</si>
  <si>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</si>
  <si>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</si>
  <si>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</si>
  <si>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</si>
  <si>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</si>
  <si>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</si>
  <si>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</si>
  <si>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</si>
  <si>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</si>
  <si>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</si>
  <si>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New-Hampshire</t>
  </si>
  <si>
    <t xml:space="preserve">New-Jersey</t>
  </si>
  <si>
    <t xml:space="preserve">New-Mexico</t>
  </si>
  <si>
    <t xml:space="preserve">New-York</t>
  </si>
  <si>
    <t xml:space="preserve">North-Carolina</t>
  </si>
  <si>
    <t xml:space="preserve">North-Dakota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</si>
  <si>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</si>
  <si>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</si>
  <si>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</si>
  <si>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</si>
  <si>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Rhode-Island</t>
  </si>
  <si>
    <t xml:space="preserve">South-Carolina</t>
  </si>
  <si>
    <t xml:space="preserve">South-Dakota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</si>
  <si>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</si>
  <si>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</si>
  <si>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</si>
  <si>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</si>
  <si>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</si>
  <si>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</si>
  <si>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West-Virginia</t>
  </si>
  <si>
    <t xml:space="preserve">Wisconsin</t>
  </si>
  <si>
    <t xml:space="preserve">Wyoming</t>
  </si>
  <si>
    <t xml:space="preserve">TollShare</t>
  </si>
  <si>
    <t xml:space="preserve">Vistors to State by Origin</t>
  </si>
  <si>
    <t xml:space="preserve">Destinations by Residents of</t>
  </si>
  <si>
    <t xml:space="preserve">Visitors</t>
  </si>
  <si>
    <t xml:space="preserve">Residents</t>
  </si>
  <si>
    <t xml:space="preserve">TOTAL</t>
  </si>
  <si>
    <t xml:space="preserve">TOTAL/TOTALTRIPS</t>
  </si>
  <si>
    <t xml:space="preserve">TOTAL/TOTAL-OOS</t>
  </si>
  <si>
    <t xml:space="preserve">STATE</t>
  </si>
  <si>
    <t xml:space="preserve">In-State</t>
  </si>
  <si>
    <t xml:space="preserve">Out-of-State</t>
  </si>
  <si>
    <t xml:space="preserve">Out-Of-Staet</t>
  </si>
  <si>
    <t xml:space="preserve">Visitors In-State Ratio</t>
  </si>
  <si>
    <t xml:space="preserve">Residents In-State Ratio</t>
  </si>
  <si>
    <t xml:space="preserve">AL</t>
  </si>
  <si>
    <t xml:space="preserve">AK</t>
  </si>
  <si>
    <t xml:space="preserve">AR</t>
  </si>
  <si>
    <t xml:space="preserve">AZ</t>
  </si>
  <si>
    <t xml:space="preserve">CA</t>
  </si>
  <si>
    <t xml:space="preserve">CO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</si>
  <si>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</si>
  <si>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</si>
  <si>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</si>
  <si>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</si>
  <si>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</si>
  <si>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</si>
  <si>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</si>
  <si>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</si>
  <si>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IN</t>
  </si>
  <si>
    <t xml:space="preserve">IO</t>
  </si>
  <si>
    <t xml:space="preserve">KS</t>
  </si>
  <si>
    <t xml:space="preserve">KY</t>
  </si>
  <si>
    <t xml:space="preserve">LA</t>
  </si>
  <si>
    <t xml:space="preserve">ME</t>
  </si>
  <si>
    <t xml:space="preserve">MD</t>
  </si>
  <si>
    <t xml:space="preserve">MA</t>
  </si>
  <si>
    <t xml:space="preserve">MI</t>
  </si>
  <si>
    <t xml:space="preserve">MN</t>
  </si>
  <si>
    <t xml:space="preserve">MS</t>
  </si>
  <si>
    <t xml:space="preserve">MO</t>
  </si>
  <si>
    <t xml:space="preserve">MT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</si>
  <si>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</si>
  <si>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</si>
  <si>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</si>
  <si>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</si>
  <si>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</si>
  <si>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NY</t>
  </si>
  <si>
    <t xml:space="preserve">NC</t>
  </si>
  <si>
    <t xml:space="preserve">ND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</si>
  <si>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</si>
  <si>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</si>
  <si>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</si>
  <si>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</si>
  <si>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</si>
  <si>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</si>
  <si>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</si>
  <si>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</si>
  <si>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</si>
  <si>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</si>
  <si>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VT</t>
  </si>
  <si>
    <t xml:space="preserve">VA</t>
  </si>
  <si>
    <t xml:space="preserve">WA</t>
  </si>
  <si>
    <t xml:space="preserve">WV</t>
  </si>
  <si>
    <t xml:space="preserve">WI</t>
  </si>
  <si>
    <t xml:space="preserve">WY</t>
  </si>
  <si>
    <t xml:space="preserve">TRIPS-WITHIN-ALABAMA</t>
  </si>
  <si>
    <t xml:space="preserve">TRIPS-WITHIN-ALASKA</t>
  </si>
  <si>
    <t xml:space="preserve">TRIPS-WITHIN-ARIZONA</t>
  </si>
  <si>
    <t xml:space="preserve">TRIPS-WITHIN-ARKANSAS</t>
  </si>
  <si>
    <t xml:space="preserve">TRIPS-WITHIN-CALIFORNIA</t>
  </si>
  <si>
    <t xml:space="preserve">TRIPS-WITHIN-COLORADO</t>
  </si>
  <si>
    <t xml:space="preserve">TRIPS-WITHIN-CONNECTICUT</t>
  </si>
  <si>
    <t xml:space="preserve">TRIPS-WITHIN-DELAWARE</t>
  </si>
  <si>
    <t xml:space="preserve">TRIPS-WITHIN-FLORIDA</t>
  </si>
  <si>
    <t xml:space="preserve">TRIPS-WITHIN-GEORGIA</t>
  </si>
  <si>
    <t xml:space="preserve">TRIPS-WITHIN-HAWAII</t>
  </si>
  <si>
    <t xml:space="preserve">TRIPS-WITHIN-IDAHO</t>
  </si>
  <si>
    <t xml:space="preserve">TRIPS-WITHIN-ILLINOIS</t>
  </si>
  <si>
    <t xml:space="preserve">TRIPS-WITHIN-INDIANA</t>
  </si>
  <si>
    <t xml:space="preserve">TRIPS-WITHIN-IOWA</t>
  </si>
  <si>
    <t xml:space="preserve">TRIPS-WITHIN-KANSAS</t>
  </si>
  <si>
    <t xml:space="preserve">TRIPS-WITHIN-KENTUCKY</t>
  </si>
  <si>
    <t xml:space="preserve">TRIPS-WITHIN-LOUISIANA</t>
  </si>
  <si>
    <t xml:space="preserve">TRIPS-WITHIN-MAINE</t>
  </si>
  <si>
    <t xml:space="preserve">TRIPS-WITHIN-MARYLAND</t>
  </si>
  <si>
    <t xml:space="preserve">TRIPS-WITHIN-MASSACHUSETTS</t>
  </si>
  <si>
    <t xml:space="preserve">TRIPS-WITHIN-MICHIGAN</t>
  </si>
  <si>
    <t xml:space="preserve">TRIPS-WITHIN-MINNESOTA</t>
  </si>
  <si>
    <t xml:space="preserve">TRIPS-WITHIN-MISSISSIPPI</t>
  </si>
  <si>
    <t xml:space="preserve">TRIPS-WITHIN-MISSOURI</t>
  </si>
  <si>
    <t xml:space="preserve">TRIPS-WITHIN-MONTANA</t>
  </si>
  <si>
    <t xml:space="preserve">TRIPS-WITHIN-NEBRASKA</t>
  </si>
  <si>
    <t xml:space="preserve">TRIPS-WITHIN-NEVADA</t>
  </si>
  <si>
    <t xml:space="preserve">TRIPS-WITHIN-NEW-HAMPSHIRE</t>
  </si>
  <si>
    <t xml:space="preserve">TRIPS-WITHIN-NEW-JERSEY</t>
  </si>
  <si>
    <t xml:space="preserve">TRIPS-WITHIN-NEW-MEXICO</t>
  </si>
  <si>
    <t xml:space="preserve">TRIPS-WITHIN-NEW-YORK</t>
  </si>
  <si>
    <t xml:space="preserve">TRIPS-WITHIN-NORTH-CAROLINA</t>
  </si>
  <si>
    <t xml:space="preserve">TRIPS-WITHIN-NORTH-DAKOTA</t>
  </si>
  <si>
    <t xml:space="preserve">TRIPS-WITHIN-OHIO</t>
  </si>
  <si>
    <t xml:space="preserve">TRIPS-WITHIN-OKLAHOMA</t>
  </si>
  <si>
    <t xml:space="preserve">TRIPS-WITHIN-OREGON</t>
  </si>
  <si>
    <t xml:space="preserve">TRIPS-WITHIN-PENNSYLVANIA</t>
  </si>
  <si>
    <t xml:space="preserve">TRIPS-WITHIN-RHODE-ISLAND</t>
  </si>
  <si>
    <t xml:space="preserve">-</t>
  </si>
  <si>
    <t xml:space="preserve">TRIPS-WITHIN-SOUTH-CAROLINA</t>
  </si>
  <si>
    <t xml:space="preserve">TRIPS-WITHIN-SOUTH-DAKOTA</t>
  </si>
  <si>
    <t xml:space="preserve">TRIPS-WITHIN-TENNESSEE</t>
  </si>
  <si>
    <t xml:space="preserve">TRIPS-WITHIN-TEXAS</t>
  </si>
  <si>
    <t xml:space="preserve">TRIPS-WITHIN-UTAH</t>
  </si>
  <si>
    <t xml:space="preserve">TRIPS-WITHIN-VERMONT</t>
  </si>
  <si>
    <t xml:space="preserve">TRIPS-WITHIN-VIRGINIA</t>
  </si>
  <si>
    <t xml:space="preserve">TRIPS-WITHIN-WASHINGTON</t>
  </si>
  <si>
    <t xml:space="preserve">TRIPS-WITHIN-WEST-VIRGINIA</t>
  </si>
  <si>
    <t xml:space="preserve">TRIPS-WITHIN-WISCONSIN</t>
  </si>
  <si>
    <t xml:space="preserve">TRIPS-WITHIN-WYOMING</t>
  </si>
  <si>
    <t xml:space="preserve">Ratio</t>
  </si>
  <si>
    <t xml:space="preserve">ALABAMA</t>
  </si>
  <si>
    <t xml:space="preserve">ARKANSAS</t>
  </si>
  <si>
    <t xml:space="preserve">ARIZONA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</si>
  <si>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</si>
  <si>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</si>
  <si>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</si>
  <si>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</si>
  <si>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</si>
  <si>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</si>
  <si>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</si>
  <si>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</si>
  <si>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</si>
  <si>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</si>
  <si>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</si>
  <si>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</si>
  <si>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LOUISIANA</t>
  </si>
  <si>
    <t xml:space="preserve">MASSACHUSETTS</t>
  </si>
  <si>
    <t xml:space="preserve">MARYLAND</t>
  </si>
  <si>
    <t xml:space="preserve">MAINE</t>
  </si>
  <si>
    <t xml:space="preserve">MICHIGAN</t>
  </si>
  <si>
    <t xml:space="preserve">MINNESOTA</t>
  </si>
  <si>
    <t xml:space="preserve">MISSOURI</t>
  </si>
  <si>
    <t xml:space="preserve">MISSISSIPPI</t>
  </si>
  <si>
    <t xml:space="preserve">MONTANA</t>
  </si>
  <si>
    <t xml:space="preserve">NORTH-CAROLINA</t>
  </si>
  <si>
    <t xml:space="preserve">NORTH-DAKOTA</t>
  </si>
  <si>
    <t xml:space="preserve">NEBRASKA</t>
  </si>
  <si>
    <t xml:space="preserve">NEW-HAMPSHIRE</t>
  </si>
  <si>
    <t xml:space="preserve">NEW-JERSEY</t>
  </si>
  <si>
    <t xml:space="preserve">NEW-MEXICO</t>
  </si>
  <si>
    <t xml:space="preserve">NEVADA</t>
  </si>
  <si>
    <t xml:space="preserve">NEW-YORK</t>
  </si>
  <si>
    <t xml:space="preserve">OHIO</t>
  </si>
  <si>
    <t xml:space="preserve">OKLAHOMA</t>
  </si>
  <si>
    <t xml:space="preserve">OREGON</t>
  </si>
  <si>
    <t xml:space="preserve">PENNSYLVANIA</t>
  </si>
  <si>
    <t xml:space="preserve">RHODE-ISLAND</t>
  </si>
  <si>
    <t xml:space="preserve">SOUTH-CAROLINA</t>
  </si>
  <si>
    <t xml:space="preserve">SOUTH-DAKOTA</t>
  </si>
  <si>
    <t xml:space="preserve">TENNESSEE</t>
  </si>
  <si>
    <t xml:space="preserve">TEXAS</t>
  </si>
  <si>
    <t xml:space="preserve">UTAH</t>
  </si>
  <si>
    <t xml:space="preserve">VIRGINIA</t>
  </si>
  <si>
    <t xml:space="preserve">VERMONT</t>
  </si>
  <si>
    <t xml:space="preserve">WASHINGTON</t>
  </si>
  <si>
    <t xml:space="preserve">WISCONSIN</t>
  </si>
  <si>
    <t xml:space="preserve">WEST-VIRGINIA</t>
  </si>
  <si>
    <t xml:space="preserve">WYOMING</t>
  </si>
  <si>
    <t xml:space="preserve">ALASKA</t>
  </si>
  <si>
    <t xml:space="preserve">O \  D</t>
  </si>
  <si>
    <t xml:space="preserve">Distict0of0Columbia</t>
  </si>
  <si>
    <t xml:space="preserve">New0Hampshire</t>
  </si>
  <si>
    <t xml:space="preserve">New0Jersey</t>
  </si>
  <si>
    <t xml:space="preserve">New0Mexico</t>
  </si>
  <si>
    <t xml:space="preserve">New0York</t>
  </si>
  <si>
    <t xml:space="preserve">North0Carolina</t>
  </si>
  <si>
    <t xml:space="preserve">North0Dakota</t>
  </si>
  <si>
    <t xml:space="preserve">Rhode0Island</t>
  </si>
  <si>
    <t xml:space="preserve">South0Carolina</t>
  </si>
  <si>
    <t xml:space="preserve">South0Dakota</t>
  </si>
  <si>
    <t xml:space="preserve">West0Virginia</t>
  </si>
  <si>
    <t xml:space="preserve">Columbia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</si>
</sst>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0"/>
    <numFmt numFmtId="167" formatCode="#,##0"/>
    <numFmt numFmtId="168" formatCode="0.000"/>
    <numFmt numFmtId="169" formatCode="[h]:mm:ss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56" min="56" style="0" width="11.42"/>
  </cols>
  <sheetData>
    <row r="1" customFormat="false" ht="12.7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</row>
    <row r="2" customFormat="false" ht="12.75" hidden="false" customHeight="false" outlineLevel="0" collapsed="false">
      <c r="B2" s="0" t="s">
        <v>52</v>
      </c>
      <c r="C2" s="0" t="n">
        <v>0</v>
      </c>
      <c r="D2" s="0" t="n">
        <v>0.0628874080123128</v>
      </c>
      <c r="E2" s="0" t="n">
        <v>0</v>
      </c>
      <c r="F2" s="0" t="n">
        <v>0</v>
      </c>
      <c r="G2" s="0" t="n">
        <v>0.0211415213324095</v>
      </c>
      <c r="H2" s="0" t="n">
        <v>0.00295777769394722</v>
      </c>
      <c r="I2" s="0" t="n">
        <v>0.000259885785260088</v>
      </c>
      <c r="J2" s="0" t="n">
        <v>0.252590047672857</v>
      </c>
      <c r="K2" s="0" t="n">
        <v>0</v>
      </c>
      <c r="L2" s="0" t="n">
        <v>0.0778335546482334</v>
      </c>
      <c r="M2" s="0" t="n">
        <v>0.0041858290740556</v>
      </c>
      <c r="N2" s="0" t="n">
        <v>0</v>
      </c>
      <c r="O2" s="0" t="n">
        <v>0.00107334901207605</v>
      </c>
      <c r="P2" s="0" t="n">
        <v>0</v>
      </c>
      <c r="Q2" s="0" t="n">
        <v>0.0925020274991467</v>
      </c>
      <c r="R2" s="0" t="n">
        <v>0.0425729531743058</v>
      </c>
      <c r="S2" s="0" t="n">
        <v>0.0645640225441334</v>
      </c>
      <c r="T2" s="0" t="n">
        <v>0.00845328299918051</v>
      </c>
      <c r="U2" s="0" t="n">
        <v>0.0293839643250748</v>
      </c>
      <c r="V2" s="0" t="n">
        <v>0.105088318367691</v>
      </c>
      <c r="W2" s="0" t="n">
        <v>0.0702579161473665</v>
      </c>
      <c r="X2" s="0" t="n">
        <v>0.103944816167345</v>
      </c>
      <c r="Y2" s="0" t="n">
        <v>0.00738787711371125</v>
      </c>
      <c r="Z2" s="0" t="n">
        <v>0</v>
      </c>
      <c r="AA2" s="0" t="n">
        <v>0</v>
      </c>
      <c r="AB2" s="0" t="n">
        <v>0.000759685797103275</v>
      </c>
      <c r="AC2" s="0" t="n">
        <v>0</v>
      </c>
      <c r="AD2" s="0" t="n">
        <v>0.00199508308555689</v>
      </c>
      <c r="AE2" s="0" t="n">
        <v>0</v>
      </c>
      <c r="AF2" s="0" t="n">
        <v>0.117777368981519</v>
      </c>
      <c r="AG2" s="0" t="n">
        <v>0.273303356469306</v>
      </c>
      <c r="AH2" s="0" t="n">
        <v>0</v>
      </c>
      <c r="AI2" s="0" t="n">
        <v>0.331822037089797</v>
      </c>
      <c r="AJ2" s="0" t="n">
        <v>0.000738443042039357</v>
      </c>
      <c r="AK2" s="0" t="n">
        <v>0</v>
      </c>
      <c r="AL2" s="0" t="n">
        <v>0.0328757643019831</v>
      </c>
      <c r="AM2" s="0" t="n">
        <v>0.0759782565467173</v>
      </c>
      <c r="AN2" s="0" t="n">
        <v>0.00529904028492617</v>
      </c>
      <c r="AO2" s="0" t="n">
        <v>0.116977230877519</v>
      </c>
      <c r="AP2" s="0" t="n">
        <v>0.0373661178404778</v>
      </c>
      <c r="AQ2" s="0" t="n">
        <v>0</v>
      </c>
      <c r="AR2" s="0" t="n">
        <v>0</v>
      </c>
      <c r="AS2" s="0" t="n">
        <v>5.80051647196015E-005</v>
      </c>
      <c r="AT2" s="0" t="n">
        <v>0.0247474685546935</v>
      </c>
      <c r="AU2" s="0" t="n">
        <v>0.000622986197117817</v>
      </c>
      <c r="AV2" s="0" t="n">
        <v>0</v>
      </c>
      <c r="AW2" s="0" t="n">
        <v>0.0465283677535952</v>
      </c>
      <c r="AX2" s="0" t="n">
        <v>0.0414276298865866</v>
      </c>
      <c r="AY2" s="0" t="n">
        <v>0.0657245663242686</v>
      </c>
      <c r="AZ2" s="0" t="n">
        <v>1.13332512302244E-005</v>
      </c>
      <c r="BA2" s="0" t="n">
        <v>0</v>
      </c>
      <c r="BF2" s="0" t="s">
        <v>53</v>
      </c>
      <c r="BH2" s="0" t="s">
        <v>54</v>
      </c>
      <c r="BK2" s="0" t="s">
        <v>55</v>
      </c>
      <c r="BL2" s="0" t="s">
        <v>56</v>
      </c>
    </row>
    <row r="3" customFormat="false" ht="12.75" hidden="false" customHeight="false" outlineLevel="0" collapsed="false">
      <c r="A3" s="0" t="s">
        <v>0</v>
      </c>
      <c r="B3" s="0" t="s">
        <v>52</v>
      </c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 t="s">
        <v>6</v>
      </c>
      <c r="I3" s="0" t="s">
        <v>7</v>
      </c>
      <c r="J3" s="0" t="s">
        <v>8</v>
      </c>
      <c r="K3" s="0" t="s">
        <v>9</v>
      </c>
      <c r="L3" s="0" t="s">
        <v>10</v>
      </c>
      <c r="M3" s="0" t="s">
        <v>11</v>
      </c>
      <c r="N3" s="0" t="s">
        <v>12</v>
      </c>
      <c r="O3" s="0" t="s">
        <v>13</v>
      </c>
      <c r="P3" s="0" t="s">
        <v>14</v>
      </c>
      <c r="Q3" s="0" t="s">
        <v>15</v>
      </c>
      <c r="R3" s="0" t="s">
        <v>16</v>
      </c>
      <c r="S3" s="0" t="s">
        <v>17</v>
      </c>
      <c r="T3" s="0" t="s">
        <v>18</v>
      </c>
      <c r="U3" s="0" t="s">
        <v>19</v>
      </c>
      <c r="V3" s="0" t="s">
        <v>20</v>
      </c>
      <c r="W3" s="0" t="s">
        <v>21</v>
      </c>
      <c r="X3" s="0" t="s">
        <v>22</v>
      </c>
      <c r="Y3" s="0" t="s">
        <v>23</v>
      </c>
      <c r="Z3" s="0" t="s">
        <v>24</v>
      </c>
      <c r="AA3" s="0" t="s">
        <v>25</v>
      </c>
      <c r="AB3" s="0" t="s">
        <v>26</v>
      </c>
      <c r="AC3" s="0" t="s">
        <v>27</v>
      </c>
      <c r="AD3" s="0" t="s">
        <v>28</v>
      </c>
      <c r="AE3" s="0" t="s">
        <v>29</v>
      </c>
      <c r="AF3" s="0" t="s">
        <v>30</v>
      </c>
      <c r="AG3" s="0" t="s">
        <v>31</v>
      </c>
      <c r="AH3" s="0" t="s">
        <v>32</v>
      </c>
      <c r="AI3" s="0" t="s">
        <v>33</v>
      </c>
      <c r="AJ3" s="0" t="s">
        <v>34</v>
      </c>
      <c r="AK3" s="0" t="s">
        <v>35</v>
      </c>
      <c r="AL3" s="0" t="s">
        <v>36</v>
      </c>
      <c r="AM3" s="0" t="s">
        <v>37</v>
      </c>
      <c r="AN3" s="0" t="s">
        <v>38</v>
      </c>
      <c r="AO3" s="0" t="s">
        <v>39</v>
      </c>
      <c r="AP3" s="0" t="s">
        <v>40</v>
      </c>
      <c r="AQ3" s="0" t="s">
        <v>41</v>
      </c>
      <c r="AR3" s="0" t="s">
        <v>42</v>
      </c>
      <c r="AS3" s="0" t="s">
        <v>43</v>
      </c>
      <c r="AT3" s="0" t="s">
        <v>44</v>
      </c>
      <c r="AU3" s="0" t="s">
        <v>45</v>
      </c>
      <c r="AV3" s="0" t="s">
        <v>46</v>
      </c>
      <c r="AW3" s="0" t="s">
        <v>47</v>
      </c>
      <c r="AX3" s="0" t="s">
        <v>48</v>
      </c>
      <c r="AY3" s="0" t="s">
        <v>49</v>
      </c>
      <c r="AZ3" s="0" t="s">
        <v>50</v>
      </c>
      <c r="BA3" s="0" t="s">
        <v>51</v>
      </c>
      <c r="BB3" s="0" t="s">
        <v>57</v>
      </c>
      <c r="BC3" s="0" t="s">
        <v>58</v>
      </c>
      <c r="BD3" s="0" t="s">
        <v>59</v>
      </c>
      <c r="BE3" s="0" t="s">
        <v>60</v>
      </c>
      <c r="BF3" s="0" t="s">
        <v>61</v>
      </c>
      <c r="BG3" s="0" t="s">
        <v>62</v>
      </c>
      <c r="BH3" s="0" t="s">
        <v>61</v>
      </c>
      <c r="BI3" s="0" t="s">
        <v>63</v>
      </c>
      <c r="BK3" s="0" t="s">
        <v>64</v>
      </c>
      <c r="BL3" s="0" t="s">
        <v>65</v>
      </c>
      <c r="BM3" s="0" t="s">
        <v>60</v>
      </c>
    </row>
    <row r="4" customFormat="false" ht="12.75" hidden="false" customHeight="false" outlineLevel="0" collapsed="false">
      <c r="A4" s="0" t="s">
        <v>1</v>
      </c>
      <c r="B4" s="1" t="n">
        <v>0</v>
      </c>
      <c r="C4" s="1"/>
      <c r="D4" s="1" t="n">
        <f aca="false">D$2*TripTable!C2</f>
        <v>0.565986672110815</v>
      </c>
      <c r="E4" s="1" t="n">
        <f aca="false">E$2*TripTable!D2</f>
        <v>0</v>
      </c>
      <c r="F4" s="1" t="n">
        <f aca="false">F$2*TripTable!E2</f>
        <v>0</v>
      </c>
      <c r="G4" s="1" t="n">
        <f aca="false">G$2*TripTable!F2</f>
        <v>3.21351124252625</v>
      </c>
      <c r="H4" s="1" t="n">
        <f aca="false">H$2*TripTable!G2</f>
        <v>0.147888884697361</v>
      </c>
      <c r="I4" s="1" t="n">
        <f aca="false">I$2*TripTable!H2</f>
        <v>0.00259885785260088</v>
      </c>
      <c r="J4" s="1" t="n">
        <f aca="false">J$2*TripTable!I2</f>
        <v>1.26295023836428</v>
      </c>
      <c r="K4" s="1" t="n">
        <f aca="false">K$2*TripTable!J2</f>
        <v>0</v>
      </c>
      <c r="L4" s="1" t="n">
        <f aca="false">L$2*TripTable!K2</f>
        <v>150.530094689683</v>
      </c>
      <c r="M4" s="1" t="n">
        <f aca="false">M$2*TripTable!L2</f>
        <v>10.6278200190272</v>
      </c>
      <c r="N4" s="1" t="n">
        <f aca="false">N$2*TripTable!M2</f>
        <v>0</v>
      </c>
      <c r="O4" s="1" t="n">
        <f aca="false">O$2*TripTable!N2</f>
        <v>0.0021466980241521</v>
      </c>
      <c r="P4" s="1" t="n">
        <f aca="false">P$2*TripTable!O2</f>
        <v>0</v>
      </c>
      <c r="Q4" s="1" t="n">
        <f aca="false">Q$2*TripTable!P2</f>
        <v>7.03015408993515</v>
      </c>
      <c r="R4" s="1" t="n">
        <f aca="false">R$2*TripTable!Q2</f>
        <v>1.4900533611007</v>
      </c>
      <c r="S4" s="1" t="n">
        <f aca="false">S$2*TripTable!R2</f>
        <v>1.09758838325027</v>
      </c>
      <c r="T4" s="1" t="n">
        <f aca="false">T$2*TripTable!S2</f>
        <v>0.904501280912315</v>
      </c>
      <c r="U4" s="1" t="n">
        <f aca="false">U$2*TripTable!T2</f>
        <v>14.9858218057882</v>
      </c>
      <c r="V4" s="1" t="n">
        <f aca="false">V$2*TripTable!U2</f>
        <v>0.315264955103073</v>
      </c>
      <c r="W4" s="1" t="n">
        <f aca="false">W$2*TripTable!V2</f>
        <v>2.24825331671573</v>
      </c>
      <c r="X4" s="1" t="n">
        <f aca="false">X$2*TripTable!W2</f>
        <v>7.17219231554679</v>
      </c>
      <c r="Y4" s="1" t="n">
        <f aca="false">Y$2*TripTable!X2</f>
        <v>0.41372111836783</v>
      </c>
      <c r="Z4" s="1" t="n">
        <f aca="false">Z$2*TripTable!Y2</f>
        <v>0</v>
      </c>
      <c r="AA4" s="1" t="n">
        <f aca="false">AA$2*TripTable!Z2</f>
        <v>0</v>
      </c>
      <c r="AB4" s="1" t="n">
        <f aca="false">AB$2*TripTable!AA2</f>
        <v>0.149658102029345</v>
      </c>
      <c r="AC4" s="1" t="n">
        <f aca="false">AC$2*TripTable!AB2</f>
        <v>0</v>
      </c>
      <c r="AD4" s="1" t="n">
        <f aca="false">AD$2*TripTable!AC2</f>
        <v>0.00598524925667066</v>
      </c>
      <c r="AE4" s="1" t="n">
        <f aca="false">AE$2*TripTable!AD2</f>
        <v>0</v>
      </c>
      <c r="AF4" s="1" t="n">
        <f aca="false">AF$2*TripTable!AE2</f>
        <v>0.235554737963037</v>
      </c>
      <c r="AG4" s="1" t="n">
        <f aca="false">AG$2*TripTable!AF2</f>
        <v>10.9321342587723</v>
      </c>
      <c r="AH4" s="1" t="n">
        <f aca="false">AH$2*TripTable!AG2</f>
        <v>0</v>
      </c>
      <c r="AI4" s="1" t="n">
        <f aca="false">AI$2*TripTable!AH2</f>
        <v>12.2774153723225</v>
      </c>
      <c r="AJ4" s="1" t="n">
        <f aca="false">AJ$2*TripTable!AI2</f>
        <v>0.209717823939177</v>
      </c>
      <c r="AK4" s="1" t="n">
        <f aca="false">AK$2*TripTable!AJ2</f>
        <v>0</v>
      </c>
      <c r="AL4" s="1" t="n">
        <f aca="false">AL$2*TripTable!AK2</f>
        <v>3.15607337299038</v>
      </c>
      <c r="AM4" s="1" t="n">
        <f aca="false">AM$2*TripTable!AL2</f>
        <v>1.51956513093435</v>
      </c>
      <c r="AN4" s="1" t="n">
        <f aca="false">AN$2*TripTable!AM2</f>
        <v>0.00529904028492617</v>
      </c>
      <c r="AO4" s="1" t="n">
        <f aca="false">AO$2*TripTable!AN2</f>
        <v>5.84886154387597</v>
      </c>
      <c r="AP4" s="1" t="n">
        <f aca="false">AP$2*TripTable!AO2</f>
        <v>0.0747322356809555</v>
      </c>
      <c r="AQ4" s="1" t="n">
        <f aca="false">AQ$2*TripTable!AP2</f>
        <v>0</v>
      </c>
      <c r="AR4" s="1" t="n">
        <f aca="false">AR$2*TripTable!AQ2</f>
        <v>0</v>
      </c>
      <c r="AS4" s="1" t="n">
        <f aca="false">AS$2*TripTable!AR2</f>
        <v>0.10620745660159</v>
      </c>
      <c r="AT4" s="1" t="n">
        <f aca="false">AT$2*TripTable!AS2</f>
        <v>5.7166652361342</v>
      </c>
      <c r="AU4" s="1" t="n">
        <f aca="false">AU$2*TripTable!AT2</f>
        <v>0.0161976411250632</v>
      </c>
      <c r="AV4" s="1" t="n">
        <f aca="false">AV$2*TripTable!AU2</f>
        <v>0</v>
      </c>
      <c r="AW4" s="1" t="n">
        <f aca="false">AW$2*TripTable!AV2</f>
        <v>7.7237090470968</v>
      </c>
      <c r="AX4" s="1" t="n">
        <f aca="false">AX$2*TripTable!AW2</f>
        <v>0.455703928752452</v>
      </c>
      <c r="AY4" s="1" t="n">
        <f aca="false">AY$2*TripTable!AX2</f>
        <v>2.43180895399794</v>
      </c>
      <c r="AZ4" s="1" t="n">
        <f aca="false">AZ$2*TripTable!AY2</f>
        <v>4.53330049208977E-005</v>
      </c>
      <c r="BA4" s="1" t="n">
        <f aca="false">BA$2*TripTable!AZ2</f>
        <v>0</v>
      </c>
      <c r="BB4" s="1" t="n">
        <f aca="false">SUM(C4:BA4)</f>
        <v>252.875882393769</v>
      </c>
      <c r="BC4" s="2" t="n">
        <f aca="false">BB4/TripTable!BA2</f>
        <v>0.0145993812362894</v>
      </c>
      <c r="BD4" s="2" t="n">
        <f aca="false">BB4/BG4</f>
        <v>0.0263659558329443</v>
      </c>
      <c r="BE4" s="0" t="s">
        <v>66</v>
      </c>
      <c r="BF4" s="0" t="n">
        <v>7205</v>
      </c>
      <c r="BG4" s="0" t="n">
        <v>9591</v>
      </c>
      <c r="BH4" s="0" t="n">
        <v>7205</v>
      </c>
      <c r="BI4" s="0" t="n">
        <v>9734</v>
      </c>
      <c r="BK4" s="0" t="n">
        <v>0.428971183615146</v>
      </c>
      <c r="BL4" s="0" t="n">
        <v>0.425349784520928</v>
      </c>
      <c r="BM4" s="0" t="s">
        <v>66</v>
      </c>
    </row>
    <row r="5" customFormat="false" ht="12.75" hidden="false" customHeight="false" outlineLevel="0" collapsed="false">
      <c r="A5" s="0" t="s">
        <v>2</v>
      </c>
      <c r="B5" s="1" t="n">
        <v>0.0628874080123128</v>
      </c>
      <c r="C5" s="1" t="n">
        <f aca="false">C$2*TripTable!B3</f>
        <v>0</v>
      </c>
      <c r="D5" s="1"/>
      <c r="E5" s="1" t="n">
        <f aca="false">E$2*TripTable!D3</f>
        <v>0</v>
      </c>
      <c r="F5" s="1" t="n">
        <f aca="false">F$2*TripTable!E3</f>
        <v>0</v>
      </c>
      <c r="G5" s="1" t="n">
        <f aca="false">G$2*TripTable!F3</f>
        <v>2.07186909057613</v>
      </c>
      <c r="H5" s="1" t="n">
        <f aca="false">H$2*TripTable!G3</f>
        <v>0.0650711092668389</v>
      </c>
      <c r="I5" s="1" t="n">
        <f aca="false">I$2*TripTable!H3</f>
        <v>0.00155931471156053</v>
      </c>
      <c r="J5" s="1" t="n">
        <f aca="false">J$2*TripTable!I3</f>
        <v>0</v>
      </c>
      <c r="K5" s="1" t="n">
        <f aca="false">K$2*TripTable!J3</f>
        <v>0</v>
      </c>
      <c r="L5" s="1" t="n">
        <f aca="false">L$2*TripTable!K3</f>
        <v>1.24533687437173</v>
      </c>
      <c r="M5" s="1" t="n">
        <f aca="false">M$2*TripTable!L3</f>
        <v>0.0167433162962224</v>
      </c>
      <c r="N5" s="1" t="n">
        <f aca="false">N$2*TripTable!M3</f>
        <v>0</v>
      </c>
      <c r="O5" s="1" t="n">
        <f aca="false">O$2*TripTable!N3</f>
        <v>0.00751344308453235</v>
      </c>
      <c r="P5" s="1" t="n">
        <f aca="false">P$2*TripTable!O3</f>
        <v>0</v>
      </c>
      <c r="Q5" s="1" t="n">
        <f aca="false">Q$2*TripTable!P3</f>
        <v>0.185004054998293</v>
      </c>
      <c r="R5" s="1" t="n">
        <f aca="false">R$2*TripTable!Q3</f>
        <v>0.0425729531743058</v>
      </c>
      <c r="S5" s="1" t="n">
        <f aca="false">S$2*TripTable!R3</f>
        <v>0.1936920676324</v>
      </c>
      <c r="T5" s="1" t="n">
        <f aca="false">T$2*TripTable!S3</f>
        <v>0.00845328299918051</v>
      </c>
      <c r="U5" s="1" t="n">
        <f aca="false">U$2*TripTable!T3</f>
        <v>0.176303785950449</v>
      </c>
      <c r="V5" s="1" t="n">
        <f aca="false">V$2*TripTable!U3</f>
        <v>0.105088318367691</v>
      </c>
      <c r="W5" s="1" t="n">
        <f aca="false">W$2*TripTable!V3</f>
        <v>0.210773748442099</v>
      </c>
      <c r="X5" s="1" t="n">
        <f aca="false">X$2*TripTable!W3</f>
        <v>0.727613713171413</v>
      </c>
      <c r="Y5" s="1" t="n">
        <f aca="false">Y$2*TripTable!X3</f>
        <v>0.05910301690969</v>
      </c>
      <c r="Z5" s="1" t="n">
        <f aca="false">Z$2*TripTable!Y3</f>
        <v>0</v>
      </c>
      <c r="AA5" s="1" t="n">
        <f aca="false">AA$2*TripTable!Z3</f>
        <v>0</v>
      </c>
      <c r="AB5" s="1" t="n">
        <f aca="false">AB$2*TripTable!AA3</f>
        <v>0.00759685797103275</v>
      </c>
      <c r="AC5" s="1" t="n">
        <f aca="false">AC$2*TripTable!AB3</f>
        <v>0</v>
      </c>
      <c r="AD5" s="1" t="n">
        <f aca="false">AD$2*TripTable!AC3</f>
        <v>0.00598524925667066</v>
      </c>
      <c r="AE5" s="1" t="n">
        <f aca="false">AE$2*TripTable!AD3</f>
        <v>0</v>
      </c>
      <c r="AF5" s="1" t="n">
        <f aca="false">AF$2*TripTable!AE3</f>
        <v>0</v>
      </c>
      <c r="AG5" s="1" t="n">
        <f aca="false">AG$2*TripTable!AF3</f>
        <v>0.546606712938613</v>
      </c>
      <c r="AH5" s="1" t="n">
        <f aca="false">AH$2*TripTable!AG3</f>
        <v>0</v>
      </c>
      <c r="AI5" s="1" t="n">
        <f aca="false">AI$2*TripTable!AH3</f>
        <v>3.98186444507756</v>
      </c>
      <c r="AJ5" s="1" t="n">
        <f aca="false">AJ$2*TripTable!AI3</f>
        <v>0.00221532912611807</v>
      </c>
      <c r="AK5" s="1" t="n">
        <f aca="false">AK$2*TripTable!AJ3</f>
        <v>0</v>
      </c>
      <c r="AL5" s="1" t="n">
        <f aca="false">AL$2*TripTable!AK3</f>
        <v>0.263006114415865</v>
      </c>
      <c r="AM5" s="1" t="n">
        <f aca="false">AM$2*TripTable!AL3</f>
        <v>0.379891282733587</v>
      </c>
      <c r="AN5" s="1" t="n">
        <f aca="false">AN$2*TripTable!AM3</f>
        <v>0.317942417095571</v>
      </c>
      <c r="AO5" s="1" t="n">
        <f aca="false">AO$2*TripTable!AN3</f>
        <v>0.701863385265116</v>
      </c>
      <c r="AP5" s="1" t="n">
        <f aca="false">AP$2*TripTable!AO3</f>
        <v>0</v>
      </c>
      <c r="AQ5" s="1" t="n">
        <f aca="false">AQ$2*TripTable!AP3</f>
        <v>0</v>
      </c>
      <c r="AR5" s="1" t="n">
        <f aca="false">AR$2*TripTable!AQ3</f>
        <v>0</v>
      </c>
      <c r="AS5" s="1" t="n">
        <f aca="false">AS$2*TripTable!AR3</f>
        <v>0.000174015494158805</v>
      </c>
      <c r="AT5" s="1" t="n">
        <f aca="false">AT$2*TripTable!AS3</f>
        <v>0.618686713867338</v>
      </c>
      <c r="AU5" s="1" t="n">
        <f aca="false">AU$2*TripTable!AT3</f>
        <v>0.00560687577406035</v>
      </c>
      <c r="AV5" s="1" t="n">
        <f aca="false">AV$2*TripTable!AU3</f>
        <v>0</v>
      </c>
      <c r="AW5" s="1" t="n">
        <f aca="false">AW$2*TripTable!AV3</f>
        <v>0.232641838767976</v>
      </c>
      <c r="AX5" s="1" t="n">
        <f aca="false">AX$2*TripTable!AW3</f>
        <v>4.68132217718429</v>
      </c>
      <c r="AY5" s="1" t="n">
        <f aca="false">AY$2*TripTable!AX3</f>
        <v>0.0657245663242686</v>
      </c>
      <c r="AZ5" s="1" t="n">
        <f aca="false">AZ$2*TripTable!AY3</f>
        <v>0.00010199926107202</v>
      </c>
      <c r="BA5" s="1" t="n">
        <f aca="false">BA$2*TripTable!AZ3</f>
        <v>0</v>
      </c>
      <c r="BB5" s="1" t="n">
        <f aca="false">SUM(C5:BA5)</f>
        <v>16.9279280705058</v>
      </c>
      <c r="BC5" s="2" t="n">
        <f aca="false">BB5/TripTable!BA3</f>
        <v>0.00698058889505395</v>
      </c>
      <c r="BD5" s="2" t="n">
        <f aca="false">BB5/BG5</f>
        <v>0.00288085909981379</v>
      </c>
      <c r="BE5" s="0" t="s">
        <v>67</v>
      </c>
      <c r="BF5" s="0" t="n">
        <v>4485</v>
      </c>
      <c r="BG5" s="0" t="n">
        <v>5876</v>
      </c>
      <c r="BH5" s="0" t="n">
        <v>1798</v>
      </c>
      <c r="BI5" s="0" t="n">
        <v>636</v>
      </c>
      <c r="BK5" s="0" t="n">
        <v>0.591447368421053</v>
      </c>
      <c r="BL5" s="0" t="n">
        <v>0.738701725554643</v>
      </c>
      <c r="BM5" s="0" t="s">
        <v>67</v>
      </c>
    </row>
    <row r="6" customFormat="false" ht="12.75" hidden="false" customHeight="false" outlineLevel="0" collapsed="false">
      <c r="A6" s="0" t="s">
        <v>3</v>
      </c>
      <c r="B6" s="1" t="n">
        <v>0</v>
      </c>
      <c r="C6" s="1" t="n">
        <f aca="false">C$2*TripTable!B4</f>
        <v>0</v>
      </c>
      <c r="D6" s="1" t="n">
        <f aca="false">D$2*TripTable!C4</f>
        <v>2.4526089124802</v>
      </c>
      <c r="E6" s="1"/>
      <c r="F6" s="1" t="n">
        <f aca="false">F$2*TripTable!E4</f>
        <v>0</v>
      </c>
      <c r="G6" s="1" t="n">
        <f aca="false">G$2*TripTable!F4</f>
        <v>86.1728409509012</v>
      </c>
      <c r="H6" s="1" t="n">
        <f aca="false">H$2*TripTable!G4</f>
        <v>1.02339108210574</v>
      </c>
      <c r="I6" s="1" t="n">
        <f aca="false">I$2*TripTable!H4</f>
        <v>0.00701691620202238</v>
      </c>
      <c r="J6" s="1" t="n">
        <f aca="false">J$2*TripTable!I4</f>
        <v>1.26295023836428</v>
      </c>
      <c r="K6" s="1" t="n">
        <f aca="false">K$2*TripTable!J4</f>
        <v>0</v>
      </c>
      <c r="L6" s="1" t="n">
        <f aca="false">L$2*TripTable!K4</f>
        <v>7.31635413693394</v>
      </c>
      <c r="M6" s="1" t="n">
        <f aca="false">M$2*TripTable!L4</f>
        <v>0.213477282776836</v>
      </c>
      <c r="N6" s="1" t="n">
        <f aca="false">N$2*TripTable!M4</f>
        <v>0</v>
      </c>
      <c r="O6" s="1" t="n">
        <f aca="false">O$2*TripTable!N4</f>
        <v>0.0354205173985097</v>
      </c>
      <c r="P6" s="1" t="n">
        <f aca="false">P$2*TripTable!O4</f>
        <v>0</v>
      </c>
      <c r="Q6" s="1" t="n">
        <f aca="false">Q$2*TripTable!P4</f>
        <v>4.1625912374616</v>
      </c>
      <c r="R6" s="1" t="n">
        <f aca="false">R$2*TripTable!Q4</f>
        <v>2.46923128410974</v>
      </c>
      <c r="S6" s="1" t="n">
        <f aca="false">S$2*TripTable!R4</f>
        <v>4.77773766826587</v>
      </c>
      <c r="T6" s="1" t="n">
        <f aca="false">T$2*TripTable!S4</f>
        <v>0.101439395990166</v>
      </c>
      <c r="U6" s="1" t="n">
        <f aca="false">U$2*TripTable!T4</f>
        <v>0.85213496542717</v>
      </c>
      <c r="V6" s="1" t="n">
        <f aca="false">V$2*TripTable!U4</f>
        <v>0</v>
      </c>
      <c r="W6" s="1" t="n">
        <f aca="false">W$2*TripTable!V4</f>
        <v>2.52928498130519</v>
      </c>
      <c r="X6" s="1" t="n">
        <f aca="false">X$2*TripTable!W4</f>
        <v>4.26173746286114</v>
      </c>
      <c r="Y6" s="1" t="n">
        <f aca="false">Y$2*TripTable!X4</f>
        <v>0.502375643732365</v>
      </c>
      <c r="Z6" s="1" t="n">
        <f aca="false">Z$2*TripTable!Y4</f>
        <v>0</v>
      </c>
      <c r="AA6" s="1" t="n">
        <f aca="false">AA$2*TripTable!Z4</f>
        <v>0</v>
      </c>
      <c r="AB6" s="1" t="n">
        <f aca="false">AB$2*TripTable!AA4</f>
        <v>0.0486198910146096</v>
      </c>
      <c r="AC6" s="1" t="n">
        <f aca="false">AC$2*TripTable!AB4</f>
        <v>0</v>
      </c>
      <c r="AD6" s="1" t="n">
        <f aca="false">AD$2*TripTable!AC4</f>
        <v>0.12170006821897</v>
      </c>
      <c r="AE6" s="1" t="n">
        <f aca="false">AE$2*TripTable!AD4</f>
        <v>0</v>
      </c>
      <c r="AF6" s="1" t="n">
        <f aca="false">AF$2*TripTable!AE4</f>
        <v>4.71109475926075</v>
      </c>
      <c r="AG6" s="1" t="n">
        <f aca="false">AG$2*TripTable!AF4</f>
        <v>6.28597719879405</v>
      </c>
      <c r="AH6" s="1" t="n">
        <f aca="false">AH$2*TripTable!AG4</f>
        <v>0</v>
      </c>
      <c r="AI6" s="1" t="n">
        <f aca="false">AI$2*TripTable!AH4</f>
        <v>31.8549155606205</v>
      </c>
      <c r="AJ6" s="1" t="n">
        <f aca="false">AJ$2*TripTable!AI4</f>
        <v>0.0376605951440072</v>
      </c>
      <c r="AK6" s="1" t="n">
        <f aca="false">AK$2*TripTable!AJ4</f>
        <v>0</v>
      </c>
      <c r="AL6" s="1" t="n">
        <f aca="false">AL$2*TripTable!AK4</f>
        <v>2.10404891532692</v>
      </c>
      <c r="AM6" s="1" t="n">
        <f aca="false">AM$2*TripTable!AL4</f>
        <v>4.93858667553663</v>
      </c>
      <c r="AN6" s="1" t="n">
        <f aca="false">AN$2*TripTable!AM4</f>
        <v>0.604090592481584</v>
      </c>
      <c r="AO6" s="1" t="n">
        <f aca="false">AO$2*TripTable!AN4</f>
        <v>9.59213293195659</v>
      </c>
      <c r="AP6" s="1" t="n">
        <f aca="false">AP$2*TripTable!AO4</f>
        <v>0.0373661178404778</v>
      </c>
      <c r="AQ6" s="1" t="n">
        <f aca="false">AQ$2*TripTable!AP4</f>
        <v>0</v>
      </c>
      <c r="AR6" s="1" t="n">
        <f aca="false">AR$2*TripTable!AQ4</f>
        <v>0</v>
      </c>
      <c r="AS6" s="1" t="n">
        <f aca="false">AS$2*TripTable!AR4</f>
        <v>0.000696061976635218</v>
      </c>
      <c r="AT6" s="1" t="n">
        <f aca="false">AT$2*TripTable!AS4</f>
        <v>8.95858361679905</v>
      </c>
      <c r="AU6" s="1" t="n">
        <f aca="false">AU$2*TripTable!AT4</f>
        <v>0.170075231813164</v>
      </c>
      <c r="AV6" s="1" t="n">
        <f aca="false">AV$2*TripTable!AU4</f>
        <v>0</v>
      </c>
      <c r="AW6" s="1" t="n">
        <f aca="false">AW$2*TripTable!AV4</f>
        <v>1.62849287137583</v>
      </c>
      <c r="AX6" s="1" t="n">
        <f aca="false">AX$2*TripTable!AW4</f>
        <v>7.78839441867828</v>
      </c>
      <c r="AY6" s="1" t="n">
        <f aca="false">AY$2*TripTable!AX4</f>
        <v>0</v>
      </c>
      <c r="AZ6" s="1" t="n">
        <f aca="false">AZ$2*TripTable!AY4</f>
        <v>0.000532662807820548</v>
      </c>
      <c r="BA6" s="1" t="n">
        <f aca="false">BA$2*TripTable!AZ4</f>
        <v>0</v>
      </c>
      <c r="BB6" s="1" t="n">
        <f aca="false">SUM(C6:BA6)</f>
        <v>197.023560845962</v>
      </c>
      <c r="BC6" s="2" t="n">
        <f aca="false">BB6/TripTable!BA4</f>
        <v>0.0101042905198196</v>
      </c>
      <c r="BD6" s="2" t="n">
        <f aca="false">BB6/BG6</f>
        <v>0.0188539292675562</v>
      </c>
      <c r="BE6" s="0" t="s">
        <v>68</v>
      </c>
      <c r="BF6" s="0" t="n">
        <v>10895</v>
      </c>
      <c r="BG6" s="0" t="n">
        <v>10450</v>
      </c>
      <c r="BH6" s="0" t="n">
        <v>4485</v>
      </c>
      <c r="BI6" s="0" t="n">
        <v>5856</v>
      </c>
      <c r="BK6" s="0" t="n">
        <v>0.432873274780427</v>
      </c>
      <c r="BL6" s="0" t="n">
        <v>0.433710472874964</v>
      </c>
      <c r="BM6" s="0" t="s">
        <v>68</v>
      </c>
    </row>
    <row r="7" customFormat="false" ht="12.75" hidden="false" customHeight="false" outlineLevel="0" collapsed="false">
      <c r="A7" s="0" t="s">
        <v>4</v>
      </c>
      <c r="B7" s="1" t="n">
        <v>0</v>
      </c>
      <c r="C7" s="1" t="n">
        <f aca="false">C$2*TripTable!B5</f>
        <v>0</v>
      </c>
      <c r="D7" s="1" t="n">
        <f aca="false">D$2*TripTable!C5</f>
        <v>1.50929779229551</v>
      </c>
      <c r="E7" s="1" t="n">
        <f aca="false">E$2*TripTable!D5</f>
        <v>0</v>
      </c>
      <c r="F7" s="1"/>
      <c r="G7" s="1" t="n">
        <f aca="false">G$2*TripTable!F5</f>
        <v>2.05072756924372</v>
      </c>
      <c r="H7" s="1" t="n">
        <f aca="false">H$2*TripTable!G5</f>
        <v>0.313524435558406</v>
      </c>
      <c r="I7" s="1" t="n">
        <f aca="false">I$2*TripTable!H5</f>
        <v>0.00155931471156053</v>
      </c>
      <c r="J7" s="1" t="n">
        <f aca="false">J$2*TripTable!I5</f>
        <v>0</v>
      </c>
      <c r="K7" s="1" t="n">
        <f aca="false">K$2*TripTable!J5</f>
        <v>0</v>
      </c>
      <c r="L7" s="1" t="n">
        <f aca="false">L$2*TripTable!K5</f>
        <v>12.3755351890691</v>
      </c>
      <c r="M7" s="1" t="n">
        <f aca="false">M$2*TripTable!L5</f>
        <v>0.305565522406059</v>
      </c>
      <c r="N7" s="1" t="n">
        <f aca="false">N$2*TripTable!M5</f>
        <v>0</v>
      </c>
      <c r="O7" s="1" t="n">
        <f aca="false">O$2*TripTable!N5</f>
        <v>0.0139535371569887</v>
      </c>
      <c r="P7" s="1" t="n">
        <f aca="false">P$2*TripTable!O5</f>
        <v>0</v>
      </c>
      <c r="Q7" s="1" t="n">
        <f aca="false">Q$2*TripTable!P5</f>
        <v>3.70008109996587</v>
      </c>
      <c r="R7" s="1" t="n">
        <f aca="false">R$2*TripTable!Q5</f>
        <v>1.36233450157779</v>
      </c>
      <c r="S7" s="1" t="n">
        <f aca="false">S$2*TripTable!R5</f>
        <v>8.45788695328148</v>
      </c>
      <c r="T7" s="1" t="n">
        <f aca="false">T$2*TripTable!S5</f>
        <v>0.549463394946733</v>
      </c>
      <c r="U7" s="1" t="n">
        <f aca="false">U$2*TripTable!T5</f>
        <v>15.2502774847138</v>
      </c>
      <c r="V7" s="1" t="n">
        <f aca="false">V$2*TripTable!U5</f>
        <v>0.315264955103073</v>
      </c>
      <c r="W7" s="1" t="n">
        <f aca="false">W$2*TripTable!V5</f>
        <v>0.772837077621031</v>
      </c>
      <c r="X7" s="1" t="n">
        <f aca="false">X$2*TripTable!W5</f>
        <v>1.14339297784079</v>
      </c>
      <c r="Y7" s="1" t="n">
        <f aca="false">Y$2*TripTable!X5</f>
        <v>0.35461810145814</v>
      </c>
      <c r="Z7" s="1" t="n">
        <f aca="false">Z$2*TripTable!Y5</f>
        <v>0</v>
      </c>
      <c r="AA7" s="1" t="n">
        <f aca="false">AA$2*TripTable!Z5</f>
        <v>0</v>
      </c>
      <c r="AB7" s="1" t="n">
        <f aca="false">AB$2*TripTable!AA5</f>
        <v>0.701189990726323</v>
      </c>
      <c r="AC7" s="1" t="n">
        <f aca="false">AC$2*TripTable!AB5</f>
        <v>0</v>
      </c>
      <c r="AD7" s="1" t="n">
        <f aca="false">AD$2*TripTable!AC5</f>
        <v>0.0618475756522635</v>
      </c>
      <c r="AE7" s="1" t="n">
        <f aca="false">AE$2*TripTable!AD5</f>
        <v>0</v>
      </c>
      <c r="AF7" s="1" t="n">
        <f aca="false">AF$2*TripTable!AE5</f>
        <v>0</v>
      </c>
      <c r="AG7" s="1" t="n">
        <f aca="false">AG$2*TripTable!AF5</f>
        <v>2.73303356469306</v>
      </c>
      <c r="AH7" s="1" t="n">
        <f aca="false">AH$2*TripTable!AG5</f>
        <v>0</v>
      </c>
      <c r="AI7" s="1" t="n">
        <f aca="false">AI$2*TripTable!AH5</f>
        <v>12.6092374094123</v>
      </c>
      <c r="AJ7" s="1" t="n">
        <f aca="false">AJ$2*TripTable!AI5</f>
        <v>0.0265839495134169</v>
      </c>
      <c r="AK7" s="1" t="n">
        <f aca="false">AK$2*TripTable!AJ5</f>
        <v>0</v>
      </c>
      <c r="AL7" s="1" t="n">
        <f aca="false">AL$2*TripTable!AK5</f>
        <v>1.87391856521304</v>
      </c>
      <c r="AM7" s="1" t="n">
        <f aca="false">AM$2*TripTable!AL5</f>
        <v>59.5669531326264</v>
      </c>
      <c r="AN7" s="1" t="n">
        <f aca="false">AN$2*TripTable!AM5</f>
        <v>0.0476913625643356</v>
      </c>
      <c r="AO7" s="1" t="n">
        <f aca="false">AO$2*TripTable!AN5</f>
        <v>1.63768123228527</v>
      </c>
      <c r="AP7" s="1" t="n">
        <f aca="false">AP$2*TripTable!AO5</f>
        <v>0.149464471361911</v>
      </c>
      <c r="AQ7" s="1" t="n">
        <f aca="false">AQ$2*TripTable!AP5</f>
        <v>0</v>
      </c>
      <c r="AR7" s="1" t="n">
        <f aca="false">AR$2*TripTable!AQ5</f>
        <v>0</v>
      </c>
      <c r="AS7" s="1" t="n">
        <f aca="false">AS$2*TripTable!AR5</f>
        <v>0.0292926081833988</v>
      </c>
      <c r="AT7" s="1" t="n">
        <f aca="false">AT$2*TripTable!AS5</f>
        <v>24.6732261490294</v>
      </c>
      <c r="AU7" s="1" t="n">
        <f aca="false">AU$2*TripTable!AT5</f>
        <v>0.00311493098558908</v>
      </c>
      <c r="AV7" s="1" t="n">
        <f aca="false">AV$2*TripTable!AU5</f>
        <v>0</v>
      </c>
      <c r="AW7" s="1" t="n">
        <f aca="false">AW$2*TripTable!AV5</f>
        <v>1.39585103260786</v>
      </c>
      <c r="AX7" s="1" t="n">
        <f aca="false">AX$2*TripTable!AW5</f>
        <v>0.704269708071972</v>
      </c>
      <c r="AY7" s="1" t="n">
        <f aca="false">AY$2*TripTable!AX5</f>
        <v>0.46007196426988</v>
      </c>
      <c r="AZ7" s="1" t="n">
        <f aca="false">AZ$2*TripTable!AY5</f>
        <v>0.000600662315201894</v>
      </c>
      <c r="BA7" s="1" t="n">
        <f aca="false">BA$2*TripTable!AZ5</f>
        <v>0</v>
      </c>
      <c r="BB7" s="1" t="n">
        <f aca="false">SUM(C7:BA7)</f>
        <v>155.150348216462</v>
      </c>
      <c r="BC7" s="2" t="n">
        <f aca="false">BB7/TripTable!BA5</f>
        <v>0.0150836426420826</v>
      </c>
      <c r="BD7" s="2" t="n">
        <f aca="false">BB7/BG7</f>
        <v>0.00634795418421757</v>
      </c>
      <c r="BE7" s="0" t="s">
        <v>69</v>
      </c>
      <c r="BF7" s="0" t="n">
        <v>64843</v>
      </c>
      <c r="BG7" s="0" t="n">
        <v>24441</v>
      </c>
      <c r="BH7" s="0" t="n">
        <v>10895</v>
      </c>
      <c r="BI7" s="0" t="n">
        <v>8689</v>
      </c>
      <c r="BK7" s="0" t="n">
        <v>0.510423986882174</v>
      </c>
      <c r="BL7" s="0" t="n">
        <v>0.556321486928105</v>
      </c>
      <c r="BM7" s="0" t="s">
        <v>69</v>
      </c>
    </row>
    <row r="8" customFormat="false" ht="12.75" hidden="false" customHeight="false" outlineLevel="0" collapsed="false">
      <c r="A8" s="0" t="s">
        <v>5</v>
      </c>
      <c r="B8" s="1" t="n">
        <v>0.0211415213324095</v>
      </c>
      <c r="C8" s="1" t="n">
        <f aca="false">C$2*TripTable!B6</f>
        <v>0</v>
      </c>
      <c r="D8" s="1" t="n">
        <f aca="false">D$2*TripTable!C6</f>
        <v>6.35162820924359</v>
      </c>
      <c r="E8" s="1" t="n">
        <f aca="false">E$2*TripTable!D6</f>
        <v>0</v>
      </c>
      <c r="F8" s="1" t="n">
        <f aca="false">F$2*TripTable!E6</f>
        <v>0</v>
      </c>
      <c r="G8" s="1"/>
      <c r="H8" s="1" t="n">
        <f aca="false">H$2*TripTable!G6</f>
        <v>4.16455099307769</v>
      </c>
      <c r="I8" s="1" t="n">
        <f aca="false">I$2*TripTable!H6</f>
        <v>0.0493782991994168</v>
      </c>
      <c r="J8" s="1" t="n">
        <f aca="false">J$2*TripTable!I6</f>
        <v>3.28367061974714</v>
      </c>
      <c r="K8" s="1" t="n">
        <f aca="false">K$2*TripTable!J6</f>
        <v>0</v>
      </c>
      <c r="L8" s="1" t="n">
        <f aca="false">L$2*TripTable!K6</f>
        <v>73.8640433611735</v>
      </c>
      <c r="M8" s="1" t="n">
        <f aca="false">M$2*TripTable!L6</f>
        <v>1.31853615832751</v>
      </c>
      <c r="N8" s="1" t="n">
        <f aca="false">N$2*TripTable!M6</f>
        <v>0</v>
      </c>
      <c r="O8" s="1" t="n">
        <f aca="false">O$2*TripTable!N6</f>
        <v>0.353131824973021</v>
      </c>
      <c r="P8" s="1" t="n">
        <f aca="false">P$2*TripTable!O6</f>
        <v>0</v>
      </c>
      <c r="Q8" s="1" t="n">
        <f aca="false">Q$2*TripTable!P6</f>
        <v>22.8480007922892</v>
      </c>
      <c r="R8" s="1" t="n">
        <f aca="false">R$2*TripTable!Q6</f>
        <v>2.9375337690271</v>
      </c>
      <c r="S8" s="1" t="n">
        <f aca="false">S$2*TripTable!R6</f>
        <v>9.10352717872281</v>
      </c>
      <c r="T8" s="1" t="n">
        <f aca="false">T$2*TripTable!S6</f>
        <v>0.380397734963123</v>
      </c>
      <c r="U8" s="1" t="n">
        <f aca="false">U$2*TripTable!T6</f>
        <v>4.0843710411854</v>
      </c>
      <c r="V8" s="1" t="n">
        <f aca="false">V$2*TripTable!U6</f>
        <v>29.8450824164243</v>
      </c>
      <c r="W8" s="1" t="n">
        <f aca="false">W$2*TripTable!V6</f>
        <v>9.34430284759974</v>
      </c>
      <c r="X8" s="1" t="n">
        <f aca="false">X$2*TripTable!W6</f>
        <v>39.187195695089</v>
      </c>
      <c r="Y8" s="1" t="n">
        <f aca="false">Y$2*TripTable!X6</f>
        <v>3.33932045539749</v>
      </c>
      <c r="Z8" s="1" t="n">
        <f aca="false">Z$2*TripTable!Y6</f>
        <v>0</v>
      </c>
      <c r="AA8" s="1" t="n">
        <f aca="false">AA$2*TripTable!Z6</f>
        <v>0</v>
      </c>
      <c r="AB8" s="1" t="n">
        <f aca="false">AB$2*TripTable!AA6</f>
        <v>0.362370125218262</v>
      </c>
      <c r="AC8" s="1" t="n">
        <f aca="false">AC$2*TripTable!AB6</f>
        <v>0</v>
      </c>
      <c r="AD8" s="1" t="n">
        <f aca="false">AD$2*TripTable!AC6</f>
        <v>0.0339164124544671</v>
      </c>
      <c r="AE8" s="1" t="n">
        <f aca="false">AE$2*TripTable!AD6</f>
        <v>0</v>
      </c>
      <c r="AF8" s="1" t="n">
        <f aca="false">AF$2*TripTable!AE6</f>
        <v>4.59331739027923</v>
      </c>
      <c r="AG8" s="1" t="n">
        <f aca="false">AG$2*TripTable!AF6</f>
        <v>85.8172539313622</v>
      </c>
      <c r="AH8" s="1" t="n">
        <f aca="false">AH$2*TripTable!AG6</f>
        <v>0</v>
      </c>
      <c r="AI8" s="1" t="n">
        <f aca="false">AI$2*TripTable!AH6</f>
        <v>478.155555446397</v>
      </c>
      <c r="AJ8" s="1" t="n">
        <f aca="false">AJ$2*TripTable!AI6</f>
        <v>0.211194710023256</v>
      </c>
      <c r="AK8" s="1" t="n">
        <f aca="false">AK$2*TripTable!AJ6</f>
        <v>0</v>
      </c>
      <c r="AL8" s="1" t="n">
        <f aca="false">AL$2*TripTable!AK6</f>
        <v>21.402122560591</v>
      </c>
      <c r="AM8" s="1" t="n">
        <f aca="false">AM$2*TripTable!AL6</f>
        <v>8.66152124632578</v>
      </c>
      <c r="AN8" s="1" t="n">
        <f aca="false">AN$2*TripTable!AM6</f>
        <v>6.21047521393348</v>
      </c>
      <c r="AO8" s="1" t="n">
        <f aca="false">AO$2*TripTable!AN6</f>
        <v>80.2463803819783</v>
      </c>
      <c r="AP8" s="1" t="n">
        <f aca="false">AP$2*TripTable!AO6</f>
        <v>0.896786828171466</v>
      </c>
      <c r="AQ8" s="1" t="n">
        <f aca="false">AQ$2*TripTable!AP6</f>
        <v>0</v>
      </c>
      <c r="AR8" s="1" t="n">
        <f aca="false">AR$2*TripTable!AQ6</f>
        <v>0</v>
      </c>
      <c r="AS8" s="1" t="n">
        <f aca="false">AS$2*TripTable!AR6</f>
        <v>0.0106149451436871</v>
      </c>
      <c r="AT8" s="1" t="n">
        <f aca="false">AT$2*TripTable!AS6</f>
        <v>22.5449438533258</v>
      </c>
      <c r="AU8" s="1" t="n">
        <f aca="false">AU$2*TripTable!AT6</f>
        <v>0.383136511227457</v>
      </c>
      <c r="AV8" s="1" t="n">
        <f aca="false">AV$2*TripTable!AU6</f>
        <v>0</v>
      </c>
      <c r="AW8" s="1" t="n">
        <f aca="false">AW$2*TripTable!AV6</f>
        <v>8.7008047699223</v>
      </c>
      <c r="AX8" s="1" t="n">
        <f aca="false">AX$2*TripTable!AW6</f>
        <v>45.6532481350184</v>
      </c>
      <c r="AY8" s="1" t="n">
        <f aca="false">AY$2*TripTable!AX6</f>
        <v>7.75549882626369</v>
      </c>
      <c r="AZ8" s="1" t="n">
        <f aca="false">AZ$2*TripTable!AY6</f>
        <v>0.000668661822583241</v>
      </c>
      <c r="BA8" s="1" t="n">
        <f aca="false">BA$2*TripTable!AZ6</f>
        <v>0</v>
      </c>
      <c r="BB8" s="1" t="n">
        <f aca="false">SUM(C8:BA8)</f>
        <v>982.094481345899</v>
      </c>
      <c r="BC8" s="2" t="n">
        <f aca="false">BB8/TripTable!BA6</f>
        <v>0.00963366633981302</v>
      </c>
      <c r="BD8" s="2" t="n">
        <f aca="false">BB8/BG8</f>
        <v>0.088973951924796</v>
      </c>
      <c r="BE8" s="0" t="s">
        <v>70</v>
      </c>
      <c r="BF8" s="0" t="n">
        <v>6982</v>
      </c>
      <c r="BG8" s="0" t="n">
        <v>11038</v>
      </c>
      <c r="BH8" s="0" t="n">
        <v>64843</v>
      </c>
      <c r="BI8" s="0" t="n">
        <v>37526</v>
      </c>
      <c r="BK8" s="0" t="n">
        <v>0.726255544106447</v>
      </c>
      <c r="BL8" s="0" t="n">
        <v>0.63342418114859</v>
      </c>
      <c r="BM8" s="0" t="s">
        <v>70</v>
      </c>
    </row>
    <row r="9" customFormat="false" ht="12.75" hidden="false" customHeight="false" outlineLevel="0" collapsed="false">
      <c r="A9" s="0" t="s">
        <v>6</v>
      </c>
      <c r="B9" s="1" t="n">
        <v>0.00295777769394722</v>
      </c>
      <c r="C9" s="1" t="n">
        <f aca="false">C$2*TripTable!B7</f>
        <v>0</v>
      </c>
      <c r="D9" s="1" t="n">
        <f aca="false">D$2*TripTable!C7</f>
        <v>2.70415854452945</v>
      </c>
      <c r="E9" s="1" t="n">
        <f aca="false">E$2*TripTable!D7</f>
        <v>0</v>
      </c>
      <c r="F9" s="1" t="n">
        <f aca="false">F$2*TripTable!E7</f>
        <v>0</v>
      </c>
      <c r="G9" s="1" t="n">
        <f aca="false">G$2*TripTable!F7</f>
        <v>22.1563143563652</v>
      </c>
      <c r="H9" s="1"/>
      <c r="I9" s="1" t="n">
        <f aca="false">I$2*TripTable!H7</f>
        <v>0.00337851520838115</v>
      </c>
      <c r="J9" s="1" t="n">
        <f aca="false">J$2*TripTable!I7</f>
        <v>0.252590047672857</v>
      </c>
      <c r="K9" s="1" t="n">
        <f aca="false">K$2*TripTable!J7</f>
        <v>0</v>
      </c>
      <c r="L9" s="1" t="n">
        <f aca="false">L$2*TripTable!K7</f>
        <v>24.5175697141935</v>
      </c>
      <c r="M9" s="1" t="n">
        <f aca="false">M$2*TripTable!L7</f>
        <v>0.59020189944184</v>
      </c>
      <c r="N9" s="1" t="n">
        <f aca="false">N$2*TripTable!M7</f>
        <v>0</v>
      </c>
      <c r="O9" s="1" t="n">
        <f aca="false">O$2*TripTable!N7</f>
        <v>0.084794571954008</v>
      </c>
      <c r="P9" s="1" t="n">
        <f aca="false">P$2*TripTable!O7</f>
        <v>0</v>
      </c>
      <c r="Q9" s="1" t="n">
        <f aca="false">Q$2*TripTable!P7</f>
        <v>3.70008109996587</v>
      </c>
      <c r="R9" s="1" t="n">
        <f aca="false">R$2*TripTable!Q7</f>
        <v>4.55530598965072</v>
      </c>
      <c r="S9" s="1" t="n">
        <f aca="false">S$2*TripTable!R7</f>
        <v>21.4998195071964</v>
      </c>
      <c r="T9" s="1" t="n">
        <f aca="false">T$2*TripTable!S7</f>
        <v>0.0591729809942636</v>
      </c>
      <c r="U9" s="1" t="n">
        <f aca="false">U$2*TripTable!T7</f>
        <v>0.969670822727469</v>
      </c>
      <c r="V9" s="1" t="n">
        <f aca="false">V$2*TripTable!U7</f>
        <v>1.26105982041229</v>
      </c>
      <c r="W9" s="1" t="n">
        <f aca="false">W$2*TripTable!V7</f>
        <v>3.02109039433676</v>
      </c>
      <c r="X9" s="1" t="n">
        <f aca="false">X$2*TripTable!W7</f>
        <v>8.00375084488555</v>
      </c>
      <c r="Y9" s="1" t="n">
        <f aca="false">Y$2*TripTable!X7</f>
        <v>0.783114974053393</v>
      </c>
      <c r="Z9" s="1" t="n">
        <f aca="false">Z$2*TripTable!Y7</f>
        <v>0</v>
      </c>
      <c r="AA9" s="1" t="n">
        <f aca="false">AA$2*TripTable!Z7</f>
        <v>0</v>
      </c>
      <c r="AB9" s="1" t="n">
        <f aca="false">AB$2*TripTable!AA7</f>
        <v>0.155735588406171</v>
      </c>
      <c r="AC9" s="1" t="n">
        <f aca="false">AC$2*TripTable!AB7</f>
        <v>0</v>
      </c>
      <c r="AD9" s="1" t="n">
        <f aca="false">AD$2*TripTable!AC7</f>
        <v>0.875841474559473</v>
      </c>
      <c r="AE9" s="1" t="n">
        <f aca="false">AE$2*TripTable!AD7</f>
        <v>0</v>
      </c>
      <c r="AF9" s="1" t="n">
        <f aca="false">AF$2*TripTable!AE7</f>
        <v>0.588886844907593</v>
      </c>
      <c r="AG9" s="1" t="n">
        <f aca="false">AG$2*TripTable!AF7</f>
        <v>21.3176618046059</v>
      </c>
      <c r="AH9" s="1" t="n">
        <f aca="false">AH$2*TripTable!AG7</f>
        <v>0</v>
      </c>
      <c r="AI9" s="1" t="n">
        <f aca="false">AI$2*TripTable!AH7</f>
        <v>71.6735600113961</v>
      </c>
      <c r="AJ9" s="1" t="n">
        <f aca="false">AJ$2*TripTable!AI7</f>
        <v>0.0841825067924867</v>
      </c>
      <c r="AK9" s="1" t="n">
        <f aca="false">AK$2*TripTable!AJ7</f>
        <v>0</v>
      </c>
      <c r="AL9" s="1" t="n">
        <f aca="false">AL$2*TripTable!AK7</f>
        <v>3.91221595193599</v>
      </c>
      <c r="AM9" s="1" t="n">
        <f aca="false">AM$2*TripTable!AL7</f>
        <v>12.7643470998485</v>
      </c>
      <c r="AN9" s="1" t="n">
        <f aca="false">AN$2*TripTable!AM7</f>
        <v>0.545801149347396</v>
      </c>
      <c r="AO9" s="1" t="n">
        <f aca="false">AO$2*TripTable!AN7</f>
        <v>7.72049723791628</v>
      </c>
      <c r="AP9" s="1" t="n">
        <f aca="false">AP$2*TripTable!AO7</f>
        <v>0.934152946011944</v>
      </c>
      <c r="AQ9" s="1" t="n">
        <f aca="false">AQ$2*TripTable!AP7</f>
        <v>0</v>
      </c>
      <c r="AR9" s="1" t="n">
        <f aca="false">AR$2*TripTable!AQ7</f>
        <v>0</v>
      </c>
      <c r="AS9" s="1" t="n">
        <f aca="false">AS$2*TripTable!AR7</f>
        <v>0.00417637185981131</v>
      </c>
      <c r="AT9" s="1" t="n">
        <f aca="false">AT$2*TripTable!AS7</f>
        <v>12.4727241515655</v>
      </c>
      <c r="AU9" s="1" t="n">
        <f aca="false">AU$2*TripTable!AT7</f>
        <v>0.40805595911217</v>
      </c>
      <c r="AV9" s="1" t="n">
        <f aca="false">AV$2*TripTable!AU7</f>
        <v>0</v>
      </c>
      <c r="AW9" s="1" t="n">
        <f aca="false">AW$2*TripTable!AV7</f>
        <v>1.67502123912943</v>
      </c>
      <c r="AX9" s="1" t="n">
        <f aca="false">AX$2*TripTable!AW7</f>
        <v>5.34416425536967</v>
      </c>
      <c r="AY9" s="1" t="n">
        <f aca="false">AY$2*TripTable!AX7</f>
        <v>0.657245663242686</v>
      </c>
      <c r="AZ9" s="1" t="n">
        <f aca="false">AZ$2*TripTable!AY7</f>
        <v>0.000634662068892568</v>
      </c>
      <c r="BA9" s="1" t="n">
        <f aca="false">BA$2*TripTable!AZ7</f>
        <v>0</v>
      </c>
      <c r="BB9" s="1" t="n">
        <f aca="false">SUM(C9:BA9)</f>
        <v>235.296979001664</v>
      </c>
      <c r="BC9" s="2" t="n">
        <f aca="false">BB9/TripTable!BA7</f>
        <v>0.0147790326613695</v>
      </c>
      <c r="BD9" s="2" t="n">
        <f aca="false">BB9/BG9</f>
        <v>0.0329178761893766</v>
      </c>
      <c r="BE9" s="0" t="s">
        <v>71</v>
      </c>
      <c r="BF9" s="0" t="n">
        <v>177</v>
      </c>
      <c r="BG9" s="0" t="n">
        <v>7148</v>
      </c>
      <c r="BH9" s="0" t="n">
        <v>6982</v>
      </c>
      <c r="BI9" s="0" t="n">
        <v>9048</v>
      </c>
      <c r="BK9" s="0" t="n">
        <v>0.387458379578246</v>
      </c>
      <c r="BL9" s="0" t="n">
        <v>0.435558328134747</v>
      </c>
      <c r="BM9" s="0" t="s">
        <v>71</v>
      </c>
    </row>
    <row r="10" customFormat="false" ht="12.75" hidden="false" customHeight="false" outlineLevel="0" collapsed="false">
      <c r="A10" s="0" t="s">
        <v>7</v>
      </c>
      <c r="B10" s="1" t="n">
        <v>0.000259885785260088</v>
      </c>
      <c r="C10" s="1" t="n">
        <f aca="false">C$2*TripTable!B8</f>
        <v>0</v>
      </c>
      <c r="D10" s="1" t="n">
        <f aca="false">D$2*TripTable!C8</f>
        <v>0.817536304160066</v>
      </c>
      <c r="E10" s="1" t="n">
        <f aca="false">E$2*TripTable!D8</f>
        <v>0</v>
      </c>
      <c r="F10" s="1" t="n">
        <f aca="false">F$2*TripTable!E8</f>
        <v>0</v>
      </c>
      <c r="G10" s="1" t="n">
        <f aca="false">G$2*TripTable!F8</f>
        <v>4.14373818115226</v>
      </c>
      <c r="H10" s="1" t="n">
        <f aca="false">H$2*TripTable!G8</f>
        <v>0.195213327800517</v>
      </c>
      <c r="I10" s="1"/>
      <c r="J10" s="1" t="n">
        <f aca="false">J$2*TripTable!I8</f>
        <v>12.8820924313157</v>
      </c>
      <c r="K10" s="1" t="n">
        <f aca="false">K$2*TripTable!J8</f>
        <v>0</v>
      </c>
      <c r="L10" s="1" t="n">
        <f aca="false">L$2*TripTable!K8</f>
        <v>54.4834882537634</v>
      </c>
      <c r="M10" s="1" t="n">
        <f aca="false">M$2*TripTable!L8</f>
        <v>0.439512052775838</v>
      </c>
      <c r="N10" s="1" t="n">
        <f aca="false">N$2*TripTable!M8</f>
        <v>0</v>
      </c>
      <c r="O10" s="1" t="n">
        <f aca="false">O$2*TripTable!N8</f>
        <v>0.00536674506038025</v>
      </c>
      <c r="P10" s="1" t="n">
        <f aca="false">P$2*TripTable!O8</f>
        <v>0</v>
      </c>
      <c r="Q10" s="1" t="n">
        <f aca="false">Q$2*TripTable!P8</f>
        <v>2.7750608249744</v>
      </c>
      <c r="R10" s="1" t="n">
        <f aca="false">R$2*TripTable!Q8</f>
        <v>1.02175087618334</v>
      </c>
      <c r="S10" s="1" t="n">
        <f aca="false">S$2*TripTable!R8</f>
        <v>0.1936920676324</v>
      </c>
      <c r="T10" s="1" t="n">
        <f aca="false">T$2*TripTable!S8</f>
        <v>0.0929861129909856</v>
      </c>
      <c r="U10" s="1" t="n">
        <f aca="false">U$2*TripTable!T8</f>
        <v>1.49858218057882</v>
      </c>
      <c r="V10" s="1" t="n">
        <f aca="false">V$2*TripTable!U8</f>
        <v>87.433480881919</v>
      </c>
      <c r="W10" s="1" t="n">
        <f aca="false">W$2*TripTable!V8</f>
        <v>11.6628140804628</v>
      </c>
      <c r="X10" s="1" t="n">
        <f aca="false">X$2*TripTable!W8</f>
        <v>271.607804645272</v>
      </c>
      <c r="Y10" s="1" t="n">
        <f aca="false">Y$2*TripTable!X8</f>
        <v>0.65013318600659</v>
      </c>
      <c r="Z10" s="1" t="n">
        <f aca="false">Z$2*TripTable!Y8</f>
        <v>0</v>
      </c>
      <c r="AA10" s="1" t="n">
        <f aca="false">AA$2*TripTable!Z8</f>
        <v>0</v>
      </c>
      <c r="AB10" s="1" t="n">
        <f aca="false">AB$2*TripTable!AA8</f>
        <v>0.0334261750725441</v>
      </c>
      <c r="AC10" s="1" t="n">
        <f aca="false">AC$2*TripTable!AB8</f>
        <v>0</v>
      </c>
      <c r="AD10" s="1" t="n">
        <f aca="false">AD$2*TripTable!AC8</f>
        <v>0.0119704985133413</v>
      </c>
      <c r="AE10" s="1" t="n">
        <f aca="false">AE$2*TripTable!AD8</f>
        <v>0</v>
      </c>
      <c r="AF10" s="1" t="n">
        <f aca="false">AF$2*TripTable!AE8</f>
        <v>67.8397645333548</v>
      </c>
      <c r="AG10" s="1" t="n">
        <f aca="false">AG$2*TripTable!AF8</f>
        <v>185.02637232972</v>
      </c>
      <c r="AH10" s="1" t="n">
        <f aca="false">AH$2*TripTable!AG8</f>
        <v>0</v>
      </c>
      <c r="AI10" s="1" t="n">
        <f aca="false">AI$2*TripTable!AH8</f>
        <v>657.339455474888</v>
      </c>
      <c r="AJ10" s="1" t="n">
        <f aca="false">AJ$2*TripTable!AI8</f>
        <v>0.118150886726297</v>
      </c>
      <c r="AK10" s="1" t="n">
        <f aca="false">AK$2*TripTable!AJ8</f>
        <v>0</v>
      </c>
      <c r="AL10" s="1" t="n">
        <f aca="false">AL$2*TripTable!AK8</f>
        <v>4.04371900914392</v>
      </c>
      <c r="AM10" s="1" t="n">
        <f aca="false">AM$2*TripTable!AL8</f>
        <v>0.531847795827021</v>
      </c>
      <c r="AN10" s="1" t="n">
        <f aca="false">AN$2*TripTable!AM8</f>
        <v>0.0370932819944832</v>
      </c>
      <c r="AO10" s="1" t="n">
        <f aca="false">AO$2*TripTable!AN8</f>
        <v>98.3778511679938</v>
      </c>
      <c r="AP10" s="1" t="n">
        <f aca="false">AP$2*TripTable!AO8</f>
        <v>17.674173738546</v>
      </c>
      <c r="AQ10" s="1" t="n">
        <f aca="false">AQ$2*TripTable!AP8</f>
        <v>0</v>
      </c>
      <c r="AR10" s="1" t="n">
        <f aca="false">AR$2*TripTable!AQ8</f>
        <v>0</v>
      </c>
      <c r="AS10" s="1" t="n">
        <f aca="false">AS$2*TripTable!AR8</f>
        <v>0.00423437702453091</v>
      </c>
      <c r="AT10" s="1" t="n">
        <f aca="false">AT$2*TripTable!AS8</f>
        <v>2.44999938691466</v>
      </c>
      <c r="AU10" s="1" t="n">
        <f aca="false">AU$2*TripTable!AT8</f>
        <v>0.016820627322181</v>
      </c>
      <c r="AV10" s="1" t="n">
        <f aca="false">AV$2*TripTable!AU8</f>
        <v>0</v>
      </c>
      <c r="AW10" s="1" t="n">
        <f aca="false">AW$2*TripTable!AV8</f>
        <v>8.42163456340073</v>
      </c>
      <c r="AX10" s="1" t="n">
        <f aca="false">AX$2*TripTable!AW8</f>
        <v>1.03569074716466</v>
      </c>
      <c r="AY10" s="1" t="n">
        <f aca="false">AY$2*TripTable!AX8</f>
        <v>1.84028785707952</v>
      </c>
      <c r="AZ10" s="1" t="n">
        <f aca="false">AZ$2*TripTable!AY8</f>
        <v>0.000441996797978752</v>
      </c>
      <c r="BA10" s="1" t="n">
        <f aca="false">BA$2*TripTable!AZ8</f>
        <v>0</v>
      </c>
      <c r="BB10" s="1" t="n">
        <f aca="false">SUM(C10:BA10)</f>
        <v>1494.70618659953</v>
      </c>
      <c r="BC10" s="2" t="n">
        <f aca="false">BB10/TripTable!BA8</f>
        <v>0.12651990744875</v>
      </c>
      <c r="BD10" s="2" t="n">
        <f aca="false">BB10/BG10</f>
        <v>0.291252179773876</v>
      </c>
      <c r="BE10" s="0" t="s">
        <v>72</v>
      </c>
      <c r="BF10" s="0" t="n">
        <v>82</v>
      </c>
      <c r="BG10" s="0" t="n">
        <v>5132</v>
      </c>
      <c r="BH10" s="0" t="n">
        <v>177</v>
      </c>
      <c r="BI10" s="0" t="n">
        <v>11859</v>
      </c>
      <c r="BK10" s="0" t="n">
        <v>0.0241638225255973</v>
      </c>
      <c r="BL10" s="0" t="n">
        <v>0.0147058823529412</v>
      </c>
      <c r="BM10" s="0" t="s">
        <v>72</v>
      </c>
    </row>
    <row r="11" customFormat="false" ht="12.75" hidden="false" customHeight="false" outlineLevel="0" collapsed="false">
      <c r="A11" s="0" t="s">
        <v>8</v>
      </c>
      <c r="B11" s="1" t="n">
        <v>0.252590047672857</v>
      </c>
      <c r="C11" s="1" t="n">
        <f aca="false">C$2*TripTable!B9</f>
        <v>0</v>
      </c>
      <c r="D11" s="1" t="n">
        <f aca="false">D$2*TripTable!C9</f>
        <v>0.125774816024626</v>
      </c>
      <c r="E11" s="1" t="n">
        <f aca="false">E$2*TripTable!D9</f>
        <v>0</v>
      </c>
      <c r="F11" s="1" t="n">
        <f aca="false">F$2*TripTable!E9</f>
        <v>0</v>
      </c>
      <c r="G11" s="1" t="n">
        <f aca="false">G$2*TripTable!F9</f>
        <v>0.591962597307466</v>
      </c>
      <c r="H11" s="1" t="n">
        <f aca="false">H$2*TripTable!G9</f>
        <v>0.0295777769394722</v>
      </c>
      <c r="I11" s="1" t="n">
        <f aca="false">I$2*TripTable!H9</f>
        <v>0.00831634512832283</v>
      </c>
      <c r="J11" s="1"/>
      <c r="K11" s="1" t="n">
        <f aca="false">K$2*TripTable!J9</f>
        <v>0</v>
      </c>
      <c r="L11" s="1" t="n">
        <f aca="false">L$2*TripTable!K9</f>
        <v>7.86118901947157</v>
      </c>
      <c r="M11" s="1" t="n">
        <f aca="false">M$2*TripTable!L9</f>
        <v>0.121389043147612</v>
      </c>
      <c r="N11" s="1" t="n">
        <f aca="false">N$2*TripTable!M9</f>
        <v>0</v>
      </c>
      <c r="O11" s="1" t="n">
        <f aca="false">O$2*TripTable!N9</f>
        <v>0.00107334901207605</v>
      </c>
      <c r="P11" s="1" t="n">
        <f aca="false">P$2*TripTable!O9</f>
        <v>0</v>
      </c>
      <c r="Q11" s="1" t="n">
        <f aca="false">Q$2*TripTable!P9</f>
        <v>1.11002432998976</v>
      </c>
      <c r="R11" s="1" t="n">
        <f aca="false">R$2*TripTable!Q9</f>
        <v>0.127718859522917</v>
      </c>
      <c r="S11" s="1" t="n">
        <f aca="false">S$2*TripTable!R9</f>
        <v>0.0645640225441334</v>
      </c>
      <c r="T11" s="1" t="n">
        <f aca="false">T$2*TripTable!S9</f>
        <v>0.0422664149959026</v>
      </c>
      <c r="U11" s="1" t="n">
        <f aca="false">U$2*TripTable!T9</f>
        <v>0.235071714600599</v>
      </c>
      <c r="V11" s="1" t="n">
        <f aca="false">V$2*TripTable!U9</f>
        <v>1.68141309388306</v>
      </c>
      <c r="W11" s="1" t="n">
        <f aca="false">W$2*TripTable!V9</f>
        <v>15.8080311331575</v>
      </c>
      <c r="X11" s="1" t="n">
        <f aca="false">X$2*TripTable!W9</f>
        <v>7.69191639638351</v>
      </c>
      <c r="Y11" s="1" t="n">
        <f aca="false">Y$2*TripTable!X9</f>
        <v>0.125593910933091</v>
      </c>
      <c r="Z11" s="1" t="n">
        <f aca="false">Z$2*TripTable!Y9</f>
        <v>0</v>
      </c>
      <c r="AA11" s="1" t="n">
        <f aca="false">AA$2*TripTable!Z9</f>
        <v>0</v>
      </c>
      <c r="AB11" s="1" t="n">
        <f aca="false">AB$2*TripTable!AA9</f>
        <v>0.00531780057972292</v>
      </c>
      <c r="AC11" s="1" t="n">
        <f aca="false">AC$2*TripTable!AB9</f>
        <v>0</v>
      </c>
      <c r="AD11" s="1" t="n">
        <f aca="false">AD$2*TripTable!AC9</f>
        <v>0</v>
      </c>
      <c r="AE11" s="1" t="n">
        <f aca="false">AE$2*TripTable!AD9</f>
        <v>0</v>
      </c>
      <c r="AF11" s="1" t="n">
        <f aca="false">AF$2*TripTable!AE9</f>
        <v>0.824441582870631</v>
      </c>
      <c r="AG11" s="1" t="n">
        <f aca="false">AG$2*TripTable!AF9</f>
        <v>70.2389626126117</v>
      </c>
      <c r="AH11" s="1" t="n">
        <f aca="false">AH$2*TripTable!AG9</f>
        <v>0</v>
      </c>
      <c r="AI11" s="1" t="n">
        <f aca="false">AI$2*TripTable!AH9</f>
        <v>78.6418227902819</v>
      </c>
      <c r="AJ11" s="1" t="n">
        <f aca="false">AJ$2*TripTable!AI9</f>
        <v>0.0649829876994634</v>
      </c>
      <c r="AK11" s="1" t="n">
        <f aca="false">AK$2*TripTable!AJ9</f>
        <v>0</v>
      </c>
      <c r="AL11" s="1" t="n">
        <f aca="false">AL$2*TripTable!AK9</f>
        <v>1.15065175056941</v>
      </c>
      <c r="AM11" s="1" t="n">
        <f aca="false">AM$2*TripTable!AL9</f>
        <v>0.0759782565467173</v>
      </c>
      <c r="AN11" s="1" t="n">
        <f aca="false">AN$2*TripTable!AM9</f>
        <v>0.00529904028492617</v>
      </c>
      <c r="AO11" s="1" t="n">
        <f aca="false">AO$2*TripTable!AN9</f>
        <v>40.5910991144992</v>
      </c>
      <c r="AP11" s="1" t="n">
        <f aca="false">AP$2*TripTable!AO9</f>
        <v>0.298928942723822</v>
      </c>
      <c r="AQ11" s="1" t="n">
        <f aca="false">AQ$2*TripTable!AP9</f>
        <v>0</v>
      </c>
      <c r="AR11" s="1" t="n">
        <f aca="false">AR$2*TripTable!AQ9</f>
        <v>0</v>
      </c>
      <c r="AS11" s="1" t="n">
        <f aca="false">AS$2*TripTable!AR9</f>
        <v>0.00150813428270964</v>
      </c>
      <c r="AT11" s="1" t="n">
        <f aca="false">AT$2*TripTable!AS9</f>
        <v>0.668181650976725</v>
      </c>
      <c r="AU11" s="1" t="n">
        <f aca="false">AU$2*TripTable!AT9</f>
        <v>0.00124597239423563</v>
      </c>
      <c r="AV11" s="1" t="n">
        <f aca="false">AV$2*TripTable!AU9</f>
        <v>0</v>
      </c>
      <c r="AW11" s="1" t="n">
        <f aca="false">AW$2*TripTable!AV9</f>
        <v>16.9828542300623</v>
      </c>
      <c r="AX11" s="1" t="n">
        <f aca="false">AX$2*TripTable!AW9</f>
        <v>0.165710519546346</v>
      </c>
      <c r="AY11" s="1" t="n">
        <f aca="false">AY$2*TripTable!AX9</f>
        <v>1.57738959178245</v>
      </c>
      <c r="AZ11" s="1" t="n">
        <f aca="false">AZ$2*TripTable!AY9</f>
        <v>3.39997536906733E-005</v>
      </c>
      <c r="BA11" s="1" t="n">
        <f aca="false">BA$2*TripTable!AZ9</f>
        <v>0</v>
      </c>
      <c r="BB11" s="1" t="n">
        <f aca="false">SUM(C11:BA11)</f>
        <v>246.920291800507</v>
      </c>
      <c r="BC11" s="2" t="n">
        <f aca="false">BB11/TripTable!BA9</f>
        <v>0.112134555767715</v>
      </c>
      <c r="BD11" s="2" t="n">
        <f aca="false">BB11/BG11</f>
        <v>0.007042591249551</v>
      </c>
      <c r="BE11" s="0" t="s">
        <v>73</v>
      </c>
      <c r="BF11" s="0" t="n">
        <v>24083</v>
      </c>
      <c r="BG11" s="0" t="n">
        <v>35061</v>
      </c>
      <c r="BH11" s="0" t="n">
        <v>82</v>
      </c>
      <c r="BI11" s="0" t="n">
        <v>2198</v>
      </c>
      <c r="BK11" s="0" t="n">
        <v>0.0157268891446107</v>
      </c>
      <c r="BL11" s="0" t="n">
        <v>0.0359649122807018</v>
      </c>
      <c r="BM11" s="0" t="s">
        <v>73</v>
      </c>
    </row>
    <row r="12" customFormat="false" ht="12.75" hidden="false" customHeight="false" outlineLevel="0" collapsed="false">
      <c r="A12" s="0" t="s">
        <v>9</v>
      </c>
      <c r="B12" s="1" t="n">
        <v>0</v>
      </c>
      <c r="C12" s="1" t="n">
        <f aca="false">C$2*TripTable!B10</f>
        <v>0</v>
      </c>
      <c r="D12" s="1" t="n">
        <f aca="false">D$2*TripTable!C10</f>
        <v>0.0628874080123128</v>
      </c>
      <c r="E12" s="1" t="n">
        <f aca="false">E$2*TripTable!D10</f>
        <v>0</v>
      </c>
      <c r="F12" s="1" t="n">
        <f aca="false">F$2*TripTable!E10</f>
        <v>0</v>
      </c>
      <c r="G12" s="1" t="n">
        <f aca="false">G$2*TripTable!F10</f>
        <v>1.96616148391408</v>
      </c>
      <c r="H12" s="1" t="n">
        <f aca="false">H$2*TripTable!G10</f>
        <v>0.0709866646547334</v>
      </c>
      <c r="I12" s="1" t="n">
        <f aca="false">I$2*TripTable!H10</f>
        <v>0.0114349745514439</v>
      </c>
      <c r="J12" s="1" t="n">
        <f aca="false">J$2*TripTable!I10</f>
        <v>26.0167749103043</v>
      </c>
      <c r="K12" s="1"/>
      <c r="L12" s="1" t="n">
        <f aca="false">L$2*TripTable!K10</f>
        <v>8.09468968341628</v>
      </c>
      <c r="M12" s="1" t="n">
        <f aca="false">M$2*TripTable!L10</f>
        <v>0.200919795554669</v>
      </c>
      <c r="N12" s="1" t="n">
        <f aca="false">N$2*TripTable!M10</f>
        <v>0</v>
      </c>
      <c r="O12" s="1" t="n">
        <f aca="false">O$2*TripTable!N10</f>
        <v>0.00107334901207605</v>
      </c>
      <c r="P12" s="1" t="n">
        <f aca="false">P$2*TripTable!O10</f>
        <v>0</v>
      </c>
      <c r="Q12" s="1" t="n">
        <f aca="false">Q$2*TripTable!P10</f>
        <v>1.11002432998976</v>
      </c>
      <c r="R12" s="1" t="n">
        <f aca="false">R$2*TripTable!Q10</f>
        <v>0.0851459063486116</v>
      </c>
      <c r="S12" s="1" t="n">
        <f aca="false">S$2*TripTable!R10</f>
        <v>0.258256090176534</v>
      </c>
      <c r="T12" s="1" t="n">
        <f aca="false">T$2*TripTable!S10</f>
        <v>0.0760795469926246</v>
      </c>
      <c r="U12" s="1" t="n">
        <f aca="false">U$2*TripTable!T10</f>
        <v>0.499527393526272</v>
      </c>
      <c r="V12" s="1" t="n">
        <f aca="false">V$2*TripTable!U10</f>
        <v>1.78650141225075</v>
      </c>
      <c r="W12" s="1" t="n">
        <f aca="false">W$2*TripTable!V10</f>
        <v>3.16160622663149</v>
      </c>
      <c r="X12" s="1" t="n">
        <f aca="false">X$2*TripTable!W10</f>
        <v>9.56292308739572</v>
      </c>
      <c r="Y12" s="1" t="n">
        <f aca="false">Y$2*TripTable!X10</f>
        <v>0.110818156705669</v>
      </c>
      <c r="Z12" s="1" t="n">
        <f aca="false">Z$2*TripTable!Y10</f>
        <v>0</v>
      </c>
      <c r="AA12" s="1" t="n">
        <f aca="false">AA$2*TripTable!Z10</f>
        <v>0</v>
      </c>
      <c r="AB12" s="1" t="n">
        <f aca="false">AB$2*TripTable!AA10</f>
        <v>0.00835654376813602</v>
      </c>
      <c r="AC12" s="1" t="n">
        <f aca="false">AC$2*TripTable!AB10</f>
        <v>0</v>
      </c>
      <c r="AD12" s="1" t="n">
        <f aca="false">AD$2*TripTable!AC10</f>
        <v>0.00399016617111377</v>
      </c>
      <c r="AE12" s="1" t="n">
        <f aca="false">AE$2*TripTable!AD10</f>
        <v>0</v>
      </c>
      <c r="AF12" s="1" t="n">
        <f aca="false">AF$2*TripTable!AE10</f>
        <v>1.05999632083367</v>
      </c>
      <c r="AG12" s="1" t="n">
        <f aca="false">AG$2*TripTable!AF10</f>
        <v>35.8027396974791</v>
      </c>
      <c r="AH12" s="1" t="n">
        <f aca="false">AH$2*TripTable!AG10</f>
        <v>0</v>
      </c>
      <c r="AI12" s="1" t="n">
        <f aca="false">AI$2*TripTable!AH10</f>
        <v>122.110509649045</v>
      </c>
      <c r="AJ12" s="1" t="n">
        <f aca="false">AJ$2*TripTable!AI10</f>
        <v>0.110766456305904</v>
      </c>
      <c r="AK12" s="1" t="n">
        <f aca="false">AK$2*TripTable!AJ10</f>
        <v>0</v>
      </c>
      <c r="AL12" s="1" t="n">
        <f aca="false">AL$2*TripTable!AK10</f>
        <v>1.28215480777734</v>
      </c>
      <c r="AM12" s="1" t="n">
        <f aca="false">AM$2*TripTable!AL10</f>
        <v>0.0759782565467173</v>
      </c>
      <c r="AN12" s="1" t="n">
        <f aca="false">AN$2*TripTable!AM10</f>
        <v>0.0264952014246309</v>
      </c>
      <c r="AO12" s="1" t="n">
        <f aca="false">AO$2*TripTable!AN10</f>
        <v>27.021740332707</v>
      </c>
      <c r="AP12" s="1" t="n">
        <f aca="false">AP$2*TripTable!AO10</f>
        <v>0.149464471361911</v>
      </c>
      <c r="AQ12" s="1" t="n">
        <f aca="false">AQ$2*TripTable!AP10</f>
        <v>0</v>
      </c>
      <c r="AR12" s="1" t="n">
        <f aca="false">AR$2*TripTable!AQ10</f>
        <v>0</v>
      </c>
      <c r="AS12" s="1" t="n">
        <f aca="false">AS$2*TripTable!AR10</f>
        <v>0.000928082635513625</v>
      </c>
      <c r="AT12" s="1" t="n">
        <f aca="false">AT$2*TripTable!AS10</f>
        <v>1.11363608496121</v>
      </c>
      <c r="AU12" s="1" t="n">
        <f aca="false">AU$2*TripTable!AT10</f>
        <v>0.00124597239423563</v>
      </c>
      <c r="AV12" s="1" t="n">
        <f aca="false">AV$2*TripTable!AU10</f>
        <v>0</v>
      </c>
      <c r="AW12" s="1" t="n">
        <f aca="false">AW$2*TripTable!AV10</f>
        <v>12.1904323514419</v>
      </c>
      <c r="AX12" s="1" t="n">
        <f aca="false">AX$2*TripTable!AW10</f>
        <v>0.538559188525626</v>
      </c>
      <c r="AY12" s="1" t="n">
        <f aca="false">AY$2*TripTable!AX10</f>
        <v>4.20637224475319</v>
      </c>
      <c r="AZ12" s="1" t="n">
        <f aca="false">AZ$2*TripTable!AY10</f>
        <v>4.53330049208977E-005</v>
      </c>
      <c r="BA12" s="1" t="n">
        <f aca="false">BA$2*TripTable!AZ10</f>
        <v>0</v>
      </c>
      <c r="BB12" s="1" t="n">
        <f aca="false">SUM(C12:BA12)</f>
        <v>258.779221580575</v>
      </c>
      <c r="BC12" s="2" t="n">
        <f aca="false">BB12/TripTable!BA10</f>
        <v>0.118978952450839</v>
      </c>
      <c r="BD12" s="2" t="n">
        <f aca="false">BB12/BG12</f>
        <v>0.0134886224436057</v>
      </c>
      <c r="BE12" s="0" t="s">
        <v>74</v>
      </c>
      <c r="BF12" s="0" t="n">
        <v>9448</v>
      </c>
      <c r="BG12" s="0" t="n">
        <v>19185</v>
      </c>
      <c r="BM12" s="0" t="s">
        <v>74</v>
      </c>
    </row>
    <row r="13" customFormat="false" ht="12.75" hidden="false" customHeight="false" outlineLevel="0" collapsed="false">
      <c r="A13" s="0" t="s">
        <v>10</v>
      </c>
      <c r="B13" s="1" t="n">
        <v>0.0778335546482334</v>
      </c>
      <c r="C13" s="1" t="n">
        <f aca="false">C$2*TripTable!B11</f>
        <v>0</v>
      </c>
      <c r="D13" s="1" t="n">
        <f aca="false">D$2*TripTable!C11</f>
        <v>5.21965486502196</v>
      </c>
      <c r="E13" s="1" t="n">
        <f aca="false">E$2*TripTable!D11</f>
        <v>0</v>
      </c>
      <c r="F13" s="1" t="n">
        <f aca="false">F$2*TripTable!E11</f>
        <v>0</v>
      </c>
      <c r="G13" s="1" t="n">
        <f aca="false">G$2*TripTable!F11</f>
        <v>14.143677771382</v>
      </c>
      <c r="H13" s="1" t="n">
        <f aca="false">H$2*TripTable!G11</f>
        <v>0.647753314974442</v>
      </c>
      <c r="I13" s="1" t="n">
        <f aca="false">I$2*TripTable!H11</f>
        <v>0.0639319031739817</v>
      </c>
      <c r="J13" s="1" t="n">
        <f aca="false">J$2*TripTable!I11</f>
        <v>13.3872725266614</v>
      </c>
      <c r="K13" s="1" t="n">
        <f aca="false">K$2*TripTable!J11</f>
        <v>0</v>
      </c>
      <c r="L13" s="1"/>
      <c r="M13" s="1" t="n">
        <f aca="false">M$2*TripTable!L11</f>
        <v>13.8216076025316</v>
      </c>
      <c r="N13" s="1" t="n">
        <f aca="false">N$2*TripTable!M11</f>
        <v>0</v>
      </c>
      <c r="O13" s="1" t="n">
        <f aca="false">O$2*TripTable!N11</f>
        <v>0.0161002351811408</v>
      </c>
      <c r="P13" s="1" t="n">
        <f aca="false">P$2*TripTable!O11</f>
        <v>0</v>
      </c>
      <c r="Q13" s="1" t="n">
        <f aca="false">Q$2*TripTable!P11</f>
        <v>23.310510929785</v>
      </c>
      <c r="R13" s="1" t="n">
        <f aca="false">R$2*TripTable!Q11</f>
        <v>3.10782558172432</v>
      </c>
      <c r="S13" s="1" t="n">
        <f aca="false">S$2*TripTable!R11</f>
        <v>3.35732917229494</v>
      </c>
      <c r="T13" s="1" t="n">
        <f aca="false">T$2*TripTable!S11</f>
        <v>2.71350384273694</v>
      </c>
      <c r="U13" s="1" t="n">
        <f aca="false">U$2*TripTable!T11</f>
        <v>20.8626146708031</v>
      </c>
      <c r="V13" s="1" t="n">
        <f aca="false">V$2*TripTable!U11</f>
        <v>7.14600564900299</v>
      </c>
      <c r="W13" s="1" t="n">
        <f aca="false">W$2*TripTable!V11</f>
        <v>13.3490040679996</v>
      </c>
      <c r="X13" s="1" t="n">
        <f aca="false">X$2*TripTable!W11</f>
        <v>34.9254582322278</v>
      </c>
      <c r="Y13" s="1" t="n">
        <f aca="false">Y$2*TripTable!X11</f>
        <v>4.10765967522346</v>
      </c>
      <c r="Z13" s="1" t="n">
        <f aca="false">Z$2*TripTable!Y11</f>
        <v>0</v>
      </c>
      <c r="AA13" s="1" t="n">
        <f aca="false">AA$2*TripTable!Z11</f>
        <v>0</v>
      </c>
      <c r="AB13" s="1" t="n">
        <f aca="false">AB$2*TripTable!AA11</f>
        <v>0.164092132174307</v>
      </c>
      <c r="AC13" s="1" t="n">
        <f aca="false">AC$2*TripTable!AB11</f>
        <v>0</v>
      </c>
      <c r="AD13" s="1" t="n">
        <f aca="false">AD$2*TripTable!AC11</f>
        <v>0.0678328249089341</v>
      </c>
      <c r="AE13" s="1" t="n">
        <f aca="false">AE$2*TripTable!AD11</f>
        <v>0</v>
      </c>
      <c r="AF13" s="1" t="n">
        <f aca="false">AF$2*TripTable!AE11</f>
        <v>7.5377516148172</v>
      </c>
      <c r="AG13" s="1" t="n">
        <f aca="false">AG$2*TripTable!AF11</f>
        <v>180.106911913273</v>
      </c>
      <c r="AH13" s="1" t="n">
        <f aca="false">AH$2*TripTable!AG11</f>
        <v>0</v>
      </c>
      <c r="AI13" s="1" t="n">
        <f aca="false">AI$2*TripTable!AH11</f>
        <v>492.423903041259</v>
      </c>
      <c r="AJ13" s="1" t="n">
        <f aca="false">AJ$2*TripTable!AI11</f>
        <v>0.906069612582291</v>
      </c>
      <c r="AK13" s="1" t="n">
        <f aca="false">AK$2*TripTable!AJ11</f>
        <v>0</v>
      </c>
      <c r="AL13" s="1" t="n">
        <f aca="false">AL$2*TripTable!AK11</f>
        <v>21.467874089195</v>
      </c>
      <c r="AM13" s="1" t="n">
        <f aca="false">AM$2*TripTable!AL11</f>
        <v>1.59554338748106</v>
      </c>
      <c r="AN13" s="1" t="n">
        <f aca="false">AN$2*TripTable!AM11</f>
        <v>0.29144721567094</v>
      </c>
      <c r="AO13" s="1" t="n">
        <f aca="false">AO$2*TripTable!AN11</f>
        <v>48.0776418906604</v>
      </c>
      <c r="AP13" s="1" t="n">
        <f aca="false">AP$2*TripTable!AO11</f>
        <v>0.859420710330988</v>
      </c>
      <c r="AQ13" s="1" t="n">
        <f aca="false">AQ$2*TripTable!AP11</f>
        <v>0</v>
      </c>
      <c r="AR13" s="1" t="n">
        <f aca="false">AR$2*TripTable!AQ11</f>
        <v>0</v>
      </c>
      <c r="AS13" s="1" t="n">
        <f aca="false">AS$2*TripTable!AR11</f>
        <v>0.0353251453142373</v>
      </c>
      <c r="AT13" s="1" t="n">
        <f aca="false">AT$2*TripTable!AS11</f>
        <v>11.6560576892606</v>
      </c>
      <c r="AU13" s="1" t="n">
        <f aca="false">AU$2*TripTable!AT11</f>
        <v>0.118367377452385</v>
      </c>
      <c r="AV13" s="1" t="n">
        <f aca="false">AV$2*TripTable!AU11</f>
        <v>0</v>
      </c>
      <c r="AW13" s="1" t="n">
        <f aca="false">AW$2*TripTable!AV11</f>
        <v>12.3300174547027</v>
      </c>
      <c r="AX13" s="1" t="n">
        <f aca="false">AX$2*TripTable!AW11</f>
        <v>3.93562483922573</v>
      </c>
      <c r="AY13" s="1" t="n">
        <f aca="false">AY$2*TripTable!AX11</f>
        <v>8.1498462242093</v>
      </c>
      <c r="AZ13" s="1" t="n">
        <f aca="false">AZ$2*TripTable!AY11</f>
        <v>0.00219865073866354</v>
      </c>
      <c r="BA13" s="1" t="n">
        <f aca="false">BA$2*TripTable!AZ11</f>
        <v>0</v>
      </c>
      <c r="BB13" s="1" t="n">
        <f aca="false">SUM(C13:BA13)</f>
        <v>949.905835853981</v>
      </c>
      <c r="BC13" s="2" t="n">
        <f aca="false">BB13/TripTable!BA11</f>
        <v>0.0222982590576052</v>
      </c>
      <c r="BD13" s="2" t="n">
        <f aca="false">BB13/BG13</f>
        <v>0.287414776355214</v>
      </c>
      <c r="BE13" s="0" t="s">
        <v>75</v>
      </c>
      <c r="BF13" s="0" t="n">
        <v>1322</v>
      </c>
      <c r="BG13" s="0" t="n">
        <v>3305</v>
      </c>
      <c r="BH13" s="0" t="n">
        <v>24083</v>
      </c>
      <c r="BI13" s="0" t="n">
        <v>18841</v>
      </c>
      <c r="BK13" s="0" t="n">
        <v>0.407192614635466</v>
      </c>
      <c r="BL13" s="0" t="n">
        <v>0.561061410865716</v>
      </c>
      <c r="BM13" s="0" t="s">
        <v>75</v>
      </c>
    </row>
    <row r="14" customFormat="false" ht="12.75" hidden="false" customHeight="false" outlineLevel="0" collapsed="false">
      <c r="A14" s="0" t="s">
        <v>11</v>
      </c>
      <c r="B14" s="1" t="n">
        <v>0.0041858290740556</v>
      </c>
      <c r="C14" s="1" t="n">
        <f aca="false">C$2*TripTable!B12</f>
        <v>0</v>
      </c>
      <c r="D14" s="1" t="n">
        <f aca="false">D$2*TripTable!C12</f>
        <v>1.25774816024626</v>
      </c>
      <c r="E14" s="1" t="n">
        <f aca="false">E$2*TripTable!D12</f>
        <v>0</v>
      </c>
      <c r="F14" s="1" t="n">
        <f aca="false">F$2*TripTable!E12</f>
        <v>0</v>
      </c>
      <c r="G14" s="1" t="n">
        <f aca="false">G$2*TripTable!F12</f>
        <v>6.46930552771731</v>
      </c>
      <c r="H14" s="1" t="n">
        <f aca="false">H$2*TripTable!G12</f>
        <v>0.251411103985514</v>
      </c>
      <c r="I14" s="1" t="n">
        <f aca="false">I$2*TripTable!H12</f>
        <v>0.0200112054650268</v>
      </c>
      <c r="J14" s="1" t="n">
        <f aca="false">J$2*TripTable!I12</f>
        <v>1.26295023836428</v>
      </c>
      <c r="K14" s="1" t="n">
        <f aca="false">K$2*TripTable!J12</f>
        <v>0</v>
      </c>
      <c r="L14" s="1" t="n">
        <f aca="false">L$2*TripTable!K12</f>
        <v>355.54367763313</v>
      </c>
      <c r="M14" s="1"/>
      <c r="N14" s="1" t="n">
        <f aca="false">N$2*TripTable!M12</f>
        <v>0</v>
      </c>
      <c r="O14" s="1" t="n">
        <f aca="false">O$2*TripTable!N12</f>
        <v>0.0085867920966084</v>
      </c>
      <c r="P14" s="1" t="n">
        <f aca="false">P$2*TripTable!O12</f>
        <v>0</v>
      </c>
      <c r="Q14" s="1" t="n">
        <f aca="false">Q$2*TripTable!P12</f>
        <v>17.2978791423404</v>
      </c>
      <c r="R14" s="1" t="n">
        <f aca="false">R$2*TripTable!Q12</f>
        <v>0.723740203963199</v>
      </c>
      <c r="S14" s="1" t="n">
        <f aca="false">S$2*TripTable!R12</f>
        <v>0.581076202897201</v>
      </c>
      <c r="T14" s="1" t="n">
        <f aca="false">T$2*TripTable!S12</f>
        <v>2.2992929757771</v>
      </c>
      <c r="U14" s="1" t="n">
        <f aca="false">U$2*TripTable!T12</f>
        <v>8.31566190399617</v>
      </c>
      <c r="V14" s="1" t="n">
        <f aca="false">V$2*TripTable!U12</f>
        <v>4.41370937144303</v>
      </c>
      <c r="W14" s="1" t="n">
        <f aca="false">W$2*TripTable!V12</f>
        <v>7.79862869235768</v>
      </c>
      <c r="X14" s="1" t="n">
        <f aca="false">X$2*TripTable!W12</f>
        <v>9.66686790356306</v>
      </c>
      <c r="Y14" s="1" t="n">
        <f aca="false">Y$2*TripTable!X12</f>
        <v>1.91346017245121</v>
      </c>
      <c r="Z14" s="1" t="n">
        <f aca="false">Z$2*TripTable!Y12</f>
        <v>0</v>
      </c>
      <c r="AA14" s="1" t="n">
        <f aca="false">AA$2*TripTable!Z12</f>
        <v>0</v>
      </c>
      <c r="AB14" s="1" t="n">
        <f aca="false">AB$2*TripTable!AA12</f>
        <v>0.16940993275403</v>
      </c>
      <c r="AC14" s="1" t="n">
        <f aca="false">AC$2*TripTable!AB12</f>
        <v>0</v>
      </c>
      <c r="AD14" s="1" t="n">
        <f aca="false">AD$2*TripTable!AC12</f>
        <v>0.101749237363401</v>
      </c>
      <c r="AE14" s="1" t="n">
        <f aca="false">AE$2*TripTable!AD12</f>
        <v>0</v>
      </c>
      <c r="AF14" s="1" t="n">
        <f aca="false">AF$2*TripTable!AE12</f>
        <v>0.117777368981519</v>
      </c>
      <c r="AG14" s="1" t="n">
        <f aca="false">AG$2*TripTable!AF12</f>
        <v>48.1013907385979</v>
      </c>
      <c r="AH14" s="1" t="n">
        <f aca="false">AH$2*TripTable!AG12</f>
        <v>0</v>
      </c>
      <c r="AI14" s="1" t="n">
        <f aca="false">AI$2*TripTable!AH12</f>
        <v>90.2555940884247</v>
      </c>
      <c r="AJ14" s="1" t="n">
        <f aca="false">AJ$2*TripTable!AI12</f>
        <v>1.144586715161</v>
      </c>
      <c r="AK14" s="1" t="n">
        <f aca="false">AK$2*TripTable!AJ12</f>
        <v>0</v>
      </c>
      <c r="AL14" s="1" t="n">
        <f aca="false">AL$2*TripTable!AK12</f>
        <v>12.0325297345258</v>
      </c>
      <c r="AM14" s="1" t="n">
        <f aca="false">AM$2*TripTable!AL12</f>
        <v>1.21565210474748</v>
      </c>
      <c r="AN14" s="1" t="n">
        <f aca="false">AN$2*TripTable!AM12</f>
        <v>0.0953827251286711</v>
      </c>
      <c r="AO14" s="1" t="n">
        <f aca="false">AO$2*TripTable!AN12</f>
        <v>19.1842658639132</v>
      </c>
      <c r="AP14" s="1" t="n">
        <f aca="false">AP$2*TripTable!AO12</f>
        <v>0.149464471361911</v>
      </c>
      <c r="AQ14" s="1" t="n">
        <f aca="false">AQ$2*TripTable!AP12</f>
        <v>0</v>
      </c>
      <c r="AR14" s="1" t="n">
        <f aca="false">AR$2*TripTable!AQ12</f>
        <v>0</v>
      </c>
      <c r="AS14" s="1" t="n">
        <f aca="false">AS$2*TripTable!AR12</f>
        <v>0.142344674221902</v>
      </c>
      <c r="AT14" s="1" t="n">
        <f aca="false">AT$2*TripTable!AS12</f>
        <v>9.23080577090068</v>
      </c>
      <c r="AU14" s="1" t="n">
        <f aca="false">AU$2*TripTable!AT12</f>
        <v>0.0224275030962414</v>
      </c>
      <c r="AV14" s="1" t="n">
        <f aca="false">AV$2*TripTable!AU12</f>
        <v>0</v>
      </c>
      <c r="AW14" s="1" t="n">
        <f aca="false">AW$2*TripTable!AV12</f>
        <v>20.2398399728139</v>
      </c>
      <c r="AX14" s="1" t="n">
        <f aca="false">AX$2*TripTable!AW12</f>
        <v>1.57424993569029</v>
      </c>
      <c r="AY14" s="1" t="n">
        <f aca="false">AY$2*TripTable!AX12</f>
        <v>8.34701992318211</v>
      </c>
      <c r="AZ14" s="1" t="n">
        <f aca="false">AZ$2*TripTable!AY12</f>
        <v>0.000260664778295162</v>
      </c>
      <c r="BA14" s="1" t="n">
        <f aca="false">BA$2*TripTable!AZ12</f>
        <v>0</v>
      </c>
      <c r="BB14" s="1" t="n">
        <f aca="false">SUM(C14:BA14)</f>
        <v>629.948758655437</v>
      </c>
      <c r="BC14" s="2" t="n">
        <f aca="false">BB14/TripTable!BA12</f>
        <v>0.02286980427139</v>
      </c>
      <c r="BD14" s="2" t="n">
        <f aca="false">BB14/BG14</f>
        <v>0.170995862827209</v>
      </c>
      <c r="BE14" s="0" t="s">
        <v>76</v>
      </c>
      <c r="BF14" s="0" t="n">
        <v>3077</v>
      </c>
      <c r="BG14" s="0" t="n">
        <v>3684</v>
      </c>
      <c r="BH14" s="0" t="n">
        <v>9448</v>
      </c>
      <c r="BI14" s="0" t="n">
        <v>18337</v>
      </c>
      <c r="BK14" s="0" t="n">
        <v>0.3299689169839</v>
      </c>
      <c r="BL14" s="0" t="n">
        <v>0.340039589706676</v>
      </c>
      <c r="BM14" s="0" t="s">
        <v>76</v>
      </c>
    </row>
    <row r="15" customFormat="false" ht="12.75" hidden="false" customHeight="false" outlineLevel="0" collapsed="false">
      <c r="A15" s="0" t="s">
        <v>12</v>
      </c>
      <c r="B15" s="1" t="n">
        <v>0</v>
      </c>
      <c r="C15" s="1" t="n">
        <f aca="false">C$2*TripTable!B13</f>
        <v>0</v>
      </c>
      <c r="D15" s="1" t="n">
        <f aca="false">D$2*TripTable!C13</f>
        <v>0.628874080123128</v>
      </c>
      <c r="E15" s="1" t="n">
        <f aca="false">E$2*TripTable!D13</f>
        <v>0</v>
      </c>
      <c r="F15" s="1" t="n">
        <f aca="false">F$2*TripTable!E13</f>
        <v>0</v>
      </c>
      <c r="G15" s="1" t="n">
        <f aca="false">G$2*TripTable!F13</f>
        <v>4.439719479806</v>
      </c>
      <c r="H15" s="1" t="n">
        <f aca="false">H$2*TripTable!G13</f>
        <v>0.0473244431031556</v>
      </c>
      <c r="I15" s="1" t="n">
        <f aca="false">I$2*TripTable!H13</f>
        <v>0</v>
      </c>
      <c r="J15" s="1" t="n">
        <f aca="false">J$2*TripTable!I13</f>
        <v>0.252590047672857</v>
      </c>
      <c r="K15" s="1" t="n">
        <f aca="false">K$2*TripTable!J13</f>
        <v>0</v>
      </c>
      <c r="L15" s="1" t="n">
        <f aca="false">L$2*TripTable!K13</f>
        <v>2.17933953015054</v>
      </c>
      <c r="M15" s="1" t="n">
        <f aca="false">M$2*TripTable!L13</f>
        <v>0.0167433162962224</v>
      </c>
      <c r="N15" s="1"/>
      <c r="O15" s="1" t="n">
        <f aca="false">O$2*TripTable!N13</f>
        <v>0.0042933960483042</v>
      </c>
      <c r="P15" s="1" t="n">
        <f aca="false">P$2*TripTable!O13</f>
        <v>0</v>
      </c>
      <c r="Q15" s="1" t="n">
        <f aca="false">Q$2*TripTable!P13</f>
        <v>0.832518247492321</v>
      </c>
      <c r="R15" s="1" t="n">
        <f aca="false">R$2*TripTable!Q13</f>
        <v>0.0425729531743058</v>
      </c>
      <c r="S15" s="1" t="n">
        <f aca="false">S$2*TripTable!R13</f>
        <v>0.0645640225441334</v>
      </c>
      <c r="T15" s="1" t="n">
        <f aca="false">T$2*TripTable!S13</f>
        <v>0.016906565998361</v>
      </c>
      <c r="U15" s="1" t="n">
        <f aca="false">U$2*TripTable!T13</f>
        <v>0.117535857300299</v>
      </c>
      <c r="V15" s="1" t="n">
        <f aca="false">V$2*TripTable!U13</f>
        <v>0.315264955103073</v>
      </c>
      <c r="W15" s="1" t="n">
        <f aca="false">W$2*TripTable!V13</f>
        <v>0.491805413031565</v>
      </c>
      <c r="X15" s="1" t="n">
        <f aca="false">X$2*TripTable!W13</f>
        <v>0.623668897004069</v>
      </c>
      <c r="Y15" s="1" t="n">
        <f aca="false">Y$2*TripTable!X13</f>
        <v>0.0221636313411338</v>
      </c>
      <c r="Z15" s="1" t="n">
        <f aca="false">Z$2*TripTable!Y13</f>
        <v>0</v>
      </c>
      <c r="AA15" s="1" t="n">
        <f aca="false">AA$2*TripTable!Z13</f>
        <v>0</v>
      </c>
      <c r="AB15" s="1" t="n">
        <f aca="false">AB$2*TripTable!AA13</f>
        <v>0.00151937159420655</v>
      </c>
      <c r="AC15" s="1" t="n">
        <f aca="false">AC$2*TripTable!AB13</f>
        <v>0</v>
      </c>
      <c r="AD15" s="1" t="n">
        <f aca="false">AD$2*TripTable!AC13</f>
        <v>0.00199508308555689</v>
      </c>
      <c r="AE15" s="1" t="n">
        <f aca="false">AE$2*TripTable!AD13</f>
        <v>0</v>
      </c>
      <c r="AF15" s="1" t="n">
        <f aca="false">AF$2*TripTable!AE13</f>
        <v>0</v>
      </c>
      <c r="AG15" s="1" t="n">
        <f aca="false">AG$2*TripTable!AF13</f>
        <v>1.63982013881584</v>
      </c>
      <c r="AH15" s="1" t="n">
        <f aca="false">AH$2*TripTable!AG13</f>
        <v>0</v>
      </c>
      <c r="AI15" s="1" t="n">
        <f aca="false">AI$2*TripTable!AH13</f>
        <v>5.30915259343675</v>
      </c>
      <c r="AJ15" s="1" t="n">
        <f aca="false">AJ$2*TripTable!AI13</f>
        <v>0.00369221521019679</v>
      </c>
      <c r="AK15" s="1" t="n">
        <f aca="false">AK$2*TripTable!AJ13</f>
        <v>0</v>
      </c>
      <c r="AL15" s="1" t="n">
        <f aca="false">AL$2*TripTable!AK13</f>
        <v>0.295881878717848</v>
      </c>
      <c r="AM15" s="1" t="n">
        <f aca="false">AM$2*TripTable!AL13</f>
        <v>0</v>
      </c>
      <c r="AN15" s="1" t="n">
        <f aca="false">AN$2*TripTable!AM13</f>
        <v>0.0423923222794094</v>
      </c>
      <c r="AO15" s="1" t="n">
        <f aca="false">AO$2*TripTable!AN13</f>
        <v>1.75465846316279</v>
      </c>
      <c r="AP15" s="1" t="n">
        <f aca="false">AP$2*TripTable!AO13</f>
        <v>0</v>
      </c>
      <c r="AQ15" s="1" t="n">
        <f aca="false">AQ$2*TripTable!AP13</f>
        <v>0</v>
      </c>
      <c r="AR15" s="1" t="n">
        <f aca="false">AR$2*TripTable!AQ13</f>
        <v>0</v>
      </c>
      <c r="AS15" s="1" t="n">
        <f aca="false">AS$2*TripTable!AR13</f>
        <v>5.80051647196015E-005</v>
      </c>
      <c r="AT15" s="1" t="n">
        <f aca="false">AT$2*TripTable!AS13</f>
        <v>0.643434182422031</v>
      </c>
      <c r="AU15" s="1" t="n">
        <f aca="false">AU$2*TripTable!AT13</f>
        <v>0.00685284816829598</v>
      </c>
      <c r="AV15" s="1" t="n">
        <f aca="false">AV$2*TripTable!AU13</f>
        <v>0</v>
      </c>
      <c r="AW15" s="1" t="n">
        <f aca="false">AW$2*TripTable!AV13</f>
        <v>0.465283677535952</v>
      </c>
      <c r="AX15" s="1" t="n">
        <f aca="false">AX$2*TripTable!AW13</f>
        <v>2.31994727364885</v>
      </c>
      <c r="AY15" s="1" t="n">
        <f aca="false">AY$2*TripTable!AX13</f>
        <v>0.0657245663242686</v>
      </c>
      <c r="AZ15" s="1" t="n">
        <f aca="false">AZ$2*TripTable!AY13</f>
        <v>3.39997536906733E-005</v>
      </c>
      <c r="BA15" s="1" t="n">
        <f aca="false">BA$2*TripTable!AZ13</f>
        <v>0</v>
      </c>
      <c r="BB15" s="1" t="n">
        <f aca="false">SUM(C15:BA15)</f>
        <v>22.6463314555099</v>
      </c>
      <c r="BC15" s="2" t="n">
        <f aca="false">BB15/TripTable!BA13</f>
        <v>0.0109138946773541</v>
      </c>
      <c r="BD15" s="2" t="n">
        <f aca="false">BB15/BG15</f>
        <v>0.00107186347290372</v>
      </c>
      <c r="BE15" s="0" t="s">
        <v>77</v>
      </c>
      <c r="BF15" s="0" t="n">
        <v>11964</v>
      </c>
      <c r="BG15" s="0" t="n">
        <v>21128</v>
      </c>
      <c r="BH15" s="0" t="n">
        <v>1322</v>
      </c>
      <c r="BI15" s="0" t="n">
        <v>765</v>
      </c>
      <c r="BK15" s="0" t="n">
        <v>0.285714285714286</v>
      </c>
      <c r="BL15" s="0" t="n">
        <v>0.633445136559655</v>
      </c>
      <c r="BM15" s="0" t="s">
        <v>77</v>
      </c>
    </row>
    <row r="16" customFormat="false" ht="12.75" hidden="false" customHeight="false" outlineLevel="0" collapsed="false">
      <c r="A16" s="0" t="s">
        <v>13</v>
      </c>
      <c r="B16" s="1" t="n">
        <v>0.00107334901207605</v>
      </c>
      <c r="C16" s="1" t="n">
        <f aca="false">C$2*TripTable!B14</f>
        <v>0</v>
      </c>
      <c r="D16" s="1" t="n">
        <f aca="false">D$2*TripTable!C14</f>
        <v>0.943311120184692</v>
      </c>
      <c r="E16" s="1" t="n">
        <f aca="false">E$2*TripTable!D14</f>
        <v>0</v>
      </c>
      <c r="F16" s="1" t="n">
        <f aca="false">F$2*TripTable!E14</f>
        <v>0</v>
      </c>
      <c r="G16" s="1" t="n">
        <f aca="false">G$2*TripTable!F14</f>
        <v>6.97670203969514</v>
      </c>
      <c r="H16" s="1" t="n">
        <f aca="false">H$2*TripTable!G14</f>
        <v>0.242537770903672</v>
      </c>
      <c r="I16" s="1" t="n">
        <f aca="false">I$2*TripTable!H14</f>
        <v>0.000779657355780265</v>
      </c>
      <c r="J16" s="1" t="n">
        <f aca="false">J$2*TripTable!I14</f>
        <v>0.252590047672857</v>
      </c>
      <c r="K16" s="1" t="n">
        <f aca="false">K$2*TripTable!J14</f>
        <v>0</v>
      </c>
      <c r="L16" s="1" t="n">
        <f aca="false">L$2*TripTable!K14</f>
        <v>1.79017175690937</v>
      </c>
      <c r="M16" s="1" t="n">
        <f aca="false">M$2*TripTable!L14</f>
        <v>0.0167433162962224</v>
      </c>
      <c r="N16" s="1" t="n">
        <f aca="false">N$2*TripTable!M14</f>
        <v>0</v>
      </c>
      <c r="O16" s="1"/>
      <c r="P16" s="1" t="n">
        <f aca="false">P$2*TripTable!O14</f>
        <v>0</v>
      </c>
      <c r="Q16" s="1" t="n">
        <f aca="false">Q$2*TripTable!P14</f>
        <v>0.555012164994881</v>
      </c>
      <c r="R16" s="1" t="n">
        <f aca="false">R$2*TripTable!Q14</f>
        <v>0.681167250788893</v>
      </c>
      <c r="S16" s="1" t="n">
        <f aca="false">S$2*TripTable!R14</f>
        <v>0.322820112720667</v>
      </c>
      <c r="T16" s="1" t="n">
        <f aca="false">T$2*TripTable!S14</f>
        <v>0.016906565998361</v>
      </c>
      <c r="U16" s="1" t="n">
        <f aca="false">U$2*TripTable!T14</f>
        <v>0.235071714600599</v>
      </c>
      <c r="V16" s="1" t="n">
        <f aca="false">V$2*TripTable!U14</f>
        <v>0</v>
      </c>
      <c r="W16" s="1" t="n">
        <f aca="false">W$2*TripTable!V14</f>
        <v>0.210773748442099</v>
      </c>
      <c r="X16" s="1" t="n">
        <f aca="false">X$2*TripTable!W14</f>
        <v>0.831558529338758</v>
      </c>
      <c r="Y16" s="1" t="n">
        <f aca="false">Y$2*TripTable!X14</f>
        <v>0.0664908940234013</v>
      </c>
      <c r="Z16" s="1" t="n">
        <f aca="false">Z$2*TripTable!Y14</f>
        <v>0</v>
      </c>
      <c r="AA16" s="1" t="n">
        <f aca="false">AA$2*TripTable!Z14</f>
        <v>0</v>
      </c>
      <c r="AB16" s="1" t="n">
        <f aca="false">AB$2*TripTable!AA14</f>
        <v>0.0121549727536524</v>
      </c>
      <c r="AC16" s="1" t="n">
        <f aca="false">AC$2*TripTable!AB14</f>
        <v>0</v>
      </c>
      <c r="AD16" s="1" t="n">
        <f aca="false">AD$2*TripTable!AC14</f>
        <v>0.0339164124544671</v>
      </c>
      <c r="AE16" s="1" t="n">
        <f aca="false">AE$2*TripTable!AD14</f>
        <v>0</v>
      </c>
      <c r="AF16" s="1" t="n">
        <f aca="false">AF$2*TripTable!AE14</f>
        <v>0.117777368981519</v>
      </c>
      <c r="AG16" s="1" t="n">
        <f aca="false">AG$2*TripTable!AF14</f>
        <v>0.819910069407919</v>
      </c>
      <c r="AH16" s="1" t="n">
        <f aca="false">AH$2*TripTable!AG14</f>
        <v>0</v>
      </c>
      <c r="AI16" s="1" t="n">
        <f aca="false">AI$2*TripTable!AH14</f>
        <v>2.98639833380817</v>
      </c>
      <c r="AJ16" s="1" t="n">
        <f aca="false">AJ$2*TripTable!AI14</f>
        <v>0.00590754433631486</v>
      </c>
      <c r="AK16" s="1" t="n">
        <f aca="false">AK$2*TripTable!AJ14</f>
        <v>0</v>
      </c>
      <c r="AL16" s="1" t="n">
        <f aca="false">AL$2*TripTable!AK14</f>
        <v>0.263006114415865</v>
      </c>
      <c r="AM16" s="1" t="n">
        <f aca="false">AM$2*TripTable!AL14</f>
        <v>0.531847795827021</v>
      </c>
      <c r="AN16" s="1" t="n">
        <f aca="false">AN$2*TripTable!AM14</f>
        <v>2.41106332964141</v>
      </c>
      <c r="AO16" s="1" t="n">
        <f aca="false">AO$2*TripTable!AN14</f>
        <v>1.28674953965271</v>
      </c>
      <c r="AP16" s="1" t="n">
        <f aca="false">AP$2*TripTable!AO14</f>
        <v>0</v>
      </c>
      <c r="AQ16" s="1" t="n">
        <f aca="false">AQ$2*TripTable!AP14</f>
        <v>0</v>
      </c>
      <c r="AR16" s="1" t="n">
        <f aca="false">AR$2*TripTable!AQ14</f>
        <v>0</v>
      </c>
      <c r="AS16" s="1" t="n">
        <f aca="false">AS$2*TripTable!AR14</f>
        <v>0.000348030988317609</v>
      </c>
      <c r="AT16" s="1" t="n">
        <f aca="false">AT$2*TripTable!AS14</f>
        <v>0.717676588086112</v>
      </c>
      <c r="AU16" s="1" t="n">
        <f aca="false">AU$2*TripTable!AT14</f>
        <v>0.63046203148323</v>
      </c>
      <c r="AV16" s="1" t="n">
        <f aca="false">AV$2*TripTable!AU14</f>
        <v>0</v>
      </c>
      <c r="AW16" s="1" t="n">
        <f aca="false">AW$2*TripTable!AV14</f>
        <v>0.186113471014381</v>
      </c>
      <c r="AX16" s="1" t="n">
        <f aca="false">AX$2*TripTable!AW14</f>
        <v>31.2778605643729</v>
      </c>
      <c r="AY16" s="1" t="n">
        <f aca="false">AY$2*TripTable!AX14</f>
        <v>0</v>
      </c>
      <c r="AZ16" s="1" t="n">
        <f aca="false">AZ$2*TripTable!AY14</f>
        <v>0.000158665517223142</v>
      </c>
      <c r="BA16" s="1" t="n">
        <f aca="false">BA$2*TripTable!AZ14</f>
        <v>0</v>
      </c>
      <c r="BB16" s="1" t="n">
        <f aca="false">SUM(C16:BA16)</f>
        <v>54.4239875226666</v>
      </c>
      <c r="BC16" s="2" t="n">
        <f aca="false">BB16/TripTable!BA14</f>
        <v>0.00797421062603173</v>
      </c>
      <c r="BD16" s="2" t="n">
        <f aca="false">BB16/BG16</f>
        <v>0.00463182872533333</v>
      </c>
      <c r="BE16" s="0" t="s">
        <v>78</v>
      </c>
      <c r="BF16" s="0" t="n">
        <v>8278</v>
      </c>
      <c r="BG16" s="0" t="n">
        <v>11750</v>
      </c>
      <c r="BH16" s="0" t="n">
        <v>3077</v>
      </c>
      <c r="BI16" s="0" t="n">
        <v>3761</v>
      </c>
      <c r="BK16" s="0" t="n">
        <v>0.455110190800178</v>
      </c>
      <c r="BL16" s="0" t="n">
        <v>0.449985375840889</v>
      </c>
      <c r="BM16" s="0" t="s">
        <v>78</v>
      </c>
    </row>
    <row r="17" customFormat="false" ht="12.75" hidden="false" customHeight="false" outlineLevel="0" collapsed="false">
      <c r="A17" s="0" t="s">
        <v>14</v>
      </c>
      <c r="B17" s="1" t="n">
        <v>0</v>
      </c>
      <c r="C17" s="1" t="n">
        <f aca="false">C$2*TripTable!B15</f>
        <v>0</v>
      </c>
      <c r="D17" s="1" t="n">
        <f aca="false">D$2*TripTable!C15</f>
        <v>3.14437040061564</v>
      </c>
      <c r="E17" s="1" t="n">
        <f aca="false">E$2*TripTable!D15</f>
        <v>0</v>
      </c>
      <c r="F17" s="1" t="n">
        <f aca="false">F$2*TripTable!E15</f>
        <v>0</v>
      </c>
      <c r="G17" s="1" t="n">
        <f aca="false">G$2*TripTable!F15</f>
        <v>20.4015680857752</v>
      </c>
      <c r="H17" s="1" t="n">
        <f aca="false">H$2*TripTable!G15</f>
        <v>1.08846219137258</v>
      </c>
      <c r="I17" s="1" t="n">
        <f aca="false">I$2*TripTable!H15</f>
        <v>0.00545760149046186</v>
      </c>
      <c r="J17" s="1" t="n">
        <f aca="false">J$2*TripTable!I15</f>
        <v>0</v>
      </c>
      <c r="K17" s="1" t="n">
        <f aca="false">K$2*TripTable!J15</f>
        <v>0</v>
      </c>
      <c r="L17" s="1" t="n">
        <f aca="false">L$2*TripTable!K15</f>
        <v>141.734903014433</v>
      </c>
      <c r="M17" s="1" t="n">
        <f aca="false">M$2*TripTable!L15</f>
        <v>1.29760701295724</v>
      </c>
      <c r="N17" s="1" t="n">
        <f aca="false">N$2*TripTable!M15</f>
        <v>0</v>
      </c>
      <c r="O17" s="1" t="n">
        <f aca="false">O$2*TripTable!N15</f>
        <v>0.0182469332052929</v>
      </c>
      <c r="P17" s="1"/>
      <c r="Q17" s="1" t="n">
        <f aca="false">Q$2*TripTable!P15</f>
        <v>279.078616964926</v>
      </c>
      <c r="R17" s="1" t="n">
        <f aca="false">R$2*TripTable!Q15</f>
        <v>45.38276808381</v>
      </c>
      <c r="S17" s="1" t="n">
        <f aca="false">S$2*TripTable!R15</f>
        <v>19.4337707857842</v>
      </c>
      <c r="T17" s="1" t="n">
        <f aca="false">T$2*TripTable!S15</f>
        <v>5.5960733454575</v>
      </c>
      <c r="U17" s="1" t="n">
        <f aca="false">U$2*TripTable!T15</f>
        <v>3.43792382603375</v>
      </c>
      <c r="V17" s="1" t="n">
        <f aca="false">V$2*TripTable!U15</f>
        <v>11.9800682939168</v>
      </c>
      <c r="W17" s="1" t="n">
        <f aca="false">W$2*TripTable!V15</f>
        <v>4.84779621416829</v>
      </c>
      <c r="X17" s="1" t="n">
        <f aca="false">X$2*TripTable!W15</f>
        <v>10.6023712490692</v>
      </c>
      <c r="Y17" s="1" t="n">
        <f aca="false">Y$2*TripTable!X15</f>
        <v>15.0786571890847</v>
      </c>
      <c r="Z17" s="1" t="n">
        <f aca="false">Z$2*TripTable!Y15</f>
        <v>0</v>
      </c>
      <c r="AA17" s="1" t="n">
        <f aca="false">AA$2*TripTable!Z15</f>
        <v>0</v>
      </c>
      <c r="AB17" s="1" t="n">
        <f aca="false">AB$2*TripTable!AA15</f>
        <v>2.67029557681801</v>
      </c>
      <c r="AC17" s="1" t="n">
        <f aca="false">AC$2*TripTable!AB15</f>
        <v>0</v>
      </c>
      <c r="AD17" s="1" t="n">
        <f aca="false">AD$2*TripTable!AC15</f>
        <v>0.528697017672575</v>
      </c>
      <c r="AE17" s="1" t="n">
        <f aca="false">AE$2*TripTable!AD15</f>
        <v>0</v>
      </c>
      <c r="AF17" s="1" t="n">
        <f aca="false">AF$2*TripTable!AE15</f>
        <v>0.706664213889112</v>
      </c>
      <c r="AG17" s="1" t="n">
        <f aca="false">AG$2*TripTable!AF15</f>
        <v>62.8597719879405</v>
      </c>
      <c r="AH17" s="1" t="n">
        <f aca="false">AH$2*TripTable!AG15</f>
        <v>0</v>
      </c>
      <c r="AI17" s="1" t="n">
        <f aca="false">AI$2*TripTable!AH15</f>
        <v>217.343434293817</v>
      </c>
      <c r="AJ17" s="1" t="n">
        <f aca="false">AJ$2*TripTable!AI15</f>
        <v>0.219317583485689</v>
      </c>
      <c r="AK17" s="1" t="n">
        <f aca="false">AK$2*TripTable!AJ15</f>
        <v>0</v>
      </c>
      <c r="AL17" s="1" t="n">
        <f aca="false">AL$2*TripTable!AK15</f>
        <v>26.3663629701904</v>
      </c>
      <c r="AM17" s="1" t="n">
        <f aca="false">AM$2*TripTable!AL15</f>
        <v>19.0705423932261</v>
      </c>
      <c r="AN17" s="1" t="n">
        <f aca="false">AN$2*TripTable!AM15</f>
        <v>0.275550094816161</v>
      </c>
      <c r="AO17" s="1" t="n">
        <f aca="false">AO$2*TripTable!AN15</f>
        <v>51.586958816986</v>
      </c>
      <c r="AP17" s="1" t="n">
        <f aca="false">AP$2*TripTable!AO15</f>
        <v>0.485759531926211</v>
      </c>
      <c r="AQ17" s="1" t="n">
        <f aca="false">AQ$2*TripTable!AP15</f>
        <v>0</v>
      </c>
      <c r="AR17" s="1" t="n">
        <f aca="false">AR$2*TripTable!AQ15</f>
        <v>0</v>
      </c>
      <c r="AS17" s="1" t="n">
        <f aca="false">AS$2*TripTable!AR15</f>
        <v>0.0301626856541928</v>
      </c>
      <c r="AT17" s="1" t="n">
        <f aca="false">AT$2*TripTable!AS15</f>
        <v>31.2065578474685</v>
      </c>
      <c r="AU17" s="1" t="n">
        <f aca="false">AU$2*TripTable!AT15</f>
        <v>0.0355102132357155</v>
      </c>
      <c r="AV17" s="1" t="n">
        <f aca="false">AV$2*TripTable!AU15</f>
        <v>0</v>
      </c>
      <c r="AW17" s="1" t="n">
        <f aca="false">AW$2*TripTable!AV15</f>
        <v>8.88691824093669</v>
      </c>
      <c r="AX17" s="1" t="n">
        <f aca="false">AX$2*TripTable!AW15</f>
        <v>7.99553256811121</v>
      </c>
      <c r="AY17" s="1" t="n">
        <f aca="false">AY$2*TripTable!AX15</f>
        <v>3.08905461724062</v>
      </c>
      <c r="AZ17" s="1" t="n">
        <f aca="false">AZ$2*TripTable!AY15</f>
        <v>0.0554422650182579</v>
      </c>
      <c r="BA17" s="1" t="n">
        <f aca="false">BA$2*TripTable!AZ15</f>
        <v>0</v>
      </c>
      <c r="BB17" s="1" t="n">
        <f aca="false">SUM(C17:BA17)</f>
        <v>996.541194110532</v>
      </c>
      <c r="BC17" s="2" t="n">
        <f aca="false">BB17/TripTable!BA15</f>
        <v>0.0252679123230947</v>
      </c>
      <c r="BD17" s="2" t="n">
        <f aca="false">BB17/BG17</f>
        <v>0.15619767932767</v>
      </c>
      <c r="BE17" s="0" t="s">
        <v>79</v>
      </c>
      <c r="BF17" s="0" t="n">
        <v>5811</v>
      </c>
      <c r="BG17" s="0" t="n">
        <v>6380</v>
      </c>
      <c r="BH17" s="0" t="n">
        <v>11964</v>
      </c>
      <c r="BI17" s="0" t="n">
        <v>27788</v>
      </c>
      <c r="BK17" s="0" t="n">
        <v>0.361537531729723</v>
      </c>
      <c r="BL17" s="0" t="n">
        <v>0.300965989132622</v>
      </c>
      <c r="BM17" s="0" t="s">
        <v>79</v>
      </c>
    </row>
    <row r="18" customFormat="false" ht="12.75" hidden="false" customHeight="false" outlineLevel="0" collapsed="false">
      <c r="A18" s="0" t="s">
        <v>15</v>
      </c>
      <c r="B18" s="1" t="n">
        <v>0.0925020274991467</v>
      </c>
      <c r="C18" s="1" t="n">
        <f aca="false">C$2*TripTable!B16</f>
        <v>0</v>
      </c>
      <c r="D18" s="1" t="n">
        <f aca="false">D$2*TripTable!C16</f>
        <v>1.13197334422163</v>
      </c>
      <c r="E18" s="1" t="n">
        <f aca="false">E$2*TripTable!D16</f>
        <v>0</v>
      </c>
      <c r="F18" s="1" t="n">
        <f aca="false">F$2*TripTable!E16</f>
        <v>0</v>
      </c>
      <c r="G18" s="1" t="n">
        <f aca="false">G$2*TripTable!F16</f>
        <v>3.61520014784203</v>
      </c>
      <c r="H18" s="1" t="n">
        <f aca="false">H$2*TripTable!G16</f>
        <v>0.446624431786031</v>
      </c>
      <c r="I18" s="1" t="n">
        <f aca="false">I$2*TripTable!H16</f>
        <v>0.008836116698843</v>
      </c>
      <c r="J18" s="1" t="n">
        <f aca="false">J$2*TripTable!I16</f>
        <v>1.76813033371</v>
      </c>
      <c r="K18" s="1" t="n">
        <f aca="false">K$2*TripTable!J16</f>
        <v>0</v>
      </c>
      <c r="L18" s="1" t="n">
        <f aca="false">L$2*TripTable!K16</f>
        <v>77.6000539842887</v>
      </c>
      <c r="M18" s="1" t="n">
        <f aca="false">M$2*TripTable!L16</f>
        <v>0.602759386664007</v>
      </c>
      <c r="N18" s="1" t="n">
        <f aca="false">N$2*TripTable!M16</f>
        <v>0</v>
      </c>
      <c r="O18" s="1" t="n">
        <f aca="false">O$2*TripTable!N16</f>
        <v>0.0246870272777492</v>
      </c>
      <c r="P18" s="1" t="n">
        <f aca="false">P$2*TripTable!O16</f>
        <v>0</v>
      </c>
      <c r="Q18" s="1"/>
      <c r="R18" s="1" t="n">
        <f aca="false">R$2*TripTable!Q16</f>
        <v>5.32161914678822</v>
      </c>
      <c r="S18" s="1" t="n">
        <f aca="false">S$2*TripTable!R16</f>
        <v>2.7116889468536</v>
      </c>
      <c r="T18" s="1" t="n">
        <f aca="false">T$2*TripTable!S16</f>
        <v>14.4466606455995</v>
      </c>
      <c r="U18" s="1" t="n">
        <f aca="false">U$2*TripTable!T16</f>
        <v>1.43981425192867</v>
      </c>
      <c r="V18" s="1" t="n">
        <f aca="false">V$2*TripTable!U16</f>
        <v>1.36614813877998</v>
      </c>
      <c r="W18" s="1" t="n">
        <f aca="false">W$2*TripTable!V16</f>
        <v>2.88057456204202</v>
      </c>
      <c r="X18" s="1" t="n">
        <f aca="false">X$2*TripTable!W16</f>
        <v>7.27613713171413</v>
      </c>
      <c r="Y18" s="1" t="n">
        <f aca="false">Y$2*TripTable!X16</f>
        <v>15.1377602059944</v>
      </c>
      <c r="Z18" s="1" t="n">
        <f aca="false">Z$2*TripTable!Y16</f>
        <v>0</v>
      </c>
      <c r="AA18" s="1" t="n">
        <f aca="false">AA$2*TripTable!Z16</f>
        <v>0</v>
      </c>
      <c r="AB18" s="1" t="n">
        <f aca="false">AB$2*TripTable!AA16</f>
        <v>0.445935562899622</v>
      </c>
      <c r="AC18" s="1" t="n">
        <f aca="false">AC$2*TripTable!AB16</f>
        <v>0</v>
      </c>
      <c r="AD18" s="1" t="n">
        <f aca="false">AD$2*TripTable!AC16</f>
        <v>0.0399016617111377</v>
      </c>
      <c r="AE18" s="1" t="n">
        <f aca="false">AE$2*TripTable!AD16</f>
        <v>0</v>
      </c>
      <c r="AF18" s="1" t="n">
        <f aca="false">AF$2*TripTable!AE16</f>
        <v>1.05999632083367</v>
      </c>
      <c r="AG18" s="1" t="n">
        <f aca="false">AG$2*TripTable!AF16</f>
        <v>9.56561747642572</v>
      </c>
      <c r="AH18" s="1" t="n">
        <f aca="false">AH$2*TripTable!AG16</f>
        <v>0</v>
      </c>
      <c r="AI18" s="1" t="n">
        <f aca="false">AI$2*TripTable!AH16</f>
        <v>29.8639833380817</v>
      </c>
      <c r="AJ18" s="1" t="n">
        <f aca="false">AJ$2*TripTable!AI16</f>
        <v>0.0871362789606441</v>
      </c>
      <c r="AK18" s="1" t="n">
        <f aca="false">AK$2*TripTable!AJ16</f>
        <v>0</v>
      </c>
      <c r="AL18" s="1" t="n">
        <f aca="false">AL$2*TripTable!AK16</f>
        <v>64.9953860250206</v>
      </c>
      <c r="AM18" s="1" t="n">
        <f aca="false">AM$2*TripTable!AL16</f>
        <v>4.17880411006945</v>
      </c>
      <c r="AN18" s="1" t="n">
        <f aca="false">AN$2*TripTable!AM16</f>
        <v>0.121877926553302</v>
      </c>
      <c r="AO18" s="1" t="n">
        <f aca="false">AO$2*TripTable!AN16</f>
        <v>34.5082831088682</v>
      </c>
      <c r="AP18" s="1" t="n">
        <f aca="false">AP$2*TripTable!AO16</f>
        <v>0.485759531926211</v>
      </c>
      <c r="AQ18" s="1" t="n">
        <f aca="false">AQ$2*TripTable!AP16</f>
        <v>0</v>
      </c>
      <c r="AR18" s="1" t="n">
        <f aca="false">AR$2*TripTable!AQ16</f>
        <v>0</v>
      </c>
      <c r="AS18" s="1" t="n">
        <f aca="false">AS$2*TripTable!AR16</f>
        <v>0.0408936411273191</v>
      </c>
      <c r="AT18" s="1" t="n">
        <f aca="false">AT$2*TripTable!AS16</f>
        <v>5.17222092793094</v>
      </c>
      <c r="AU18" s="1" t="n">
        <f aca="false">AU$2*TripTable!AT16</f>
        <v>0.0218045168991236</v>
      </c>
      <c r="AV18" s="1" t="n">
        <f aca="false">AV$2*TripTable!AU16</f>
        <v>0</v>
      </c>
      <c r="AW18" s="1" t="n">
        <f aca="false">AW$2*TripTable!AV16</f>
        <v>5.02506371738828</v>
      </c>
      <c r="AX18" s="1" t="n">
        <f aca="false">AX$2*TripTable!AW16</f>
        <v>1.98852623455616</v>
      </c>
      <c r="AY18" s="1" t="n">
        <f aca="false">AY$2*TripTable!AX16</f>
        <v>6.70390576507539</v>
      </c>
      <c r="AZ18" s="1" t="n">
        <f aca="false">AZ$2*TripTable!AY16</f>
        <v>0.00302597807846992</v>
      </c>
      <c r="BA18" s="1" t="n">
        <f aca="false">BA$2*TripTable!AZ16</f>
        <v>0</v>
      </c>
      <c r="BB18" s="1" t="n">
        <f aca="false">SUM(C18:BA18)</f>
        <v>300.086789924595</v>
      </c>
      <c r="BC18" s="2" t="n">
        <f aca="false">BB18/TripTable!BA16</f>
        <v>0.0136732487321545</v>
      </c>
      <c r="BD18" s="2" t="n">
        <f aca="false">BB18/BG18</f>
        <v>0.0509571726820505</v>
      </c>
      <c r="BE18" s="0" t="s">
        <v>80</v>
      </c>
      <c r="BF18" s="0" t="n">
        <v>4560</v>
      </c>
      <c r="BG18" s="0" t="n">
        <v>5889</v>
      </c>
      <c r="BH18" s="0" t="n">
        <v>8278</v>
      </c>
      <c r="BI18" s="0" t="n">
        <v>13821</v>
      </c>
      <c r="BK18" s="0" t="n">
        <v>0.413321350109846</v>
      </c>
      <c r="BL18" s="0" t="n">
        <v>0.374587085388479</v>
      </c>
      <c r="BM18" s="0" t="s">
        <v>80</v>
      </c>
    </row>
    <row r="19" customFormat="false" ht="12.75" hidden="false" customHeight="false" outlineLevel="0" collapsed="false">
      <c r="A19" s="0" t="s">
        <v>16</v>
      </c>
      <c r="B19" s="1" t="n">
        <v>0.0425729531743058</v>
      </c>
      <c r="C19" s="1" t="n">
        <f aca="false">C$2*TripTable!B17</f>
        <v>0</v>
      </c>
      <c r="D19" s="1" t="n">
        <f aca="false">D$2*TripTable!C17</f>
        <v>0.691761488135441</v>
      </c>
      <c r="E19" s="1" t="n">
        <f aca="false">E$2*TripTable!D17</f>
        <v>0</v>
      </c>
      <c r="F19" s="1" t="n">
        <f aca="false">F$2*TripTable!E17</f>
        <v>0</v>
      </c>
      <c r="G19" s="1" t="n">
        <f aca="false">G$2*TripTable!F17</f>
        <v>4.94711599178382</v>
      </c>
      <c r="H19" s="1" t="n">
        <f aca="false">H$2*TripTable!G17</f>
        <v>0.798599977365751</v>
      </c>
      <c r="I19" s="1" t="n">
        <f aca="false">I$2*TripTable!H17</f>
        <v>0.00129942892630044</v>
      </c>
      <c r="J19" s="1" t="n">
        <f aca="false">J$2*TripTable!I17</f>
        <v>2.77849052440143</v>
      </c>
      <c r="K19" s="1" t="n">
        <f aca="false">K$2*TripTable!J17</f>
        <v>0</v>
      </c>
      <c r="L19" s="1" t="n">
        <f aca="false">L$2*TripTable!K17</f>
        <v>12.2977016344209</v>
      </c>
      <c r="M19" s="1" t="n">
        <f aca="false">M$2*TripTable!L17</f>
        <v>0.347423813146615</v>
      </c>
      <c r="N19" s="1" t="n">
        <f aca="false">N$2*TripTable!M17</f>
        <v>0</v>
      </c>
      <c r="O19" s="1" t="n">
        <f aca="false">O$2*TripTable!N17</f>
        <v>0.0171735841932168</v>
      </c>
      <c r="P19" s="1" t="n">
        <f aca="false">P$2*TripTable!O17</f>
        <v>0</v>
      </c>
      <c r="Q19" s="1" t="n">
        <f aca="false">Q$2*TripTable!P17</f>
        <v>17.3903811698396</v>
      </c>
      <c r="R19" s="1"/>
      <c r="S19" s="1" t="n">
        <f aca="false">S$2*TripTable!R17</f>
        <v>12.5254203735619</v>
      </c>
      <c r="T19" s="1" t="n">
        <f aca="false">T$2*TripTable!S17</f>
        <v>0.219785357978693</v>
      </c>
      <c r="U19" s="1" t="n">
        <f aca="false">U$2*TripTable!T17</f>
        <v>0.73459910812687</v>
      </c>
      <c r="V19" s="1" t="n">
        <f aca="false">V$2*TripTable!U17</f>
        <v>0.105088318367691</v>
      </c>
      <c r="W19" s="1" t="n">
        <f aca="false">W$2*TripTable!V17</f>
        <v>0.702579161473665</v>
      </c>
      <c r="X19" s="1" t="n">
        <f aca="false">X$2*TripTable!W17</f>
        <v>1.14339297784079</v>
      </c>
      <c r="Y19" s="1" t="n">
        <f aca="false">Y$2*TripTable!X17</f>
        <v>0.642745308892879</v>
      </c>
      <c r="Z19" s="1" t="n">
        <f aca="false">Z$2*TripTable!Y17</f>
        <v>0</v>
      </c>
      <c r="AA19" s="1" t="n">
        <f aca="false">AA$2*TripTable!Z17</f>
        <v>0</v>
      </c>
      <c r="AB19" s="1" t="n">
        <f aca="false">AB$2*TripTable!AA17</f>
        <v>0.534818801160706</v>
      </c>
      <c r="AC19" s="1" t="n">
        <f aca="false">AC$2*TripTable!AB17</f>
        <v>0</v>
      </c>
      <c r="AD19" s="1" t="n">
        <f aca="false">AD$2*TripTable!AC17</f>
        <v>1.27884825784196</v>
      </c>
      <c r="AE19" s="1" t="n">
        <f aca="false">AE$2*TripTable!AD17</f>
        <v>0</v>
      </c>
      <c r="AF19" s="1" t="n">
        <f aca="false">AF$2*TripTable!AE17</f>
        <v>0.588886844907593</v>
      </c>
      <c r="AG19" s="1" t="n">
        <f aca="false">AG$2*TripTable!AF17</f>
        <v>3.55294363410098</v>
      </c>
      <c r="AH19" s="1" t="n">
        <f aca="false">AH$2*TripTable!AG17</f>
        <v>0</v>
      </c>
      <c r="AI19" s="1" t="n">
        <f aca="false">AI$2*TripTable!AH17</f>
        <v>17.918390002849</v>
      </c>
      <c r="AJ19" s="1" t="n">
        <f aca="false">AJ$2*TripTable!AI17</f>
        <v>0.0251070634293381</v>
      </c>
      <c r="AK19" s="1" t="n">
        <f aca="false">AK$2*TripTable!AJ17</f>
        <v>0</v>
      </c>
      <c r="AL19" s="1" t="n">
        <f aca="false">AL$2*TripTable!AK17</f>
        <v>3.48483101601021</v>
      </c>
      <c r="AM19" s="1" t="n">
        <f aca="false">AM$2*TripTable!AL17</f>
        <v>4.55869539280304</v>
      </c>
      <c r="AN19" s="1" t="n">
        <f aca="false">AN$2*TripTable!AM17</f>
        <v>0.121877926553302</v>
      </c>
      <c r="AO19" s="1" t="n">
        <f aca="false">AO$2*TripTable!AN17</f>
        <v>4.09420308071318</v>
      </c>
      <c r="AP19" s="1" t="n">
        <f aca="false">AP$2*TripTable!AO17</f>
        <v>0</v>
      </c>
      <c r="AQ19" s="1" t="n">
        <f aca="false">AQ$2*TripTable!AP17</f>
        <v>0</v>
      </c>
      <c r="AR19" s="1" t="n">
        <f aca="false">AR$2*TripTable!AQ17</f>
        <v>0</v>
      </c>
      <c r="AS19" s="1" t="n">
        <f aca="false">AS$2*TripTable!AR17</f>
        <v>0.00336429955373689</v>
      </c>
      <c r="AT19" s="1" t="n">
        <f aca="false">AT$2*TripTable!AS17</f>
        <v>3.93484750019627</v>
      </c>
      <c r="AU19" s="1" t="n">
        <f aca="false">AU$2*TripTable!AT17</f>
        <v>0.0124597239423563</v>
      </c>
      <c r="AV19" s="1" t="n">
        <f aca="false">AV$2*TripTable!AU17</f>
        <v>0</v>
      </c>
      <c r="AW19" s="1" t="n">
        <f aca="false">AW$2*TripTable!AV17</f>
        <v>3.25698574275166</v>
      </c>
      <c r="AX19" s="1" t="n">
        <f aca="false">AX$2*TripTable!AW17</f>
        <v>2.11280912421592</v>
      </c>
      <c r="AY19" s="1" t="n">
        <f aca="false">AY$2*TripTable!AX17</f>
        <v>0.131449132648537</v>
      </c>
      <c r="AZ19" s="1" t="n">
        <f aca="false">AZ$2*TripTable!AY17</f>
        <v>0.00796727561484777</v>
      </c>
      <c r="BA19" s="1" t="n">
        <f aca="false">BA$2*TripTable!AZ17</f>
        <v>0</v>
      </c>
      <c r="BB19" s="1" t="n">
        <f aca="false">SUM(C19:BA19)</f>
        <v>100.962043037748</v>
      </c>
      <c r="BC19" s="2" t="n">
        <f aca="false">BB19/TripTable!BA17</f>
        <v>0.00793726753441417</v>
      </c>
      <c r="BD19" s="2" t="n">
        <f aca="false">BB19/BG19</f>
        <v>0.0118569633632118</v>
      </c>
      <c r="BE19" s="0" t="s">
        <v>81</v>
      </c>
      <c r="BF19" s="0" t="n">
        <v>5574</v>
      </c>
      <c r="BG19" s="0" t="n">
        <v>8515</v>
      </c>
      <c r="BH19" s="0" t="n">
        <v>5811</v>
      </c>
      <c r="BI19" s="0" t="n">
        <v>6939</v>
      </c>
      <c r="BK19" s="0" t="n">
        <v>0.476663112131901</v>
      </c>
      <c r="BL19" s="0" t="n">
        <v>0.455764705882353</v>
      </c>
      <c r="BM19" s="0" t="s">
        <v>81</v>
      </c>
    </row>
    <row r="20" customFormat="false" ht="12.75" hidden="false" customHeight="false" outlineLevel="0" collapsed="false">
      <c r="A20" s="0" t="s">
        <v>17</v>
      </c>
      <c r="B20" s="1" t="n">
        <v>0.0645640225441334</v>
      </c>
      <c r="C20" s="1" t="n">
        <f aca="false">C$2*TripTable!B18</f>
        <v>0</v>
      </c>
      <c r="D20" s="1" t="n">
        <f aca="false">D$2*TripTable!C18</f>
        <v>0.628874080123128</v>
      </c>
      <c r="E20" s="1" t="n">
        <f aca="false">E$2*TripTable!D18</f>
        <v>0</v>
      </c>
      <c r="F20" s="1" t="n">
        <f aca="false">F$2*TripTable!E18</f>
        <v>0</v>
      </c>
      <c r="G20" s="1" t="n">
        <f aca="false">G$2*TripTable!F18</f>
        <v>3.91118144649576</v>
      </c>
      <c r="H20" s="1" t="n">
        <f aca="false">H$2*TripTable!G18</f>
        <v>2.48749104060962</v>
      </c>
      <c r="I20" s="1" t="n">
        <f aca="false">I$2*TripTable!H18</f>
        <v>0.00129942892630044</v>
      </c>
      <c r="J20" s="1" t="n">
        <f aca="false">J$2*TripTable!I18</f>
        <v>0</v>
      </c>
      <c r="K20" s="1" t="n">
        <f aca="false">K$2*TripTable!J18</f>
        <v>0</v>
      </c>
      <c r="L20" s="1" t="n">
        <f aca="false">L$2*TripTable!K18</f>
        <v>10.2740292135668</v>
      </c>
      <c r="M20" s="1" t="n">
        <f aca="false">M$2*TripTable!L18</f>
        <v>0.297193864257948</v>
      </c>
      <c r="N20" s="1" t="n">
        <f aca="false">N$2*TripTable!M18</f>
        <v>0</v>
      </c>
      <c r="O20" s="1" t="n">
        <f aca="false">O$2*TripTable!N18</f>
        <v>0.0064400940724563</v>
      </c>
      <c r="P20" s="1" t="n">
        <f aca="false">P$2*TripTable!O18</f>
        <v>0</v>
      </c>
      <c r="Q20" s="1" t="n">
        <f aca="false">Q$2*TripTable!P18</f>
        <v>7.1226561174343</v>
      </c>
      <c r="R20" s="1" t="n">
        <f aca="false">R$2*TripTable!Q18</f>
        <v>10.7709571530994</v>
      </c>
      <c r="S20" s="1"/>
      <c r="T20" s="1" t="n">
        <f aca="false">T$2*TripTable!S18</f>
        <v>0.321224753968859</v>
      </c>
      <c r="U20" s="1" t="n">
        <f aca="false">U$2*TripTable!T18</f>
        <v>1.14597460867792</v>
      </c>
      <c r="V20" s="1" t="n">
        <f aca="false">V$2*TripTable!U18</f>
        <v>0.525441591838455</v>
      </c>
      <c r="W20" s="1" t="n">
        <f aca="false">W$2*TripTable!V18</f>
        <v>1.12412665835786</v>
      </c>
      <c r="X20" s="1" t="n">
        <f aca="false">X$2*TripTable!W18</f>
        <v>2.28678595568158</v>
      </c>
      <c r="Y20" s="1" t="n">
        <f aca="false">Y$2*TripTable!X18</f>
        <v>0.494987766618654</v>
      </c>
      <c r="Z20" s="1" t="n">
        <f aca="false">Z$2*TripTable!Y18</f>
        <v>0</v>
      </c>
      <c r="AA20" s="1" t="n">
        <f aca="false">AA$2*TripTable!Z18</f>
        <v>0</v>
      </c>
      <c r="AB20" s="1" t="n">
        <f aca="false">AB$2*TripTable!AA18</f>
        <v>1.58470457275743</v>
      </c>
      <c r="AC20" s="1" t="n">
        <f aca="false">AC$2*TripTable!AB18</f>
        <v>0</v>
      </c>
      <c r="AD20" s="1" t="n">
        <f aca="false">AD$2*TripTable!AC18</f>
        <v>1.37261716286314</v>
      </c>
      <c r="AE20" s="1" t="n">
        <f aca="false">AE$2*TripTable!AD18</f>
        <v>0</v>
      </c>
      <c r="AF20" s="1" t="n">
        <f aca="false">AF$2*TripTable!AE18</f>
        <v>0.117777368981519</v>
      </c>
      <c r="AG20" s="1" t="n">
        <f aca="false">AG$2*TripTable!AF18</f>
        <v>5.73937048585543</v>
      </c>
      <c r="AH20" s="1" t="n">
        <f aca="false">AH$2*TripTable!AG18</f>
        <v>0</v>
      </c>
      <c r="AI20" s="1" t="n">
        <f aca="false">AI$2*TripTable!AH18</f>
        <v>20.5729662995674</v>
      </c>
      <c r="AJ20" s="1" t="n">
        <f aca="false">AJ$2*TripTable!AI18</f>
        <v>0.0324914938497317</v>
      </c>
      <c r="AK20" s="1" t="n">
        <f aca="false">AK$2*TripTable!AJ18</f>
        <v>0</v>
      </c>
      <c r="AL20" s="1" t="n">
        <f aca="false">AL$2*TripTable!AK18</f>
        <v>3.51770678031219</v>
      </c>
      <c r="AM20" s="1" t="n">
        <f aca="false">AM$2*TripTable!AL18</f>
        <v>70.3558655622603</v>
      </c>
      <c r="AN20" s="1" t="n">
        <f aca="false">AN$2*TripTable!AM18</f>
        <v>0.090083684843745</v>
      </c>
      <c r="AO20" s="1" t="n">
        <f aca="false">AO$2*TripTable!AN18</f>
        <v>5.03002092773333</v>
      </c>
      <c r="AP20" s="1" t="n">
        <f aca="false">AP$2*TripTable!AO18</f>
        <v>0.0373661178404778</v>
      </c>
      <c r="AQ20" s="1" t="n">
        <f aca="false">AQ$2*TripTable!AP18</f>
        <v>0</v>
      </c>
      <c r="AR20" s="1" t="n">
        <f aca="false">AR$2*TripTable!AQ18</f>
        <v>0</v>
      </c>
      <c r="AS20" s="1" t="n">
        <f aca="false">AS$2*TripTable!AR18</f>
        <v>0.00226220142406446</v>
      </c>
      <c r="AT20" s="1" t="n">
        <f aca="false">AT$2*TripTable!AS18</f>
        <v>11.5323203464872</v>
      </c>
      <c r="AU20" s="1" t="n">
        <f aca="false">AU$2*TripTable!AT18</f>
        <v>0.0330182684472443</v>
      </c>
      <c r="AV20" s="1" t="n">
        <f aca="false">AV$2*TripTable!AU18</f>
        <v>0</v>
      </c>
      <c r="AW20" s="1" t="n">
        <f aca="false">AW$2*TripTable!AV18</f>
        <v>1.34932266485426</v>
      </c>
      <c r="AX20" s="1" t="n">
        <f aca="false">AX$2*TripTable!AW18</f>
        <v>3.52134854035986</v>
      </c>
      <c r="AY20" s="1" t="n">
        <f aca="false">AY$2*TripTable!AX18</f>
        <v>0.394347397945611</v>
      </c>
      <c r="AZ20" s="1" t="n">
        <f aca="false">AZ$2*TripTable!AY18</f>
        <v>0.000577995812741445</v>
      </c>
      <c r="BA20" s="1" t="n">
        <f aca="false">BA$2*TripTable!AZ18</f>
        <v>0</v>
      </c>
      <c r="BB20" s="1" t="n">
        <f aca="false">SUM(C20:BA20)</f>
        <v>166.682831645925</v>
      </c>
      <c r="BC20" s="2" t="n">
        <f aca="false">BB20/TripTable!BA18</f>
        <v>0.013774302259807</v>
      </c>
      <c r="BD20" s="2" t="n">
        <f aca="false">BB20/BG20</f>
        <v>0.0161561337254943</v>
      </c>
      <c r="BE20" s="0" t="s">
        <v>82</v>
      </c>
      <c r="BF20" s="0" t="n">
        <v>6052</v>
      </c>
      <c r="BG20" s="0" t="n">
        <v>10317</v>
      </c>
      <c r="BH20" s="0" t="n">
        <v>4560</v>
      </c>
      <c r="BI20" s="0" t="n">
        <v>7596</v>
      </c>
      <c r="BK20" s="0" t="n">
        <v>0.436405397645708</v>
      </c>
      <c r="BL20" s="0" t="n">
        <v>0.375123395853899</v>
      </c>
      <c r="BM20" s="0" t="s">
        <v>82</v>
      </c>
    </row>
    <row r="21" customFormat="false" ht="12.75" hidden="false" customHeight="false" outlineLevel="0" collapsed="false">
      <c r="A21" s="0" t="s">
        <v>18</v>
      </c>
      <c r="B21" s="1" t="n">
        <v>0.00845328299918051</v>
      </c>
      <c r="C21" s="1" t="n">
        <f aca="false">C$2*TripTable!B19</f>
        <v>0</v>
      </c>
      <c r="D21" s="1" t="n">
        <f aca="false">D$2*TripTable!C19</f>
        <v>0.125774816024626</v>
      </c>
      <c r="E21" s="1" t="n">
        <f aca="false">E$2*TripTable!D19</f>
        <v>0</v>
      </c>
      <c r="F21" s="1" t="n">
        <f aca="false">F$2*TripTable!E19</f>
        <v>0</v>
      </c>
      <c r="G21" s="1" t="n">
        <f aca="false">G$2*TripTable!F19</f>
        <v>2.49469951722432</v>
      </c>
      <c r="H21" s="1" t="n">
        <f aca="false">H$2*TripTable!G19</f>
        <v>0.13901555161552</v>
      </c>
      <c r="I21" s="1" t="n">
        <f aca="false">I$2*TripTable!H19</f>
        <v>0.000519771570520177</v>
      </c>
      <c r="J21" s="1" t="n">
        <f aca="false">J$2*TripTable!I19</f>
        <v>0.505180095345714</v>
      </c>
      <c r="K21" s="1" t="n">
        <f aca="false">K$2*TripTable!J19</f>
        <v>0</v>
      </c>
      <c r="L21" s="1" t="n">
        <f aca="false">L$2*TripTable!K19</f>
        <v>54.016486925874</v>
      </c>
      <c r="M21" s="1" t="n">
        <f aca="false">M$2*TripTable!L19</f>
        <v>1.32690781647563</v>
      </c>
      <c r="N21" s="1" t="n">
        <f aca="false">N$2*TripTable!M19</f>
        <v>0</v>
      </c>
      <c r="O21" s="1" t="n">
        <f aca="false">O$2*TripTable!N19</f>
        <v>0.00107334901207605</v>
      </c>
      <c r="P21" s="1" t="n">
        <f aca="false">P$2*TripTable!O19</f>
        <v>0</v>
      </c>
      <c r="Q21" s="1" t="n">
        <f aca="false">Q$2*TripTable!P19</f>
        <v>128.485316196315</v>
      </c>
      <c r="R21" s="1" t="n">
        <f aca="false">R$2*TripTable!Q19</f>
        <v>0.468302484917364</v>
      </c>
      <c r="S21" s="1" t="n">
        <f aca="false">S$2*TripTable!R19</f>
        <v>2.1306127439564</v>
      </c>
      <c r="T21" s="1"/>
      <c r="U21" s="1" t="n">
        <f aca="false">U$2*TripTable!T19</f>
        <v>1.61611803787911</v>
      </c>
      <c r="V21" s="1" t="n">
        <f aca="false">V$2*TripTable!U19</f>
        <v>1.47123645714768</v>
      </c>
      <c r="W21" s="1" t="n">
        <f aca="false">W$2*TripTable!V19</f>
        <v>4.28573288498935</v>
      </c>
      <c r="X21" s="1" t="n">
        <f aca="false">X$2*TripTable!W19</f>
        <v>2.59862040418362</v>
      </c>
      <c r="Y21" s="1" t="n">
        <f aca="false">Y$2*TripTable!X19</f>
        <v>2.54881760423038</v>
      </c>
      <c r="Z21" s="1" t="n">
        <f aca="false">Z$2*TripTable!Y19</f>
        <v>0</v>
      </c>
      <c r="AA21" s="1" t="n">
        <f aca="false">AA$2*TripTable!Z19</f>
        <v>0</v>
      </c>
      <c r="AB21" s="1" t="n">
        <f aca="false">AB$2*TripTable!AA19</f>
        <v>0.30843243362393</v>
      </c>
      <c r="AC21" s="1" t="n">
        <f aca="false">AC$2*TripTable!AB19</f>
        <v>0</v>
      </c>
      <c r="AD21" s="1" t="n">
        <f aca="false">AD$2*TripTable!AC19</f>
        <v>0.017955747770012</v>
      </c>
      <c r="AE21" s="1" t="n">
        <f aca="false">AE$2*TripTable!AD19</f>
        <v>0</v>
      </c>
      <c r="AF21" s="1" t="n">
        <f aca="false">AF$2*TripTable!AE19</f>
        <v>0.353332106944556</v>
      </c>
      <c r="AG21" s="1" t="n">
        <f aca="false">AG$2*TripTable!AF19</f>
        <v>28.6968524292772</v>
      </c>
      <c r="AH21" s="1" t="n">
        <f aca="false">AH$2*TripTable!AG19</f>
        <v>0</v>
      </c>
      <c r="AI21" s="1" t="n">
        <f aca="false">AI$2*TripTable!AH19</f>
        <v>35.8367800056981</v>
      </c>
      <c r="AJ21" s="1" t="n">
        <f aca="false">AJ$2*TripTable!AI19</f>
        <v>0.138827291903399</v>
      </c>
      <c r="AK21" s="1" t="n">
        <f aca="false">AK$2*TripTable!AJ19</f>
        <v>0</v>
      </c>
      <c r="AL21" s="1" t="n">
        <f aca="false">AL$2*TripTable!AK19</f>
        <v>58.5517362218319</v>
      </c>
      <c r="AM21" s="1" t="n">
        <f aca="false">AM$2*TripTable!AL19</f>
        <v>1.97543467021465</v>
      </c>
      <c r="AN21" s="1" t="n">
        <f aca="false">AN$2*TripTable!AM19</f>
        <v>0.0105980805698523</v>
      </c>
      <c r="AO21" s="1" t="n">
        <f aca="false">AO$2*TripTable!AN19</f>
        <v>13.1014498582822</v>
      </c>
      <c r="AP21" s="1" t="n">
        <f aca="false">AP$2*TripTable!AO19</f>
        <v>0.373661178404777</v>
      </c>
      <c r="AQ21" s="1" t="n">
        <f aca="false">AQ$2*TripTable!AP19</f>
        <v>0</v>
      </c>
      <c r="AR21" s="1" t="n">
        <f aca="false">AR$2*TripTable!AQ19</f>
        <v>0</v>
      </c>
      <c r="AS21" s="1" t="n">
        <f aca="false">AS$2*TripTable!AR19</f>
        <v>0.108933699343412</v>
      </c>
      <c r="AT21" s="1" t="n">
        <f aca="false">AT$2*TripTable!AS19</f>
        <v>3.8111101574228</v>
      </c>
      <c r="AU21" s="1" t="n">
        <f aca="false">AU$2*TripTable!AT19</f>
        <v>0.00685284816829598</v>
      </c>
      <c r="AV21" s="1" t="n">
        <f aca="false">AV$2*TripTable!AU19</f>
        <v>0</v>
      </c>
      <c r="AW21" s="1" t="n">
        <f aca="false">AW$2*TripTable!AV19</f>
        <v>9.63137212499421</v>
      </c>
      <c r="AX21" s="1" t="n">
        <f aca="false">AX$2*TripTable!AW19</f>
        <v>0.621414448298799</v>
      </c>
      <c r="AY21" s="1" t="n">
        <f aca="false">AY$2*TripTable!AX19</f>
        <v>27.4728687235443</v>
      </c>
      <c r="AZ21" s="1" t="n">
        <f aca="false">AZ$2*TripTable!AY19</f>
        <v>0.00166598793084299</v>
      </c>
      <c r="BA21" s="1" t="n">
        <f aca="false">BA$2*TripTable!AZ19</f>
        <v>0</v>
      </c>
      <c r="BB21" s="1" t="n">
        <f aca="false">SUM(C21:BA21)</f>
        <v>383.233692670984</v>
      </c>
      <c r="BC21" s="2" t="n">
        <f aca="false">BB21/TripTable!BA19</f>
        <v>0.0246056945535142</v>
      </c>
      <c r="BD21" s="2" t="n">
        <f aca="false">BB21/BG21</f>
        <v>0.0275687858910139</v>
      </c>
      <c r="BE21" s="0" t="s">
        <v>83</v>
      </c>
      <c r="BF21" s="0" t="n">
        <v>2722</v>
      </c>
      <c r="BG21" s="0" t="n">
        <v>13901</v>
      </c>
      <c r="BH21" s="0" t="n">
        <v>5574</v>
      </c>
      <c r="BI21" s="0" t="n">
        <v>10081</v>
      </c>
      <c r="BK21" s="0" t="n">
        <v>0.39562779473348</v>
      </c>
      <c r="BL21" s="0" t="n">
        <v>0.356052379431492</v>
      </c>
      <c r="BM21" s="0" t="s">
        <v>83</v>
      </c>
    </row>
    <row r="22" customFormat="false" ht="12.75" hidden="false" customHeight="false" outlineLevel="0" collapsed="false">
      <c r="A22" s="0" t="s">
        <v>19</v>
      </c>
      <c r="B22" s="1" t="n">
        <v>0.0293839643250748</v>
      </c>
      <c r="C22" s="1" t="n">
        <f aca="false">C$2*TripTable!B20</f>
        <v>0</v>
      </c>
      <c r="D22" s="1" t="n">
        <f aca="false">D$2*TripTable!C20</f>
        <v>0.628874080123128</v>
      </c>
      <c r="E22" s="1" t="n">
        <f aca="false">E$2*TripTable!D20</f>
        <v>0</v>
      </c>
      <c r="F22" s="1" t="n">
        <f aca="false">F$2*TripTable!E20</f>
        <v>0</v>
      </c>
      <c r="G22" s="1" t="n">
        <f aca="false">G$2*TripTable!F20</f>
        <v>3.44606797718275</v>
      </c>
      <c r="H22" s="1" t="n">
        <f aca="false">H$2*TripTable!G20</f>
        <v>0.280988880924986</v>
      </c>
      <c r="I22" s="1" t="n">
        <f aca="false">I$2*TripTable!H20</f>
        <v>0.00571748727572194</v>
      </c>
      <c r="J22" s="1" t="n">
        <f aca="false">J$2*TripTable!I20</f>
        <v>0</v>
      </c>
      <c r="K22" s="1" t="n">
        <f aca="false">K$2*TripTable!J20</f>
        <v>0</v>
      </c>
      <c r="L22" s="1" t="n">
        <f aca="false">L$2*TripTable!K20</f>
        <v>76.9773855471028</v>
      </c>
      <c r="M22" s="1" t="n">
        <f aca="false">M$2*TripTable!L20</f>
        <v>1.06320058481012</v>
      </c>
      <c r="N22" s="1" t="n">
        <f aca="false">N$2*TripTable!M20</f>
        <v>0</v>
      </c>
      <c r="O22" s="1" t="n">
        <f aca="false">O$2*TripTable!N20</f>
        <v>0.0289804233260534</v>
      </c>
      <c r="P22" s="1" t="n">
        <f aca="false">P$2*TripTable!O20</f>
        <v>0</v>
      </c>
      <c r="Q22" s="1" t="n">
        <f aca="false">Q$2*TripTable!P20</f>
        <v>1.94254257748208</v>
      </c>
      <c r="R22" s="1" t="n">
        <f aca="false">R$2*TripTable!Q20</f>
        <v>1.95835584601807</v>
      </c>
      <c r="S22" s="1" t="n">
        <f aca="false">S$2*TripTable!R20</f>
        <v>2.19517676650054</v>
      </c>
      <c r="T22" s="1" t="n">
        <f aca="false">T$2*TripTable!S20</f>
        <v>0.287411621972137</v>
      </c>
      <c r="U22" s="1"/>
      <c r="V22" s="1" t="n">
        <f aca="false">V$2*TripTable!U20</f>
        <v>0.94579486530922</v>
      </c>
      <c r="W22" s="1" t="n">
        <f aca="false">W$2*TripTable!V20</f>
        <v>2.38876914901046</v>
      </c>
      <c r="X22" s="1" t="n">
        <f aca="false">X$2*TripTable!W20</f>
        <v>2.0788963233469</v>
      </c>
      <c r="Y22" s="1" t="n">
        <f aca="false">Y$2*TripTable!X20</f>
        <v>0.317678715889584</v>
      </c>
      <c r="Z22" s="1" t="n">
        <f aca="false">Z$2*TripTable!Y20</f>
        <v>0</v>
      </c>
      <c r="AA22" s="1" t="n">
        <f aca="false">AA$2*TripTable!Z20</f>
        <v>0</v>
      </c>
      <c r="AB22" s="1" t="n">
        <f aca="false">AB$2*TripTable!AA20</f>
        <v>0.150417787826448</v>
      </c>
      <c r="AC22" s="1" t="n">
        <f aca="false">AC$2*TripTable!AB20</f>
        <v>0</v>
      </c>
      <c r="AD22" s="1" t="n">
        <f aca="false">AD$2*TripTable!AC20</f>
        <v>0.0199508308555689</v>
      </c>
      <c r="AE22" s="1" t="n">
        <f aca="false">AE$2*TripTable!AD20</f>
        <v>0</v>
      </c>
      <c r="AF22" s="1" t="n">
        <f aca="false">AF$2*TripTable!AE20</f>
        <v>0.117777368981519</v>
      </c>
      <c r="AG22" s="1" t="n">
        <f aca="false">AG$2*TripTable!AF20</f>
        <v>6.55928055526335</v>
      </c>
      <c r="AH22" s="1" t="n">
        <f aca="false">AH$2*TripTable!AG20</f>
        <v>0</v>
      </c>
      <c r="AI22" s="1" t="n">
        <f aca="false">AI$2*TripTable!AH20</f>
        <v>26.5457629671837</v>
      </c>
      <c r="AJ22" s="1" t="n">
        <f aca="false">AJ$2*TripTable!AI20</f>
        <v>0.0568601142370305</v>
      </c>
      <c r="AK22" s="1" t="n">
        <f aca="false">AK$2*TripTable!AJ20</f>
        <v>0</v>
      </c>
      <c r="AL22" s="1" t="n">
        <f aca="false">AL$2*TripTable!AK20</f>
        <v>1.54516092219321</v>
      </c>
      <c r="AM22" s="1" t="n">
        <f aca="false">AM$2*TripTable!AL20</f>
        <v>7.29391262848486</v>
      </c>
      <c r="AN22" s="1" t="n">
        <f aca="false">AN$2*TripTable!AM20</f>
        <v>0.0529904028492617</v>
      </c>
      <c r="AO22" s="1" t="n">
        <f aca="false">AO$2*TripTable!AN20</f>
        <v>6.78467939089612</v>
      </c>
      <c r="AP22" s="1" t="n">
        <f aca="false">AP$2*TripTable!AO20</f>
        <v>0.0373661178404778</v>
      </c>
      <c r="AQ22" s="1" t="n">
        <f aca="false">AQ$2*TripTable!AP20</f>
        <v>0</v>
      </c>
      <c r="AR22" s="1" t="n">
        <f aca="false">AR$2*TripTable!AQ20</f>
        <v>0</v>
      </c>
      <c r="AS22" s="1" t="n">
        <f aca="false">AS$2*TripTable!AR20</f>
        <v>0.0153133634859748</v>
      </c>
      <c r="AT22" s="1" t="n">
        <f aca="false">AT$2*TripTable!AS20</f>
        <v>71.6686689343924</v>
      </c>
      <c r="AU22" s="1" t="n">
        <f aca="false">AU$2*TripTable!AT20</f>
        <v>0.0211815307020058</v>
      </c>
      <c r="AV22" s="1" t="n">
        <f aca="false">AV$2*TripTable!AU20</f>
        <v>0</v>
      </c>
      <c r="AW22" s="1" t="n">
        <f aca="false">AW$2*TripTable!AV20</f>
        <v>4.51325167209874</v>
      </c>
      <c r="AX22" s="1" t="n">
        <f aca="false">AX$2*TripTable!AW20</f>
        <v>1.20140126671101</v>
      </c>
      <c r="AY22" s="1" t="n">
        <f aca="false">AY$2*TripTable!AX20</f>
        <v>0.46007196426988</v>
      </c>
      <c r="AZ22" s="1" t="n">
        <f aca="false">AZ$2*TripTable!AY20</f>
        <v>0.000181332019683591</v>
      </c>
      <c r="BA22" s="1" t="n">
        <f aca="false">BA$2*TripTable!AZ20</f>
        <v>0</v>
      </c>
      <c r="BB22" s="1" t="n">
        <f aca="false">SUM(C22:BA22)</f>
        <v>221.590069996566</v>
      </c>
      <c r="BC22" s="2" t="n">
        <f aca="false">BB22/TripTable!BA20</f>
        <v>0.0153445100752417</v>
      </c>
      <c r="BD22" s="2" t="n">
        <f aca="false">BB22/BG22</f>
        <v>0.0235558700963714</v>
      </c>
      <c r="BE22" s="0" t="s">
        <v>84</v>
      </c>
      <c r="BF22" s="0" t="n">
        <v>3462</v>
      </c>
      <c r="BG22" s="0" t="n">
        <v>9407</v>
      </c>
      <c r="BH22" s="0" t="n">
        <v>6052</v>
      </c>
      <c r="BI22" s="0" t="n">
        <v>8474</v>
      </c>
      <c r="BK22" s="0" t="n">
        <v>0.369723257376749</v>
      </c>
      <c r="BL22" s="0" t="n">
        <v>0.416632245628528</v>
      </c>
      <c r="BM22" s="0" t="s">
        <v>84</v>
      </c>
    </row>
    <row r="23" customFormat="false" ht="12.75" hidden="false" customHeight="false" outlineLevel="0" collapsed="false">
      <c r="A23" s="0" t="s">
        <v>20</v>
      </c>
      <c r="B23" s="1" t="n">
        <v>0.105088318367691</v>
      </c>
      <c r="C23" s="1" t="n">
        <f aca="false">C$2*TripTable!B21</f>
        <v>0</v>
      </c>
      <c r="D23" s="1" t="n">
        <f aca="false">D$2*TripTable!C21</f>
        <v>0.503099264098502</v>
      </c>
      <c r="E23" s="1" t="n">
        <f aca="false">E$2*TripTable!D21</f>
        <v>0</v>
      </c>
      <c r="F23" s="1" t="n">
        <f aca="false">F$2*TripTable!E21</f>
        <v>0</v>
      </c>
      <c r="G23" s="1" t="n">
        <f aca="false">G$2*TripTable!F21</f>
        <v>0.591962597307466</v>
      </c>
      <c r="H23" s="1" t="n">
        <f aca="false">H$2*TripTable!G21</f>
        <v>0.0207044438576306</v>
      </c>
      <c r="I23" s="1" t="n">
        <f aca="false">I$2*TripTable!H21</f>
        <v>0.0517172712667576</v>
      </c>
      <c r="J23" s="1" t="n">
        <f aca="false">J$2*TripTable!I21</f>
        <v>1.51554028603714</v>
      </c>
      <c r="K23" s="1" t="n">
        <f aca="false">K$2*TripTable!J21</f>
        <v>0</v>
      </c>
      <c r="L23" s="1" t="n">
        <f aca="false">L$2*TripTable!K21</f>
        <v>11.7528667518832</v>
      </c>
      <c r="M23" s="1" t="n">
        <f aca="false">M$2*TripTable!L21</f>
        <v>0.0711590942589452</v>
      </c>
      <c r="N23" s="1" t="n">
        <f aca="false">N$2*TripTable!M21</f>
        <v>0</v>
      </c>
      <c r="O23" s="1" t="n">
        <f aca="false">O$2*TripTable!N21</f>
        <v>0.00107334901207605</v>
      </c>
      <c r="P23" s="1" t="n">
        <f aca="false">P$2*TripTable!O21</f>
        <v>0</v>
      </c>
      <c r="Q23" s="1" t="n">
        <f aca="false">Q$2*TripTable!P21</f>
        <v>0.925020274991467</v>
      </c>
      <c r="R23" s="1" t="n">
        <f aca="false">R$2*TripTable!Q21</f>
        <v>0.0425729531743058</v>
      </c>
      <c r="S23" s="1" t="n">
        <f aca="false">S$2*TripTable!R21</f>
        <v>0.0645640225441334</v>
      </c>
      <c r="T23" s="1" t="n">
        <f aca="false">T$2*TripTable!S21</f>
        <v>0.0507196979950831</v>
      </c>
      <c r="U23" s="1" t="n">
        <f aca="false">U$2*TripTable!T21</f>
        <v>0.205687750275524</v>
      </c>
      <c r="V23" s="1"/>
      <c r="W23" s="1" t="n">
        <f aca="false">W$2*TripTable!V21</f>
        <v>2.10773748442099</v>
      </c>
      <c r="X23" s="1" t="n">
        <f aca="false">X$2*TripTable!W21</f>
        <v>102.801423189504</v>
      </c>
      <c r="Y23" s="1" t="n">
        <f aca="false">Y$2*TripTable!X21</f>
        <v>0.140369665160514</v>
      </c>
      <c r="Z23" s="1" t="n">
        <f aca="false">Z$2*TripTable!Y21</f>
        <v>0</v>
      </c>
      <c r="AA23" s="1" t="n">
        <f aca="false">AA$2*TripTable!Z21</f>
        <v>0</v>
      </c>
      <c r="AB23" s="1" t="n">
        <f aca="false">AB$2*TripTable!AA21</f>
        <v>0.0091162295652393</v>
      </c>
      <c r="AC23" s="1" t="n">
        <f aca="false">AC$2*TripTable!AB21</f>
        <v>0</v>
      </c>
      <c r="AD23" s="1" t="n">
        <f aca="false">AD$2*TripTable!AC21</f>
        <v>0</v>
      </c>
      <c r="AE23" s="1" t="n">
        <f aca="false">AE$2*TripTable!AD21</f>
        <v>0</v>
      </c>
      <c r="AF23" s="1" t="n">
        <f aca="false">AF$2*TripTable!AE21</f>
        <v>61.4797866083528</v>
      </c>
      <c r="AG23" s="1" t="n">
        <f aca="false">AG$2*TripTable!AF21</f>
        <v>16.944808101097</v>
      </c>
      <c r="AH23" s="1" t="n">
        <f aca="false">AH$2*TripTable!AG21</f>
        <v>0</v>
      </c>
      <c r="AI23" s="1" t="n">
        <f aca="false">AI$2*TripTable!AH21</f>
        <v>66.3644074179594</v>
      </c>
      <c r="AJ23" s="1" t="n">
        <f aca="false">AJ$2*TripTable!AI21</f>
        <v>0.0118150886726297</v>
      </c>
      <c r="AK23" s="1" t="n">
        <f aca="false">AK$2*TripTable!AJ21</f>
        <v>0</v>
      </c>
      <c r="AL23" s="1" t="n">
        <f aca="false">AL$2*TripTable!AK21</f>
        <v>0.756142578945611</v>
      </c>
      <c r="AM23" s="1" t="n">
        <f aca="false">AM$2*TripTable!AL21</f>
        <v>0.227934769640152</v>
      </c>
      <c r="AN23" s="1" t="n">
        <f aca="false">AN$2*TripTable!AM21</f>
        <v>0.0105980805698523</v>
      </c>
      <c r="AO23" s="1" t="n">
        <f aca="false">AO$2*TripTable!AN21</f>
        <v>8.53933785405891</v>
      </c>
      <c r="AP23" s="1" t="n">
        <f aca="false">AP$2*TripTable!AO21</f>
        <v>3.43768284132395</v>
      </c>
      <c r="AQ23" s="1" t="n">
        <f aca="false">AQ$2*TripTable!AP21</f>
        <v>0</v>
      </c>
      <c r="AR23" s="1" t="n">
        <f aca="false">AR$2*TripTable!AQ21</f>
        <v>0</v>
      </c>
      <c r="AS23" s="1" t="n">
        <f aca="false">AS$2*TripTable!AR21</f>
        <v>0.000696061976635218</v>
      </c>
      <c r="AT23" s="1" t="n">
        <f aca="false">AT$2*TripTable!AS21</f>
        <v>0.767171525195499</v>
      </c>
      <c r="AU23" s="1" t="n">
        <f aca="false">AU$2*TripTable!AT21</f>
        <v>0.00124597239423563</v>
      </c>
      <c r="AV23" s="1" t="n">
        <f aca="false">AV$2*TripTable!AU21</f>
        <v>0</v>
      </c>
      <c r="AW23" s="1" t="n">
        <f aca="false">AW$2*TripTable!AV21</f>
        <v>2.69864532970852</v>
      </c>
      <c r="AX23" s="1" t="n">
        <f aca="false">AX$2*TripTable!AW21</f>
        <v>0.455703928752452</v>
      </c>
      <c r="AY23" s="1" t="n">
        <f aca="false">AY$2*TripTable!AX21</f>
        <v>0.131449132648537</v>
      </c>
      <c r="AZ23" s="1" t="n">
        <f aca="false">AZ$2*TripTable!AY21</f>
        <v>0.00010199926107202</v>
      </c>
      <c r="BA23" s="1" t="n">
        <f aca="false">BA$2*TripTable!AZ21</f>
        <v>0</v>
      </c>
      <c r="BB23" s="1" t="n">
        <f aca="false">SUM(C23:BA23)</f>
        <v>282.68286161591</v>
      </c>
      <c r="BC23" s="2" t="n">
        <f aca="false">BB23/TripTable!BA21</f>
        <v>0.0560990001222287</v>
      </c>
      <c r="BD23" s="2" t="n">
        <f aca="false">BB23/BG23</f>
        <v>0.0300087963498843</v>
      </c>
      <c r="BE23" s="0" t="s">
        <v>85</v>
      </c>
      <c r="BF23" s="0" t="n">
        <v>15379</v>
      </c>
      <c r="BG23" s="0" t="n">
        <v>9420</v>
      </c>
      <c r="BH23" s="0" t="n">
        <v>2144</v>
      </c>
      <c r="BI23" s="0" t="n">
        <v>2927</v>
      </c>
      <c r="BK23" s="0" t="n">
        <v>0.234163390126693</v>
      </c>
      <c r="BL23" s="0" t="n">
        <v>0.422796292644449</v>
      </c>
      <c r="BM23" s="0" t="s">
        <v>85</v>
      </c>
    </row>
    <row r="24" customFormat="false" ht="12.75" hidden="false" customHeight="false" outlineLevel="0" collapsed="false">
      <c r="A24" s="0" t="s">
        <v>21</v>
      </c>
      <c r="B24" s="1" t="n">
        <v>0.0702579161473665</v>
      </c>
      <c r="C24" s="1" t="n">
        <f aca="false">C$2*TripTable!B22</f>
        <v>0</v>
      </c>
      <c r="D24" s="1" t="n">
        <f aca="false">D$2*TripTable!C22</f>
        <v>1.13197334422163</v>
      </c>
      <c r="E24" s="1" t="n">
        <f aca="false">E$2*TripTable!D22</f>
        <v>0</v>
      </c>
      <c r="F24" s="1" t="n">
        <f aca="false">F$2*TripTable!E22</f>
        <v>0</v>
      </c>
      <c r="G24" s="1" t="n">
        <f aca="false">G$2*TripTable!F22</f>
        <v>5.96190901573948</v>
      </c>
      <c r="H24" s="1" t="n">
        <f aca="false">H$2*TripTable!G22</f>
        <v>0.171551106248939</v>
      </c>
      <c r="I24" s="1" t="n">
        <f aca="false">I$2*TripTable!H22</f>
        <v>0.0834233370684883</v>
      </c>
      <c r="J24" s="1" t="n">
        <f aca="false">J$2*TripTable!I22</f>
        <v>216.217080807966</v>
      </c>
      <c r="K24" s="1" t="n">
        <f aca="false">K$2*TripTable!J22</f>
        <v>0</v>
      </c>
      <c r="L24" s="1" t="n">
        <f aca="false">L$2*TripTable!K22</f>
        <v>58.2194988768786</v>
      </c>
      <c r="M24" s="1" t="n">
        <f aca="false">M$2*TripTable!L22</f>
        <v>1.25574872221668</v>
      </c>
      <c r="N24" s="1" t="n">
        <f aca="false">N$2*TripTable!M22</f>
        <v>0</v>
      </c>
      <c r="O24" s="1" t="n">
        <f aca="false">O$2*TripTable!N22</f>
        <v>0.0064400940724563</v>
      </c>
      <c r="P24" s="1" t="n">
        <f aca="false">P$2*TripTable!O22</f>
        <v>0</v>
      </c>
      <c r="Q24" s="1" t="n">
        <f aca="false">Q$2*TripTable!P22</f>
        <v>8.32518247492321</v>
      </c>
      <c r="R24" s="1" t="n">
        <f aca="false">R$2*TripTable!Q22</f>
        <v>1.31976154840348</v>
      </c>
      <c r="S24" s="1" t="n">
        <f aca="false">S$2*TripTable!R22</f>
        <v>1.29128045088267</v>
      </c>
      <c r="T24" s="1" t="n">
        <f aca="false">T$2*TripTable!S22</f>
        <v>0.405757583960665</v>
      </c>
      <c r="U24" s="1" t="n">
        <f aca="false">U$2*TripTable!T22</f>
        <v>1.67488596652926</v>
      </c>
      <c r="V24" s="1" t="n">
        <f aca="false">V$2*TripTable!U22</f>
        <v>7.98671219594452</v>
      </c>
      <c r="W24" s="1"/>
      <c r="X24" s="1" t="n">
        <f aca="false">X$2*TripTable!W22</f>
        <v>42.4094849962767</v>
      </c>
      <c r="Y24" s="1" t="n">
        <f aca="false">Y$2*TripTable!X22</f>
        <v>0.953036147668752</v>
      </c>
      <c r="Z24" s="1" t="n">
        <f aca="false">Z$2*TripTable!Y22</f>
        <v>0</v>
      </c>
      <c r="AA24" s="1" t="n">
        <f aca="false">AA$2*TripTable!Z22</f>
        <v>0</v>
      </c>
      <c r="AB24" s="1" t="n">
        <f aca="false">AB$2*TripTable!AA22</f>
        <v>0.0433020904348867</v>
      </c>
      <c r="AC24" s="1" t="n">
        <f aca="false">AC$2*TripTable!AB22</f>
        <v>0</v>
      </c>
      <c r="AD24" s="1" t="n">
        <f aca="false">AD$2*TripTable!AC22</f>
        <v>0.0139655815988982</v>
      </c>
      <c r="AE24" s="1" t="n">
        <f aca="false">AE$2*TripTable!AD22</f>
        <v>0</v>
      </c>
      <c r="AF24" s="1" t="n">
        <f aca="false">AF$2*TripTable!AE22</f>
        <v>5.29998160416834</v>
      </c>
      <c r="AG24" s="1" t="n">
        <f aca="false">AG$2*TripTable!AF22</f>
        <v>1054.13104590211</v>
      </c>
      <c r="AH24" s="1" t="n">
        <f aca="false">AH$2*TripTable!AG22</f>
        <v>0</v>
      </c>
      <c r="AI24" s="1" t="n">
        <f aca="false">AI$2*TripTable!AH22</f>
        <v>422.741275252401</v>
      </c>
      <c r="AJ24" s="1" t="n">
        <f aca="false">AJ$2*TripTable!AI22</f>
        <v>0.641707003532201</v>
      </c>
      <c r="AK24" s="1" t="n">
        <f aca="false">AK$2*TripTable!AJ22</f>
        <v>0</v>
      </c>
      <c r="AL24" s="1" t="n">
        <f aca="false">AL$2*TripTable!AK22</f>
        <v>10.7503749267485</v>
      </c>
      <c r="AM24" s="1" t="n">
        <f aca="false">AM$2*TripTable!AL22</f>
        <v>1.51956513093435</v>
      </c>
      <c r="AN24" s="1" t="n">
        <f aca="false">AN$2*TripTable!AM22</f>
        <v>0.0635884834191141</v>
      </c>
      <c r="AO24" s="1" t="n">
        <f aca="false">AO$2*TripTable!AN22</f>
        <v>312.095251981222</v>
      </c>
      <c r="AP24" s="1" t="n">
        <f aca="false">AP$2*TripTable!AO22</f>
        <v>3.32558448780252</v>
      </c>
      <c r="AQ24" s="1" t="n">
        <f aca="false">AQ$2*TripTable!AP22</f>
        <v>0</v>
      </c>
      <c r="AR24" s="1" t="n">
        <f aca="false">AR$2*TripTable!AQ22</f>
        <v>0</v>
      </c>
      <c r="AS24" s="1" t="n">
        <f aca="false">AS$2*TripTable!AR22</f>
        <v>0.00672859910747378</v>
      </c>
      <c r="AT24" s="1" t="n">
        <f aca="false">AT$2*TripTable!AS22</f>
        <v>4.60302915117299</v>
      </c>
      <c r="AU24" s="1" t="n">
        <f aca="false">AU$2*TripTable!AT22</f>
        <v>0.0149516687308276</v>
      </c>
      <c r="AV24" s="1" t="n">
        <f aca="false">AV$2*TripTable!AU22</f>
        <v>0</v>
      </c>
      <c r="AW24" s="1" t="n">
        <f aca="false">AW$2*TripTable!AV22</f>
        <v>105.572866432908</v>
      </c>
      <c r="AX24" s="1" t="n">
        <f aca="false">AX$2*TripTable!AW22</f>
        <v>2.27851964376226</v>
      </c>
      <c r="AY24" s="1" t="n">
        <f aca="false">AY$2*TripTable!AX22</f>
        <v>40.0919854578038</v>
      </c>
      <c r="AZ24" s="1" t="n">
        <f aca="false">AZ$2*TripTable!AY22</f>
        <v>0.000260664778295162</v>
      </c>
      <c r="BA24" s="1" t="n">
        <f aca="false">BA$2*TripTable!AZ22</f>
        <v>0</v>
      </c>
      <c r="BB24" s="1" t="n">
        <f aca="false">SUM(C24:BA24)</f>
        <v>2310.60771073164</v>
      </c>
      <c r="BC24" s="2" t="n">
        <f aca="false">BB24/TripTable!BA22</f>
        <v>0.112040329279525</v>
      </c>
      <c r="BD24" s="2" t="n">
        <f aca="false">BB24/BG24</f>
        <v>0.184479657543444</v>
      </c>
      <c r="BE24" s="0" t="s">
        <v>86</v>
      </c>
      <c r="BF24" s="0" t="n">
        <v>22000</v>
      </c>
      <c r="BG24" s="0" t="n">
        <v>12525</v>
      </c>
      <c r="BH24" s="0" t="n">
        <v>3462</v>
      </c>
      <c r="BI24" s="0" t="n">
        <v>17188</v>
      </c>
      <c r="BK24" s="0" t="n">
        <v>0.269018571761598</v>
      </c>
      <c r="BL24" s="0" t="n">
        <v>0.167651331719128</v>
      </c>
      <c r="BM24" s="0" t="s">
        <v>86</v>
      </c>
    </row>
    <row r="25" customFormat="false" ht="12.75" hidden="false" customHeight="false" outlineLevel="0" collapsed="false">
      <c r="A25" s="0" t="s">
        <v>22</v>
      </c>
      <c r="B25" s="1" t="n">
        <v>0.103944816167345</v>
      </c>
      <c r="C25" s="1" t="n">
        <f aca="false">C$2*TripTable!B23</f>
        <v>0</v>
      </c>
      <c r="D25" s="1" t="n">
        <f aca="false">D$2*TripTable!C23</f>
        <v>1.32063556825857</v>
      </c>
      <c r="E25" s="1" t="n">
        <f aca="false">E$2*TripTable!D23</f>
        <v>0</v>
      </c>
      <c r="F25" s="1" t="n">
        <f aca="false">F$2*TripTable!E23</f>
        <v>0</v>
      </c>
      <c r="G25" s="1" t="n">
        <f aca="false">G$2*TripTable!F23</f>
        <v>9.23884482226296</v>
      </c>
      <c r="H25" s="1" t="n">
        <f aca="false">H$2*TripTable!G23</f>
        <v>0.198171105494464</v>
      </c>
      <c r="I25" s="1" t="n">
        <f aca="false">I$2*TripTable!H23</f>
        <v>0.398664794588975</v>
      </c>
      <c r="J25" s="1" t="n">
        <f aca="false">J$2*TripTable!I23</f>
        <v>12.8820924313157</v>
      </c>
      <c r="K25" s="1" t="n">
        <f aca="false">K$2*TripTable!J23</f>
        <v>0</v>
      </c>
      <c r="L25" s="1" t="n">
        <f aca="false">L$2*TripTable!K23</f>
        <v>92.3105958128048</v>
      </c>
      <c r="M25" s="1" t="n">
        <f aca="false">M$2*TripTable!L23</f>
        <v>0.753449233330008</v>
      </c>
      <c r="N25" s="1" t="n">
        <f aca="false">N$2*TripTable!M23</f>
        <v>0</v>
      </c>
      <c r="O25" s="1" t="n">
        <f aca="false">O$2*TripTable!N23</f>
        <v>0</v>
      </c>
      <c r="P25" s="1" t="n">
        <f aca="false">P$2*TripTable!O23</f>
        <v>0</v>
      </c>
      <c r="Q25" s="1" t="n">
        <f aca="false">Q$2*TripTable!P23</f>
        <v>3.88508515496416</v>
      </c>
      <c r="R25" s="1" t="n">
        <f aca="false">R$2*TripTable!Q23</f>
        <v>0.681167250788893</v>
      </c>
      <c r="S25" s="1" t="n">
        <f aca="false">S$2*TripTable!R23</f>
        <v>2.25974078904467</v>
      </c>
      <c r="T25" s="1" t="n">
        <f aca="false">T$2*TripTable!S23</f>
        <v>0.101439395990166</v>
      </c>
      <c r="U25" s="1" t="n">
        <f aca="false">U$2*TripTable!T23</f>
        <v>1.46919821625374</v>
      </c>
      <c r="V25" s="1" t="n">
        <f aca="false">V$2*TripTable!U23</f>
        <v>301.183120441803</v>
      </c>
      <c r="W25" s="1" t="n">
        <f aca="false">W$2*TripTable!V23</f>
        <v>7.86888660850504</v>
      </c>
      <c r="X25" s="1"/>
      <c r="Y25" s="1" t="n">
        <f aca="false">Y$2*TripTable!X23</f>
        <v>0.398945364140408</v>
      </c>
      <c r="Z25" s="1" t="n">
        <f aca="false">Z$2*TripTable!Y23</f>
        <v>0</v>
      </c>
      <c r="AA25" s="1" t="n">
        <f aca="false">AA$2*TripTable!Z23</f>
        <v>0</v>
      </c>
      <c r="AB25" s="1" t="n">
        <f aca="false">AB$2*TripTable!AA23</f>
        <v>0.0250696313044081</v>
      </c>
      <c r="AC25" s="1" t="n">
        <f aca="false">AC$2*TripTable!AB23</f>
        <v>0</v>
      </c>
      <c r="AD25" s="1" t="n">
        <f aca="false">AD$2*TripTable!AC23</f>
        <v>0.017955747770012</v>
      </c>
      <c r="AE25" s="1" t="n">
        <f aca="false">AE$2*TripTable!AD23</f>
        <v>0</v>
      </c>
      <c r="AF25" s="1" t="n">
        <f aca="false">AF$2*TripTable!AE23</f>
        <v>348.503234816314</v>
      </c>
      <c r="AG25" s="1" t="n">
        <f aca="false">AG$2*TripTable!AF23</f>
        <v>234.494279850665</v>
      </c>
      <c r="AH25" s="1" t="n">
        <f aca="false">AH$2*TripTable!AG23</f>
        <v>0</v>
      </c>
      <c r="AI25" s="1" t="n">
        <f aca="false">AI$2*TripTable!AH23</f>
        <v>791.063736422076</v>
      </c>
      <c r="AJ25" s="1" t="n">
        <f aca="false">AJ$2*TripTable!AI23</f>
        <v>0.0383990381860466</v>
      </c>
      <c r="AK25" s="1" t="n">
        <f aca="false">AK$2*TripTable!AJ23</f>
        <v>0</v>
      </c>
      <c r="AL25" s="1" t="n">
        <f aca="false">AL$2*TripTable!AK23</f>
        <v>5.16149499541135</v>
      </c>
      <c r="AM25" s="1" t="n">
        <f aca="false">AM$2*TripTable!AL23</f>
        <v>1.59554338748106</v>
      </c>
      <c r="AN25" s="1" t="n">
        <f aca="false">AN$2*TripTable!AM23</f>
        <v>0.11127984598345</v>
      </c>
      <c r="AO25" s="1" t="n">
        <f aca="false">AO$2*TripTable!AN23</f>
        <v>65.1563175987783</v>
      </c>
      <c r="AP25" s="1" t="n">
        <f aca="false">AP$2*TripTable!AO23</f>
        <v>9.229431106598</v>
      </c>
      <c r="AQ25" s="1" t="n">
        <f aca="false">AQ$2*TripTable!AP23</f>
        <v>0</v>
      </c>
      <c r="AR25" s="1" t="n">
        <f aca="false">AR$2*TripTable!AQ23</f>
        <v>0</v>
      </c>
      <c r="AS25" s="1" t="n">
        <f aca="false">AS$2*TripTable!AR23</f>
        <v>0.00307427373013888</v>
      </c>
      <c r="AT25" s="1" t="n">
        <f aca="false">AT$2*TripTable!AS23</f>
        <v>2.59848419824282</v>
      </c>
      <c r="AU25" s="1" t="n">
        <f aca="false">AU$2*TripTable!AT23</f>
        <v>0.00622986197117817</v>
      </c>
      <c r="AV25" s="1" t="n">
        <f aca="false">AV$2*TripTable!AU23</f>
        <v>0</v>
      </c>
      <c r="AW25" s="1" t="n">
        <f aca="false">AW$2*TripTable!AV23</f>
        <v>14.0515670615858</v>
      </c>
      <c r="AX25" s="1" t="n">
        <f aca="false">AX$2*TripTable!AW23</f>
        <v>2.89993409206106</v>
      </c>
      <c r="AY25" s="1" t="n">
        <f aca="false">AY$2*TripTable!AX23</f>
        <v>1.38021589280964</v>
      </c>
      <c r="AZ25" s="1" t="n">
        <f aca="false">AZ$2*TripTable!AY23</f>
        <v>0.000373997290597406</v>
      </c>
      <c r="BA25" s="1" t="n">
        <f aca="false">BA$2*TripTable!AZ23</f>
        <v>0</v>
      </c>
      <c r="BB25" s="1" t="n">
        <f aca="false">SUM(C25:BA25)</f>
        <v>1911.2866588078</v>
      </c>
      <c r="BC25" s="2" t="n">
        <f aca="false">BB25/TripTable!BA23</f>
        <v>0.101561541995207</v>
      </c>
      <c r="BD25" s="2" t="n">
        <f aca="false">BB25/BG25</f>
        <v>0.272573682088962</v>
      </c>
      <c r="BE25" s="0" t="s">
        <v>87</v>
      </c>
      <c r="BF25" s="0" t="n">
        <v>2144</v>
      </c>
      <c r="BG25" s="0" t="n">
        <v>7012</v>
      </c>
      <c r="BH25" s="0" t="n">
        <v>2722</v>
      </c>
      <c r="BI25" s="0" t="n">
        <v>16479</v>
      </c>
      <c r="BK25" s="0" t="n">
        <v>0.16374902243879</v>
      </c>
      <c r="BL25" s="0" t="n">
        <v>0.141763449820322</v>
      </c>
      <c r="BM25" s="0" t="s">
        <v>87</v>
      </c>
    </row>
    <row r="26" customFormat="false" ht="12.75" hidden="false" customHeight="false" outlineLevel="0" collapsed="false">
      <c r="A26" s="0" t="s">
        <v>23</v>
      </c>
      <c r="B26" s="1" t="n">
        <v>0.00738787711371125</v>
      </c>
      <c r="C26" s="1" t="n">
        <f aca="false">C$2*TripTable!B24</f>
        <v>0</v>
      </c>
      <c r="D26" s="1" t="n">
        <f aca="false">D$2*TripTable!C24</f>
        <v>5.34542968104659</v>
      </c>
      <c r="E26" s="1" t="n">
        <f aca="false">E$2*TripTable!D24</f>
        <v>0</v>
      </c>
      <c r="F26" s="1" t="n">
        <f aca="false">F$2*TripTable!E24</f>
        <v>0</v>
      </c>
      <c r="G26" s="1" t="n">
        <f aca="false">G$2*TripTable!F24</f>
        <v>10.9513080501881</v>
      </c>
      <c r="H26" s="1" t="n">
        <f aca="false">H$2*TripTable!G24</f>
        <v>0.346059990191825</v>
      </c>
      <c r="I26" s="1" t="n">
        <f aca="false">I$2*TripTable!H24</f>
        <v>0.0067570304167623</v>
      </c>
      <c r="J26" s="1" t="n">
        <f aca="false">J$2*TripTable!I24</f>
        <v>4.54662085811142</v>
      </c>
      <c r="K26" s="1" t="n">
        <f aca="false">K$2*TripTable!J24</f>
        <v>0</v>
      </c>
      <c r="L26" s="1" t="n">
        <f aca="false">L$2*TripTable!K24</f>
        <v>105.697967212301</v>
      </c>
      <c r="M26" s="1" t="n">
        <f aca="false">M$2*TripTable!L24</f>
        <v>2.08454287887969</v>
      </c>
      <c r="N26" s="1" t="n">
        <f aca="false">N$2*TripTable!M24</f>
        <v>0</v>
      </c>
      <c r="O26" s="1" t="n">
        <f aca="false">O$2*TripTable!N24</f>
        <v>0.0128801881449126</v>
      </c>
      <c r="P26" s="1" t="n">
        <f aca="false">P$2*TripTable!O24</f>
        <v>0</v>
      </c>
      <c r="Q26" s="1" t="n">
        <f aca="false">Q$2*TripTable!P24</f>
        <v>93.1495416916408</v>
      </c>
      <c r="R26" s="1" t="n">
        <f aca="false">R$2*TripTable!Q24</f>
        <v>7.49283975867782</v>
      </c>
      <c r="S26" s="1" t="n">
        <f aca="false">S$2*TripTable!R24</f>
        <v>10.3948076296055</v>
      </c>
      <c r="T26" s="1" t="n">
        <f aca="false">T$2*TripTable!S24</f>
        <v>4.39570715957387</v>
      </c>
      <c r="U26" s="1" t="n">
        <f aca="false">U$2*TripTable!T24</f>
        <v>3.20285211143315</v>
      </c>
      <c r="V26" s="1" t="n">
        <f aca="false">V$2*TripTable!U24</f>
        <v>4.09844441633995</v>
      </c>
      <c r="W26" s="1" t="n">
        <f aca="false">W$2*TripTable!V24</f>
        <v>5.83140704023142</v>
      </c>
      <c r="X26" s="1" t="n">
        <f aca="false">X$2*TripTable!W24</f>
        <v>29.0006037106892</v>
      </c>
      <c r="Y26" s="1"/>
      <c r="Z26" s="1" t="n">
        <f aca="false">Z$2*TripTable!Y24</f>
        <v>0</v>
      </c>
      <c r="AA26" s="1" t="n">
        <f aca="false">AA$2*TripTable!Z24</f>
        <v>0</v>
      </c>
      <c r="AB26" s="1" t="n">
        <f aca="false">AB$2*TripTable!AA24</f>
        <v>0.275006258551385</v>
      </c>
      <c r="AC26" s="1" t="n">
        <f aca="false">AC$2*TripTable!AB24</f>
        <v>0</v>
      </c>
      <c r="AD26" s="1" t="n">
        <f aca="false">AD$2*TripTable!AC24</f>
        <v>0.0558623263955928</v>
      </c>
      <c r="AE26" s="1" t="n">
        <f aca="false">AE$2*TripTable!AD24</f>
        <v>0</v>
      </c>
      <c r="AF26" s="1" t="n">
        <f aca="false">AF$2*TripTable!AE24</f>
        <v>4.82887212824227</v>
      </c>
      <c r="AG26" s="1" t="n">
        <f aca="false">AG$2*TripTable!AF24</f>
        <v>36.3493464104177</v>
      </c>
      <c r="AH26" s="1" t="n">
        <f aca="false">AH$2*TripTable!AG24</f>
        <v>0</v>
      </c>
      <c r="AI26" s="1" t="n">
        <f aca="false">AI$2*TripTable!AH24</f>
        <v>182.502120399388</v>
      </c>
      <c r="AJ26" s="1" t="n">
        <f aca="false">AJ$2*TripTable!AI24</f>
        <v>0.0863978359186048</v>
      </c>
      <c r="AK26" s="1" t="n">
        <f aca="false">AK$2*TripTable!AJ24</f>
        <v>0</v>
      </c>
      <c r="AL26" s="1" t="n">
        <f aca="false">AL$2*TripTable!AK24</f>
        <v>121.245818745714</v>
      </c>
      <c r="AM26" s="1" t="n">
        <f aca="false">AM$2*TripTable!AL24</f>
        <v>5.09054318863006</v>
      </c>
      <c r="AN26" s="1" t="n">
        <f aca="false">AN$2*TripTable!AM24</f>
        <v>0.11127984598345</v>
      </c>
      <c r="AO26" s="1" t="n">
        <f aca="false">AO$2*TripTable!AN24</f>
        <v>56.7339569755969</v>
      </c>
      <c r="AP26" s="1" t="n">
        <f aca="false">AP$2*TripTable!AO24</f>
        <v>0</v>
      </c>
      <c r="AQ26" s="1" t="n">
        <f aca="false">AQ$2*TripTable!AP24</f>
        <v>0</v>
      </c>
      <c r="AR26" s="1" t="n">
        <f aca="false">AR$2*TripTable!AQ24</f>
        <v>0</v>
      </c>
      <c r="AS26" s="1" t="n">
        <f aca="false">AS$2*TripTable!AR24</f>
        <v>0.0302206908189124</v>
      </c>
      <c r="AT26" s="1" t="n">
        <f aca="false">AT$2*TripTable!AS24</f>
        <v>4.87525130527462</v>
      </c>
      <c r="AU26" s="1" t="n">
        <f aca="false">AU$2*TripTable!AT24</f>
        <v>0.0218045168991236</v>
      </c>
      <c r="AV26" s="1" t="n">
        <f aca="false">AV$2*TripTable!AU24</f>
        <v>0</v>
      </c>
      <c r="AW26" s="1" t="n">
        <f aca="false">AW$2*TripTable!AV24</f>
        <v>8.04940762137197</v>
      </c>
      <c r="AX26" s="1" t="n">
        <f aca="false">AX$2*TripTable!AW24</f>
        <v>3.02421698172082</v>
      </c>
      <c r="AY26" s="1" t="n">
        <f aca="false">AY$2*TripTable!AX24</f>
        <v>6.24383380080551</v>
      </c>
      <c r="AZ26" s="1" t="n">
        <f aca="false">AZ$2*TripTable!AY24</f>
        <v>0.0108119216736341</v>
      </c>
      <c r="BA26" s="1" t="n">
        <f aca="false">BA$2*TripTable!AZ24</f>
        <v>0</v>
      </c>
      <c r="BB26" s="1" t="n">
        <f aca="false">SUM(C26:BA26)</f>
        <v>716.092520360874</v>
      </c>
      <c r="BC26" s="2" t="n">
        <f aca="false">BB26/TripTable!BA24</f>
        <v>0.0180212532806743</v>
      </c>
      <c r="BD26" s="2" t="n">
        <f aca="false">BB26/BG26</f>
        <v>0.0453309185516791</v>
      </c>
      <c r="BE26" s="0" t="s">
        <v>88</v>
      </c>
      <c r="BF26" s="0" t="n">
        <v>12275</v>
      </c>
      <c r="BG26" s="0" t="n">
        <v>15797</v>
      </c>
      <c r="BH26" s="0" t="n">
        <v>22000</v>
      </c>
      <c r="BI26" s="0" t="n">
        <v>17916</v>
      </c>
      <c r="BK26" s="0" t="n">
        <v>0.637219406227372</v>
      </c>
      <c r="BL26" s="0" t="n">
        <v>0.551157430604269</v>
      </c>
      <c r="BM26" s="0" t="s">
        <v>88</v>
      </c>
    </row>
    <row r="27" customFormat="false" ht="12.75" hidden="false" customHeight="false" outlineLevel="0" collapsed="false">
      <c r="A27" s="0" t="s">
        <v>24</v>
      </c>
      <c r="B27" s="1" t="n">
        <v>0</v>
      </c>
      <c r="C27" s="1" t="n">
        <f aca="false">C$2*TripTable!B25</f>
        <v>0</v>
      </c>
      <c r="D27" s="1" t="n">
        <f aca="false">D$2*TripTable!C25</f>
        <v>1.38352297627088</v>
      </c>
      <c r="E27" s="1" t="n">
        <f aca="false">E$2*TripTable!D25</f>
        <v>0</v>
      </c>
      <c r="F27" s="1" t="n">
        <f aca="false">F$2*TripTable!E25</f>
        <v>0</v>
      </c>
      <c r="G27" s="1" t="n">
        <f aca="false">G$2*TripTable!F25</f>
        <v>9.28112786492777</v>
      </c>
      <c r="H27" s="1" t="n">
        <f aca="false">H$2*TripTable!G25</f>
        <v>0.641837759586548</v>
      </c>
      <c r="I27" s="1" t="n">
        <f aca="false">I$2*TripTable!H25</f>
        <v>0.00571748727572194</v>
      </c>
      <c r="J27" s="1" t="n">
        <f aca="false">J$2*TripTable!I25</f>
        <v>0</v>
      </c>
      <c r="K27" s="1" t="n">
        <f aca="false">K$2*TripTable!J25</f>
        <v>0</v>
      </c>
      <c r="L27" s="1" t="n">
        <f aca="false">L$2*TripTable!K25</f>
        <v>32.690092952258</v>
      </c>
      <c r="M27" s="1" t="n">
        <f aca="false">M$2*TripTable!L25</f>
        <v>0.138132359443835</v>
      </c>
      <c r="N27" s="1" t="n">
        <f aca="false">N$2*TripTable!M25</f>
        <v>0</v>
      </c>
      <c r="O27" s="1" t="n">
        <f aca="false">O$2*TripTable!N25</f>
        <v>0.0139535371569887</v>
      </c>
      <c r="P27" s="1" t="n">
        <f aca="false">P$2*TripTable!O25</f>
        <v>0</v>
      </c>
      <c r="Q27" s="1" t="n">
        <f aca="false">Q$2*TripTable!P25</f>
        <v>9.52770883241212</v>
      </c>
      <c r="R27" s="1" t="n">
        <f aca="false">R$2*TripTable!Q25</f>
        <v>34.4415191180134</v>
      </c>
      <c r="S27" s="1" t="n">
        <f aca="false">S$2*TripTable!R25</f>
        <v>6.71465834458987</v>
      </c>
      <c r="T27" s="1" t="n">
        <f aca="false">T$2*TripTable!S25</f>
        <v>0.253598489975415</v>
      </c>
      <c r="U27" s="1" t="n">
        <f aca="false">U$2*TripTable!T25</f>
        <v>1.58673407355404</v>
      </c>
      <c r="V27" s="1" t="n">
        <f aca="false">V$2*TripTable!U25</f>
        <v>0.420353273470764</v>
      </c>
      <c r="W27" s="1" t="n">
        <f aca="false">W$2*TripTable!V25</f>
        <v>0.98361082606313</v>
      </c>
      <c r="X27" s="1" t="n">
        <f aca="false">X$2*TripTable!W25</f>
        <v>5.19724080836724</v>
      </c>
      <c r="Y27" s="1" t="n">
        <f aca="false">Y$2*TripTable!X25</f>
        <v>2.44538732463842</v>
      </c>
      <c r="Z27" s="1"/>
      <c r="AA27" s="1" t="n">
        <f aca="false">AA$2*TripTable!Z25</f>
        <v>0</v>
      </c>
      <c r="AB27" s="1" t="n">
        <f aca="false">AB$2*TripTable!AA25</f>
        <v>0.21119265159471</v>
      </c>
      <c r="AC27" s="1" t="n">
        <f aca="false">AC$2*TripTable!AB25</f>
        <v>0</v>
      </c>
      <c r="AD27" s="1" t="n">
        <f aca="false">AD$2*TripTable!AC25</f>
        <v>0.337169041459114</v>
      </c>
      <c r="AE27" s="1" t="n">
        <f aca="false">AE$2*TripTable!AD25</f>
        <v>0</v>
      </c>
      <c r="AF27" s="1" t="n">
        <f aca="false">AF$2*TripTable!AE25</f>
        <v>0.824441582870631</v>
      </c>
      <c r="AG27" s="1" t="n">
        <f aca="false">AG$2*TripTable!AF25</f>
        <v>5.19276377291682</v>
      </c>
      <c r="AH27" s="1" t="n">
        <f aca="false">AH$2*TripTable!AG25</f>
        <v>0</v>
      </c>
      <c r="AI27" s="1" t="n">
        <f aca="false">AI$2*TripTable!AH25</f>
        <v>75.3236024193839</v>
      </c>
      <c r="AJ27" s="1" t="n">
        <f aca="false">AJ$2*TripTable!AI25</f>
        <v>0.0472603546905189</v>
      </c>
      <c r="AK27" s="1" t="n">
        <f aca="false">AK$2*TripTable!AJ25</f>
        <v>0</v>
      </c>
      <c r="AL27" s="1" t="n">
        <f aca="false">AL$2*TripTable!AK25</f>
        <v>1.90679432951502</v>
      </c>
      <c r="AM27" s="1" t="n">
        <f aca="false">AM$2*TripTable!AL25</f>
        <v>2.12739118330809</v>
      </c>
      <c r="AN27" s="1" t="n">
        <f aca="false">AN$2*TripTable!AM25</f>
        <v>0.275550094816161</v>
      </c>
      <c r="AO27" s="1" t="n">
        <f aca="false">AO$2*TripTable!AN25</f>
        <v>4.91304369685581</v>
      </c>
      <c r="AP27" s="1" t="n">
        <f aca="false">AP$2*TripTable!AO25</f>
        <v>0.186830589202389</v>
      </c>
      <c r="AQ27" s="1" t="n">
        <f aca="false">AQ$2*TripTable!AP25</f>
        <v>0</v>
      </c>
      <c r="AR27" s="1" t="n">
        <f aca="false">AR$2*TripTable!AQ25</f>
        <v>0</v>
      </c>
      <c r="AS27" s="1" t="n">
        <f aca="false">AS$2*TripTable!AR25</f>
        <v>0.00203018076518605</v>
      </c>
      <c r="AT27" s="1" t="n">
        <f aca="false">AT$2*TripTable!AS25</f>
        <v>6.23636207578276</v>
      </c>
      <c r="AU27" s="1" t="n">
        <f aca="false">AU$2*TripTable!AT25</f>
        <v>0.0074758343654138</v>
      </c>
      <c r="AV27" s="1" t="n">
        <f aca="false">AV$2*TripTable!AU25</f>
        <v>0</v>
      </c>
      <c r="AW27" s="1" t="n">
        <f aca="false">AW$2*TripTable!AV25</f>
        <v>2.18683328441897</v>
      </c>
      <c r="AX27" s="1" t="n">
        <f aca="false">AX$2*TripTable!AW25</f>
        <v>3.81134194956597</v>
      </c>
      <c r="AY27" s="1" t="n">
        <f aca="false">AY$2*TripTable!AX25</f>
        <v>0</v>
      </c>
      <c r="AZ27" s="1" t="n">
        <f aca="false">AZ$2*TripTable!AY25</f>
        <v>0.0329910943311833</v>
      </c>
      <c r="BA27" s="1" t="n">
        <f aca="false">BA$2*TripTable!AZ25</f>
        <v>0</v>
      </c>
      <c r="BB27" s="1" t="n">
        <f aca="false">SUM(C27:BA27)</f>
        <v>209.348270163847</v>
      </c>
      <c r="BC27" s="2" t="n">
        <f aca="false">BB27/TripTable!BA25</f>
        <v>0.00813887995349688</v>
      </c>
      <c r="BD27" s="2" t="n">
        <f aca="false">BB27/BG27</f>
        <v>0.0294359210016658</v>
      </c>
      <c r="BE27" s="0" t="s">
        <v>89</v>
      </c>
      <c r="BF27" s="0" t="n">
        <v>4613</v>
      </c>
      <c r="BG27" s="0" t="n">
        <v>7112</v>
      </c>
      <c r="BH27" s="0" t="n">
        <v>15379</v>
      </c>
      <c r="BI27" s="0" t="n">
        <v>10468</v>
      </c>
      <c r="BK27" s="0" t="n">
        <v>0.620145973627969</v>
      </c>
      <c r="BL27" s="0" t="n">
        <v>0.595001354122335</v>
      </c>
      <c r="BM27" s="0" t="s">
        <v>89</v>
      </c>
    </row>
    <row r="28" customFormat="false" ht="12.75" hidden="false" customHeight="false" outlineLevel="0" collapsed="false">
      <c r="A28" s="0" t="s">
        <v>25</v>
      </c>
      <c r="B28" s="1" t="n">
        <v>0</v>
      </c>
      <c r="C28" s="1" t="n">
        <f aca="false">C$2*TripTable!B26</f>
        <v>0</v>
      </c>
      <c r="D28" s="1" t="n">
        <f aca="false">D$2*TripTable!C26</f>
        <v>1.63507260832013</v>
      </c>
      <c r="E28" s="1" t="n">
        <f aca="false">E$2*TripTable!D26</f>
        <v>0</v>
      </c>
      <c r="F28" s="1" t="n">
        <f aca="false">F$2*TripTable!E26</f>
        <v>0</v>
      </c>
      <c r="G28" s="1" t="n">
        <f aca="false">G$2*TripTable!F26</f>
        <v>1.52218953593348</v>
      </c>
      <c r="H28" s="1" t="n">
        <f aca="false">H$2*TripTable!G26</f>
        <v>0.091691108512364</v>
      </c>
      <c r="I28" s="1" t="n">
        <f aca="false">I$2*TripTable!H26</f>
        <v>0.000779657355780265</v>
      </c>
      <c r="J28" s="1" t="n">
        <f aca="false">J$2*TripTable!I26</f>
        <v>0.252590047672857</v>
      </c>
      <c r="K28" s="1" t="n">
        <f aca="false">K$2*TripTable!J26</f>
        <v>0</v>
      </c>
      <c r="L28" s="1" t="n">
        <f aca="false">L$2*TripTable!K26</f>
        <v>43.5867906030107</v>
      </c>
      <c r="M28" s="1" t="n">
        <f aca="false">M$2*TripTable!L26</f>
        <v>1.05482892666201</v>
      </c>
      <c r="N28" s="1" t="n">
        <f aca="false">N$2*TripTable!M26</f>
        <v>0</v>
      </c>
      <c r="O28" s="1" t="n">
        <f aca="false">O$2*TripTable!N26</f>
        <v>0.0021466980241521</v>
      </c>
      <c r="P28" s="1" t="n">
        <f aca="false">P$2*TripTable!O26</f>
        <v>0</v>
      </c>
      <c r="Q28" s="1" t="n">
        <f aca="false">Q$2*TripTable!P26</f>
        <v>3.51507704496758</v>
      </c>
      <c r="R28" s="1" t="n">
        <f aca="false">R$2*TripTable!Q26</f>
        <v>0.425729531743058</v>
      </c>
      <c r="S28" s="1" t="n">
        <f aca="false">S$2*TripTable!R26</f>
        <v>2.06604872141227</v>
      </c>
      <c r="T28" s="1" t="n">
        <f aca="false">T$2*TripTable!S26</f>
        <v>0.32967803696804</v>
      </c>
      <c r="U28" s="1" t="n">
        <f aca="false">U$2*TripTable!T26</f>
        <v>49.7470516023517</v>
      </c>
      <c r="V28" s="1" t="n">
        <f aca="false">V$2*TripTable!U26</f>
        <v>0</v>
      </c>
      <c r="W28" s="1" t="n">
        <f aca="false">W$2*TripTable!V26</f>
        <v>0.421547496884199</v>
      </c>
      <c r="X28" s="1" t="n">
        <f aca="false">X$2*TripTable!W26</f>
        <v>1.55917224251017</v>
      </c>
      <c r="Y28" s="1" t="n">
        <f aca="false">Y$2*TripTable!X26</f>
        <v>0.465436258163809</v>
      </c>
      <c r="Z28" s="1" t="n">
        <f aca="false">Z$2*TripTable!Y26</f>
        <v>0</v>
      </c>
      <c r="AA28" s="1"/>
      <c r="AB28" s="1" t="n">
        <f aca="false">AB$2*TripTable!AA26</f>
        <v>0.116231926956801</v>
      </c>
      <c r="AC28" s="1" t="n">
        <f aca="false">AC$2*TripTable!AB26</f>
        <v>0</v>
      </c>
      <c r="AD28" s="1" t="n">
        <f aca="false">AD$2*TripTable!AC26</f>
        <v>0.00199508308555689</v>
      </c>
      <c r="AE28" s="1" t="n">
        <f aca="false">AE$2*TripTable!AD26</f>
        <v>0</v>
      </c>
      <c r="AF28" s="1" t="n">
        <f aca="false">AF$2*TripTable!AE26</f>
        <v>1.41332842777822</v>
      </c>
      <c r="AG28" s="1" t="n">
        <f aca="false">AG$2*TripTable!AF26</f>
        <v>3.27964027763168</v>
      </c>
      <c r="AH28" s="1" t="n">
        <f aca="false">AH$2*TripTable!AG26</f>
        <v>0</v>
      </c>
      <c r="AI28" s="1" t="n">
        <f aca="false">AI$2*TripTable!AH26</f>
        <v>12.2774153723225</v>
      </c>
      <c r="AJ28" s="1" t="n">
        <f aca="false">AJ$2*TripTable!AI26</f>
        <v>0.0546447851109124</v>
      </c>
      <c r="AK28" s="1" t="n">
        <f aca="false">AK$2*TripTable!AJ26</f>
        <v>0</v>
      </c>
      <c r="AL28" s="1" t="n">
        <f aca="false">AL$2*TripTable!AK26</f>
        <v>1.21640327917337</v>
      </c>
      <c r="AM28" s="1" t="n">
        <f aca="false">AM$2*TripTable!AL26</f>
        <v>1.44358687438763</v>
      </c>
      <c r="AN28" s="1" t="n">
        <f aca="false">AN$2*TripTable!AM26</f>
        <v>0.0158971208547785</v>
      </c>
      <c r="AO28" s="1" t="n">
        <f aca="false">AO$2*TripTable!AN26</f>
        <v>3.74327138808062</v>
      </c>
      <c r="AP28" s="1" t="n">
        <f aca="false">AP$2*TripTable!AO26</f>
        <v>0.0373661178404778</v>
      </c>
      <c r="AQ28" s="1" t="n">
        <f aca="false">AQ$2*TripTable!AP26</f>
        <v>0</v>
      </c>
      <c r="AR28" s="1" t="n">
        <f aca="false">AR$2*TripTable!AQ26</f>
        <v>0</v>
      </c>
      <c r="AS28" s="1" t="n">
        <f aca="false">AS$2*TripTable!AR26</f>
        <v>0.0592812783434328</v>
      </c>
      <c r="AT28" s="1" t="n">
        <f aca="false">AT$2*TripTable!AS26</f>
        <v>10.2454519816431</v>
      </c>
      <c r="AU28" s="1" t="n">
        <f aca="false">AU$2*TripTable!AT26</f>
        <v>0.00249194478847127</v>
      </c>
      <c r="AV28" s="1" t="n">
        <f aca="false">AV$2*TripTable!AU26</f>
        <v>0</v>
      </c>
      <c r="AW28" s="1" t="n">
        <f aca="false">AW$2*TripTable!AV26</f>
        <v>1.9076630778974</v>
      </c>
      <c r="AX28" s="1" t="n">
        <f aca="false">AX$2*TripTable!AW26</f>
        <v>0.662842078185385</v>
      </c>
      <c r="AY28" s="1" t="n">
        <f aca="false">AY$2*TripTable!AX26</f>
        <v>0.46007196426988</v>
      </c>
      <c r="AZ28" s="1" t="n">
        <f aca="false">AZ$2*TripTable!AY26</f>
        <v>0.000158665517223142</v>
      </c>
      <c r="BA28" s="1" t="n">
        <f aca="false">BA$2*TripTable!AZ26</f>
        <v>0</v>
      </c>
      <c r="BB28" s="1" t="n">
        <f aca="false">SUM(C28:BA28)</f>
        <v>143.61357176436</v>
      </c>
      <c r="BC28" s="2" t="n">
        <f aca="false">BB28/TripTable!BA26</f>
        <v>0.0132607176144376</v>
      </c>
      <c r="BD28" s="2" t="n">
        <f aca="false">BB28/BG28</f>
        <v>0.00826838457967411</v>
      </c>
      <c r="BE28" s="0" t="s">
        <v>90</v>
      </c>
      <c r="BF28" s="0" t="n">
        <v>12665</v>
      </c>
      <c r="BG28" s="0" t="n">
        <v>17369</v>
      </c>
      <c r="BH28" s="0" t="n">
        <v>4613</v>
      </c>
      <c r="BI28" s="0" t="n">
        <v>6289</v>
      </c>
      <c r="BK28" s="0" t="n">
        <v>0.393432835820896</v>
      </c>
      <c r="BL28" s="0" t="n">
        <v>0.423133370023849</v>
      </c>
      <c r="BM28" s="0" t="s">
        <v>90</v>
      </c>
    </row>
    <row r="29" customFormat="false" ht="12.75" hidden="false" customHeight="false" outlineLevel="0" collapsed="false">
      <c r="A29" s="0" t="s">
        <v>26</v>
      </c>
      <c r="B29" s="1" t="n">
        <v>0.000759685797103275</v>
      </c>
      <c r="C29" s="1" t="n">
        <f aca="false">C$2*TripTable!B27</f>
        <v>0</v>
      </c>
      <c r="D29" s="1" t="n">
        <f aca="false">D$2*TripTable!C27</f>
        <v>0.943311120184692</v>
      </c>
      <c r="E29" s="1" t="n">
        <f aca="false">E$2*TripTable!D27</f>
        <v>0</v>
      </c>
      <c r="F29" s="1" t="n">
        <f aca="false">F$2*TripTable!E27</f>
        <v>0</v>
      </c>
      <c r="G29" s="1" t="n">
        <f aca="false">G$2*TripTable!F27</f>
        <v>5.62364467442093</v>
      </c>
      <c r="H29" s="1" t="n">
        <f aca="false">H$2*TripTable!G27</f>
        <v>1.40790218231888</v>
      </c>
      <c r="I29" s="1" t="n">
        <f aca="false">I$2*TripTable!H27</f>
        <v>0.00233897206734079</v>
      </c>
      <c r="J29" s="1" t="n">
        <f aca="false">J$2*TripTable!I27</f>
        <v>0.505180095345714</v>
      </c>
      <c r="K29" s="1" t="n">
        <f aca="false">K$2*TripTable!J27</f>
        <v>0</v>
      </c>
      <c r="L29" s="1" t="n">
        <f aca="false">L$2*TripTable!K27</f>
        <v>40.7847826356743</v>
      </c>
      <c r="M29" s="1" t="n">
        <f aca="false">M$2*TripTable!L27</f>
        <v>0.899953250921954</v>
      </c>
      <c r="N29" s="1" t="n">
        <f aca="false">N$2*TripTable!M27</f>
        <v>0</v>
      </c>
      <c r="O29" s="1" t="n">
        <f aca="false">O$2*TripTable!N27</f>
        <v>0.0042933960483042</v>
      </c>
      <c r="P29" s="1" t="n">
        <f aca="false">P$2*TripTable!O27</f>
        <v>0</v>
      </c>
      <c r="Q29" s="1" t="n">
        <f aca="false">Q$2*TripTable!P27</f>
        <v>35.3357745046741</v>
      </c>
      <c r="R29" s="1" t="n">
        <f aca="false">R$2*TripTable!Q27</f>
        <v>38.1027930910037</v>
      </c>
      <c r="S29" s="1" t="n">
        <f aca="false">S$2*TripTable!R27</f>
        <v>98.1373142670828</v>
      </c>
      <c r="T29" s="1" t="n">
        <f aca="false">T$2*TripTable!S27</f>
        <v>1.71601644883364</v>
      </c>
      <c r="U29" s="1" t="n">
        <f aca="false">U$2*TripTable!T27</f>
        <v>8.5213496542717</v>
      </c>
      <c r="V29" s="1" t="n">
        <f aca="false">V$2*TripTable!U27</f>
        <v>0.315264955103073</v>
      </c>
      <c r="W29" s="1" t="n">
        <f aca="false">W$2*TripTable!V27</f>
        <v>2.52928498130519</v>
      </c>
      <c r="X29" s="1" t="n">
        <f aca="false">X$2*TripTable!W27</f>
        <v>6.54852341854272</v>
      </c>
      <c r="Y29" s="1" t="n">
        <f aca="false">Y$2*TripTable!X27</f>
        <v>1.78047838440441</v>
      </c>
      <c r="Z29" s="1" t="n">
        <f aca="false">Z$2*TripTable!Y27</f>
        <v>0</v>
      </c>
      <c r="AA29" s="1" t="n">
        <f aca="false">AA$2*TripTable!Z27</f>
        <v>0</v>
      </c>
      <c r="AB29" s="1"/>
      <c r="AC29" s="1" t="n">
        <f aca="false">AC$2*TripTable!AB27</f>
        <v>0</v>
      </c>
      <c r="AD29" s="1" t="n">
        <f aca="false">AD$2*TripTable!AC27</f>
        <v>0.668352833661557</v>
      </c>
      <c r="AE29" s="1" t="n">
        <f aca="false">AE$2*TripTable!AD27</f>
        <v>0</v>
      </c>
      <c r="AF29" s="1" t="n">
        <f aca="false">AF$2*TripTable!AE27</f>
        <v>0</v>
      </c>
      <c r="AG29" s="1" t="n">
        <f aca="false">AG$2*TripTable!AF27</f>
        <v>12.8452577540574</v>
      </c>
      <c r="AH29" s="1" t="n">
        <f aca="false">AH$2*TripTable!AG27</f>
        <v>0</v>
      </c>
      <c r="AI29" s="1" t="n">
        <f aca="false">AI$2*TripTable!AH27</f>
        <v>32.1867375977103</v>
      </c>
      <c r="AJ29" s="1" t="n">
        <f aca="false">AJ$2*TripTable!AI27</f>
        <v>0.0834440637504473</v>
      </c>
      <c r="AK29" s="1" t="n">
        <f aca="false">AK$2*TripTable!AJ27</f>
        <v>0</v>
      </c>
      <c r="AL29" s="1" t="n">
        <f aca="false">AL$2*TripTable!AK27</f>
        <v>4.79986158808953</v>
      </c>
      <c r="AM29" s="1" t="n">
        <f aca="false">AM$2*TripTable!AL27</f>
        <v>77.8777129603853</v>
      </c>
      <c r="AN29" s="1" t="n">
        <f aca="false">AN$2*TripTable!AM27</f>
        <v>0.105980805698523</v>
      </c>
      <c r="AO29" s="1" t="n">
        <f aca="false">AO$2*TripTable!AN27</f>
        <v>12.0486547803845</v>
      </c>
      <c r="AP29" s="1" t="n">
        <f aca="false">AP$2*TripTable!AO27</f>
        <v>0.112098353521433</v>
      </c>
      <c r="AQ29" s="1" t="n">
        <f aca="false">AQ$2*TripTable!AP27</f>
        <v>0</v>
      </c>
      <c r="AR29" s="1" t="n">
        <f aca="false">AR$2*TripTable!AQ27</f>
        <v>0</v>
      </c>
      <c r="AS29" s="1" t="n">
        <f aca="false">AS$2*TripTable!AR27</f>
        <v>0.0392694965151702</v>
      </c>
      <c r="AT29" s="1" t="n">
        <f aca="false">AT$2*TripTable!AS27</f>
        <v>18.5853488845748</v>
      </c>
      <c r="AU29" s="1" t="n">
        <f aca="false">AU$2*TripTable!AT27</f>
        <v>0.044232019995365</v>
      </c>
      <c r="AV29" s="1" t="n">
        <f aca="false">AV$2*TripTable!AU27</f>
        <v>0</v>
      </c>
      <c r="AW29" s="1" t="n">
        <f aca="false">AW$2*TripTable!AV27</f>
        <v>2.46600349094055</v>
      </c>
      <c r="AX29" s="1" t="n">
        <f aca="false">AX$2*TripTable!AW27</f>
        <v>3.35563802081351</v>
      </c>
      <c r="AY29" s="1" t="n">
        <f aca="false">AY$2*TripTable!AX27</f>
        <v>1.38021589280964</v>
      </c>
      <c r="AZ29" s="1" t="n">
        <f aca="false">AZ$2*TripTable!AY27</f>
        <v>0.00205131847267062</v>
      </c>
      <c r="BA29" s="1" t="n">
        <f aca="false">BA$2*TripTable!AZ27</f>
        <v>0</v>
      </c>
      <c r="BB29" s="1" t="n">
        <f aca="false">SUM(C29:BA29)</f>
        <v>409.759065893584</v>
      </c>
      <c r="BC29" s="2" t="n">
        <f aca="false">BB29/TripTable!BA27</f>
        <v>0.0163120647250631</v>
      </c>
      <c r="BD29" s="2" t="n">
        <f aca="false">BB29/BG29</f>
        <v>0.13087162756103</v>
      </c>
      <c r="BE29" s="0" t="s">
        <v>91</v>
      </c>
      <c r="BF29" s="0" t="n">
        <v>4117</v>
      </c>
      <c r="BG29" s="0" t="n">
        <v>3131</v>
      </c>
      <c r="BH29" s="0" t="n">
        <v>12275</v>
      </c>
      <c r="BI29" s="0" t="n">
        <v>13002</v>
      </c>
      <c r="BK29" s="0" t="n">
        <v>0.437268452550584</v>
      </c>
      <c r="BL29" s="0" t="n">
        <v>0.485619337737865</v>
      </c>
      <c r="BM29" s="0" t="s">
        <v>91</v>
      </c>
    </row>
    <row r="30" customFormat="false" ht="12.75" hidden="false" customHeight="false" outlineLevel="0" collapsed="false">
      <c r="A30" s="0" t="s">
        <v>27</v>
      </c>
      <c r="B30" s="1" t="n">
        <v>0</v>
      </c>
      <c r="C30" s="1" t="n">
        <f aca="false">C$2*TripTable!B28</f>
        <v>0</v>
      </c>
      <c r="D30" s="1" t="n">
        <f aca="false">D$2*TripTable!C28</f>
        <v>0.565986672110815</v>
      </c>
      <c r="E30" s="1" t="n">
        <f aca="false">E$2*TripTable!D28</f>
        <v>0</v>
      </c>
      <c r="F30" s="1" t="n">
        <f aca="false">F$2*TripTable!E28</f>
        <v>0</v>
      </c>
      <c r="G30" s="1" t="n">
        <f aca="false">G$2*TripTable!F28</f>
        <v>1.88159539858445</v>
      </c>
      <c r="H30" s="1" t="n">
        <f aca="false">H$2*TripTable!G28</f>
        <v>0.257326659373409</v>
      </c>
      <c r="I30" s="1" t="n">
        <f aca="false">I$2*TripTable!H28</f>
        <v>0.000519771570520177</v>
      </c>
      <c r="J30" s="1" t="n">
        <f aca="false">J$2*TripTable!I28</f>
        <v>0</v>
      </c>
      <c r="K30" s="1" t="n">
        <f aca="false">K$2*TripTable!J28</f>
        <v>0</v>
      </c>
      <c r="L30" s="1" t="n">
        <f aca="false">L$2*TripTable!K28</f>
        <v>1.71233820226114</v>
      </c>
      <c r="M30" s="1" t="n">
        <f aca="false">M$2*TripTable!L28</f>
        <v>0.020929145370278</v>
      </c>
      <c r="N30" s="1" t="n">
        <f aca="false">N$2*TripTable!M28</f>
        <v>0</v>
      </c>
      <c r="O30" s="1" t="n">
        <f aca="false">O$2*TripTable!N28</f>
        <v>0.264043856970708</v>
      </c>
      <c r="P30" s="1" t="n">
        <f aca="false">P$2*TripTable!O28</f>
        <v>0</v>
      </c>
      <c r="Q30" s="1" t="n">
        <f aca="false">Q$2*TripTable!P28</f>
        <v>0.462510137495734</v>
      </c>
      <c r="R30" s="1" t="n">
        <f aca="false">R$2*TripTable!Q28</f>
        <v>0.51087543809167</v>
      </c>
      <c r="S30" s="1" t="n">
        <f aca="false">S$2*TripTable!R28</f>
        <v>0.710204247985467</v>
      </c>
      <c r="T30" s="1" t="n">
        <f aca="false">T$2*TripTable!S28</f>
        <v>0.0338131319967221</v>
      </c>
      <c r="U30" s="1" t="n">
        <f aca="false">U$2*TripTable!T28</f>
        <v>0.205687750275524</v>
      </c>
      <c r="V30" s="1" t="n">
        <f aca="false">V$2*TripTable!U28</f>
        <v>0.210176636735382</v>
      </c>
      <c r="W30" s="1" t="n">
        <f aca="false">W$2*TripTable!V28</f>
        <v>0.140515832294733</v>
      </c>
      <c r="X30" s="1" t="n">
        <f aca="false">X$2*TripTable!W28</f>
        <v>0.727613713171413</v>
      </c>
      <c r="Y30" s="1" t="n">
        <f aca="false">Y$2*TripTable!X28</f>
        <v>0.192084804956493</v>
      </c>
      <c r="Z30" s="1" t="n">
        <f aca="false">Z$2*TripTable!Y28</f>
        <v>0</v>
      </c>
      <c r="AA30" s="1" t="n">
        <f aca="false">AA$2*TripTable!Z28</f>
        <v>0</v>
      </c>
      <c r="AB30" s="1" t="n">
        <f aca="false">AB$2*TripTable!AA28</f>
        <v>0.0189921449275819</v>
      </c>
      <c r="AC30" s="1"/>
      <c r="AD30" s="1" t="n">
        <f aca="false">AD$2*TripTable!AC28</f>
        <v>0.0239409970266826</v>
      </c>
      <c r="AE30" s="1" t="n">
        <f aca="false">AE$2*TripTable!AD28</f>
        <v>0</v>
      </c>
      <c r="AF30" s="1" t="n">
        <f aca="false">AF$2*TripTable!AE28</f>
        <v>0.117777368981519</v>
      </c>
      <c r="AG30" s="1" t="n">
        <f aca="false">AG$2*TripTable!AF28</f>
        <v>0.819910069407919</v>
      </c>
      <c r="AH30" s="1" t="n">
        <f aca="false">AH$2*TripTable!AG28</f>
        <v>0</v>
      </c>
      <c r="AI30" s="1" t="n">
        <f aca="false">AI$2*TripTable!AH28</f>
        <v>4.31368648216736</v>
      </c>
      <c r="AJ30" s="1" t="n">
        <f aca="false">AJ$2*TripTable!AI28</f>
        <v>0.00295377216815743</v>
      </c>
      <c r="AK30" s="1" t="n">
        <f aca="false">AK$2*TripTable!AJ28</f>
        <v>0</v>
      </c>
      <c r="AL30" s="1" t="n">
        <f aca="false">AL$2*TripTable!AK28</f>
        <v>0.263006114415865</v>
      </c>
      <c r="AM30" s="1" t="n">
        <f aca="false">AM$2*TripTable!AL28</f>
        <v>0.379891282733587</v>
      </c>
      <c r="AN30" s="1" t="n">
        <f aca="false">AN$2*TripTable!AM28</f>
        <v>0.408026101939315</v>
      </c>
      <c r="AO30" s="1" t="n">
        <f aca="false">AO$2*TripTable!AN28</f>
        <v>0.467908923510077</v>
      </c>
      <c r="AP30" s="1" t="n">
        <f aca="false">AP$2*TripTable!AO28</f>
        <v>0</v>
      </c>
      <c r="AQ30" s="1" t="n">
        <f aca="false">AQ$2*TripTable!AP28</f>
        <v>0</v>
      </c>
      <c r="AR30" s="1" t="n">
        <f aca="false">AR$2*TripTable!AQ28</f>
        <v>0</v>
      </c>
      <c r="AS30" s="1" t="n">
        <f aca="false">AS$2*TripTable!AR28</f>
        <v>0.000290025823598008</v>
      </c>
      <c r="AT30" s="1" t="n">
        <f aca="false">AT$2*TripTable!AS28</f>
        <v>0.841413930859579</v>
      </c>
      <c r="AU30" s="1" t="n">
        <f aca="false">AU$2*TripTable!AT28</f>
        <v>0.0411170890097759</v>
      </c>
      <c r="AV30" s="1" t="n">
        <f aca="false">AV$2*TripTable!AU28</f>
        <v>0</v>
      </c>
      <c r="AW30" s="1" t="n">
        <f aca="false">AW$2*TripTable!AV28</f>
        <v>0.279170206521571</v>
      </c>
      <c r="AX30" s="1" t="n">
        <f aca="false">AX$2*TripTable!AW28</f>
        <v>15.1210849086041</v>
      </c>
      <c r="AY30" s="1" t="n">
        <f aca="false">AY$2*TripTable!AX28</f>
        <v>0.262898265297074</v>
      </c>
      <c r="AZ30" s="1" t="n">
        <f aca="false">AZ$2*TripTable!AY28</f>
        <v>0.00010199926107202</v>
      </c>
      <c r="BA30" s="1" t="n">
        <f aca="false">BA$2*TripTable!AZ28</f>
        <v>0</v>
      </c>
      <c r="BB30" s="1" t="n">
        <f aca="false">SUM(C30:BA30)</f>
        <v>31.2583910818993</v>
      </c>
      <c r="BC30" s="2" t="n">
        <f aca="false">BB30/TripTable!BA28</f>
        <v>0.00524469649025156</v>
      </c>
      <c r="BD30" s="2" t="n">
        <f aca="false">BB30/BG30</f>
        <v>0.0141185144904694</v>
      </c>
      <c r="BE30" s="0" t="s">
        <v>92</v>
      </c>
      <c r="BF30" s="0" t="n">
        <v>2389</v>
      </c>
      <c r="BG30" s="0" t="n">
        <v>2214</v>
      </c>
      <c r="BH30" s="0" t="n">
        <v>4117</v>
      </c>
      <c r="BI30" s="0" t="n">
        <v>1848</v>
      </c>
      <c r="BK30" s="0" t="n">
        <v>0.56801876379691</v>
      </c>
      <c r="BL30" s="0" t="n">
        <v>0.690192791282481</v>
      </c>
      <c r="BM30" s="0" t="s">
        <v>92</v>
      </c>
    </row>
    <row r="31" customFormat="false" ht="12.75" hidden="false" customHeight="false" outlineLevel="0" collapsed="false">
      <c r="A31" s="0" t="s">
        <v>28</v>
      </c>
      <c r="B31" s="1" t="n">
        <v>0.00199508308555689</v>
      </c>
      <c r="C31" s="1" t="n">
        <f aca="false">C$2*TripTable!B29</f>
        <v>0</v>
      </c>
      <c r="D31" s="1" t="n">
        <f aca="false">D$2*TripTable!C29</f>
        <v>0.440211856086189</v>
      </c>
      <c r="E31" s="1" t="n">
        <f aca="false">E$2*TripTable!D29</f>
        <v>0</v>
      </c>
      <c r="F31" s="1" t="n">
        <f aca="false">F$2*TripTable!E29</f>
        <v>0</v>
      </c>
      <c r="G31" s="1" t="n">
        <f aca="false">G$2*TripTable!F29</f>
        <v>2.74839777321324</v>
      </c>
      <c r="H31" s="1" t="n">
        <f aca="false">H$2*TripTable!G29</f>
        <v>1.76283550559255</v>
      </c>
      <c r="I31" s="1" t="n">
        <f aca="false">I$2*TripTable!H29</f>
        <v>0.00181920049682062</v>
      </c>
      <c r="J31" s="1" t="n">
        <f aca="false">J$2*TripTable!I29</f>
        <v>0.505180095345714</v>
      </c>
      <c r="K31" s="1" t="n">
        <f aca="false">K$2*TripTable!J29</f>
        <v>0</v>
      </c>
      <c r="L31" s="1" t="n">
        <f aca="false">L$2*TripTable!K29</f>
        <v>6.84935280904454</v>
      </c>
      <c r="M31" s="1" t="n">
        <f aca="false">M$2*TripTable!L29</f>
        <v>0.121389043147612</v>
      </c>
      <c r="N31" s="1" t="n">
        <f aca="false">N$2*TripTable!M29</f>
        <v>0</v>
      </c>
      <c r="O31" s="1" t="n">
        <f aca="false">O$2*TripTable!N29</f>
        <v>0.0107334901207605</v>
      </c>
      <c r="P31" s="1" t="n">
        <f aca="false">P$2*TripTable!O29</f>
        <v>0</v>
      </c>
      <c r="Q31" s="1" t="n">
        <f aca="false">Q$2*TripTable!P29</f>
        <v>6.10513381494368</v>
      </c>
      <c r="R31" s="1" t="n">
        <f aca="false">R$2*TripTable!Q29</f>
        <v>40.9126080005079</v>
      </c>
      <c r="S31" s="1" t="n">
        <f aca="false">S$2*TripTable!R29</f>
        <v>26.2775571754623</v>
      </c>
      <c r="T31" s="1" t="n">
        <f aca="false">T$2*TripTable!S29</f>
        <v>0.135252527986888</v>
      </c>
      <c r="U31" s="1" t="n">
        <f aca="false">U$2*TripTable!T29</f>
        <v>0.323223607575823</v>
      </c>
      <c r="V31" s="1" t="n">
        <f aca="false">V$2*TripTable!U29</f>
        <v>0.105088318367691</v>
      </c>
      <c r="W31" s="1" t="n">
        <f aca="false">W$2*TripTable!V29</f>
        <v>0.702579161473665</v>
      </c>
      <c r="X31" s="1" t="n">
        <f aca="false">X$2*TripTable!W29</f>
        <v>0.831558529338758</v>
      </c>
      <c r="Y31" s="1" t="n">
        <f aca="false">Y$2*TripTable!X29</f>
        <v>0.206860559183915</v>
      </c>
      <c r="Z31" s="1" t="n">
        <f aca="false">Z$2*TripTable!Y29</f>
        <v>0</v>
      </c>
      <c r="AA31" s="1" t="n">
        <f aca="false">AA$2*TripTable!Z29</f>
        <v>0</v>
      </c>
      <c r="AB31" s="1" t="n">
        <f aca="false">AB$2*TripTable!AA29</f>
        <v>0.442896819711209</v>
      </c>
      <c r="AC31" s="1" t="n">
        <f aca="false">AC$2*TripTable!AB29</f>
        <v>0</v>
      </c>
      <c r="AD31" s="1"/>
      <c r="AE31" s="1" t="n">
        <f aca="false">AE$2*TripTable!AD29</f>
        <v>0</v>
      </c>
      <c r="AF31" s="1" t="n">
        <f aca="false">AF$2*TripTable!AE29</f>
        <v>0.235554737963037</v>
      </c>
      <c r="AG31" s="1" t="n">
        <f aca="false">AG$2*TripTable!AF29</f>
        <v>3.27964027763168</v>
      </c>
      <c r="AH31" s="1" t="n">
        <f aca="false">AH$2*TripTable!AG29</f>
        <v>0</v>
      </c>
      <c r="AI31" s="1" t="n">
        <f aca="false">AI$2*TripTable!AH29</f>
        <v>7.96372889015512</v>
      </c>
      <c r="AJ31" s="1" t="n">
        <f aca="false">AJ$2*TripTable!AI29</f>
        <v>0.00812287346243293</v>
      </c>
      <c r="AK31" s="1" t="n">
        <f aca="false">AK$2*TripTable!AJ29</f>
        <v>0</v>
      </c>
      <c r="AL31" s="1" t="n">
        <f aca="false">AL$2*TripTable!AK29</f>
        <v>0.789018343247594</v>
      </c>
      <c r="AM31" s="1" t="n">
        <f aca="false">AM$2*TripTable!AL29</f>
        <v>3.72293457078915</v>
      </c>
      <c r="AN31" s="1" t="n">
        <f aca="false">AN$2*TripTable!AM29</f>
        <v>0.127176966838228</v>
      </c>
      <c r="AO31" s="1" t="n">
        <f aca="false">AO$2*TripTable!AN29</f>
        <v>1.63768123228527</v>
      </c>
      <c r="AP31" s="1" t="n">
        <f aca="false">AP$2*TripTable!AO29</f>
        <v>0</v>
      </c>
      <c r="AQ31" s="1" t="n">
        <f aca="false">AQ$2*TripTable!AP29</f>
        <v>0</v>
      </c>
      <c r="AR31" s="1" t="n">
        <f aca="false">AR$2*TripTable!AQ29</f>
        <v>0</v>
      </c>
      <c r="AS31" s="1" t="n">
        <f aca="false">AS$2*TripTable!AR29</f>
        <v>0.00220419625934486</v>
      </c>
      <c r="AT31" s="1" t="n">
        <f aca="false">AT$2*TripTable!AS29</f>
        <v>4.65252408828238</v>
      </c>
      <c r="AU31" s="1" t="n">
        <f aca="false">AU$2*TripTable!AT29</f>
        <v>0.0130827101394741</v>
      </c>
      <c r="AV31" s="1" t="n">
        <f aca="false">AV$2*TripTable!AU29</f>
        <v>0</v>
      </c>
      <c r="AW31" s="1" t="n">
        <f aca="false">AW$2*TripTable!AV29</f>
        <v>0.977095722825499</v>
      </c>
      <c r="AX31" s="1" t="n">
        <f aca="false">AX$2*TripTable!AW29</f>
        <v>1.36711178625736</v>
      </c>
      <c r="AY31" s="1" t="n">
        <f aca="false">AY$2*TripTable!AX29</f>
        <v>0.262898265297074</v>
      </c>
      <c r="AZ31" s="1" t="n">
        <f aca="false">AZ$2*TripTable!AY29</f>
        <v>0.000917993349648178</v>
      </c>
      <c r="BA31" s="1" t="n">
        <f aca="false">BA$2*TripTable!AZ29</f>
        <v>0</v>
      </c>
      <c r="BB31" s="1" t="n">
        <f aca="false">SUM(C31:BA31)</f>
        <v>113.522370942383</v>
      </c>
      <c r="BC31" s="2" t="n">
        <f aca="false">BB31/TripTable!BA29</f>
        <v>0.0132033462366111</v>
      </c>
      <c r="BD31" s="2" t="n">
        <f aca="false">BB31/BG31</f>
        <v>0.00667464551636774</v>
      </c>
      <c r="BE31" s="0" t="s">
        <v>93</v>
      </c>
      <c r="BF31" s="0" t="n">
        <v>3431</v>
      </c>
      <c r="BG31" s="0" t="n">
        <v>17008</v>
      </c>
      <c r="BH31" s="0" t="n">
        <v>3653</v>
      </c>
      <c r="BI31" s="0" t="n">
        <v>4966</v>
      </c>
      <c r="BK31" s="0" t="n">
        <v>0.492384418385227</v>
      </c>
      <c r="BL31" s="0" t="n">
        <v>0.423831070889894</v>
      </c>
      <c r="BM31" s="0" t="s">
        <v>93</v>
      </c>
    </row>
    <row r="32" customFormat="false" ht="12.75" hidden="false" customHeight="false" outlineLevel="0" collapsed="false">
      <c r="A32" s="0" t="s">
        <v>29</v>
      </c>
      <c r="B32" s="1" t="n">
        <v>0</v>
      </c>
      <c r="C32" s="1" t="n">
        <f aca="false">C$2*TripTable!B30</f>
        <v>0</v>
      </c>
      <c r="D32" s="1" t="n">
        <f aca="false">D$2*TripTable!C30</f>
        <v>1.006198528197</v>
      </c>
      <c r="E32" s="1" t="n">
        <f aca="false">E$2*TripTable!D30</f>
        <v>0</v>
      </c>
      <c r="F32" s="1" t="n">
        <f aca="false">F$2*TripTable!E30</f>
        <v>0</v>
      </c>
      <c r="G32" s="1" t="n">
        <f aca="false">G$2*TripTable!F30</f>
        <v>61.7755253333006</v>
      </c>
      <c r="H32" s="1" t="n">
        <f aca="false">H$2*TripTable!G30</f>
        <v>0.310566657864459</v>
      </c>
      <c r="I32" s="1" t="n">
        <f aca="false">I$2*TripTable!H30</f>
        <v>0.00103954314104035</v>
      </c>
      <c r="J32" s="1" t="n">
        <f aca="false">J$2*TripTable!I30</f>
        <v>0</v>
      </c>
      <c r="K32" s="1" t="n">
        <f aca="false">K$2*TripTable!J30</f>
        <v>0</v>
      </c>
      <c r="L32" s="1" t="n">
        <f aca="false">L$2*TripTable!K30</f>
        <v>3.81384417776344</v>
      </c>
      <c r="M32" s="1" t="n">
        <f aca="false">M$2*TripTable!L30</f>
        <v>0.0502299488886672</v>
      </c>
      <c r="N32" s="1" t="n">
        <f aca="false">N$2*TripTable!M30</f>
        <v>0</v>
      </c>
      <c r="O32" s="1" t="n">
        <f aca="false">O$2*TripTable!N30</f>
        <v>0.348838428924716</v>
      </c>
      <c r="P32" s="1" t="n">
        <f aca="false">P$2*TripTable!O30</f>
        <v>0</v>
      </c>
      <c r="Q32" s="1" t="n">
        <f aca="false">Q$2*TripTable!P30</f>
        <v>1.20252635748891</v>
      </c>
      <c r="R32" s="1" t="n">
        <f aca="false">R$2*TripTable!Q30</f>
        <v>0.425729531743058</v>
      </c>
      <c r="S32" s="1" t="n">
        <f aca="false">S$2*TripTable!R30</f>
        <v>0.581076202897201</v>
      </c>
      <c r="T32" s="1" t="n">
        <f aca="false">T$2*TripTable!S30</f>
        <v>0.118345961988527</v>
      </c>
      <c r="U32" s="1" t="n">
        <f aca="false">U$2*TripTable!T30</f>
        <v>0.999054787052544</v>
      </c>
      <c r="V32" s="1" t="n">
        <f aca="false">V$2*TripTable!U30</f>
        <v>0.105088318367691</v>
      </c>
      <c r="W32" s="1" t="n">
        <f aca="false">W$2*TripTable!V30</f>
        <v>0.0702579161473665</v>
      </c>
      <c r="X32" s="1" t="n">
        <f aca="false">X$2*TripTable!W30</f>
        <v>1.03944816167345</v>
      </c>
      <c r="Y32" s="1" t="n">
        <f aca="false">Y$2*TripTable!X30</f>
        <v>0.17730905072907</v>
      </c>
      <c r="Z32" s="1" t="n">
        <f aca="false">Z$2*TripTable!Y30</f>
        <v>0</v>
      </c>
      <c r="AA32" s="1" t="n">
        <f aca="false">AA$2*TripTable!Z30</f>
        <v>0</v>
      </c>
      <c r="AB32" s="1" t="n">
        <f aca="false">AB$2*TripTable!AA30</f>
        <v>0.0205115165217884</v>
      </c>
      <c r="AC32" s="1" t="n">
        <f aca="false">AC$2*TripTable!AB30</f>
        <v>0</v>
      </c>
      <c r="AD32" s="1" t="n">
        <f aca="false">AD$2*TripTable!AC30</f>
        <v>0.0219459139411257</v>
      </c>
      <c r="AE32" s="1"/>
      <c r="AF32" s="1" t="n">
        <f aca="false">AF$2*TripTable!AE30</f>
        <v>0.235554737963037</v>
      </c>
      <c r="AG32" s="1" t="n">
        <f aca="false">AG$2*TripTable!AF30</f>
        <v>2.73303356469306</v>
      </c>
      <c r="AH32" s="1" t="n">
        <f aca="false">AH$2*TripTable!AG30</f>
        <v>0</v>
      </c>
      <c r="AI32" s="1" t="n">
        <f aca="false">AI$2*TripTable!AH30</f>
        <v>5.30915259343675</v>
      </c>
      <c r="AJ32" s="1" t="n">
        <f aca="false">AJ$2*TripTable!AI30</f>
        <v>0.00443065825223614</v>
      </c>
      <c r="AK32" s="1" t="n">
        <f aca="false">AK$2*TripTable!AJ30</f>
        <v>0</v>
      </c>
      <c r="AL32" s="1" t="n">
        <f aca="false">AL$2*TripTable!AK30</f>
        <v>1.31503057207932</v>
      </c>
      <c r="AM32" s="1" t="n">
        <f aca="false">AM$2*TripTable!AL30</f>
        <v>1.13967384820076</v>
      </c>
      <c r="AN32" s="1" t="n">
        <f aca="false">AN$2*TripTable!AM30</f>
        <v>0.392128981084537</v>
      </c>
      <c r="AO32" s="1" t="n">
        <f aca="false">AO$2*TripTable!AN30</f>
        <v>1.52070400140775</v>
      </c>
      <c r="AP32" s="1" t="n">
        <f aca="false">AP$2*TripTable!AO30</f>
        <v>0.0373661178404778</v>
      </c>
      <c r="AQ32" s="1" t="n">
        <f aca="false">AQ$2*TripTable!AP30</f>
        <v>0</v>
      </c>
      <c r="AR32" s="1" t="n">
        <f aca="false">AR$2*TripTable!AQ30</f>
        <v>0</v>
      </c>
      <c r="AS32" s="1" t="n">
        <f aca="false">AS$2*TripTable!AR30</f>
        <v>0.000812072306074421</v>
      </c>
      <c r="AT32" s="1" t="n">
        <f aca="false">AT$2*TripTable!AS30</f>
        <v>2.10353482714895</v>
      </c>
      <c r="AU32" s="1" t="n">
        <f aca="false">AU$2*TripTable!AT30</f>
        <v>0.51645555741067</v>
      </c>
      <c r="AV32" s="1" t="n">
        <f aca="false">AV$2*TripTable!AU30</f>
        <v>0</v>
      </c>
      <c r="AW32" s="1" t="n">
        <f aca="false">AW$2*TripTable!AV30</f>
        <v>0.279170206521571</v>
      </c>
      <c r="AX32" s="1" t="n">
        <f aca="false">AX$2*TripTable!AW30</f>
        <v>2.27851964376226</v>
      </c>
      <c r="AY32" s="1" t="n">
        <f aca="false">AY$2*TripTable!AX30</f>
        <v>0.262898265297074</v>
      </c>
      <c r="AZ32" s="1" t="n">
        <f aca="false">AZ$2*TripTable!AY30</f>
        <v>0.000124665763532469</v>
      </c>
      <c r="BA32" s="1" t="n">
        <f aca="false">BA$2*TripTable!AZ30</f>
        <v>0</v>
      </c>
      <c r="BB32" s="1" t="n">
        <f aca="false">SUM(C32:BA32)</f>
        <v>90.1961266497987</v>
      </c>
      <c r="BC32" s="2" t="n">
        <f aca="false">BB32/TripTable!BA30</f>
        <v>0.0135368642728199</v>
      </c>
      <c r="BD32" s="2" t="n">
        <f aca="false">BB32/BG32</f>
        <v>0.00489998831900903</v>
      </c>
      <c r="BE32" s="0" t="s">
        <v>94</v>
      </c>
      <c r="BF32" s="0" t="n">
        <v>15997</v>
      </c>
      <c r="BG32" s="0" t="n">
        <v>18407.4166666667</v>
      </c>
      <c r="BH32" s="0" t="n">
        <v>1173</v>
      </c>
      <c r="BI32" s="0" t="n">
        <v>5504</v>
      </c>
      <c r="BK32" s="0" t="n">
        <v>0.0445330296127563</v>
      </c>
      <c r="BL32" s="0" t="n">
        <v>0.175677699565673</v>
      </c>
      <c r="BM32" s="0" t="s">
        <v>94</v>
      </c>
    </row>
    <row r="33" customFormat="false" ht="12.75" hidden="false" customHeight="false" outlineLevel="0" collapsed="false">
      <c r="A33" s="0" t="s">
        <v>30</v>
      </c>
      <c r="B33" s="1" t="n">
        <v>0.117777368981519</v>
      </c>
      <c r="C33" s="1" t="n">
        <f aca="false">C$2*TripTable!B31</f>
        <v>0</v>
      </c>
      <c r="D33" s="1" t="n">
        <f aca="false">D$2*TripTable!C31</f>
        <v>0.125774816024626</v>
      </c>
      <c r="E33" s="1" t="n">
        <f aca="false">E$2*TripTable!D31</f>
        <v>0</v>
      </c>
      <c r="F33" s="1" t="n">
        <f aca="false">F$2*TripTable!E31</f>
        <v>0</v>
      </c>
      <c r="G33" s="1" t="n">
        <f aca="false">G$2*TripTable!F31</f>
        <v>1.22620823727975</v>
      </c>
      <c r="H33" s="1" t="n">
        <f aca="false">H$2*TripTable!G31</f>
        <v>0.0680288869607862</v>
      </c>
      <c r="I33" s="1" t="n">
        <f aca="false">I$2*TripTable!H31</f>
        <v>0.164247816284376</v>
      </c>
      <c r="J33" s="1" t="n">
        <f aca="false">J$2*TripTable!I31</f>
        <v>2.52590047672857</v>
      </c>
      <c r="K33" s="1" t="n">
        <f aca="false">K$2*TripTable!J31</f>
        <v>0</v>
      </c>
      <c r="L33" s="1" t="n">
        <f aca="false">L$2*TripTable!K31</f>
        <v>14.5548747192196</v>
      </c>
      <c r="M33" s="1" t="n">
        <f aca="false">M$2*TripTable!L31</f>
        <v>0.0920882396292232</v>
      </c>
      <c r="N33" s="1" t="n">
        <f aca="false">N$2*TripTable!M31</f>
        <v>0</v>
      </c>
      <c r="O33" s="1" t="n">
        <f aca="false">O$2*TripTable!N31</f>
        <v>0.0021466980241521</v>
      </c>
      <c r="P33" s="1" t="n">
        <f aca="false">P$2*TripTable!O31</f>
        <v>0</v>
      </c>
      <c r="Q33" s="1" t="n">
        <f aca="false">Q$2*TripTable!P31</f>
        <v>0.925020274991467</v>
      </c>
      <c r="R33" s="1" t="n">
        <f aca="false">R$2*TripTable!Q31</f>
        <v>0.0851459063486116</v>
      </c>
      <c r="S33" s="1" t="n">
        <f aca="false">S$2*TripTable!R31</f>
        <v>0.322820112720667</v>
      </c>
      <c r="T33" s="1" t="n">
        <f aca="false">T$2*TripTable!S31</f>
        <v>0.0422664149959026</v>
      </c>
      <c r="U33" s="1" t="n">
        <f aca="false">U$2*TripTable!T31</f>
        <v>0.0881518929752244</v>
      </c>
      <c r="V33" s="1" t="n">
        <f aca="false">V$2*TripTable!U31</f>
        <v>68.72776021247</v>
      </c>
      <c r="W33" s="1" t="n">
        <f aca="false">W$2*TripTable!V31</f>
        <v>2.17799540056836</v>
      </c>
      <c r="X33" s="1" t="n">
        <f aca="false">X$2*TripTable!W31</f>
        <v>83.5716321985452</v>
      </c>
      <c r="Y33" s="1" t="n">
        <f aca="false">Y$2*TripTable!X31</f>
        <v>0.103430279591958</v>
      </c>
      <c r="Z33" s="1" t="n">
        <f aca="false">Z$2*TripTable!Y31</f>
        <v>0</v>
      </c>
      <c r="AA33" s="1" t="n">
        <f aca="false">AA$2*TripTable!Z31</f>
        <v>0</v>
      </c>
      <c r="AB33" s="1" t="n">
        <f aca="false">AB$2*TripTable!AA31</f>
        <v>0.0205115165217884</v>
      </c>
      <c r="AC33" s="1" t="n">
        <f aca="false">AC$2*TripTable!AB31</f>
        <v>0</v>
      </c>
      <c r="AD33" s="1" t="n">
        <f aca="false">AD$2*TripTable!AC31</f>
        <v>0.00199508308555689</v>
      </c>
      <c r="AE33" s="1" t="n">
        <f aca="false">AE$2*TripTable!AD31</f>
        <v>0</v>
      </c>
      <c r="AF33" s="1"/>
      <c r="AG33" s="1" t="n">
        <f aca="false">AG$2*TripTable!AF31</f>
        <v>39.3556833315801</v>
      </c>
      <c r="AH33" s="1" t="n">
        <f aca="false">AH$2*TripTable!AG31</f>
        <v>0</v>
      </c>
      <c r="AI33" s="1" t="n">
        <f aca="false">AI$2*TripTable!AH31</f>
        <v>152.638137061307</v>
      </c>
      <c r="AJ33" s="1" t="n">
        <f aca="false">AJ$2*TripTable!AI31</f>
        <v>0.020676405177102</v>
      </c>
      <c r="AK33" s="1" t="n">
        <f aca="false">AK$2*TripTable!AJ31</f>
        <v>0</v>
      </c>
      <c r="AL33" s="1" t="n">
        <f aca="false">AL$2*TripTable!AK31</f>
        <v>1.05202445766346</v>
      </c>
      <c r="AM33" s="1" t="n">
        <f aca="false">AM$2*TripTable!AL31</f>
        <v>0.379891282733587</v>
      </c>
      <c r="AN33" s="1" t="n">
        <f aca="false">AN$2*TripTable!AM31</f>
        <v>0.0423923222794094</v>
      </c>
      <c r="AO33" s="1" t="n">
        <f aca="false">AO$2*TripTable!AN31</f>
        <v>10.9958597024868</v>
      </c>
      <c r="AP33" s="1" t="n">
        <f aca="false">AP$2*TripTable!AO31</f>
        <v>5.34335485118832</v>
      </c>
      <c r="AQ33" s="1" t="n">
        <f aca="false">AQ$2*TripTable!AP31</f>
        <v>0</v>
      </c>
      <c r="AR33" s="1" t="n">
        <f aca="false">AR$2*TripTable!AQ31</f>
        <v>0</v>
      </c>
      <c r="AS33" s="1" t="n">
        <f aca="false">AS$2*TripTable!AR31</f>
        <v>0.00127611362383123</v>
      </c>
      <c r="AT33" s="1" t="n">
        <f aca="false">AT$2*TripTable!AS31</f>
        <v>0.890908867968966</v>
      </c>
      <c r="AU33" s="1" t="n">
        <f aca="false">AU$2*TripTable!AT31</f>
        <v>0.00249194478847127</v>
      </c>
      <c r="AV33" s="1" t="n">
        <f aca="false">AV$2*TripTable!AU31</f>
        <v>0</v>
      </c>
      <c r="AW33" s="1" t="n">
        <f aca="false">AW$2*TripTable!AV31</f>
        <v>2.41947512318695</v>
      </c>
      <c r="AX33" s="1" t="n">
        <f aca="false">AX$2*TripTable!AW31</f>
        <v>0.455703928752452</v>
      </c>
      <c r="AY33" s="1" t="n">
        <f aca="false">AY$2*TripTable!AX31</f>
        <v>0.394347397945611</v>
      </c>
      <c r="AZ33" s="1" t="n">
        <f aca="false">AZ$2*TripTable!AY31</f>
        <v>5.66662561511221E-005</v>
      </c>
      <c r="BA33" s="1" t="n">
        <f aca="false">BA$2*TripTable!AZ31</f>
        <v>0</v>
      </c>
      <c r="BB33" s="1" t="n">
        <f aca="false">SUM(C33:BA33)</f>
        <v>388.818278639904</v>
      </c>
      <c r="BC33" s="2" t="n">
        <f aca="false">BB33/TripTable!BA31</f>
        <v>0.0816502055102696</v>
      </c>
      <c r="BD33" s="2" t="n">
        <f aca="false">BB33/BG33</f>
        <v>0.0804840154501974</v>
      </c>
      <c r="BE33" s="0" t="s">
        <v>95</v>
      </c>
      <c r="BF33" s="0" t="n">
        <v>5437</v>
      </c>
      <c r="BG33" s="0" t="n">
        <v>4831</v>
      </c>
      <c r="BH33" s="0" t="n">
        <v>814</v>
      </c>
      <c r="BI33" s="0" t="n">
        <v>4000</v>
      </c>
      <c r="BK33" s="0" t="n">
        <v>0.117409490840906</v>
      </c>
      <c r="BL33" s="0" t="n">
        <v>0.169090153718322</v>
      </c>
      <c r="BM33" s="0" t="s">
        <v>95</v>
      </c>
    </row>
    <row r="34" customFormat="false" ht="12.75" hidden="false" customHeight="false" outlineLevel="0" collapsed="false">
      <c r="A34" s="0" t="s">
        <v>31</v>
      </c>
      <c r="B34" s="1" t="n">
        <v>0.273303356469306</v>
      </c>
      <c r="C34" s="1" t="n">
        <f aca="false">C$2*TripTable!B32</f>
        <v>0</v>
      </c>
      <c r="D34" s="1" t="n">
        <f aca="false">D$2*TripTable!C32</f>
        <v>1.50929779229551</v>
      </c>
      <c r="E34" s="1" t="n">
        <f aca="false">E$2*TripTable!D32</f>
        <v>0</v>
      </c>
      <c r="F34" s="1" t="n">
        <f aca="false">F$2*TripTable!E32</f>
        <v>0</v>
      </c>
      <c r="G34" s="1" t="n">
        <f aca="false">G$2*TripTable!F32</f>
        <v>11.3952799981687</v>
      </c>
      <c r="H34" s="1" t="n">
        <f aca="false">H$2*TripTable!G32</f>
        <v>0.37267998943735</v>
      </c>
      <c r="I34" s="1" t="n">
        <f aca="false">I$2*TripTable!H32</f>
        <v>0.191275937951425</v>
      </c>
      <c r="J34" s="1" t="n">
        <f aca="false">J$2*TripTable!I32</f>
        <v>42.9403081043857</v>
      </c>
      <c r="K34" s="1" t="n">
        <f aca="false">K$2*TripTable!J32</f>
        <v>0</v>
      </c>
      <c r="L34" s="1" t="n">
        <f aca="false">L$2*TripTable!K32</f>
        <v>153.721270430261</v>
      </c>
      <c r="M34" s="1" t="n">
        <f aca="false">M$2*TripTable!L32</f>
        <v>1.40643856888268</v>
      </c>
      <c r="N34" s="1" t="n">
        <f aca="false">N$2*TripTable!M32</f>
        <v>0</v>
      </c>
      <c r="O34" s="1" t="n">
        <f aca="false">O$2*TripTable!N32</f>
        <v>0.0021466980241521</v>
      </c>
      <c r="P34" s="1" t="n">
        <f aca="false">P$2*TripTable!O32</f>
        <v>0</v>
      </c>
      <c r="Q34" s="1" t="n">
        <f aca="false">Q$2*TripTable!P32</f>
        <v>9.62021085991126</v>
      </c>
      <c r="R34" s="1" t="n">
        <f aca="false">R$2*TripTable!Q32</f>
        <v>0</v>
      </c>
      <c r="S34" s="1" t="n">
        <f aca="false">S$2*TripTable!R32</f>
        <v>0.839332293073734</v>
      </c>
      <c r="T34" s="1" t="n">
        <f aca="false">T$2*TripTable!S32</f>
        <v>0.262051772974596</v>
      </c>
      <c r="U34" s="1" t="n">
        <f aca="false">U$2*TripTable!T32</f>
        <v>3.14408418278301</v>
      </c>
      <c r="V34" s="1" t="n">
        <f aca="false">V$2*TripTable!U32</f>
        <v>26.0619029551874</v>
      </c>
      <c r="W34" s="1" t="n">
        <f aca="false">W$2*TripTable!V32</f>
        <v>115.012208733239</v>
      </c>
      <c r="X34" s="1" t="n">
        <f aca="false">X$2*TripTable!W32</f>
        <v>89.1846522715818</v>
      </c>
      <c r="Y34" s="1" t="n">
        <f aca="false">Y$2*TripTable!X32</f>
        <v>1.52190268542452</v>
      </c>
      <c r="Z34" s="1" t="n">
        <f aca="false">Z$2*TripTable!Y32</f>
        <v>0</v>
      </c>
      <c r="AA34" s="1" t="n">
        <f aca="false">AA$2*TripTable!Z32</f>
        <v>0</v>
      </c>
      <c r="AB34" s="1" t="n">
        <f aca="false">AB$2*TripTable!AA32</f>
        <v>0.0683717217392947</v>
      </c>
      <c r="AC34" s="1" t="n">
        <f aca="false">AC$2*TripTable!AB32</f>
        <v>0</v>
      </c>
      <c r="AD34" s="1" t="n">
        <f aca="false">AD$2*TripTable!AC32</f>
        <v>0.00997541542778443</v>
      </c>
      <c r="AE34" s="1" t="n">
        <f aca="false">AE$2*TripTable!AD32</f>
        <v>0</v>
      </c>
      <c r="AF34" s="1" t="n">
        <f aca="false">AF$2*TripTable!AE32</f>
        <v>21.1999264166734</v>
      </c>
      <c r="AG34" s="1"/>
      <c r="AH34" s="1" t="n">
        <f aca="false">AH$2*TripTable!AG32</f>
        <v>0</v>
      </c>
      <c r="AI34" s="1" t="n">
        <f aca="false">AI$2*TripTable!AH32</f>
        <v>1114.25840054754</v>
      </c>
      <c r="AJ34" s="1" t="n">
        <f aca="false">AJ$2*TripTable!AI32</f>
        <v>0.524294559847944</v>
      </c>
      <c r="AK34" s="1" t="n">
        <f aca="false">AK$2*TripTable!AJ32</f>
        <v>0</v>
      </c>
      <c r="AL34" s="1" t="n">
        <f aca="false">AL$2*TripTable!AK32</f>
        <v>19.1665705880561</v>
      </c>
      <c r="AM34" s="1" t="n">
        <f aca="false">AM$2*TripTable!AL32</f>
        <v>1.7474999005745</v>
      </c>
      <c r="AN34" s="1" t="n">
        <f aca="false">AN$2*TripTable!AM32</f>
        <v>0.11127984598345</v>
      </c>
      <c r="AO34" s="1" t="n">
        <f aca="false">AO$2*TripTable!AN32</f>
        <v>468.610786895342</v>
      </c>
      <c r="AP34" s="1" t="n">
        <f aca="false">AP$2*TripTable!AO32</f>
        <v>7.47322356809555</v>
      </c>
      <c r="AQ34" s="1" t="n">
        <f aca="false">AQ$2*TripTable!AP32</f>
        <v>0</v>
      </c>
      <c r="AR34" s="1" t="n">
        <f aca="false">AR$2*TripTable!AQ32</f>
        <v>0</v>
      </c>
      <c r="AS34" s="1" t="n">
        <f aca="false">AS$2*TripTable!AR32</f>
        <v>0.00632256295443657</v>
      </c>
      <c r="AT34" s="1" t="n">
        <f aca="false">AT$2*TripTable!AS32</f>
        <v>5.84040257890767</v>
      </c>
      <c r="AU34" s="1" t="n">
        <f aca="false">AU$2*TripTable!AT32</f>
        <v>0.0218045168991236</v>
      </c>
      <c r="AV34" s="1" t="n">
        <f aca="false">AV$2*TripTable!AU32</f>
        <v>0</v>
      </c>
      <c r="AW34" s="1" t="n">
        <f aca="false">AW$2*TripTable!AV32</f>
        <v>31.7788751757055</v>
      </c>
      <c r="AX34" s="1" t="n">
        <f aca="false">AX$2*TripTable!AW32</f>
        <v>2.44423016330861</v>
      </c>
      <c r="AY34" s="1" t="n">
        <f aca="false">AY$2*TripTable!AX32</f>
        <v>6.44100749977832</v>
      </c>
      <c r="AZ34" s="1" t="n">
        <f aca="false">AZ$2*TripTable!AY32</f>
        <v>0.00020399852214404</v>
      </c>
      <c r="BA34" s="1" t="n">
        <f aca="false">BA$2*TripTable!AZ32</f>
        <v>0</v>
      </c>
      <c r="BB34" s="1" t="n">
        <f aca="false">SUM(C34:BA34)</f>
        <v>2136.88821922894</v>
      </c>
      <c r="BC34" s="2" t="n">
        <f aca="false">BB34/TripTable!BA32</f>
        <v>0.0936861861207828</v>
      </c>
      <c r="BD34" s="2" t="n">
        <f aca="false">BB34/BG34</f>
        <v>0.0849083410509372</v>
      </c>
      <c r="BE34" s="0" t="s">
        <v>96</v>
      </c>
      <c r="BF34" s="0" t="n">
        <v>1173</v>
      </c>
      <c r="BG34" s="0" t="n">
        <v>25167</v>
      </c>
      <c r="BH34" s="0" t="n">
        <v>3431</v>
      </c>
      <c r="BI34" s="0" t="n">
        <v>19801.4583333333</v>
      </c>
      <c r="BK34" s="0" t="n">
        <v>0.167865355447918</v>
      </c>
      <c r="BL34" s="0" t="n">
        <v>0.147681315114091</v>
      </c>
      <c r="BM34" s="0" t="s">
        <v>96</v>
      </c>
    </row>
    <row r="35" customFormat="false" ht="12.75" hidden="false" customHeight="false" outlineLevel="0" collapsed="false">
      <c r="A35" s="0" t="s">
        <v>32</v>
      </c>
      <c r="B35" s="1" t="n">
        <v>0</v>
      </c>
      <c r="C35" s="1" t="n">
        <f aca="false">C$2*TripTable!B33</f>
        <v>0</v>
      </c>
      <c r="D35" s="1" t="n">
        <f aca="false">D$2*TripTable!C33</f>
        <v>0.377324448073877</v>
      </c>
      <c r="E35" s="1" t="n">
        <f aca="false">E$2*TripTable!D33</f>
        <v>0</v>
      </c>
      <c r="F35" s="1" t="n">
        <f aca="false">F$2*TripTable!E33</f>
        <v>0</v>
      </c>
      <c r="G35" s="1" t="n">
        <f aca="false">G$2*TripTable!F33</f>
        <v>6.78642834770345</v>
      </c>
      <c r="H35" s="1" t="n">
        <f aca="false">H$2*TripTable!G33</f>
        <v>2.20945993737858</v>
      </c>
      <c r="I35" s="1" t="n">
        <f aca="false">I$2*TripTable!H33</f>
        <v>0.000259885785260088</v>
      </c>
      <c r="J35" s="1" t="n">
        <f aca="false">J$2*TripTable!I33</f>
        <v>0.252590047672857</v>
      </c>
      <c r="K35" s="1" t="n">
        <f aca="false">K$2*TripTable!J33</f>
        <v>0</v>
      </c>
      <c r="L35" s="1" t="n">
        <f aca="false">L$2*TripTable!K33</f>
        <v>4.90351394283871</v>
      </c>
      <c r="M35" s="1" t="n">
        <f aca="false">M$2*TripTable!L33</f>
        <v>0.083716581481112</v>
      </c>
      <c r="N35" s="1" t="n">
        <f aca="false">N$2*TripTable!M33</f>
        <v>0</v>
      </c>
      <c r="O35" s="1" t="n">
        <f aca="false">O$2*TripTable!N33</f>
        <v>0.0236136782656731</v>
      </c>
      <c r="P35" s="1" t="n">
        <f aca="false">P$2*TripTable!O33</f>
        <v>0</v>
      </c>
      <c r="Q35" s="1" t="n">
        <f aca="false">Q$2*TripTable!P33</f>
        <v>1.75753852248379</v>
      </c>
      <c r="R35" s="1" t="n">
        <f aca="false">R$2*TripTable!Q33</f>
        <v>0.596021344440281</v>
      </c>
      <c r="S35" s="1" t="n">
        <f aca="false">S$2*TripTable!R33</f>
        <v>1.3558444734268</v>
      </c>
      <c r="T35" s="1" t="n">
        <f aca="false">T$2*TripTable!S33</f>
        <v>0.397304300961484</v>
      </c>
      <c r="U35" s="1" t="n">
        <f aca="false">U$2*TripTable!T33</f>
        <v>0.85213496542717</v>
      </c>
      <c r="V35" s="1" t="n">
        <f aca="false">V$2*TripTable!U33</f>
        <v>0.630529910206147</v>
      </c>
      <c r="W35" s="1" t="n">
        <f aca="false">W$2*TripTable!V33</f>
        <v>1.12412665835786</v>
      </c>
      <c r="X35" s="1" t="n">
        <f aca="false">X$2*TripTable!W33</f>
        <v>2.18284113951424</v>
      </c>
      <c r="Y35" s="1" t="n">
        <f aca="false">Y$2*TripTable!X33</f>
        <v>0.251187821866183</v>
      </c>
      <c r="Z35" s="1" t="n">
        <f aca="false">Z$2*TripTable!Y33</f>
        <v>0</v>
      </c>
      <c r="AA35" s="1" t="n">
        <f aca="false">AA$2*TripTable!Z33</f>
        <v>0</v>
      </c>
      <c r="AB35" s="1" t="n">
        <f aca="false">AB$2*TripTable!AA33</f>
        <v>0.0425424046377834</v>
      </c>
      <c r="AC35" s="1" t="n">
        <f aca="false">AC$2*TripTable!AB33</f>
        <v>0</v>
      </c>
      <c r="AD35" s="1" t="n">
        <f aca="false">AD$2*TripTable!AC33</f>
        <v>0.0199508308555689</v>
      </c>
      <c r="AE35" s="1" t="n">
        <f aca="false">AE$2*TripTable!AD33</f>
        <v>0</v>
      </c>
      <c r="AF35" s="1" t="n">
        <f aca="false">AF$2*TripTable!AE33</f>
        <v>0.235554737963037</v>
      </c>
      <c r="AG35" s="1" t="n">
        <f aca="false">AG$2*TripTable!AF33</f>
        <v>1.91312349528514</v>
      </c>
      <c r="AH35" s="1"/>
      <c r="AI35" s="1" t="n">
        <f aca="false">AI$2*TripTable!AH33</f>
        <v>13.6047035206817</v>
      </c>
      <c r="AJ35" s="1" t="n">
        <f aca="false">AJ$2*TripTable!AI33</f>
        <v>0.00738443042039357</v>
      </c>
      <c r="AK35" s="1" t="n">
        <f aca="false">AK$2*TripTable!AJ33</f>
        <v>0</v>
      </c>
      <c r="AL35" s="1" t="n">
        <f aca="false">AL$2*TripTable!AK33</f>
        <v>0.887645636153543</v>
      </c>
      <c r="AM35" s="1" t="n">
        <f aca="false">AM$2*TripTable!AL33</f>
        <v>6.91402134575128</v>
      </c>
      <c r="AN35" s="1" t="n">
        <f aca="false">AN$2*TripTable!AM33</f>
        <v>0.174868329402564</v>
      </c>
      <c r="AO35" s="1" t="n">
        <f aca="false">AO$2*TripTable!AN33</f>
        <v>1.87163569404031</v>
      </c>
      <c r="AP35" s="1" t="n">
        <f aca="false">AP$2*TripTable!AO33</f>
        <v>0</v>
      </c>
      <c r="AQ35" s="1" t="n">
        <f aca="false">AQ$2*TripTable!AP33</f>
        <v>0</v>
      </c>
      <c r="AR35" s="1" t="n">
        <f aca="false">AR$2*TripTable!AQ33</f>
        <v>0</v>
      </c>
      <c r="AS35" s="1" t="n">
        <f aca="false">AS$2*TripTable!AR33</f>
        <v>0.00133411878855084</v>
      </c>
      <c r="AT35" s="1" t="n">
        <f aca="false">AT$2*TripTable!AS33</f>
        <v>36.9232230836027</v>
      </c>
      <c r="AU35" s="1" t="n">
        <f aca="false">AU$2*TripTable!AT33</f>
        <v>0.0660365368944886</v>
      </c>
      <c r="AV35" s="1" t="n">
        <f aca="false">AV$2*TripTable!AU33</f>
        <v>0</v>
      </c>
      <c r="AW35" s="1" t="n">
        <f aca="false">AW$2*TripTable!AV33</f>
        <v>0.558340413043143</v>
      </c>
      <c r="AX35" s="1" t="n">
        <f aca="false">AX$2*TripTable!AW33</f>
        <v>1.44996704603053</v>
      </c>
      <c r="AY35" s="1" t="n">
        <f aca="false">AY$2*TripTable!AX33</f>
        <v>0.0657245663242686</v>
      </c>
      <c r="AZ35" s="1" t="n">
        <f aca="false">AZ$2*TripTable!AY33</f>
        <v>0.000328664285676508</v>
      </c>
      <c r="BA35" s="1" t="n">
        <f aca="false">BA$2*TripTable!AZ33</f>
        <v>0</v>
      </c>
      <c r="BB35" s="1" t="n">
        <f aca="false">SUM(C35:BA35)</f>
        <v>88.5208208600441</v>
      </c>
      <c r="BC35" s="2" t="n">
        <f aca="false">BB35/TripTable!BA33</f>
        <v>0.00880716554174153</v>
      </c>
      <c r="BD35" s="2" t="n">
        <f aca="false">BB35/BG35</f>
        <v>0.00356622435178648</v>
      </c>
      <c r="BE35" s="0" t="s">
        <v>97</v>
      </c>
      <c r="BF35" s="0" t="n">
        <v>15983</v>
      </c>
      <c r="BG35" s="0" t="n">
        <v>24822</v>
      </c>
      <c r="BH35" s="0" t="n">
        <v>5437</v>
      </c>
      <c r="BI35" s="0" t="n">
        <v>4668</v>
      </c>
      <c r="BK35" s="0" t="n">
        <v>0.52950915465524</v>
      </c>
      <c r="BL35" s="0" t="n">
        <v>0.538050470064325</v>
      </c>
      <c r="BM35" s="0" t="s">
        <v>97</v>
      </c>
    </row>
    <row r="36" customFormat="false" ht="12.75" hidden="false" customHeight="false" outlineLevel="0" collapsed="false">
      <c r="A36" s="0" t="s">
        <v>33</v>
      </c>
      <c r="B36" s="1" t="n">
        <v>0.331822037089797</v>
      </c>
      <c r="C36" s="1" t="n">
        <f aca="false">C$2*TripTable!B34</f>
        <v>0</v>
      </c>
      <c r="D36" s="1" t="n">
        <f aca="false">D$2*TripTable!C34</f>
        <v>2.57838372850482</v>
      </c>
      <c r="E36" s="1" t="n">
        <f aca="false">E$2*TripTable!D34</f>
        <v>0</v>
      </c>
      <c r="F36" s="1" t="n">
        <f aca="false">F$2*TripTable!E34</f>
        <v>0</v>
      </c>
      <c r="G36" s="1" t="n">
        <f aca="false">G$2*TripTable!F34</f>
        <v>17.8434440045536</v>
      </c>
      <c r="H36" s="1" t="n">
        <f aca="false">H$2*TripTable!G34</f>
        <v>0.360848878661561</v>
      </c>
      <c r="I36" s="1" t="n">
        <f aca="false">I$2*TripTable!H34</f>
        <v>0.360201698370482</v>
      </c>
      <c r="J36" s="1" t="n">
        <f aca="false">J$2*TripTable!I34</f>
        <v>125.53725369341</v>
      </c>
      <c r="K36" s="1" t="n">
        <f aca="false">K$2*TripTable!J34</f>
        <v>0</v>
      </c>
      <c r="L36" s="1" t="n">
        <f aca="false">L$2*TripTable!K34</f>
        <v>243.541192494322</v>
      </c>
      <c r="M36" s="1" t="n">
        <f aca="false">M$2*TripTable!L34</f>
        <v>1.83339313443635</v>
      </c>
      <c r="N36" s="1" t="n">
        <f aca="false">N$2*TripTable!M34</f>
        <v>0</v>
      </c>
      <c r="O36" s="1" t="n">
        <f aca="false">O$2*TripTable!N34</f>
        <v>0</v>
      </c>
      <c r="P36" s="1" t="n">
        <f aca="false">P$2*TripTable!O34</f>
        <v>0</v>
      </c>
      <c r="Q36" s="1" t="n">
        <f aca="false">Q$2*TripTable!P34</f>
        <v>13.3202919598771</v>
      </c>
      <c r="R36" s="1" t="n">
        <f aca="false">R$2*TripTable!Q34</f>
        <v>1.4474804079264</v>
      </c>
      <c r="S36" s="1" t="n">
        <f aca="false">S$2*TripTable!R34</f>
        <v>3.03450905957427</v>
      </c>
      <c r="T36" s="1" t="n">
        <f aca="false">T$2*TripTable!S34</f>
        <v>0.439570715957387</v>
      </c>
      <c r="U36" s="1" t="n">
        <f aca="false">U$2*TripTable!T34</f>
        <v>5.08342582823794</v>
      </c>
      <c r="V36" s="1" t="n">
        <f aca="false">V$2*TripTable!U34</f>
        <v>67.5717887104254</v>
      </c>
      <c r="W36" s="1" t="n">
        <f aca="false">W$2*TripTable!V34</f>
        <v>77.4944815105452</v>
      </c>
      <c r="X36" s="1" t="n">
        <f aca="false">X$2*TripTable!W34</f>
        <v>355.283381659984</v>
      </c>
      <c r="Y36" s="1" t="n">
        <f aca="false">Y$2*TripTable!X34</f>
        <v>2.29024190525049</v>
      </c>
      <c r="Z36" s="1" t="n">
        <f aca="false">Z$2*TripTable!Y34</f>
        <v>0</v>
      </c>
      <c r="AA36" s="1" t="n">
        <f aca="false">AA$2*TripTable!Z34</f>
        <v>0</v>
      </c>
      <c r="AB36" s="1" t="n">
        <f aca="false">AB$2*TripTable!AA34</f>
        <v>0.139022500869899</v>
      </c>
      <c r="AC36" s="1" t="n">
        <f aca="false">AC$2*TripTable!AB34</f>
        <v>0</v>
      </c>
      <c r="AD36" s="1" t="n">
        <f aca="false">AD$2*TripTable!AC34</f>
        <v>0.0478819940533653</v>
      </c>
      <c r="AE36" s="1" t="n">
        <f aca="false">AE$2*TripTable!AD34</f>
        <v>0</v>
      </c>
      <c r="AF36" s="1" t="n">
        <f aca="false">AF$2*TripTable!AE34</f>
        <v>56.6509144801105</v>
      </c>
      <c r="AG36" s="1" t="n">
        <f aca="false">AG$2*TripTable!AF34</f>
        <v>807.6114183668</v>
      </c>
      <c r="AH36" s="1" t="n">
        <f aca="false">AH$2*TripTable!AG34</f>
        <v>0</v>
      </c>
      <c r="AI36" s="1"/>
      <c r="AJ36" s="1" t="n">
        <f aca="false">AJ$2*TripTable!AI34</f>
        <v>0.62029215531306</v>
      </c>
      <c r="AK36" s="1" t="n">
        <f aca="false">AK$2*TripTable!AJ34</f>
        <v>0</v>
      </c>
      <c r="AL36" s="1" t="n">
        <f aca="false">AL$2*TripTable!AK34</f>
        <v>32.3168763088494</v>
      </c>
      <c r="AM36" s="1" t="n">
        <f aca="false">AM$2*TripTable!AL34</f>
        <v>5.01456493208334</v>
      </c>
      <c r="AN36" s="1" t="n">
        <f aca="false">AN$2*TripTable!AM34</f>
        <v>0.164270248832711</v>
      </c>
      <c r="AO36" s="1" t="n">
        <f aca="false">AO$2*TripTable!AN34</f>
        <v>561.724662673848</v>
      </c>
      <c r="AP36" s="1" t="n">
        <f aca="false">AP$2*TripTable!AO34</f>
        <v>15.4695727859578</v>
      </c>
      <c r="AQ36" s="1" t="n">
        <f aca="false">AQ$2*TripTable!AP34</f>
        <v>0</v>
      </c>
      <c r="AR36" s="1" t="n">
        <f aca="false">AR$2*TripTable!AQ34</f>
        <v>0</v>
      </c>
      <c r="AS36" s="1" t="n">
        <f aca="false">AS$2*TripTable!AR34</f>
        <v>0.00353831504789569</v>
      </c>
      <c r="AT36" s="1" t="n">
        <f aca="false">AT$2*TripTable!AS34</f>
        <v>16.0116121548867</v>
      </c>
      <c r="AU36" s="1" t="n">
        <f aca="false">AU$2*TripTable!AT34</f>
        <v>0.0560687577406035</v>
      </c>
      <c r="AV36" s="1" t="n">
        <f aca="false">AV$2*TripTable!AU34</f>
        <v>0</v>
      </c>
      <c r="AW36" s="1" t="n">
        <f aca="false">AW$2*TripTable!AV34</f>
        <v>61.4639738024993</v>
      </c>
      <c r="AX36" s="1" t="n">
        <f aca="false">AX$2*TripTable!AW34</f>
        <v>4.05990772888549</v>
      </c>
      <c r="AY36" s="1" t="n">
        <f aca="false">AY$2*TripTable!AX34</f>
        <v>3.41767744886197</v>
      </c>
      <c r="AZ36" s="1" t="n">
        <f aca="false">AZ$2*TripTable!AY34</f>
        <v>0.00124665763532469</v>
      </c>
      <c r="BA36" s="1" t="n">
        <f aca="false">BA$2*TripTable!AZ34</f>
        <v>0</v>
      </c>
      <c r="BB36" s="1" t="n">
        <f aca="false">SUM(C36:BA36)</f>
        <v>2482.79339070231</v>
      </c>
      <c r="BC36" s="2" t="n">
        <f aca="false">BB36/TripTable!BA34</f>
        <v>0.0553305711958975</v>
      </c>
      <c r="BD36" s="2" t="n">
        <f aca="false">BB36/BG36</f>
        <v>0.346904204373664</v>
      </c>
      <c r="BE36" s="0" t="s">
        <v>98</v>
      </c>
      <c r="BF36" s="0" t="n">
        <v>7378</v>
      </c>
      <c r="BG36" s="0" t="n">
        <v>7157</v>
      </c>
      <c r="BH36" s="0" t="n">
        <v>15983</v>
      </c>
      <c r="BI36" s="0" t="n">
        <v>29959</v>
      </c>
      <c r="BK36" s="0" t="n">
        <v>0.391692194583997</v>
      </c>
      <c r="BL36" s="0" t="n">
        <v>0.34789517217361</v>
      </c>
      <c r="BM36" s="0" t="s">
        <v>98</v>
      </c>
    </row>
    <row r="37" customFormat="false" ht="12.75" hidden="false" customHeight="false" outlineLevel="0" collapsed="false">
      <c r="A37" s="0" t="s">
        <v>34</v>
      </c>
      <c r="B37" s="1" t="n">
        <v>0.000738443042039357</v>
      </c>
      <c r="C37" s="1" t="n">
        <f aca="false">C$2*TripTable!B35</f>
        <v>0</v>
      </c>
      <c r="D37" s="1" t="n">
        <f aca="false">D$2*TripTable!C35</f>
        <v>0.691761488135441</v>
      </c>
      <c r="E37" s="1" t="n">
        <f aca="false">E$2*TripTable!D35</f>
        <v>0</v>
      </c>
      <c r="F37" s="1" t="n">
        <f aca="false">F$2*TripTable!E35</f>
        <v>0</v>
      </c>
      <c r="G37" s="1" t="n">
        <f aca="false">G$2*TripTable!F35</f>
        <v>3.76319079716889</v>
      </c>
      <c r="H37" s="1" t="n">
        <f aca="false">H$2*TripTable!G35</f>
        <v>0.201128883188411</v>
      </c>
      <c r="I37" s="1" t="n">
        <f aca="false">I$2*TripTable!H35</f>
        <v>0.0215705201765873</v>
      </c>
      <c r="J37" s="1" t="n">
        <f aca="false">J$2*TripTable!I35</f>
        <v>11.3665521452786</v>
      </c>
      <c r="K37" s="1" t="n">
        <f aca="false">K$2*TripTable!J35</f>
        <v>0</v>
      </c>
      <c r="L37" s="1" t="n">
        <f aca="false">L$2*TripTable!K35</f>
        <v>91.4544267116743</v>
      </c>
      <c r="M37" s="1" t="n">
        <f aca="false">M$2*TripTable!L35</f>
        <v>7.67681052181797</v>
      </c>
      <c r="N37" s="1" t="n">
        <f aca="false">N$2*TripTable!M35</f>
        <v>0</v>
      </c>
      <c r="O37" s="1" t="n">
        <f aca="false">O$2*TripTable!N35</f>
        <v>0</v>
      </c>
      <c r="P37" s="1" t="n">
        <f aca="false">P$2*TripTable!O35</f>
        <v>0</v>
      </c>
      <c r="Q37" s="1" t="n">
        <f aca="false">Q$2*TripTable!P35</f>
        <v>13.0427858773797</v>
      </c>
      <c r="R37" s="1" t="n">
        <f aca="false">R$2*TripTable!Q35</f>
        <v>2.08607470554098</v>
      </c>
      <c r="S37" s="1" t="n">
        <f aca="false">S$2*TripTable!R35</f>
        <v>6.77922236713401</v>
      </c>
      <c r="T37" s="1" t="n">
        <f aca="false">T$2*TripTable!S35</f>
        <v>2.55289146575251</v>
      </c>
      <c r="U37" s="1" t="n">
        <f aca="false">U$2*TripTable!T35</f>
        <v>2.67394075358181</v>
      </c>
      <c r="V37" s="1" t="n">
        <f aca="false">V$2*TripTable!U35</f>
        <v>1.78650141225075</v>
      </c>
      <c r="W37" s="1" t="n">
        <f aca="false">W$2*TripTable!V35</f>
        <v>38.7823697133463</v>
      </c>
      <c r="X37" s="1" t="n">
        <f aca="false">X$2*TripTable!W35</f>
        <v>25.9862040418362</v>
      </c>
      <c r="Y37" s="1" t="n">
        <f aca="false">Y$2*TripTable!X35</f>
        <v>1.44063603717369</v>
      </c>
      <c r="Z37" s="1" t="n">
        <f aca="false">Z$2*TripTable!Y35</f>
        <v>0</v>
      </c>
      <c r="AA37" s="1" t="n">
        <f aca="false">AA$2*TripTable!Z35</f>
        <v>0</v>
      </c>
      <c r="AB37" s="1" t="n">
        <f aca="false">AB$2*TripTable!AA35</f>
        <v>0.0919219814494963</v>
      </c>
      <c r="AC37" s="1" t="n">
        <f aca="false">AC$2*TripTable!AB35</f>
        <v>0</v>
      </c>
      <c r="AD37" s="1" t="n">
        <f aca="false">AD$2*TripTable!AC35</f>
        <v>0.0758131572511617</v>
      </c>
      <c r="AE37" s="1" t="n">
        <f aca="false">AE$2*TripTable!AD35</f>
        <v>0</v>
      </c>
      <c r="AF37" s="1" t="n">
        <f aca="false">AF$2*TripTable!AE35</f>
        <v>0.471109475926075</v>
      </c>
      <c r="AG37" s="1" t="n">
        <f aca="false">AG$2*TripTable!AF35</f>
        <v>40.4488967574573</v>
      </c>
      <c r="AH37" s="1" t="n">
        <f aca="false">AH$2*TripTable!AG35</f>
        <v>0</v>
      </c>
      <c r="AI37" s="1" t="n">
        <f aca="false">AI$2*TripTable!AH35</f>
        <v>172.215637249605</v>
      </c>
      <c r="AJ37" s="1"/>
      <c r="AK37" s="1" t="n">
        <f aca="false">AK$2*TripTable!AJ35</f>
        <v>0</v>
      </c>
      <c r="AL37" s="1" t="n">
        <f aca="false">AL$2*TripTable!AK35</f>
        <v>6.77240744620852</v>
      </c>
      <c r="AM37" s="1" t="n">
        <f aca="false">AM$2*TripTable!AL35</f>
        <v>1.97543467021465</v>
      </c>
      <c r="AN37" s="1" t="n">
        <f aca="false">AN$2*TripTable!AM35</f>
        <v>0.0423923222794094</v>
      </c>
      <c r="AO37" s="1" t="n">
        <f aca="false">AO$2*TripTable!AN35</f>
        <v>58.3716382078822</v>
      </c>
      <c r="AP37" s="1" t="n">
        <f aca="false">AP$2*TripTable!AO35</f>
        <v>0.448393414085733</v>
      </c>
      <c r="AQ37" s="1" t="n">
        <f aca="false">AQ$2*TripTable!AP35</f>
        <v>0</v>
      </c>
      <c r="AR37" s="1" t="n">
        <f aca="false">AR$2*TripTable!AQ35</f>
        <v>0</v>
      </c>
      <c r="AS37" s="1" t="n">
        <f aca="false">AS$2*TripTable!AR35</f>
        <v>0.0638056811915617</v>
      </c>
      <c r="AT37" s="1" t="n">
        <f aca="false">AT$2*TripTable!AS35</f>
        <v>5.3454532078138</v>
      </c>
      <c r="AU37" s="1" t="n">
        <f aca="false">AU$2*TripTable!AT35</f>
        <v>0.0130827101394741</v>
      </c>
      <c r="AV37" s="1" t="n">
        <f aca="false">AV$2*TripTable!AU35</f>
        <v>0</v>
      </c>
      <c r="AW37" s="1" t="n">
        <f aca="false">AW$2*TripTable!AV35</f>
        <v>123.532816385795</v>
      </c>
      <c r="AX37" s="1" t="n">
        <f aca="false">AX$2*TripTable!AW35</f>
        <v>1.2428288965976</v>
      </c>
      <c r="AY37" s="1" t="n">
        <f aca="false">AY$2*TripTable!AX35</f>
        <v>45.6128490290424</v>
      </c>
      <c r="AZ37" s="1" t="n">
        <f aca="false">AZ$2*TripTable!AY35</f>
        <v>0.00288997906370723</v>
      </c>
      <c r="BA37" s="1" t="n">
        <f aca="false">BA$2*TripTable!AZ35</f>
        <v>0</v>
      </c>
      <c r="BB37" s="1" t="n">
        <f aca="false">SUM(C37:BA37)</f>
        <v>667.033438013439</v>
      </c>
      <c r="BC37" s="2" t="n">
        <f aca="false">BB37/TripTable!BA35</f>
        <v>0.022994016960717</v>
      </c>
      <c r="BD37" s="2" t="n">
        <f aca="false">BB37/BG37</f>
        <v>0.177119872016314</v>
      </c>
      <c r="BE37" s="0" t="s">
        <v>99</v>
      </c>
      <c r="BF37" s="0" t="n">
        <v>3653</v>
      </c>
      <c r="BG37" s="0" t="n">
        <v>3766</v>
      </c>
      <c r="BH37" s="0" t="n">
        <v>12665</v>
      </c>
      <c r="BI37" s="0" t="n">
        <v>16703</v>
      </c>
      <c r="BK37" s="0" t="n">
        <v>0.421688752746887</v>
      </c>
      <c r="BL37" s="0" t="n">
        <v>0.43125170253337</v>
      </c>
      <c r="BM37" s="0" t="s">
        <v>99</v>
      </c>
    </row>
    <row r="38" customFormat="false" ht="12.75" hidden="false" customHeight="false" outlineLevel="0" collapsed="false">
      <c r="A38" s="0" t="s">
        <v>35</v>
      </c>
      <c r="B38" s="1" t="n">
        <v>0</v>
      </c>
      <c r="C38" s="1" t="n">
        <f aca="false">C$2*TripTable!B36</f>
        <v>0</v>
      </c>
      <c r="D38" s="1" t="n">
        <f aca="false">D$2*TripTable!C36</f>
        <v>0.0628874080123128</v>
      </c>
      <c r="E38" s="1" t="n">
        <f aca="false">E$2*TripTable!D36</f>
        <v>0</v>
      </c>
      <c r="F38" s="1" t="n">
        <f aca="false">F$2*TripTable!E36</f>
        <v>0</v>
      </c>
      <c r="G38" s="1" t="n">
        <f aca="false">G$2*TripTable!F36</f>
        <v>0.655387161304695</v>
      </c>
      <c r="H38" s="1" t="n">
        <f aca="false">H$2*TripTable!G36</f>
        <v>0.141973329309467</v>
      </c>
      <c r="I38" s="1" t="n">
        <f aca="false">I$2*TripTable!H36</f>
        <v>0.000519771570520177</v>
      </c>
      <c r="J38" s="1" t="n">
        <f aca="false">J$2*TripTable!I36</f>
        <v>0</v>
      </c>
      <c r="K38" s="1" t="n">
        <f aca="false">K$2*TripTable!J36</f>
        <v>0</v>
      </c>
      <c r="L38" s="1" t="n">
        <f aca="false">L$2*TripTable!K36</f>
        <v>2.41284019409524</v>
      </c>
      <c r="M38" s="1" t="n">
        <f aca="false">M$2*TripTable!L36</f>
        <v>0.020929145370278</v>
      </c>
      <c r="N38" s="1" t="n">
        <f aca="false">N$2*TripTable!M36</f>
        <v>0</v>
      </c>
      <c r="O38" s="1" t="n">
        <f aca="false">O$2*TripTable!N36</f>
        <v>0.00966014110868445</v>
      </c>
      <c r="P38" s="1" t="n">
        <f aca="false">P$2*TripTable!O36</f>
        <v>0</v>
      </c>
      <c r="Q38" s="1" t="n">
        <f aca="false">Q$2*TripTable!P36</f>
        <v>1.01752230249061</v>
      </c>
      <c r="R38" s="1" t="n">
        <f aca="false">R$2*TripTable!Q36</f>
        <v>0.936604969834728</v>
      </c>
      <c r="S38" s="1" t="n">
        <f aca="false">S$2*TripTable!R36</f>
        <v>0.968460338162001</v>
      </c>
      <c r="T38" s="1" t="n">
        <f aca="false">T$2*TripTable!S36</f>
        <v>0.016906565998361</v>
      </c>
      <c r="U38" s="1" t="n">
        <f aca="false">U$2*TripTable!T36</f>
        <v>0.117535857300299</v>
      </c>
      <c r="V38" s="1" t="n">
        <f aca="false">V$2*TripTable!U36</f>
        <v>0.420353273470764</v>
      </c>
      <c r="W38" s="1" t="n">
        <f aca="false">W$2*TripTable!V36</f>
        <v>0.210773748442099</v>
      </c>
      <c r="X38" s="1" t="n">
        <f aca="false">X$2*TripTable!W36</f>
        <v>0.20788963233469</v>
      </c>
      <c r="Y38" s="1" t="n">
        <f aca="false">Y$2*TripTable!X36</f>
        <v>0.110818156705669</v>
      </c>
      <c r="Z38" s="1" t="n">
        <f aca="false">Z$2*TripTable!Y36</f>
        <v>0</v>
      </c>
      <c r="AA38" s="1" t="n">
        <f aca="false">AA$2*TripTable!Z36</f>
        <v>0</v>
      </c>
      <c r="AB38" s="1" t="n">
        <f aca="false">AB$2*TripTable!AA36</f>
        <v>0.0113952869565491</v>
      </c>
      <c r="AC38" s="1" t="n">
        <f aca="false">AC$2*TripTable!AB36</f>
        <v>0</v>
      </c>
      <c r="AD38" s="1" t="n">
        <f aca="false">AD$2*TripTable!AC36</f>
        <v>0.0498770771389221</v>
      </c>
      <c r="AE38" s="1" t="n">
        <f aca="false">AE$2*TripTable!AD36</f>
        <v>0</v>
      </c>
      <c r="AF38" s="1" t="n">
        <f aca="false">AF$2*TripTable!AE36</f>
        <v>0.235554737963037</v>
      </c>
      <c r="AG38" s="1" t="n">
        <f aca="false">AG$2*TripTable!AF36</f>
        <v>0.546606712938613</v>
      </c>
      <c r="AH38" s="1" t="n">
        <f aca="false">AH$2*TripTable!AG36</f>
        <v>0</v>
      </c>
      <c r="AI38" s="1" t="n">
        <f aca="false">AI$2*TripTable!AH36</f>
        <v>0.663644074179594</v>
      </c>
      <c r="AJ38" s="1" t="n">
        <f aca="false">AJ$2*TripTable!AI36</f>
        <v>0.00221532912611807</v>
      </c>
      <c r="AK38" s="1"/>
      <c r="AL38" s="1" t="n">
        <f aca="false">AL$2*TripTable!AK36</f>
        <v>0.164378821509915</v>
      </c>
      <c r="AM38" s="1" t="n">
        <f aca="false">AM$2*TripTable!AL36</f>
        <v>0.303913026186869</v>
      </c>
      <c r="AN38" s="1" t="n">
        <f aca="false">AN$2*TripTable!AM36</f>
        <v>0.0264952014246309</v>
      </c>
      <c r="AO38" s="1" t="n">
        <f aca="false">AO$2*TripTable!AN36</f>
        <v>0.584886154387597</v>
      </c>
      <c r="AP38" s="1" t="n">
        <f aca="false">AP$2*TripTable!AO36</f>
        <v>0</v>
      </c>
      <c r="AQ38" s="1" t="n">
        <f aca="false">AQ$2*TripTable!AP36</f>
        <v>0</v>
      </c>
      <c r="AR38" s="1" t="n">
        <f aca="false">AR$2*TripTable!AQ36</f>
        <v>0</v>
      </c>
      <c r="AS38" s="1" t="n">
        <f aca="false">AS$2*TripTable!AR36</f>
        <v>0.000232020658878406</v>
      </c>
      <c r="AT38" s="1" t="n">
        <f aca="false">AT$2*TripTable!AS36</f>
        <v>0.668181650976725</v>
      </c>
      <c r="AU38" s="1" t="n">
        <f aca="false">AU$2*TripTable!AT36</f>
        <v>0.00186895859135345</v>
      </c>
      <c r="AV38" s="1" t="n">
        <f aca="false">AV$2*TripTable!AU36</f>
        <v>0</v>
      </c>
      <c r="AW38" s="1" t="n">
        <f aca="false">AW$2*TripTable!AV36</f>
        <v>0.0930567355071904</v>
      </c>
      <c r="AX38" s="1" t="n">
        <f aca="false">AX$2*TripTable!AW36</f>
        <v>0.745697337958559</v>
      </c>
      <c r="AY38" s="1" t="n">
        <f aca="false">AY$2*TripTable!AX36</f>
        <v>0.0657245663242686</v>
      </c>
      <c r="AZ38" s="1" t="n">
        <f aca="false">AZ$2*TripTable!AY36</f>
        <v>0.000577995812741445</v>
      </c>
      <c r="BA38" s="1" t="n">
        <f aca="false">BA$2*TripTable!AZ36</f>
        <v>0</v>
      </c>
      <c r="BB38" s="1" t="n">
        <f aca="false">SUM(C38:BA38)</f>
        <v>11.475367683152</v>
      </c>
      <c r="BC38" s="2" t="n">
        <f aca="false">BB38/TripTable!BA36</f>
        <v>0.00280639953121839</v>
      </c>
      <c r="BD38" s="2" t="n">
        <f aca="false">BB38/BG38</f>
        <v>0.0018753665113829</v>
      </c>
      <c r="BE38" s="0" t="s">
        <v>100</v>
      </c>
      <c r="BF38" s="0" t="n">
        <v>814</v>
      </c>
      <c r="BG38" s="0" t="n">
        <v>6119</v>
      </c>
      <c r="BH38" s="0" t="n">
        <v>2389</v>
      </c>
      <c r="BI38" s="0" t="n">
        <v>1706</v>
      </c>
      <c r="BK38" s="0" t="n">
        <v>0.519009341733652</v>
      </c>
      <c r="BL38" s="0" t="n">
        <v>0.583394383394383</v>
      </c>
      <c r="BM38" s="0" t="s">
        <v>100</v>
      </c>
    </row>
    <row r="39" customFormat="false" ht="12.75" hidden="false" customHeight="false" outlineLevel="0" collapsed="false">
      <c r="A39" s="0" t="s">
        <v>36</v>
      </c>
      <c r="B39" s="1" t="n">
        <v>0.0328757643019831</v>
      </c>
      <c r="C39" s="1" t="n">
        <f aca="false">C$2*TripTable!B37</f>
        <v>0</v>
      </c>
      <c r="D39" s="1" t="n">
        <f aca="false">D$2*TripTable!C37</f>
        <v>2.07528446440632</v>
      </c>
      <c r="E39" s="1" t="n">
        <f aca="false">E$2*TripTable!D37</f>
        <v>0</v>
      </c>
      <c r="F39" s="1" t="n">
        <f aca="false">F$2*TripTable!E37</f>
        <v>0</v>
      </c>
      <c r="G39" s="1" t="n">
        <f aca="false">G$2*TripTable!F37</f>
        <v>11.3741384768363</v>
      </c>
      <c r="H39" s="1" t="n">
        <f aca="false">H$2*TripTable!G37</f>
        <v>0.689162202689703</v>
      </c>
      <c r="I39" s="1" t="n">
        <f aca="false">I$2*TripTable!H37</f>
        <v>0.0634121316034615</v>
      </c>
      <c r="J39" s="1" t="n">
        <f aca="false">J$2*TripTable!I37</f>
        <v>15.4079929080443</v>
      </c>
      <c r="K39" s="1" t="n">
        <f aca="false">K$2*TripTable!J37</f>
        <v>0</v>
      </c>
      <c r="L39" s="1" t="n">
        <f aca="false">L$2*TripTable!K37</f>
        <v>126.86869407662</v>
      </c>
      <c r="M39" s="1" t="n">
        <f aca="false">M$2*TripTable!L37</f>
        <v>2.18918860573108</v>
      </c>
      <c r="N39" s="1" t="n">
        <f aca="false">N$2*TripTable!M37</f>
        <v>0</v>
      </c>
      <c r="O39" s="1" t="n">
        <f aca="false">O$2*TripTable!N37</f>
        <v>0.00966014110868445</v>
      </c>
      <c r="P39" s="1" t="n">
        <f aca="false">P$2*TripTable!O37</f>
        <v>0</v>
      </c>
      <c r="Q39" s="1" t="n">
        <f aca="false">Q$2*TripTable!P37</f>
        <v>211.644638918048</v>
      </c>
      <c r="R39" s="1" t="n">
        <f aca="false">R$2*TripTable!Q37</f>
        <v>5.61962981900837</v>
      </c>
      <c r="S39" s="1" t="n">
        <f aca="false">S$2*TripTable!R37</f>
        <v>1.67866458614747</v>
      </c>
      <c r="T39" s="1" t="n">
        <f aca="false">T$2*TripTable!S37</f>
        <v>17.8702402602676</v>
      </c>
      <c r="U39" s="1" t="n">
        <f aca="false">U$2*TripTable!T37</f>
        <v>6.84646368774243</v>
      </c>
      <c r="V39" s="1" t="n">
        <f aca="false">V$2*TripTable!U37</f>
        <v>5.25441591838455</v>
      </c>
      <c r="W39" s="1" t="n">
        <f aca="false">W$2*TripTable!V37</f>
        <v>12.9977144872628</v>
      </c>
      <c r="X39" s="1" t="n">
        <f aca="false">X$2*TripTable!W37</f>
        <v>19.8534598879629</v>
      </c>
      <c r="Y39" s="1" t="n">
        <f aca="false">Y$2*TripTable!X37</f>
        <v>14.4654633886466</v>
      </c>
      <c r="Z39" s="1" t="n">
        <f aca="false">Z$2*TripTable!Y37</f>
        <v>0</v>
      </c>
      <c r="AA39" s="1" t="n">
        <f aca="false">AA$2*TripTable!Z37</f>
        <v>0</v>
      </c>
      <c r="AB39" s="1" t="n">
        <f aca="false">AB$2*TripTable!AA37</f>
        <v>0.312990548406549</v>
      </c>
      <c r="AC39" s="1" t="n">
        <f aca="false">AC$2*TripTable!AB37</f>
        <v>0</v>
      </c>
      <c r="AD39" s="1" t="n">
        <f aca="false">AD$2*TripTable!AC37</f>
        <v>0.12170006821897</v>
      </c>
      <c r="AE39" s="1" t="n">
        <f aca="false">AE$2*TripTable!AD37</f>
        <v>0</v>
      </c>
      <c r="AF39" s="1" t="n">
        <f aca="false">AF$2*TripTable!AE37</f>
        <v>5.29998160416834</v>
      </c>
      <c r="AG39" s="1" t="n">
        <f aca="false">AG$2*TripTable!AF37</f>
        <v>72.1520861078969</v>
      </c>
      <c r="AH39" s="1" t="n">
        <f aca="false">AH$2*TripTable!AG37</f>
        <v>0</v>
      </c>
      <c r="AI39" s="1" t="n">
        <f aca="false">AI$2*TripTable!AH37</f>
        <v>350.072249129736</v>
      </c>
      <c r="AJ39" s="1" t="n">
        <f aca="false">AJ$2*TripTable!AI37</f>
        <v>0.443065825223614</v>
      </c>
      <c r="AK39" s="1" t="n">
        <f aca="false">AK$2*TripTable!AJ37</f>
        <v>0</v>
      </c>
      <c r="AL39" s="1"/>
      <c r="AM39" s="1" t="n">
        <f aca="false">AM$2*TripTable!AL37</f>
        <v>4.86260841898991</v>
      </c>
      <c r="AN39" s="1" t="n">
        <f aca="false">AN$2*TripTable!AM37</f>
        <v>0.143074087693007</v>
      </c>
      <c r="AO39" s="1" t="n">
        <f aca="false">AO$2*TripTable!AN37</f>
        <v>234.305393447671</v>
      </c>
      <c r="AP39" s="1" t="n">
        <f aca="false">AP$2*TripTable!AO37</f>
        <v>1.94303812770484</v>
      </c>
      <c r="AQ39" s="1" t="n">
        <f aca="false">AQ$2*TripTable!AP37</f>
        <v>0</v>
      </c>
      <c r="AR39" s="1" t="n">
        <f aca="false">AR$2*TripTable!AQ37</f>
        <v>0</v>
      </c>
      <c r="AS39" s="1" t="n">
        <f aca="false">AS$2*TripTable!AR37</f>
        <v>0.0594552938375916</v>
      </c>
      <c r="AT39" s="1" t="n">
        <f aca="false">AT$2*TripTable!AS37</f>
        <v>7.52323044062683</v>
      </c>
      <c r="AU39" s="1" t="n">
        <f aca="false">AU$2*TripTable!AT37</f>
        <v>0.0535768129521322</v>
      </c>
      <c r="AV39" s="1" t="n">
        <f aca="false">AV$2*TripTable!AU37</f>
        <v>0</v>
      </c>
      <c r="AW39" s="1" t="n">
        <f aca="false">AW$2*TripTable!AV37</f>
        <v>21.5426342699146</v>
      </c>
      <c r="AX39" s="1" t="n">
        <f aca="false">AX$2*TripTable!AW37</f>
        <v>4.59846691741111</v>
      </c>
      <c r="AY39" s="1" t="n">
        <f aca="false">AY$2*TripTable!AX37</f>
        <v>110.877343389041</v>
      </c>
      <c r="AZ39" s="1" t="n">
        <f aca="false">AZ$2*TripTable!AY37</f>
        <v>0.00298064507354902</v>
      </c>
      <c r="BA39" s="1" t="n">
        <f aca="false">BA$2*TripTable!AZ37</f>
        <v>0</v>
      </c>
      <c r="BB39" s="1" t="n">
        <f aca="false">SUM(C39:BA39)</f>
        <v>1269.22209909508</v>
      </c>
      <c r="BC39" s="2" t="n">
        <f aca="false">BB39/TripTable!BA37</f>
        <v>0.0333909157637283</v>
      </c>
      <c r="BD39" s="2" t="n">
        <f aca="false">BB39/BG39</f>
        <v>0.185450335928562</v>
      </c>
      <c r="BE39" s="0" t="s">
        <v>101</v>
      </c>
      <c r="BF39" s="0" t="n">
        <v>7420</v>
      </c>
      <c r="BG39" s="0" t="n">
        <v>6844</v>
      </c>
      <c r="BH39" s="0" t="n">
        <v>15997</v>
      </c>
      <c r="BI39" s="0" t="n">
        <v>22303</v>
      </c>
      <c r="BK39" s="0" t="n">
        <v>0.464969371664975</v>
      </c>
      <c r="BL39" s="0" t="n">
        <v>0.417676240208877</v>
      </c>
      <c r="BM39" s="0" t="s">
        <v>101</v>
      </c>
    </row>
    <row r="40" customFormat="false" ht="12.75" hidden="false" customHeight="false" outlineLevel="0" collapsed="false">
      <c r="A40" s="0" t="s">
        <v>37</v>
      </c>
      <c r="B40" s="1" t="n">
        <v>0.0759782565467173</v>
      </c>
      <c r="C40" s="1" t="n">
        <f aca="false">C$2*TripTable!B38</f>
        <v>0</v>
      </c>
      <c r="D40" s="1" t="n">
        <f aca="false">D$2*TripTable!C38</f>
        <v>0.628874080123128</v>
      </c>
      <c r="E40" s="1" t="n">
        <f aca="false">E$2*TripTable!D38</f>
        <v>0</v>
      </c>
      <c r="F40" s="1" t="n">
        <f aca="false">F$2*TripTable!E38</f>
        <v>0</v>
      </c>
      <c r="G40" s="1" t="n">
        <f aca="false">G$2*TripTable!F38</f>
        <v>3.57291710517721</v>
      </c>
      <c r="H40" s="1" t="n">
        <f aca="false">H$2*TripTable!G38</f>
        <v>0.964235528226795</v>
      </c>
      <c r="I40" s="1" t="n">
        <f aca="false">I$2*TripTable!H38</f>
        <v>0.00103954314104035</v>
      </c>
      <c r="J40" s="1" t="n">
        <f aca="false">J$2*TripTable!I38</f>
        <v>0</v>
      </c>
      <c r="K40" s="1" t="n">
        <f aca="false">K$2*TripTable!J38</f>
        <v>0</v>
      </c>
      <c r="L40" s="1" t="n">
        <f aca="false">L$2*TripTable!K38</f>
        <v>9.41786011243624</v>
      </c>
      <c r="M40" s="1" t="n">
        <f aca="false">M$2*TripTable!L38</f>
        <v>0.263707231665503</v>
      </c>
      <c r="N40" s="1" t="n">
        <f aca="false">N$2*TripTable!M38</f>
        <v>0</v>
      </c>
      <c r="O40" s="1" t="n">
        <f aca="false">O$2*TripTable!N38</f>
        <v>0.0139535371569887</v>
      </c>
      <c r="P40" s="1" t="n">
        <f aca="false">P$2*TripTable!O38</f>
        <v>0</v>
      </c>
      <c r="Q40" s="1" t="n">
        <f aca="false">Q$2*TripTable!P38</f>
        <v>6.29013786994198</v>
      </c>
      <c r="R40" s="1" t="n">
        <f aca="false">R$2*TripTable!Q38</f>
        <v>1.70291812697223</v>
      </c>
      <c r="S40" s="1" t="n">
        <f aca="false">S$2*TripTable!R38</f>
        <v>74.4423179933858</v>
      </c>
      <c r="T40" s="1" t="n">
        <f aca="false">T$2*TripTable!S38</f>
        <v>0.777702035924607</v>
      </c>
      <c r="U40" s="1" t="n">
        <f aca="false">U$2*TripTable!T38</f>
        <v>6.20001647259079</v>
      </c>
      <c r="V40" s="1" t="n">
        <f aca="false">V$2*TripTable!U38</f>
        <v>0.630529910206147</v>
      </c>
      <c r="W40" s="1" t="n">
        <f aca="false">W$2*TripTable!V38</f>
        <v>1.19438457450523</v>
      </c>
      <c r="X40" s="1" t="n">
        <f aca="false">X$2*TripTable!W38</f>
        <v>4.26173746286114</v>
      </c>
      <c r="Y40" s="1" t="n">
        <f aca="false">Y$2*TripTable!X38</f>
        <v>0.406333241254119</v>
      </c>
      <c r="Z40" s="1" t="n">
        <f aca="false">Z$2*TripTable!Y38</f>
        <v>0</v>
      </c>
      <c r="AA40" s="1" t="n">
        <f aca="false">AA$2*TripTable!Z38</f>
        <v>0</v>
      </c>
      <c r="AB40" s="1" t="n">
        <f aca="false">AB$2*TripTable!AA38</f>
        <v>0.794631343770025</v>
      </c>
      <c r="AC40" s="1" t="n">
        <f aca="false">AC$2*TripTable!AB38</f>
        <v>0</v>
      </c>
      <c r="AD40" s="1" t="n">
        <f aca="false">AD$2*TripTable!AC38</f>
        <v>0.183547643871233</v>
      </c>
      <c r="AE40" s="1" t="n">
        <f aca="false">AE$2*TripTable!AD38</f>
        <v>0</v>
      </c>
      <c r="AF40" s="1" t="n">
        <f aca="false">AF$2*TripTable!AE38</f>
        <v>0.471109475926075</v>
      </c>
      <c r="AG40" s="1" t="n">
        <f aca="false">AG$2*TripTable!AF38</f>
        <v>2.18642685175445</v>
      </c>
      <c r="AH40" s="1" t="n">
        <f aca="false">AH$2*TripTable!AG38</f>
        <v>0</v>
      </c>
      <c r="AI40" s="1" t="n">
        <f aca="false">AI$2*TripTable!AH38</f>
        <v>8.29555092724492</v>
      </c>
      <c r="AJ40" s="1" t="n">
        <f aca="false">AJ$2*TripTable!AI38</f>
        <v>0.0273223925554562</v>
      </c>
      <c r="AK40" s="1" t="n">
        <f aca="false">AK$2*TripTable!AJ38</f>
        <v>0</v>
      </c>
      <c r="AL40" s="1" t="n">
        <f aca="false">AL$2*TripTable!AK38</f>
        <v>3.09032184438641</v>
      </c>
      <c r="AM40" s="1"/>
      <c r="AN40" s="1" t="n">
        <f aca="false">AN$2*TripTable!AM38</f>
        <v>0.153672168262859</v>
      </c>
      <c r="AO40" s="1" t="n">
        <f aca="false">AO$2*TripTable!AN38</f>
        <v>8.89026954669147</v>
      </c>
      <c r="AP40" s="1" t="n">
        <f aca="false">AP$2*TripTable!AO38</f>
        <v>0.112098353521433</v>
      </c>
      <c r="AQ40" s="1" t="n">
        <f aca="false">AQ$2*TripTable!AP38</f>
        <v>0</v>
      </c>
      <c r="AR40" s="1" t="n">
        <f aca="false">AR$2*TripTable!AQ38</f>
        <v>0</v>
      </c>
      <c r="AS40" s="1" t="n">
        <f aca="false">AS$2*TripTable!AR38</f>
        <v>0.00701862493107179</v>
      </c>
      <c r="AT40" s="1" t="n">
        <f aca="false">AT$2*TripTable!AS38</f>
        <v>70.2580632267749</v>
      </c>
      <c r="AU40" s="1" t="n">
        <f aca="false">AU$2*TripTable!AT38</f>
        <v>0.00872180675964943</v>
      </c>
      <c r="AV40" s="1" t="n">
        <f aca="false">AV$2*TripTable!AU38</f>
        <v>0</v>
      </c>
      <c r="AW40" s="1" t="n">
        <f aca="false">AW$2*TripTable!AV38</f>
        <v>3.48962758151964</v>
      </c>
      <c r="AX40" s="1" t="n">
        <f aca="false">AX$2*TripTable!AW38</f>
        <v>3.85276957945255</v>
      </c>
      <c r="AY40" s="1" t="n">
        <f aca="false">AY$2*TripTable!AX38</f>
        <v>0.92014392853976</v>
      </c>
      <c r="AZ40" s="1" t="n">
        <f aca="false">AZ$2*TripTable!AY38</f>
        <v>0.00100865935948997</v>
      </c>
      <c r="BA40" s="1" t="n">
        <f aca="false">BA$2*TripTable!AZ38</f>
        <v>0</v>
      </c>
      <c r="BB40" s="1" t="n">
        <f aca="false">SUM(C40:BA40)</f>
        <v>213.51096878089</v>
      </c>
      <c r="BC40" s="2" t="n">
        <f aca="false">BB40/TripTable!BA38</f>
        <v>0.0133502762946846</v>
      </c>
      <c r="BD40" s="2" t="n">
        <f aca="false">BB40/BG40</f>
        <v>0.00915570192027831</v>
      </c>
      <c r="BE40" s="0" t="s">
        <v>102</v>
      </c>
      <c r="BF40" s="0" t="n">
        <v>12548</v>
      </c>
      <c r="BG40" s="0" t="n">
        <v>23320</v>
      </c>
      <c r="BH40" s="0" t="n">
        <v>7378</v>
      </c>
      <c r="BI40" s="0" t="n">
        <v>8679</v>
      </c>
      <c r="BK40" s="0" t="n">
        <v>0.507602339181287</v>
      </c>
      <c r="BL40" s="0" t="n">
        <v>0.459488073737311</v>
      </c>
      <c r="BM40" s="0" t="s">
        <v>102</v>
      </c>
    </row>
    <row r="41" customFormat="false" ht="12.75" hidden="false" customHeight="false" outlineLevel="0" collapsed="false">
      <c r="A41" s="0" t="s">
        <v>38</v>
      </c>
      <c r="B41" s="1" t="n">
        <v>0.00529904028492617</v>
      </c>
      <c r="C41" s="1" t="n">
        <f aca="false">C$2*TripTable!B39</f>
        <v>0</v>
      </c>
      <c r="D41" s="1" t="n">
        <f aca="false">D$2*TripTable!C39</f>
        <v>3.01859558459101</v>
      </c>
      <c r="E41" s="1" t="n">
        <f aca="false">E$2*TripTable!D39</f>
        <v>0</v>
      </c>
      <c r="F41" s="1" t="n">
        <f aca="false">F$2*TripTable!E39</f>
        <v>0</v>
      </c>
      <c r="G41" s="1" t="n">
        <f aca="false">G$2*TripTable!F39</f>
        <v>35.3063406251239</v>
      </c>
      <c r="H41" s="1" t="n">
        <f aca="false">H$2*TripTable!G39</f>
        <v>0.322397768640247</v>
      </c>
      <c r="I41" s="1" t="n">
        <f aca="false">I$2*TripTable!H39</f>
        <v>0.00311862942312106</v>
      </c>
      <c r="J41" s="1" t="n">
        <f aca="false">J$2*TripTable!I39</f>
        <v>0</v>
      </c>
      <c r="K41" s="1" t="n">
        <f aca="false">K$2*TripTable!J39</f>
        <v>0</v>
      </c>
      <c r="L41" s="1" t="n">
        <f aca="false">L$2*TripTable!K39</f>
        <v>6.07101726256221</v>
      </c>
      <c r="M41" s="1" t="n">
        <f aca="false">M$2*TripTable!L39</f>
        <v>0.0669732651848896</v>
      </c>
      <c r="N41" s="1" t="n">
        <f aca="false">N$2*TripTable!M39</f>
        <v>0</v>
      </c>
      <c r="O41" s="1" t="n">
        <f aca="false">O$2*TripTable!N39</f>
        <v>0.403579228540595</v>
      </c>
      <c r="P41" s="1" t="n">
        <f aca="false">P$2*TripTable!O39</f>
        <v>0</v>
      </c>
      <c r="Q41" s="1" t="n">
        <f aca="false">Q$2*TripTable!P39</f>
        <v>1.3875304124872</v>
      </c>
      <c r="R41" s="1" t="n">
        <f aca="false">R$2*TripTable!Q39</f>
        <v>0.596021344440281</v>
      </c>
      <c r="S41" s="1" t="n">
        <f aca="false">S$2*TripTable!R39</f>
        <v>0.581076202897201</v>
      </c>
      <c r="T41" s="1" t="n">
        <f aca="false">T$2*TripTable!S39</f>
        <v>0.0253598489975415</v>
      </c>
      <c r="U41" s="1" t="n">
        <f aca="false">U$2*TripTable!T39</f>
        <v>0.411375500551047</v>
      </c>
      <c r="V41" s="1" t="n">
        <f aca="false">V$2*TripTable!U39</f>
        <v>1.26105982041229</v>
      </c>
      <c r="W41" s="1" t="n">
        <f aca="false">W$2*TripTable!V39</f>
        <v>0.421547496884199</v>
      </c>
      <c r="X41" s="1" t="n">
        <f aca="false">X$2*TripTable!W39</f>
        <v>5.19724080836724</v>
      </c>
      <c r="Y41" s="1" t="n">
        <f aca="false">Y$2*TripTable!X39</f>
        <v>0.391557487026696</v>
      </c>
      <c r="Z41" s="1" t="n">
        <f aca="false">Z$2*TripTable!Y39</f>
        <v>0</v>
      </c>
      <c r="AA41" s="1" t="n">
        <f aca="false">AA$2*TripTable!Z39</f>
        <v>0</v>
      </c>
      <c r="AB41" s="1" t="n">
        <f aca="false">AB$2*TripTable!AA39</f>
        <v>0.022030888115995</v>
      </c>
      <c r="AC41" s="1" t="n">
        <f aca="false">AC$2*TripTable!AB39</f>
        <v>0</v>
      </c>
      <c r="AD41" s="1" t="n">
        <f aca="false">AD$2*TripTable!AC39</f>
        <v>0.00997541542778443</v>
      </c>
      <c r="AE41" s="1" t="n">
        <f aca="false">AE$2*TripTable!AD39</f>
        <v>0</v>
      </c>
      <c r="AF41" s="1" t="n">
        <f aca="false">AF$2*TripTable!AE39</f>
        <v>0.353332106944556</v>
      </c>
      <c r="AG41" s="1" t="n">
        <f aca="false">AG$2*TripTable!AF39</f>
        <v>1.91312349528514</v>
      </c>
      <c r="AH41" s="1" t="n">
        <f aca="false">AH$2*TripTable!AG39</f>
        <v>0</v>
      </c>
      <c r="AI41" s="1" t="n">
        <f aca="false">AI$2*TripTable!AH39</f>
        <v>14.2683475948613</v>
      </c>
      <c r="AJ41" s="1" t="n">
        <f aca="false">AJ$2*TripTable!AI39</f>
        <v>0.0110766456305904</v>
      </c>
      <c r="AK41" s="1" t="n">
        <f aca="false">AK$2*TripTable!AJ39</f>
        <v>0</v>
      </c>
      <c r="AL41" s="1" t="n">
        <f aca="false">AL$2*TripTable!AK39</f>
        <v>0.526012228831729</v>
      </c>
      <c r="AM41" s="1" t="n">
        <f aca="false">AM$2*TripTable!AL39</f>
        <v>1.51956513093435</v>
      </c>
      <c r="AN41" s="1"/>
      <c r="AO41" s="1" t="n">
        <f aca="false">AO$2*TripTable!AN39</f>
        <v>6.08281600563101</v>
      </c>
      <c r="AP41" s="1" t="n">
        <f aca="false">AP$2*TripTable!AO39</f>
        <v>0.0373661178404778</v>
      </c>
      <c r="AQ41" s="1" t="n">
        <f aca="false">AQ$2*TripTable!AP39</f>
        <v>0</v>
      </c>
      <c r="AR41" s="1" t="n">
        <f aca="false">AR$2*TripTable!AQ39</f>
        <v>0</v>
      </c>
      <c r="AS41" s="1" t="n">
        <f aca="false">AS$2*TripTable!AR39</f>
        <v>0.00139212395327044</v>
      </c>
      <c r="AT41" s="1" t="n">
        <f aca="false">AT$2*TripTable!AS39</f>
        <v>3.26666584921954</v>
      </c>
      <c r="AU41" s="1" t="n">
        <f aca="false">AU$2*TripTable!AT39</f>
        <v>0.0473469509809541</v>
      </c>
      <c r="AV41" s="1" t="n">
        <f aca="false">AV$2*TripTable!AU39</f>
        <v>0</v>
      </c>
      <c r="AW41" s="1" t="n">
        <f aca="false">AW$2*TripTable!AV39</f>
        <v>0.232641838767976</v>
      </c>
      <c r="AX41" s="1" t="n">
        <f aca="false">AX$2*TripTable!AW39</f>
        <v>124.117179140213</v>
      </c>
      <c r="AY41" s="1" t="n">
        <f aca="false">AY$2*TripTable!AX39</f>
        <v>0.328622831621343</v>
      </c>
      <c r="AZ41" s="1" t="n">
        <f aca="false">AZ$2*TripTable!AY39</f>
        <v>0.000226665024604488</v>
      </c>
      <c r="BA41" s="1" t="n">
        <f aca="false">BA$2*TripTable!AZ39</f>
        <v>0</v>
      </c>
      <c r="BB41" s="1" t="n">
        <f aca="false">SUM(C41:BA41)</f>
        <v>208.202512315414</v>
      </c>
      <c r="BC41" s="2" t="n">
        <f aca="false">BB41/TripTable!BA39</f>
        <v>0.0143578037594244</v>
      </c>
      <c r="BD41" s="2" t="n">
        <f aca="false">BB41/BG41</f>
        <v>0.101611767845492</v>
      </c>
      <c r="BE41" s="0" t="s">
        <v>103</v>
      </c>
      <c r="BF41" s="0" t="n">
        <v>0</v>
      </c>
      <c r="BG41" s="0" t="n">
        <v>2049</v>
      </c>
      <c r="BH41" s="0" t="n">
        <v>7420</v>
      </c>
      <c r="BI41" s="0" t="n">
        <v>7120</v>
      </c>
      <c r="BK41" s="0" t="n">
        <v>0.52019068984857</v>
      </c>
      <c r="BL41" s="0" t="n">
        <v>0.510316368638239</v>
      </c>
      <c r="BM41" s="0" t="s">
        <v>103</v>
      </c>
    </row>
    <row r="42" customFormat="false" ht="12.75" hidden="false" customHeight="false" outlineLevel="0" collapsed="false">
      <c r="A42" s="0" t="s">
        <v>39</v>
      </c>
      <c r="B42" s="1" t="n">
        <v>0.116977230877519</v>
      </c>
      <c r="C42" s="1" t="n">
        <f aca="false">C$2*TripTable!B40</f>
        <v>0</v>
      </c>
      <c r="D42" s="1" t="n">
        <f aca="false">D$2*TripTable!C40</f>
        <v>2.07528446440632</v>
      </c>
      <c r="E42" s="1" t="n">
        <f aca="false">E$2*TripTable!D40</f>
        <v>0</v>
      </c>
      <c r="F42" s="1" t="n">
        <f aca="false">F$2*TripTable!E40</f>
        <v>0</v>
      </c>
      <c r="G42" s="1" t="n">
        <f aca="false">G$2*TripTable!F40</f>
        <v>10.3593454528807</v>
      </c>
      <c r="H42" s="1" t="n">
        <f aca="false">H$2*TripTable!G40</f>
        <v>0.709866646547334</v>
      </c>
      <c r="I42" s="1" t="n">
        <f aca="false">I$2*TripTable!H40</f>
        <v>0.138259237758367</v>
      </c>
      <c r="J42" s="1" t="n">
        <f aca="false">J$2*TripTable!I40</f>
        <v>679.972408335331</v>
      </c>
      <c r="K42" s="1" t="n">
        <f aca="false">K$2*TripTable!J40</f>
        <v>0</v>
      </c>
      <c r="L42" s="1" t="n">
        <f aca="false">L$2*TripTable!K40</f>
        <v>119.085338611797</v>
      </c>
      <c r="M42" s="1" t="n">
        <f aca="false">M$2*TripTable!L40</f>
        <v>0.90413907999601</v>
      </c>
      <c r="N42" s="1" t="n">
        <f aca="false">N$2*TripTable!M40</f>
        <v>0</v>
      </c>
      <c r="O42" s="1" t="n">
        <f aca="false">O$2*TripTable!N40</f>
        <v>0.00536674506038025</v>
      </c>
      <c r="P42" s="1" t="n">
        <f aca="false">P$2*TripTable!O40</f>
        <v>0</v>
      </c>
      <c r="Q42" s="1" t="n">
        <f aca="false">Q$2*TripTable!P40</f>
        <v>27.10309405725</v>
      </c>
      <c r="R42" s="1" t="n">
        <f aca="false">R$2*TripTable!Q40</f>
        <v>0.170291812697223</v>
      </c>
      <c r="S42" s="1" t="n">
        <f aca="false">S$2*TripTable!R40</f>
        <v>2.7116889468536</v>
      </c>
      <c r="T42" s="1" t="n">
        <f aca="false">T$2*TripTable!S40</f>
        <v>1.31025886487298</v>
      </c>
      <c r="U42" s="1" t="n">
        <f aca="false">U$2*TripTable!T40</f>
        <v>3.02654832548271</v>
      </c>
      <c r="V42" s="1" t="n">
        <f aca="false">V$2*TripTable!U40</f>
        <v>27.7433160490704</v>
      </c>
      <c r="W42" s="1" t="n">
        <f aca="false">W$2*TripTable!V40</f>
        <v>172.764215806374</v>
      </c>
      <c r="X42" s="1" t="n">
        <f aca="false">X$2*TripTable!W40</f>
        <v>87.5215352129043</v>
      </c>
      <c r="Y42" s="1" t="n">
        <f aca="false">Y$2*TripTable!X40</f>
        <v>2.17942374854482</v>
      </c>
      <c r="Z42" s="1" t="n">
        <f aca="false">Z$2*TripTable!Y40</f>
        <v>0</v>
      </c>
      <c r="AA42" s="1" t="n">
        <f aca="false">AA$2*TripTable!Z40</f>
        <v>0</v>
      </c>
      <c r="AB42" s="1" t="n">
        <f aca="false">AB$2*TripTable!AA40</f>
        <v>0.104076954203149</v>
      </c>
      <c r="AC42" s="1" t="n">
        <f aca="false">AC$2*TripTable!AB40</f>
        <v>0</v>
      </c>
      <c r="AD42" s="1" t="n">
        <f aca="false">AD$2*TripTable!AC40</f>
        <v>0.0598524925667066</v>
      </c>
      <c r="AE42" s="1" t="n">
        <f aca="false">AE$2*TripTable!AD40</f>
        <v>0</v>
      </c>
      <c r="AF42" s="1" t="n">
        <f aca="false">AF$2*TripTable!AE40</f>
        <v>28.148791186583</v>
      </c>
      <c r="AG42" s="1" t="n">
        <f aca="false">AG$2*TripTable!AF40</f>
        <v>1212.37368929784</v>
      </c>
      <c r="AH42" s="1" t="n">
        <f aca="false">AH$2*TripTable!AG40</f>
        <v>0</v>
      </c>
      <c r="AI42" s="1" t="n">
        <f aca="false">AI$2*TripTable!AH40</f>
        <v>1333.2609450268</v>
      </c>
      <c r="AJ42" s="1" t="n">
        <f aca="false">AJ$2*TripTable!AI40</f>
        <v>0.831486865336316</v>
      </c>
      <c r="AK42" s="1" t="n">
        <f aca="false">AK$2*TripTable!AJ40</f>
        <v>0</v>
      </c>
      <c r="AL42" s="1" t="n">
        <f aca="false">AL$2*TripTable!AK40</f>
        <v>67.3624410547633</v>
      </c>
      <c r="AM42" s="1" t="n">
        <f aca="false">AM$2*TripTable!AL40</f>
        <v>1.51956513093435</v>
      </c>
      <c r="AN42" s="1" t="n">
        <f aca="false">AN$2*TripTable!AM40</f>
        <v>0.381530900514685</v>
      </c>
      <c r="AO42" s="1"/>
      <c r="AP42" s="1" t="n">
        <f aca="false">AP$2*TripTable!AO40</f>
        <v>1.23308188873577</v>
      </c>
      <c r="AQ42" s="1" t="n">
        <f aca="false">AQ$2*TripTable!AP40</f>
        <v>0</v>
      </c>
      <c r="AR42" s="1" t="n">
        <f aca="false">AR$2*TripTable!AQ40</f>
        <v>0</v>
      </c>
      <c r="AS42" s="1" t="n">
        <f aca="false">AS$2*TripTable!AR40</f>
        <v>0.0177495804041981</v>
      </c>
      <c r="AT42" s="1" t="n">
        <f aca="false">AT$2*TripTable!AS40</f>
        <v>9.45353298789292</v>
      </c>
      <c r="AU42" s="1" t="n">
        <f aca="false">AU$2*TripTable!AT40</f>
        <v>0.00809882056253162</v>
      </c>
      <c r="AV42" s="1" t="n">
        <f aca="false">AV$2*TripTable!AU40</f>
        <v>0</v>
      </c>
      <c r="AW42" s="1" t="n">
        <f aca="false">AW$2*TripTable!AV40</f>
        <v>74.9106720832883</v>
      </c>
      <c r="AX42" s="1" t="n">
        <f aca="false">AX$2*TripTable!AW40</f>
        <v>2.1542367541025</v>
      </c>
      <c r="AY42" s="1" t="n">
        <f aca="false">AY$2*TripTable!AX40</f>
        <v>55.5372585440069</v>
      </c>
      <c r="AZ42" s="1" t="n">
        <f aca="false">AZ$2*TripTable!AY40</f>
        <v>0.00069132832504369</v>
      </c>
      <c r="BA42" s="1" t="n">
        <f aca="false">BA$2*TripTable!AZ40</f>
        <v>0</v>
      </c>
      <c r="BB42" s="1" t="n">
        <f aca="false">SUM(C42:BA42)</f>
        <v>3925.13808229469</v>
      </c>
      <c r="BC42" s="2" t="n">
        <f aca="false">BB42/TripTable!BA40</f>
        <v>0.0975431928999675</v>
      </c>
      <c r="BD42" s="2" t="n">
        <f aca="false">BB42/BG42</f>
        <v>0.295256362441304</v>
      </c>
      <c r="BE42" s="0" t="s">
        <v>104</v>
      </c>
      <c r="BF42" s="0" t="n">
        <v>6033</v>
      </c>
      <c r="BG42" s="0" t="n">
        <v>13294</v>
      </c>
      <c r="BH42" s="0" t="n">
        <v>7205</v>
      </c>
      <c r="BI42" s="0" t="n">
        <v>9734</v>
      </c>
      <c r="BK42" s="0" t="n">
        <v>0.349838295974127</v>
      </c>
      <c r="BL42" s="0" t="n">
        <v>0.425349784520928</v>
      </c>
      <c r="BM42" s="0" t="s">
        <v>104</v>
      </c>
    </row>
    <row r="43" customFormat="false" ht="12.75" hidden="false" customHeight="false" outlineLevel="0" collapsed="false">
      <c r="A43" s="0" t="s">
        <v>40</v>
      </c>
      <c r="B43" s="1" t="n">
        <v>0.0373661178404778</v>
      </c>
      <c r="C43" s="1" t="n">
        <f aca="false">C$2*TripTable!B41</f>
        <v>0</v>
      </c>
      <c r="D43" s="1" t="n">
        <f aca="false">D$2*TripTable!C41</f>
        <v>0.0628874080123128</v>
      </c>
      <c r="E43" s="1" t="n">
        <f aca="false">E$2*TripTable!D41</f>
        <v>0</v>
      </c>
      <c r="F43" s="1" t="n">
        <f aca="false">F$2*TripTable!E41</f>
        <v>0</v>
      </c>
      <c r="G43" s="1" t="n">
        <f aca="false">G$2*TripTable!F41</f>
        <v>1.1205006306177</v>
      </c>
      <c r="H43" s="1" t="n">
        <f aca="false">H$2*TripTable!G41</f>
        <v>0.0354933323273667</v>
      </c>
      <c r="I43" s="1" t="n">
        <f aca="false">I$2*TripTable!H41</f>
        <v>0.0350845810101119</v>
      </c>
      <c r="J43" s="1" t="n">
        <f aca="false">J$2*TripTable!I41</f>
        <v>1.51554028603714</v>
      </c>
      <c r="K43" s="1" t="n">
        <f aca="false">K$2*TripTable!J41</f>
        <v>0</v>
      </c>
      <c r="L43" s="1" t="n">
        <f aca="false">L$2*TripTable!K41</f>
        <v>12.8425365169585</v>
      </c>
      <c r="M43" s="1" t="n">
        <f aca="false">M$2*TripTable!L41</f>
        <v>0.0460441198146116</v>
      </c>
      <c r="N43" s="1" t="n">
        <f aca="false">N$2*TripTable!M41</f>
        <v>0</v>
      </c>
      <c r="O43" s="1" t="n">
        <f aca="false">O$2*TripTable!N41</f>
        <v>0.00107334901207605</v>
      </c>
      <c r="P43" s="1" t="n">
        <f aca="false">P$2*TripTable!O41</f>
        <v>0</v>
      </c>
      <c r="Q43" s="1" t="n">
        <f aca="false">Q$2*TripTable!P41</f>
        <v>0.27750608249744</v>
      </c>
      <c r="R43" s="1" t="n">
        <f aca="false">R$2*TripTable!Q41</f>
        <v>0.0851459063486116</v>
      </c>
      <c r="S43" s="1" t="n">
        <f aca="false">S$2*TripTable!R41</f>
        <v>0.258256090176534</v>
      </c>
      <c r="T43" s="1" t="n">
        <f aca="false">T$2*TripTable!S41</f>
        <v>0.0507196979950831</v>
      </c>
      <c r="U43" s="1" t="n">
        <f aca="false">U$2*TripTable!T41</f>
        <v>0.235071714600599</v>
      </c>
      <c r="V43" s="1" t="n">
        <f aca="false">V$2*TripTable!U41</f>
        <v>24.6957548164074</v>
      </c>
      <c r="W43" s="1" t="n">
        <f aca="false">W$2*TripTable!V41</f>
        <v>1.54567415524206</v>
      </c>
      <c r="X43" s="1" t="n">
        <f aca="false">X$2*TripTable!W41</f>
        <v>13.4088812855875</v>
      </c>
      <c r="Y43" s="1" t="n">
        <f aca="false">Y$2*TripTable!X41</f>
        <v>0.0960424024782463</v>
      </c>
      <c r="Z43" s="1" t="n">
        <f aca="false">Z$2*TripTable!Y41</f>
        <v>0</v>
      </c>
      <c r="AA43" s="1" t="n">
        <f aca="false">AA$2*TripTable!Z41</f>
        <v>0</v>
      </c>
      <c r="AB43" s="1" t="n">
        <f aca="false">AB$2*TripTable!AA41</f>
        <v>0.0091162295652393</v>
      </c>
      <c r="AC43" s="1" t="n">
        <f aca="false">AC$2*TripTable!AB41</f>
        <v>0</v>
      </c>
      <c r="AD43" s="1" t="n">
        <f aca="false">AD$2*TripTable!AC41</f>
        <v>0.00399016617111377</v>
      </c>
      <c r="AE43" s="1" t="n">
        <f aca="false">AE$2*TripTable!AD41</f>
        <v>0</v>
      </c>
      <c r="AF43" s="1" t="n">
        <f aca="false">AF$2*TripTable!AE41</f>
        <v>40.6331922986239</v>
      </c>
      <c r="AG43" s="1" t="n">
        <f aca="false">AG$2*TripTable!AF41</f>
        <v>36.3493464104177</v>
      </c>
      <c r="AH43" s="1" t="n">
        <f aca="false">AH$2*TripTable!AG41</f>
        <v>0</v>
      </c>
      <c r="AI43" s="1" t="n">
        <f aca="false">AI$2*TripTable!AH41</f>
        <v>125.096907982853</v>
      </c>
      <c r="AJ43" s="1" t="n">
        <f aca="false">AJ$2*TripTable!AI41</f>
        <v>0.0184610760509839</v>
      </c>
      <c r="AK43" s="1" t="n">
        <f aca="false">AK$2*TripTable!AJ41</f>
        <v>0</v>
      </c>
      <c r="AL43" s="1" t="n">
        <f aca="false">AL$2*TripTable!AK41</f>
        <v>1.18352751487139</v>
      </c>
      <c r="AM43" s="1" t="n">
        <f aca="false">AM$2*TripTable!AL41</f>
        <v>0.0759782565467173</v>
      </c>
      <c r="AN43" s="1" t="n">
        <f aca="false">AN$2*TripTable!AM41</f>
        <v>0.0105980805698523</v>
      </c>
      <c r="AO43" s="1" t="n">
        <f aca="false">AO$2*TripTable!AN41</f>
        <v>12.7505181656496</v>
      </c>
      <c r="AP43" s="1"/>
      <c r="AQ43" s="1" t="n">
        <f aca="false">AQ$2*TripTable!AP41</f>
        <v>0</v>
      </c>
      <c r="AR43" s="1" t="n">
        <f aca="false">AR$2*TripTable!AQ41</f>
        <v>0</v>
      </c>
      <c r="AS43" s="1" t="n">
        <f aca="false">AS$2*TripTable!AR41</f>
        <v>0.000870077470794023</v>
      </c>
      <c r="AT43" s="1" t="n">
        <f aca="false">AT$2*TripTable!AS41</f>
        <v>0.445454433984483</v>
      </c>
      <c r="AU43" s="1" t="n">
        <f aca="false">AU$2*TripTable!AT41</f>
        <v>0.00249194478847127</v>
      </c>
      <c r="AV43" s="1" t="n">
        <f aca="false">AV$2*TripTable!AU41</f>
        <v>0</v>
      </c>
      <c r="AW43" s="1" t="n">
        <f aca="false">AW$2*TripTable!AV41</f>
        <v>2.55906022644774</v>
      </c>
      <c r="AX43" s="1" t="n">
        <f aca="false">AX$2*TripTable!AW41</f>
        <v>0.414276298865866</v>
      </c>
      <c r="AY43" s="1" t="n">
        <f aca="false">AY$2*TripTable!AX41</f>
        <v>0.262898265297074</v>
      </c>
      <c r="AZ43" s="1" t="n">
        <f aca="false">AZ$2*TripTable!AY41</f>
        <v>7.9332758611571E-005</v>
      </c>
      <c r="BA43" s="1" t="n">
        <f aca="false">BA$2*TripTable!AZ41</f>
        <v>0</v>
      </c>
      <c r="BB43" s="1" t="n">
        <f aca="false">SUM(C43:BA43)</f>
        <v>276.128979136056</v>
      </c>
      <c r="BC43" s="2" t="n">
        <f aca="false">BB43/TripTable!BA41</f>
        <v>0.124494580313822</v>
      </c>
      <c r="BD43" s="2" t="n">
        <f aca="false">BB43/BG43</f>
        <v>0.0957119511736764</v>
      </c>
      <c r="BE43" s="0" t="s">
        <v>105</v>
      </c>
      <c r="BF43" s="0" t="n">
        <v>7205</v>
      </c>
      <c r="BG43" s="0" t="n">
        <v>2885</v>
      </c>
      <c r="BH43" s="0" t="n">
        <v>0</v>
      </c>
      <c r="BI43" s="0" t="n">
        <v>2258</v>
      </c>
      <c r="BK43" s="0" t="n">
        <v>0</v>
      </c>
      <c r="BL43" s="0" t="n">
        <v>0</v>
      </c>
      <c r="BM43" s="0" t="s">
        <v>105</v>
      </c>
    </row>
    <row r="44" customFormat="false" ht="12.75" hidden="false" customHeight="false" outlineLevel="0" collapsed="false">
      <c r="A44" s="0" t="s">
        <v>41</v>
      </c>
      <c r="B44" s="1" t="n">
        <v>0</v>
      </c>
      <c r="C44" s="1" t="n">
        <f aca="false">C$2*TripTable!B42</f>
        <v>0</v>
      </c>
      <c r="D44" s="1" t="n">
        <f aca="false">D$2*TripTable!C42</f>
        <v>0</v>
      </c>
      <c r="E44" s="1" t="n">
        <f aca="false">E$2*TripTable!D42</f>
        <v>0</v>
      </c>
      <c r="F44" s="1" t="n">
        <f aca="false">F$2*TripTable!E42</f>
        <v>0</v>
      </c>
      <c r="G44" s="1" t="n">
        <f aca="false">G$2*TripTable!F42</f>
        <v>1.09935910928529</v>
      </c>
      <c r="H44" s="1" t="n">
        <f aca="false">H$2*TripTable!G42</f>
        <v>0.115353330063942</v>
      </c>
      <c r="I44" s="1" t="n">
        <f aca="false">I$2*TripTable!H42</f>
        <v>0.0122146319072242</v>
      </c>
      <c r="J44" s="1" t="n">
        <f aca="false">J$2*TripTable!I42</f>
        <v>2.27331042905571</v>
      </c>
      <c r="K44" s="1" t="n">
        <f aca="false">K$2*TripTable!J42</f>
        <v>0</v>
      </c>
      <c r="L44" s="1" t="n">
        <f aca="false">L$2*TripTable!K42</f>
        <v>74.0975440251182</v>
      </c>
      <c r="M44" s="1" t="n">
        <f aca="false">M$2*TripTable!L42</f>
        <v>8.93255924403465</v>
      </c>
      <c r="N44" s="1" t="n">
        <f aca="false">N$2*TripTable!M42</f>
        <v>0</v>
      </c>
      <c r="O44" s="1" t="n">
        <f aca="false">O$2*TripTable!N42</f>
        <v>0.00322004703622815</v>
      </c>
      <c r="P44" s="1" t="n">
        <f aca="false">P$2*TripTable!O42</f>
        <v>0</v>
      </c>
      <c r="Q44" s="1" t="n">
        <f aca="false">Q$2*TripTable!P42</f>
        <v>7.30766017243259</v>
      </c>
      <c r="R44" s="1" t="n">
        <f aca="false">R$2*TripTable!Q42</f>
        <v>0.298010672220141</v>
      </c>
      <c r="S44" s="1" t="n">
        <f aca="false">S$2*TripTable!R42</f>
        <v>0.129128045088267</v>
      </c>
      <c r="T44" s="1" t="n">
        <f aca="false">T$2*TripTable!S42</f>
        <v>0.388851017962304</v>
      </c>
      <c r="U44" s="1" t="n">
        <f aca="false">U$2*TripTable!T42</f>
        <v>5.08342582823794</v>
      </c>
      <c r="V44" s="1" t="n">
        <f aca="false">V$2*TripTable!U42</f>
        <v>1.47123645714768</v>
      </c>
      <c r="W44" s="1" t="n">
        <f aca="false">W$2*TripTable!V42</f>
        <v>13.5597778164417</v>
      </c>
      <c r="X44" s="1" t="n">
        <f aca="false">X$2*TripTable!W42</f>
        <v>2.70256522035096</v>
      </c>
      <c r="Y44" s="1" t="n">
        <f aca="false">Y$2*TripTable!X42</f>
        <v>0.583642291983189</v>
      </c>
      <c r="Z44" s="1" t="n">
        <f aca="false">Z$2*TripTable!Y42</f>
        <v>0</v>
      </c>
      <c r="AA44" s="1" t="n">
        <f aca="false">AA$2*TripTable!Z42</f>
        <v>0</v>
      </c>
      <c r="AB44" s="1" t="n">
        <f aca="false">AB$2*TripTable!AA42</f>
        <v>0.0189921449275819</v>
      </c>
      <c r="AC44" s="1" t="n">
        <f aca="false">AC$2*TripTable!AB42</f>
        <v>0</v>
      </c>
      <c r="AD44" s="1" t="n">
        <f aca="false">AD$2*TripTable!AC42</f>
        <v>0.00798033234222754</v>
      </c>
      <c r="AE44" s="1" t="n">
        <f aca="false">AE$2*TripTable!AD42</f>
        <v>0</v>
      </c>
      <c r="AF44" s="1" t="n">
        <f aca="false">AF$2*TripTable!AE42</f>
        <v>1.76666053472278</v>
      </c>
      <c r="AG44" s="1" t="n">
        <f aca="false">AG$2*TripTable!AF42</f>
        <v>21.0443584481366</v>
      </c>
      <c r="AH44" s="1" t="n">
        <f aca="false">AH$2*TripTable!AG42</f>
        <v>0</v>
      </c>
      <c r="AI44" s="1" t="n">
        <f aca="false">AI$2*TripTable!AH42</f>
        <v>77.6463566790125</v>
      </c>
      <c r="AJ44" s="1" t="n">
        <f aca="false">AJ$2*TripTable!AI42</f>
        <v>2.0713327329204</v>
      </c>
      <c r="AK44" s="1" t="n">
        <f aca="false">AK$2*TripTable!AJ42</f>
        <v>0</v>
      </c>
      <c r="AL44" s="1" t="n">
        <f aca="false">AL$2*TripTable!AK42</f>
        <v>0.328757643019831</v>
      </c>
      <c r="AM44" s="1" t="n">
        <f aca="false">AM$2*TripTable!AL42</f>
        <v>1.21565210474748</v>
      </c>
      <c r="AN44" s="1" t="n">
        <f aca="false">AN$2*TripTable!AM42</f>
        <v>0.090083684843745</v>
      </c>
      <c r="AO44" s="1" t="n">
        <f aca="false">AO$2*TripTable!AN42</f>
        <v>11.931677549507</v>
      </c>
      <c r="AP44" s="1" t="n">
        <f aca="false">AP$2*TripTable!AO42</f>
        <v>0.0373661178404778</v>
      </c>
      <c r="AQ44" s="1"/>
      <c r="AR44" s="1" t="n">
        <f aca="false">AR$2*TripTable!AQ42</f>
        <v>0</v>
      </c>
      <c r="AS44" s="1" t="n">
        <f aca="false">AS$2*TripTable!AR42</f>
        <v>0.0298726598305948</v>
      </c>
      <c r="AT44" s="1" t="n">
        <f aca="false">AT$2*TripTable!AS42</f>
        <v>4.1823221857432</v>
      </c>
      <c r="AU44" s="1" t="n">
        <f aca="false">AU$2*TripTable!AT42</f>
        <v>0.0149516687308276</v>
      </c>
      <c r="AV44" s="1" t="n">
        <f aca="false">AV$2*TripTable!AU42</f>
        <v>0</v>
      </c>
      <c r="AW44" s="1" t="n">
        <f aca="false">AW$2*TripTable!AV42</f>
        <v>15.633531565208</v>
      </c>
      <c r="AX44" s="1" t="n">
        <f aca="false">AX$2*TripTable!AW42</f>
        <v>0.745697337958559</v>
      </c>
      <c r="AY44" s="1" t="n">
        <f aca="false">AY$2*TripTable!AX42</f>
        <v>4.86361790799587</v>
      </c>
      <c r="AZ44" s="1" t="n">
        <f aca="false">AZ$2*TripTable!AY42</f>
        <v>0.000283331280755611</v>
      </c>
      <c r="BA44" s="1" t="n">
        <f aca="false">BA$2*TripTable!AZ42</f>
        <v>0</v>
      </c>
      <c r="BB44" s="1" t="n">
        <f aca="false">SUM(C44:BA44)</f>
        <v>259.687352967134</v>
      </c>
      <c r="BC44" s="2" t="n">
        <f aca="false">BB44/TripTable!BA42</f>
        <v>0.0175050457005146</v>
      </c>
      <c r="BD44" s="2" t="n">
        <f aca="false">BB44/BG44</f>
        <v>0.0153888801758302</v>
      </c>
      <c r="BE44" s="0" t="s">
        <v>106</v>
      </c>
      <c r="BF44" s="0" t="n">
        <v>5864</v>
      </c>
      <c r="BG44" s="0" t="n">
        <v>16875</v>
      </c>
      <c r="BH44" s="0" t="n">
        <v>6033</v>
      </c>
      <c r="BI44" s="0" t="n">
        <v>9024</v>
      </c>
      <c r="BK44" s="0" t="n">
        <v>0.312153981476691</v>
      </c>
      <c r="BL44" s="0" t="n">
        <v>0.400677425782028</v>
      </c>
      <c r="BM44" s="0" t="s">
        <v>106</v>
      </c>
    </row>
    <row r="45" customFormat="false" ht="12.75" hidden="false" customHeight="false" outlineLevel="0" collapsed="false">
      <c r="A45" s="0" t="s">
        <v>42</v>
      </c>
      <c r="B45" s="1" t="n">
        <v>0</v>
      </c>
      <c r="C45" s="1" t="n">
        <f aca="false">C$2*TripTable!B43</f>
        <v>0</v>
      </c>
      <c r="D45" s="1" t="n">
        <f aca="false">D$2*TripTable!C43</f>
        <v>0.125774816024626</v>
      </c>
      <c r="E45" s="1" t="n">
        <f aca="false">E$2*TripTable!D43</f>
        <v>0</v>
      </c>
      <c r="F45" s="1" t="n">
        <f aca="false">F$2*TripTable!E43</f>
        <v>0</v>
      </c>
      <c r="G45" s="1" t="n">
        <f aca="false">G$2*TripTable!F43</f>
        <v>0.761094767966742</v>
      </c>
      <c r="H45" s="1" t="n">
        <f aca="false">H$2*TripTable!G43</f>
        <v>0.340144434803931</v>
      </c>
      <c r="I45" s="1" t="n">
        <f aca="false">I$2*TripTable!H43</f>
        <v>0.000259885785260088</v>
      </c>
      <c r="J45" s="1" t="n">
        <f aca="false">J$2*TripTable!I43</f>
        <v>0</v>
      </c>
      <c r="K45" s="1" t="n">
        <f aca="false">K$2*TripTable!J43</f>
        <v>0</v>
      </c>
      <c r="L45" s="1" t="n">
        <f aca="false">L$2*TripTable!K43</f>
        <v>1.94583886620584</v>
      </c>
      <c r="M45" s="1" t="n">
        <f aca="false">M$2*TripTable!L43</f>
        <v>0.0125574872221668</v>
      </c>
      <c r="N45" s="1" t="n">
        <f aca="false">N$2*TripTable!M43</f>
        <v>0</v>
      </c>
      <c r="O45" s="1" t="n">
        <f aca="false">O$2*TripTable!N43</f>
        <v>0.0042933960483042</v>
      </c>
      <c r="P45" s="1" t="n">
        <f aca="false">P$2*TripTable!O43</f>
        <v>0</v>
      </c>
      <c r="Q45" s="1" t="n">
        <f aca="false">Q$2*TripTable!P43</f>
        <v>1.11002432998976</v>
      </c>
      <c r="R45" s="1" t="n">
        <f aca="false">R$2*TripTable!Q43</f>
        <v>9.83435218326464</v>
      </c>
      <c r="S45" s="1" t="n">
        <f aca="false">S$2*TripTable!R43</f>
        <v>2.19517676650054</v>
      </c>
      <c r="T45" s="1" t="n">
        <f aca="false">T$2*TripTable!S43</f>
        <v>0.0253598489975415</v>
      </c>
      <c r="U45" s="1" t="n">
        <f aca="false">U$2*TripTable!T43</f>
        <v>0.117535857300299</v>
      </c>
      <c r="V45" s="1" t="n">
        <f aca="false">V$2*TripTable!U43</f>
        <v>0.210176636735382</v>
      </c>
      <c r="W45" s="1" t="n">
        <f aca="false">W$2*TripTable!V43</f>
        <v>0.140515832294733</v>
      </c>
      <c r="X45" s="1" t="n">
        <f aca="false">X$2*TripTable!W43</f>
        <v>0.20788963233469</v>
      </c>
      <c r="Y45" s="1" t="n">
        <f aca="false">Y$2*TripTable!X43</f>
        <v>0.103430279591958</v>
      </c>
      <c r="Z45" s="1" t="n">
        <f aca="false">Z$2*TripTable!Y43</f>
        <v>0</v>
      </c>
      <c r="AA45" s="1" t="n">
        <f aca="false">AA$2*TripTable!Z43</f>
        <v>0</v>
      </c>
      <c r="AB45" s="1" t="n">
        <f aca="false">AB$2*TripTable!AA43</f>
        <v>0.0212712023188917</v>
      </c>
      <c r="AC45" s="1" t="n">
        <f aca="false">AC$2*TripTable!AB43</f>
        <v>0</v>
      </c>
      <c r="AD45" s="1" t="n">
        <f aca="false">AD$2*TripTable!AC43</f>
        <v>0.546652765442587</v>
      </c>
      <c r="AE45" s="1" t="n">
        <f aca="false">AE$2*TripTable!AD43</f>
        <v>0</v>
      </c>
      <c r="AF45" s="1" t="n">
        <f aca="false">AF$2*TripTable!AE43</f>
        <v>0.117777368981519</v>
      </c>
      <c r="AG45" s="1" t="n">
        <f aca="false">AG$2*TripTable!AF43</f>
        <v>0.546606712938613</v>
      </c>
      <c r="AH45" s="1" t="n">
        <f aca="false">AH$2*TripTable!AG43</f>
        <v>0</v>
      </c>
      <c r="AI45" s="1" t="n">
        <f aca="false">AI$2*TripTable!AH43</f>
        <v>2.32275425962858</v>
      </c>
      <c r="AJ45" s="1" t="n">
        <f aca="false">AJ$2*TripTable!AI43</f>
        <v>0.00369221521019679</v>
      </c>
      <c r="AK45" s="1" t="n">
        <f aca="false">AK$2*TripTable!AJ43</f>
        <v>0</v>
      </c>
      <c r="AL45" s="1" t="n">
        <f aca="false">AL$2*TripTable!AK43</f>
        <v>0.230130350113882</v>
      </c>
      <c r="AM45" s="1" t="n">
        <f aca="false">AM$2*TripTable!AL43</f>
        <v>0.303913026186869</v>
      </c>
      <c r="AN45" s="1" t="n">
        <f aca="false">AN$2*TripTable!AM43</f>
        <v>0.0423923222794094</v>
      </c>
      <c r="AO45" s="1" t="n">
        <f aca="false">AO$2*TripTable!AN43</f>
        <v>0.584886154387597</v>
      </c>
      <c r="AP45" s="1" t="n">
        <f aca="false">AP$2*TripTable!AO43</f>
        <v>0</v>
      </c>
      <c r="AQ45" s="1" t="n">
        <f aca="false">AQ$2*TripTable!AP43</f>
        <v>0</v>
      </c>
      <c r="AR45" s="1"/>
      <c r="AS45" s="1" t="n">
        <f aca="false">AS$2*TripTable!AR43</f>
        <v>0.000580051647196015</v>
      </c>
      <c r="AT45" s="1" t="n">
        <f aca="false">AT$2*TripTable!AS43</f>
        <v>0.445454433984483</v>
      </c>
      <c r="AU45" s="1" t="n">
        <f aca="false">AU$2*TripTable!AT43</f>
        <v>0.00436090337982472</v>
      </c>
      <c r="AV45" s="1" t="n">
        <f aca="false">AV$2*TripTable!AU43</f>
        <v>0</v>
      </c>
      <c r="AW45" s="1" t="n">
        <f aca="false">AW$2*TripTable!AV43</f>
        <v>0.232641838767976</v>
      </c>
      <c r="AX45" s="1" t="n">
        <f aca="false">AX$2*TripTable!AW43</f>
        <v>0.787124967845145</v>
      </c>
      <c r="AY45" s="1" t="n">
        <f aca="false">AY$2*TripTable!AX43</f>
        <v>0.0657245663242686</v>
      </c>
      <c r="AZ45" s="1" t="n">
        <f aca="false">AZ$2*TripTable!AY43</f>
        <v>0.000396663793057855</v>
      </c>
      <c r="BA45" s="1" t="n">
        <f aca="false">BA$2*TripTable!AZ43</f>
        <v>0</v>
      </c>
      <c r="BB45" s="1" t="n">
        <f aca="false">SUM(C45:BA45)</f>
        <v>23.3907848242965</v>
      </c>
      <c r="BC45" s="2" t="n">
        <f aca="false">BB45/TripTable!BA43</f>
        <v>0.00250597651856616</v>
      </c>
      <c r="BD45" s="2" t="n">
        <f aca="false">BB45/BG45</f>
        <v>0.00122043122322323</v>
      </c>
      <c r="BE45" s="0" t="s">
        <v>107</v>
      </c>
      <c r="BF45" s="0" t="n">
        <v>56808</v>
      </c>
      <c r="BG45" s="0" t="n">
        <v>19166</v>
      </c>
      <c r="BH45" s="0" t="n">
        <v>2733</v>
      </c>
      <c r="BI45" s="0" t="n">
        <v>2142</v>
      </c>
      <c r="BK45" s="0" t="n">
        <v>0.714073339940535</v>
      </c>
      <c r="BL45" s="0" t="n">
        <v>0.560615384615385</v>
      </c>
      <c r="BM45" s="0" t="s">
        <v>107</v>
      </c>
    </row>
    <row r="46" customFormat="false" ht="12.75" hidden="false" customHeight="false" outlineLevel="0" collapsed="false">
      <c r="A46" s="0" t="s">
        <v>43</v>
      </c>
      <c r="B46" s="1" t="n">
        <v>5.80051647196015E-005</v>
      </c>
      <c r="C46" s="1" t="n">
        <f aca="false">C$2*TripTable!B44</f>
        <v>0</v>
      </c>
      <c r="D46" s="1" t="n">
        <f aca="false">D$2*TripTable!C44</f>
        <v>1.69796001633244</v>
      </c>
      <c r="E46" s="1" t="n">
        <f aca="false">E$2*TripTable!D44</f>
        <v>0</v>
      </c>
      <c r="F46" s="1" t="n">
        <f aca="false">F$2*TripTable!E44</f>
        <v>0</v>
      </c>
      <c r="G46" s="1" t="n">
        <f aca="false">G$2*TripTable!F44</f>
        <v>4.77798382112455</v>
      </c>
      <c r="H46" s="1" t="n">
        <f aca="false">H$2*TripTable!G44</f>
        <v>0.171551106248939</v>
      </c>
      <c r="I46" s="1" t="n">
        <f aca="false">I$2*TripTable!H44</f>
        <v>0.00181920049682062</v>
      </c>
      <c r="J46" s="1" t="n">
        <f aca="false">J$2*TripTable!I44</f>
        <v>13.3872725266614</v>
      </c>
      <c r="K46" s="1" t="n">
        <f aca="false">K$2*TripTable!J44</f>
        <v>0</v>
      </c>
      <c r="L46" s="1" t="n">
        <f aca="false">L$2*TripTable!K44</f>
        <v>92.7775971406942</v>
      </c>
      <c r="M46" s="1" t="n">
        <f aca="false">M$2*TripTable!L44</f>
        <v>12.4444698371673</v>
      </c>
      <c r="N46" s="1" t="n">
        <f aca="false">N$2*TripTable!M44</f>
        <v>0</v>
      </c>
      <c r="O46" s="1" t="n">
        <f aca="false">O$2*TripTable!N44</f>
        <v>0.0300537723381294</v>
      </c>
      <c r="P46" s="1" t="n">
        <f aca="false">P$2*TripTable!O44</f>
        <v>0</v>
      </c>
      <c r="Q46" s="1" t="n">
        <f aca="false">Q$2*TripTable!P44</f>
        <v>27.5656041947457</v>
      </c>
      <c r="R46" s="1" t="n">
        <f aca="false">R$2*TripTable!Q44</f>
        <v>1.40490745475209</v>
      </c>
      <c r="S46" s="1" t="n">
        <f aca="false">S$2*TripTable!R44</f>
        <v>0.516512180353067</v>
      </c>
      <c r="T46" s="1" t="n">
        <f aca="false">T$2*TripTable!S44</f>
        <v>7.86155318923788</v>
      </c>
      <c r="U46" s="1" t="n">
        <f aca="false">U$2*TripTable!T44</f>
        <v>8.638885511572</v>
      </c>
      <c r="V46" s="1" t="n">
        <f aca="false">V$2*TripTable!U44</f>
        <v>1.78650141225075</v>
      </c>
      <c r="W46" s="1" t="n">
        <f aca="false">W$2*TripTable!V44</f>
        <v>9.13352909915764</v>
      </c>
      <c r="X46" s="1" t="n">
        <f aca="false">X$2*TripTable!W44</f>
        <v>6.028799337706</v>
      </c>
      <c r="Y46" s="1" t="n">
        <f aca="false">Y$2*TripTable!X44</f>
        <v>1.81741776997297</v>
      </c>
      <c r="Z46" s="1" t="n">
        <f aca="false">Z$2*TripTable!Y44</f>
        <v>0</v>
      </c>
      <c r="AA46" s="1" t="n">
        <f aca="false">AA$2*TripTable!Z44</f>
        <v>0</v>
      </c>
      <c r="AB46" s="1" t="n">
        <f aca="false">AB$2*TripTable!AA44</f>
        <v>0.309192119421033</v>
      </c>
      <c r="AC46" s="1" t="n">
        <f aca="false">AC$2*TripTable!AB44</f>
        <v>0</v>
      </c>
      <c r="AD46" s="1" t="n">
        <f aca="false">AD$2*TripTable!AC44</f>
        <v>0.0279311631977964</v>
      </c>
      <c r="AE46" s="1" t="n">
        <f aca="false">AE$2*TripTable!AD44</f>
        <v>0</v>
      </c>
      <c r="AF46" s="1" t="n">
        <f aca="false">AF$2*TripTable!AE44</f>
        <v>0.824441582870631</v>
      </c>
      <c r="AG46" s="1" t="n">
        <f aca="false">AG$2*TripTable!AF44</f>
        <v>17.4914148140356</v>
      </c>
      <c r="AH46" s="1" t="n">
        <f aca="false">AH$2*TripTable!AG44</f>
        <v>0</v>
      </c>
      <c r="AI46" s="1" t="n">
        <f aca="false">AI$2*TripTable!AH44</f>
        <v>35.1731359315185</v>
      </c>
      <c r="AJ46" s="1" t="n">
        <f aca="false">AJ$2*TripTable!AI44</f>
        <v>0.454142470854205</v>
      </c>
      <c r="AK46" s="1" t="n">
        <f aca="false">AK$2*TripTable!AJ44</f>
        <v>0</v>
      </c>
      <c r="AL46" s="1" t="n">
        <f aca="false">AL$2*TripTable!AK44</f>
        <v>10.7174991624465</v>
      </c>
      <c r="AM46" s="1" t="n">
        <f aca="false">AM$2*TripTable!AL44</f>
        <v>4.02684759697602</v>
      </c>
      <c r="AN46" s="1" t="n">
        <f aca="false">AN$2*TripTable!AM44</f>
        <v>0.0582894431341879</v>
      </c>
      <c r="AO46" s="1" t="n">
        <f aca="false">AO$2*TripTable!AN44</f>
        <v>23.8633550990139</v>
      </c>
      <c r="AP46" s="1" t="n">
        <f aca="false">AP$2*TripTable!AO44</f>
        <v>0.112098353521433</v>
      </c>
      <c r="AQ46" s="1" t="n">
        <f aca="false">AQ$2*TripTable!AP44</f>
        <v>0</v>
      </c>
      <c r="AR46" s="1" t="n">
        <f aca="false">AR$2*TripTable!AQ44</f>
        <v>0</v>
      </c>
      <c r="AS46" s="1"/>
      <c r="AT46" s="1" t="n">
        <f aca="false">AT$2*TripTable!AS44</f>
        <v>7.17676588086112</v>
      </c>
      <c r="AU46" s="1" t="n">
        <f aca="false">AU$2*TripTable!AT44</f>
        <v>0.0118367377452385</v>
      </c>
      <c r="AV46" s="1" t="n">
        <f aca="false">AV$2*TripTable!AU44</f>
        <v>0</v>
      </c>
      <c r="AW46" s="1" t="n">
        <f aca="false">AW$2*TripTable!AV44</f>
        <v>17.8668932173806</v>
      </c>
      <c r="AX46" s="1" t="n">
        <f aca="false">AX$2*TripTable!AW44</f>
        <v>2.65136831274154</v>
      </c>
      <c r="AY46" s="1" t="n">
        <f aca="false">AY$2*TripTable!AX44</f>
        <v>6.96680403037247</v>
      </c>
      <c r="AZ46" s="1" t="n">
        <f aca="false">AZ$2*TripTable!AY44</f>
        <v>0.000475996551669426</v>
      </c>
      <c r="BA46" s="1" t="n">
        <f aca="false">BA$2*TripTable!AZ44</f>
        <v>0</v>
      </c>
      <c r="BB46" s="1" t="n">
        <f aca="false">SUM(C46:BA46)</f>
        <v>317.774909483454</v>
      </c>
      <c r="BC46" s="2" t="n">
        <f aca="false">BB46/TripTable!BA44</f>
        <v>0.0161364398254941</v>
      </c>
      <c r="BD46" s="2" t="n">
        <f aca="false">BB46/BG46</f>
        <v>0.0614413978119595</v>
      </c>
      <c r="BE46" s="0" t="s">
        <v>108</v>
      </c>
      <c r="BF46" s="0" t="n">
        <v>4495</v>
      </c>
      <c r="BG46" s="0" t="n">
        <v>5172</v>
      </c>
      <c r="BH46" s="0" t="n">
        <v>5864</v>
      </c>
      <c r="BI46" s="0" t="n">
        <v>13941</v>
      </c>
      <c r="BK46" s="0" t="n">
        <v>0.257882932406878</v>
      </c>
      <c r="BL46" s="0" t="n">
        <v>0.29608684675587</v>
      </c>
      <c r="BM46" s="0" t="s">
        <v>108</v>
      </c>
    </row>
    <row r="47" customFormat="false" ht="12.75" hidden="false" customHeight="false" outlineLevel="0" collapsed="false">
      <c r="A47" s="0" t="s">
        <v>44</v>
      </c>
      <c r="B47" s="1" t="n">
        <v>0.0247474685546935</v>
      </c>
      <c r="C47" s="1" t="n">
        <f aca="false">C$2*TripTable!B45</f>
        <v>0</v>
      </c>
      <c r="D47" s="1" t="n">
        <f aca="false">D$2*TripTable!C45</f>
        <v>9.18156156979766</v>
      </c>
      <c r="E47" s="1" t="n">
        <f aca="false">E$2*TripTable!D45</f>
        <v>0</v>
      </c>
      <c r="F47" s="1" t="n">
        <f aca="false">F$2*TripTable!E45</f>
        <v>0</v>
      </c>
      <c r="G47" s="1" t="n">
        <f aca="false">G$2*TripTable!F45</f>
        <v>32.0505463399328</v>
      </c>
      <c r="H47" s="1" t="n">
        <f aca="false">H$2*TripTable!G45</f>
        <v>4.12905766075033</v>
      </c>
      <c r="I47" s="1" t="n">
        <f aca="false">I$2*TripTable!H45</f>
        <v>0.017672233397686</v>
      </c>
      <c r="J47" s="1" t="n">
        <f aca="false">J$2*TripTable!I45</f>
        <v>0</v>
      </c>
      <c r="K47" s="1" t="n">
        <f aca="false">K$2*TripTable!J45</f>
        <v>0</v>
      </c>
      <c r="L47" s="1" t="n">
        <f aca="false">L$2*TripTable!K45</f>
        <v>132.861877784534</v>
      </c>
      <c r="M47" s="1" t="n">
        <f aca="false">M$2*TripTable!L45</f>
        <v>1.57805756091896</v>
      </c>
      <c r="N47" s="1" t="n">
        <f aca="false">N$2*TripTable!M45</f>
        <v>0</v>
      </c>
      <c r="O47" s="1" t="n">
        <f aca="false">O$2*TripTable!N45</f>
        <v>0.126655183424974</v>
      </c>
      <c r="P47" s="1" t="n">
        <f aca="false">P$2*TripTable!O45</f>
        <v>0</v>
      </c>
      <c r="Q47" s="1" t="n">
        <f aca="false">Q$2*TripTable!P45</f>
        <v>16.0953527848515</v>
      </c>
      <c r="R47" s="1" t="n">
        <f aca="false">R$2*TripTable!Q45</f>
        <v>6.04535935075142</v>
      </c>
      <c r="S47" s="1" t="n">
        <f aca="false">S$2*TripTable!R45</f>
        <v>36.3495446923471</v>
      </c>
      <c r="T47" s="1" t="n">
        <f aca="false">T$2*TripTable!S45</f>
        <v>0.921407846910676</v>
      </c>
      <c r="U47" s="1" t="n">
        <f aca="false">U$2*TripTable!T45</f>
        <v>107.692229251399</v>
      </c>
      <c r="V47" s="1" t="n">
        <f aca="false">V$2*TripTable!U45</f>
        <v>2.73229627755997</v>
      </c>
      <c r="W47" s="1" t="n">
        <f aca="false">W$2*TripTable!V45</f>
        <v>9.06327118301027</v>
      </c>
      <c r="X47" s="1" t="n">
        <f aca="false">X$2*TripTable!W45</f>
        <v>12.2654883077467</v>
      </c>
      <c r="Y47" s="1" t="n">
        <f aca="false">Y$2*TripTable!X45</f>
        <v>1.81741776997297</v>
      </c>
      <c r="Z47" s="1" t="n">
        <f aca="false">Z$2*TripTable!Y45</f>
        <v>0</v>
      </c>
      <c r="AA47" s="1" t="n">
        <f aca="false">AA$2*TripTable!Z45</f>
        <v>0</v>
      </c>
      <c r="AB47" s="1" t="n">
        <f aca="false">AB$2*TripTable!AA45</f>
        <v>0.825018775654156</v>
      </c>
      <c r="AC47" s="1" t="n">
        <f aca="false">AC$2*TripTable!AB45</f>
        <v>0</v>
      </c>
      <c r="AD47" s="1" t="n">
        <f aca="false">AD$2*TripTable!AC45</f>
        <v>0.135665649817868</v>
      </c>
      <c r="AE47" s="1" t="n">
        <f aca="false">AE$2*TripTable!AD45</f>
        <v>0</v>
      </c>
      <c r="AF47" s="1" t="n">
        <f aca="false">AF$2*TripTable!AE45</f>
        <v>0.824441582870631</v>
      </c>
      <c r="AG47" s="1" t="n">
        <f aca="false">AG$2*TripTable!AF45</f>
        <v>19.9511450222594</v>
      </c>
      <c r="AH47" s="1" t="n">
        <f aca="false">AH$2*TripTable!AG45</f>
        <v>0</v>
      </c>
      <c r="AI47" s="1" t="n">
        <f aca="false">AI$2*TripTable!AH45</f>
        <v>177.192967805952</v>
      </c>
      <c r="AJ47" s="1" t="n">
        <f aca="false">AJ$2*TripTable!AI45</f>
        <v>0.175011000963328</v>
      </c>
      <c r="AK47" s="1" t="n">
        <f aca="false">AK$2*TripTable!AJ45</f>
        <v>0</v>
      </c>
      <c r="AL47" s="1" t="n">
        <f aca="false">AL$2*TripTable!AK45</f>
        <v>15.615988043442</v>
      </c>
      <c r="AM47" s="1" t="n">
        <f aca="false">AM$2*TripTable!AL45</f>
        <v>209.851944582033</v>
      </c>
      <c r="AN47" s="1" t="n">
        <f aca="false">AN$2*TripTable!AM45</f>
        <v>0.238456812821678</v>
      </c>
      <c r="AO47" s="1" t="n">
        <f aca="false">AO$2*TripTable!AN45</f>
        <v>29.8291938737674</v>
      </c>
      <c r="AP47" s="1" t="n">
        <f aca="false">AP$2*TripTable!AO45</f>
        <v>0.672590121128599</v>
      </c>
      <c r="AQ47" s="1" t="n">
        <f aca="false">AQ$2*TripTable!AP45</f>
        <v>0</v>
      </c>
      <c r="AR47" s="1" t="n">
        <f aca="false">AR$2*TripTable!AQ45</f>
        <v>0</v>
      </c>
      <c r="AS47" s="1" t="n">
        <f aca="false">AS$2*TripTable!AR45</f>
        <v>0.0355571659731157</v>
      </c>
      <c r="AT47" s="1"/>
      <c r="AU47" s="1" t="n">
        <f aca="false">AU$2*TripTable!AT45</f>
        <v>0.067905495485842</v>
      </c>
      <c r="AV47" s="1" t="n">
        <f aca="false">AV$2*TripTable!AU45</f>
        <v>0</v>
      </c>
      <c r="AW47" s="1" t="n">
        <f aca="false">AW$2*TripTable!AV45</f>
        <v>8.97997497644388</v>
      </c>
      <c r="AX47" s="1" t="n">
        <f aca="false">AX$2*TripTable!AW45</f>
        <v>6.13128922321482</v>
      </c>
      <c r="AY47" s="1" t="n">
        <f aca="false">AY$2*TripTable!AX45</f>
        <v>0</v>
      </c>
      <c r="AZ47" s="1" t="n">
        <f aca="false">AZ$2*TripTable!AY45</f>
        <v>0.000940659852108627</v>
      </c>
      <c r="BA47" s="1" t="n">
        <f aca="false">BA$2*TripTable!AZ45</f>
        <v>0</v>
      </c>
      <c r="BB47" s="1" t="n">
        <f aca="false">SUM(C47:BA47)</f>
        <v>843.455886588986</v>
      </c>
      <c r="BC47" s="2" t="n">
        <f aca="false">BB47/TripTable!BA45</f>
        <v>0.0105462306236666</v>
      </c>
      <c r="BD47" s="2" t="n">
        <f aca="false">BB47/BG47</f>
        <v>0.0592397729027241</v>
      </c>
      <c r="BE47" s="0" t="s">
        <v>109</v>
      </c>
      <c r="BF47" s="0" t="n">
        <v>9012</v>
      </c>
      <c r="BG47" s="0" t="n">
        <v>14238</v>
      </c>
      <c r="BH47" s="0" t="n">
        <v>56808</v>
      </c>
      <c r="BI47" s="0" t="n">
        <v>23496</v>
      </c>
      <c r="BK47" s="0" t="n">
        <v>0.747729486403243</v>
      </c>
      <c r="BL47" s="0" t="n">
        <v>0.707411835026898</v>
      </c>
      <c r="BM47" s="0" t="s">
        <v>109</v>
      </c>
    </row>
    <row r="48" customFormat="false" ht="12.75" hidden="false" customHeight="false" outlineLevel="0" collapsed="false">
      <c r="A48" s="0" t="s">
        <v>45</v>
      </c>
      <c r="B48" s="1" t="n">
        <v>0.000622986197117817</v>
      </c>
      <c r="C48" s="1" t="n">
        <f aca="false">C$2*TripTable!B46</f>
        <v>0</v>
      </c>
      <c r="D48" s="1" t="n">
        <f aca="false">D$2*TripTable!C46</f>
        <v>1.25774816024626</v>
      </c>
      <c r="E48" s="1" t="n">
        <f aca="false">E$2*TripTable!D46</f>
        <v>0</v>
      </c>
      <c r="F48" s="1" t="n">
        <f aca="false">F$2*TripTable!E46</f>
        <v>0</v>
      </c>
      <c r="G48" s="1" t="n">
        <f aca="false">G$2*TripTable!F46</f>
        <v>21.0569552470799</v>
      </c>
      <c r="H48" s="1" t="n">
        <f aca="false">H$2*TripTable!G46</f>
        <v>0.83113553199917</v>
      </c>
      <c r="I48" s="1" t="n">
        <f aca="false">I$2*TripTable!H46</f>
        <v>0.000519771570520177</v>
      </c>
      <c r="J48" s="1" t="n">
        <f aca="false">J$2*TripTable!I46</f>
        <v>0</v>
      </c>
      <c r="K48" s="1" t="n">
        <f aca="false">K$2*TripTable!J46</f>
        <v>0</v>
      </c>
      <c r="L48" s="1" t="n">
        <f aca="false">L$2*TripTable!K46</f>
        <v>5.05918105213517</v>
      </c>
      <c r="M48" s="1" t="n">
        <f aca="false">M$2*TripTable!L46</f>
        <v>0.108831555925446</v>
      </c>
      <c r="N48" s="1" t="n">
        <f aca="false">N$2*TripTable!M46</f>
        <v>0</v>
      </c>
      <c r="O48" s="1" t="n">
        <f aca="false">O$2*TripTable!N46</f>
        <v>1.0754957101002</v>
      </c>
      <c r="P48" s="1" t="n">
        <f aca="false">P$2*TripTable!O46</f>
        <v>0</v>
      </c>
      <c r="Q48" s="1" t="n">
        <f aca="false">Q$2*TripTable!P46</f>
        <v>1.11002432998976</v>
      </c>
      <c r="R48" s="1" t="n">
        <f aca="false">R$2*TripTable!Q46</f>
        <v>0.212864765871529</v>
      </c>
      <c r="S48" s="1" t="n">
        <f aca="false">S$2*TripTable!R46</f>
        <v>0.968460338162001</v>
      </c>
      <c r="T48" s="1" t="n">
        <f aca="false">T$2*TripTable!S46</f>
        <v>0.101439395990166</v>
      </c>
      <c r="U48" s="1" t="n">
        <f aca="false">U$2*TripTable!T46</f>
        <v>0.411375500551047</v>
      </c>
      <c r="V48" s="1" t="n">
        <f aca="false">V$2*TripTable!U46</f>
        <v>0.315264955103073</v>
      </c>
      <c r="W48" s="1" t="n">
        <f aca="false">W$2*TripTable!V46</f>
        <v>0.772837077621031</v>
      </c>
      <c r="X48" s="1" t="n">
        <f aca="false">X$2*TripTable!W46</f>
        <v>1.97495150717955</v>
      </c>
      <c r="Y48" s="1" t="n">
        <f aca="false">Y$2*TripTable!X46</f>
        <v>0.0960424024782463</v>
      </c>
      <c r="Z48" s="1" t="n">
        <f aca="false">Z$2*TripTable!Y46</f>
        <v>0</v>
      </c>
      <c r="AA48" s="1" t="n">
        <f aca="false">AA$2*TripTable!Z46</f>
        <v>0</v>
      </c>
      <c r="AB48" s="1" t="n">
        <f aca="false">AB$2*TripTable!AA46</f>
        <v>0.0440617762319899</v>
      </c>
      <c r="AC48" s="1" t="n">
        <f aca="false">AC$2*TripTable!AB46</f>
        <v>0</v>
      </c>
      <c r="AD48" s="1" t="n">
        <f aca="false">AD$2*TripTable!AC46</f>
        <v>0.0738180741656048</v>
      </c>
      <c r="AE48" s="1" t="n">
        <f aca="false">AE$2*TripTable!AD46</f>
        <v>0</v>
      </c>
      <c r="AF48" s="1" t="n">
        <f aca="false">AF$2*TripTable!AE46</f>
        <v>1.41332842777822</v>
      </c>
      <c r="AG48" s="1" t="n">
        <f aca="false">AG$2*TripTable!AF46</f>
        <v>2.73303356469306</v>
      </c>
      <c r="AH48" s="1" t="n">
        <f aca="false">AH$2*TripTable!AG46</f>
        <v>0</v>
      </c>
      <c r="AI48" s="1" t="n">
        <f aca="false">AI$2*TripTable!AH46</f>
        <v>15.5956357432205</v>
      </c>
      <c r="AJ48" s="1" t="n">
        <f aca="false">AJ$2*TripTable!AI46</f>
        <v>0.00812287346243293</v>
      </c>
      <c r="AK48" s="1" t="n">
        <f aca="false">AK$2*TripTable!AJ46</f>
        <v>0</v>
      </c>
      <c r="AL48" s="1" t="n">
        <f aca="false">AL$2*TripTable!AK46</f>
        <v>0.657515286039662</v>
      </c>
      <c r="AM48" s="1" t="n">
        <f aca="false">AM$2*TripTable!AL46</f>
        <v>0.987717335107325</v>
      </c>
      <c r="AN48" s="1" t="n">
        <f aca="false">AN$2*TripTable!AM46</f>
        <v>0.625286753621289</v>
      </c>
      <c r="AO48" s="1" t="n">
        <f aca="false">AO$2*TripTable!AN46</f>
        <v>2.45652184842791</v>
      </c>
      <c r="AP48" s="1" t="n">
        <f aca="false">AP$2*TripTable!AO46</f>
        <v>0</v>
      </c>
      <c r="AQ48" s="1" t="n">
        <f aca="false">AQ$2*TripTable!AP46</f>
        <v>0</v>
      </c>
      <c r="AR48" s="1" t="n">
        <f aca="false">AR$2*TripTable!AQ46</f>
        <v>0</v>
      </c>
      <c r="AS48" s="1" t="n">
        <f aca="false">AS$2*TripTable!AR46</f>
        <v>0.000870077470794023</v>
      </c>
      <c r="AT48" s="1" t="n">
        <f aca="false">AT$2*TripTable!AS46</f>
        <v>2.20252470136772</v>
      </c>
      <c r="AU48" s="1"/>
      <c r="AV48" s="1" t="n">
        <f aca="false">AV$2*TripTable!AU46</f>
        <v>0</v>
      </c>
      <c r="AW48" s="1" t="n">
        <f aca="false">AW$2*TripTable!AV46</f>
        <v>0.604868780796738</v>
      </c>
      <c r="AX48" s="1" t="n">
        <f aca="false">AX$2*TripTable!AW46</f>
        <v>5.96557870366847</v>
      </c>
      <c r="AY48" s="1" t="n">
        <f aca="false">AY$2*TripTable!AX46</f>
        <v>0.131449132648537</v>
      </c>
      <c r="AZ48" s="1" t="n">
        <f aca="false">AZ$2*TripTable!AY46</f>
        <v>0.000124665763532469</v>
      </c>
      <c r="BA48" s="1" t="n">
        <f aca="false">BA$2*TripTable!AZ46</f>
        <v>0</v>
      </c>
      <c r="BB48" s="1" t="n">
        <f aca="false">SUM(C48:BA48)</f>
        <v>68.8535850464668</v>
      </c>
      <c r="BC48" s="2" t="n">
        <f aca="false">BB48/TripTable!BA46</f>
        <v>0.00645482188492236</v>
      </c>
      <c r="BD48" s="2" t="n">
        <f aca="false">BB48/BG48</f>
        <v>0.0143924717906494</v>
      </c>
      <c r="BE48" s="0" t="s">
        <v>110</v>
      </c>
      <c r="BF48" s="0" t="n">
        <v>317</v>
      </c>
      <c r="BG48" s="0" t="n">
        <v>4784</v>
      </c>
      <c r="BH48" s="0" t="n">
        <v>4495</v>
      </c>
      <c r="BI48" s="0" t="n">
        <v>6206</v>
      </c>
      <c r="BK48" s="0" t="n">
        <v>0.464983966070136</v>
      </c>
      <c r="BL48" s="0" t="n">
        <v>0.420054200542005</v>
      </c>
      <c r="BM48" s="0" t="s">
        <v>110</v>
      </c>
    </row>
    <row r="49" customFormat="false" ht="12.75" hidden="false" customHeight="false" outlineLevel="0" collapsed="false">
      <c r="A49" s="0" t="s">
        <v>46</v>
      </c>
      <c r="B49" s="1" t="n">
        <v>0</v>
      </c>
      <c r="C49" s="1" t="n">
        <f aca="false">C$2*TripTable!B47</f>
        <v>0</v>
      </c>
      <c r="D49" s="1" t="n">
        <f aca="false">D$2*TripTable!C47</f>
        <v>0.188662224036938</v>
      </c>
      <c r="E49" s="1" t="n">
        <f aca="false">E$2*TripTable!D47</f>
        <v>0</v>
      </c>
      <c r="F49" s="1" t="n">
        <f aca="false">F$2*TripTable!E47</f>
        <v>0</v>
      </c>
      <c r="G49" s="1" t="n">
        <f aca="false">G$2*TripTable!F47</f>
        <v>0.676528682637104</v>
      </c>
      <c r="H49" s="1" t="n">
        <f aca="false">H$2*TripTable!G47</f>
        <v>0.0384511100213139</v>
      </c>
      <c r="I49" s="1" t="n">
        <f aca="false">I$2*TripTable!H47</f>
        <v>0.0379433246479729</v>
      </c>
      <c r="J49" s="1" t="n">
        <f aca="false">J$2*TripTable!I47</f>
        <v>1.26295023836428</v>
      </c>
      <c r="K49" s="1" t="n">
        <f aca="false">K$2*TripTable!J47</f>
        <v>0</v>
      </c>
      <c r="L49" s="1" t="n">
        <f aca="false">L$2*TripTable!K47</f>
        <v>7.54985480087864</v>
      </c>
      <c r="M49" s="1" t="n">
        <f aca="false">M$2*TripTable!L47</f>
        <v>0.0251149744443336</v>
      </c>
      <c r="N49" s="1" t="n">
        <f aca="false">N$2*TripTable!M47</f>
        <v>0</v>
      </c>
      <c r="O49" s="1" t="n">
        <f aca="false">O$2*TripTable!N47</f>
        <v>0</v>
      </c>
      <c r="P49" s="1" t="n">
        <f aca="false">P$2*TripTable!O47</f>
        <v>0</v>
      </c>
      <c r="Q49" s="1" t="n">
        <f aca="false">Q$2*TripTable!P47</f>
        <v>0.462510137495734</v>
      </c>
      <c r="R49" s="1" t="n">
        <f aca="false">R$2*TripTable!Q47</f>
        <v>0.0851459063486116</v>
      </c>
      <c r="S49" s="1" t="n">
        <f aca="false">S$2*TripTable!R47</f>
        <v>0.0645640225441334</v>
      </c>
      <c r="T49" s="1" t="n">
        <f aca="false">T$2*TripTable!S47</f>
        <v>0.0760795469926246</v>
      </c>
      <c r="U49" s="1" t="n">
        <f aca="false">U$2*TripTable!T47</f>
        <v>0.0881518929752244</v>
      </c>
      <c r="V49" s="1" t="n">
        <f aca="false">V$2*TripTable!U47</f>
        <v>26.2720795919228</v>
      </c>
      <c r="W49" s="1" t="n">
        <f aca="false">W$2*TripTable!V47</f>
        <v>1.19438457450523</v>
      </c>
      <c r="X49" s="1" t="n">
        <f aca="false">X$2*TripTable!W47</f>
        <v>59.9761589285579</v>
      </c>
      <c r="Y49" s="1" t="n">
        <f aca="false">Y$2*TripTable!X47</f>
        <v>0.0738787711371125</v>
      </c>
      <c r="Z49" s="1" t="n">
        <f aca="false">Z$2*TripTable!Y47</f>
        <v>0</v>
      </c>
      <c r="AA49" s="1" t="n">
        <f aca="false">AA$2*TripTable!Z47</f>
        <v>0</v>
      </c>
      <c r="AB49" s="1" t="n">
        <f aca="false">AB$2*TripTable!AA47</f>
        <v>0.0030387431884131</v>
      </c>
      <c r="AC49" s="1" t="n">
        <f aca="false">AC$2*TripTable!AB47</f>
        <v>0</v>
      </c>
      <c r="AD49" s="1" t="n">
        <f aca="false">AD$2*TripTable!AC47</f>
        <v>0</v>
      </c>
      <c r="AE49" s="1" t="n">
        <f aca="false">AE$2*TripTable!AD47</f>
        <v>0</v>
      </c>
      <c r="AF49" s="1" t="n">
        <f aca="false">AF$2*TripTable!AE47</f>
        <v>39.3376412398272</v>
      </c>
      <c r="AG49" s="1" t="n">
        <f aca="false">AG$2*TripTable!AF47</f>
        <v>39.3556833315801</v>
      </c>
      <c r="AH49" s="1" t="n">
        <f aca="false">AH$2*TripTable!AG47</f>
        <v>0</v>
      </c>
      <c r="AI49" s="1" t="n">
        <f aca="false">AI$2*TripTable!AH47</f>
        <v>181.506654288119</v>
      </c>
      <c r="AJ49" s="1" t="n">
        <f aca="false">AJ$2*TripTable!AI47</f>
        <v>0.0155073038828265</v>
      </c>
      <c r="AK49" s="1" t="n">
        <f aca="false">AK$2*TripTable!AJ47</f>
        <v>0</v>
      </c>
      <c r="AL49" s="1" t="n">
        <f aca="false">AL$2*TripTable!AK47</f>
        <v>0.723266814643628</v>
      </c>
      <c r="AM49" s="1" t="n">
        <f aca="false">AM$2*TripTable!AL47</f>
        <v>0.227934769640152</v>
      </c>
      <c r="AN49" s="1" t="n">
        <f aca="false">AN$2*TripTable!AM47</f>
        <v>0.0211961611397047</v>
      </c>
      <c r="AO49" s="1" t="n">
        <f aca="false">AO$2*TripTable!AN47</f>
        <v>8.65631508493643</v>
      </c>
      <c r="AP49" s="1" t="n">
        <f aca="false">AP$2*TripTable!AO47</f>
        <v>1.90567200986437</v>
      </c>
      <c r="AQ49" s="1" t="n">
        <f aca="false">AQ$2*TripTable!AP47</f>
        <v>0</v>
      </c>
      <c r="AR49" s="1" t="n">
        <f aca="false">AR$2*TripTable!AQ47</f>
        <v>0</v>
      </c>
      <c r="AS49" s="1" t="n">
        <f aca="false">AS$2*TripTable!AR47</f>
        <v>0.000522046482476414</v>
      </c>
      <c r="AT49" s="1" t="n">
        <f aca="false">AT$2*TripTable!AS47</f>
        <v>0.247474685546935</v>
      </c>
      <c r="AU49" s="1" t="n">
        <f aca="false">AU$2*TripTable!AT47</f>
        <v>0.00249194478847127</v>
      </c>
      <c r="AV49" s="1"/>
      <c r="AW49" s="1" t="n">
        <f aca="false">AW$2*TripTable!AV47</f>
        <v>2.09377654891178</v>
      </c>
      <c r="AX49" s="1" t="n">
        <f aca="false">AX$2*TripTable!AW47</f>
        <v>0.24856577931952</v>
      </c>
      <c r="AY49" s="1" t="n">
        <f aca="false">AY$2*TripTable!AX47</f>
        <v>0.0657245663242686</v>
      </c>
      <c r="AZ49" s="1" t="n">
        <f aca="false">AZ$2*TripTable!AY47</f>
        <v>3.39997536906733E-005</v>
      </c>
      <c r="BA49" s="1" t="n">
        <f aca="false">BA$2*TripTable!AZ47</f>
        <v>0</v>
      </c>
      <c r="BB49" s="1" t="n">
        <f aca="false">SUM(C49:BA49)</f>
        <v>372.483958045459</v>
      </c>
      <c r="BC49" s="2" t="n">
        <f aca="false">BB49/TripTable!BA47</f>
        <v>0.131248751954002</v>
      </c>
      <c r="BD49" s="2" t="n">
        <f aca="false">BB49/BG49</f>
        <v>0.030891023224868</v>
      </c>
      <c r="BE49" s="0" t="s">
        <v>111</v>
      </c>
      <c r="BF49" s="0" t="n">
        <v>14023</v>
      </c>
      <c r="BG49" s="0" t="n">
        <v>12058</v>
      </c>
      <c r="BH49" s="0" t="n">
        <v>317</v>
      </c>
      <c r="BI49" s="0" t="n">
        <v>2547</v>
      </c>
      <c r="BK49" s="0" t="n">
        <v>0.0621446775142129</v>
      </c>
      <c r="BL49" s="0" t="n">
        <v>0.110684357541899</v>
      </c>
      <c r="BM49" s="0" t="s">
        <v>111</v>
      </c>
    </row>
    <row r="50" customFormat="false" ht="12.75" hidden="false" customHeight="false" outlineLevel="0" collapsed="false">
      <c r="A50" s="0" t="s">
        <v>47</v>
      </c>
      <c r="B50" s="1" t="n">
        <v>0.0465283677535952</v>
      </c>
      <c r="C50" s="1" t="n">
        <f aca="false">C$2*TripTable!B48</f>
        <v>0</v>
      </c>
      <c r="D50" s="1" t="n">
        <f aca="false">D$2*TripTable!C48</f>
        <v>0.251549632049251</v>
      </c>
      <c r="E50" s="1" t="n">
        <f aca="false">E$2*TripTable!D48</f>
        <v>0</v>
      </c>
      <c r="F50" s="1" t="n">
        <f aca="false">F$2*TripTable!E48</f>
        <v>0</v>
      </c>
      <c r="G50" s="1" t="n">
        <f aca="false">G$2*TripTable!F48</f>
        <v>7.58980615833501</v>
      </c>
      <c r="H50" s="1" t="n">
        <f aca="false">H$2*TripTable!G48</f>
        <v>0.295777769394722</v>
      </c>
      <c r="I50" s="1" t="n">
        <f aca="false">I$2*TripTable!H48</f>
        <v>0.0434009261384348</v>
      </c>
      <c r="J50" s="1" t="n">
        <f aca="false">J$2*TripTable!I48</f>
        <v>90.1746470192099</v>
      </c>
      <c r="K50" s="1" t="n">
        <f aca="false">K$2*TripTable!J48</f>
        <v>0</v>
      </c>
      <c r="L50" s="1" t="n">
        <f aca="false">L$2*TripTable!K48</f>
        <v>92.4662629221013</v>
      </c>
      <c r="M50" s="1" t="n">
        <f aca="false">M$2*TripTable!L48</f>
        <v>2.54498407702581</v>
      </c>
      <c r="N50" s="1" t="n">
        <f aca="false">N$2*TripTable!M48</f>
        <v>0</v>
      </c>
      <c r="O50" s="1" t="n">
        <f aca="false">O$2*TripTable!N48</f>
        <v>0.021466980241521</v>
      </c>
      <c r="P50" s="1" t="n">
        <f aca="false">P$2*TripTable!O48</f>
        <v>0</v>
      </c>
      <c r="Q50" s="1" t="n">
        <f aca="false">Q$2*TripTable!P48</f>
        <v>8.88019463991809</v>
      </c>
      <c r="R50" s="1" t="n">
        <f aca="false">R$2*TripTable!Q48</f>
        <v>2.34151242458682</v>
      </c>
      <c r="S50" s="1" t="n">
        <f aca="false">S$2*TripTable!R48</f>
        <v>2.25974078904467</v>
      </c>
      <c r="T50" s="1" t="n">
        <f aca="false">T$2*TripTable!S48</f>
        <v>1.3440719968697</v>
      </c>
      <c r="U50" s="1" t="n">
        <f aca="false">U$2*TripTable!T48</f>
        <v>4.17252293416062</v>
      </c>
      <c r="V50" s="1" t="n">
        <f aca="false">V$2*TripTable!U48</f>
        <v>9.35286033472451</v>
      </c>
      <c r="W50" s="1" t="n">
        <f aca="false">W$2*TripTable!V48</f>
        <v>77.2837077621031</v>
      </c>
      <c r="X50" s="1" t="n">
        <f aca="false">X$2*TripTable!W48</f>
        <v>37.1082993717421</v>
      </c>
      <c r="Y50" s="1" t="n">
        <f aca="false">Y$2*TripTable!X48</f>
        <v>1.16728458396638</v>
      </c>
      <c r="Z50" s="1" t="n">
        <f aca="false">Z$2*TripTable!Y48</f>
        <v>0</v>
      </c>
      <c r="AA50" s="1" t="n">
        <f aca="false">AA$2*TripTable!Z48</f>
        <v>0</v>
      </c>
      <c r="AB50" s="1" t="n">
        <f aca="false">AB$2*TripTable!AA48</f>
        <v>0.168650246956927</v>
      </c>
      <c r="AC50" s="1" t="n">
        <f aca="false">AC$2*TripTable!AB48</f>
        <v>0</v>
      </c>
      <c r="AD50" s="1" t="n">
        <f aca="false">AD$2*TripTable!AC48</f>
        <v>0.0259360801122395</v>
      </c>
      <c r="AE50" s="1" t="n">
        <f aca="false">AE$2*TripTable!AD48</f>
        <v>0</v>
      </c>
      <c r="AF50" s="1" t="n">
        <f aca="false">AF$2*TripTable!AE48</f>
        <v>7.65552898379871</v>
      </c>
      <c r="AG50" s="1" t="n">
        <f aca="false">AG$2*TripTable!AF48</f>
        <v>153.049879622812</v>
      </c>
      <c r="AH50" s="1" t="n">
        <f aca="false">AH$2*TripTable!AG48</f>
        <v>0</v>
      </c>
      <c r="AI50" s="1" t="n">
        <f aca="false">AI$2*TripTable!AH48</f>
        <v>335.803901534874</v>
      </c>
      <c r="AJ50" s="1" t="n">
        <f aca="false">AJ$2*TripTable!AI48</f>
        <v>2.77728428111002</v>
      </c>
      <c r="AK50" s="1" t="n">
        <f aca="false">AK$2*TripTable!AJ48</f>
        <v>0</v>
      </c>
      <c r="AL50" s="1" t="n">
        <f aca="false">AL$2*TripTable!AK48</f>
        <v>17.489906608655</v>
      </c>
      <c r="AM50" s="1" t="n">
        <f aca="false">AM$2*TripTable!AL48</f>
        <v>2.73521723568182</v>
      </c>
      <c r="AN50" s="1" t="n">
        <f aca="false">AN$2*TripTable!AM48</f>
        <v>0</v>
      </c>
      <c r="AO50" s="1" t="n">
        <f aca="false">AO$2*TripTable!AN48</f>
        <v>281.564194722189</v>
      </c>
      <c r="AP50" s="1" t="n">
        <f aca="false">AP$2*TripTable!AO48</f>
        <v>2.54089601315249</v>
      </c>
      <c r="AQ50" s="1" t="n">
        <f aca="false">AQ$2*TripTable!AP48</f>
        <v>0</v>
      </c>
      <c r="AR50" s="1" t="n">
        <f aca="false">AR$2*TripTable!AQ48</f>
        <v>0</v>
      </c>
      <c r="AS50" s="1" t="n">
        <f aca="false">AS$2*TripTable!AR48</f>
        <v>0.0517406069298846</v>
      </c>
      <c r="AT50" s="1" t="n">
        <f aca="false">AT$2*TripTable!AS48</f>
        <v>7.6222203148456</v>
      </c>
      <c r="AU50" s="1" t="n">
        <f aca="false">AU$2*TripTable!AT48</f>
        <v>0.0211815307020058</v>
      </c>
      <c r="AV50" s="1" t="n">
        <f aca="false">AV$2*TripTable!AU48</f>
        <v>0</v>
      </c>
      <c r="AW50" s="1"/>
      <c r="AX50" s="1" t="n">
        <f aca="false">AX$2*TripTable!AW48</f>
        <v>1.44996704603053</v>
      </c>
      <c r="AY50" s="1" t="n">
        <f aca="false">AY$2*TripTable!AX48</f>
        <v>72.428472089344</v>
      </c>
      <c r="AZ50" s="1" t="n">
        <f aca="false">AZ$2*TripTable!AY48</f>
        <v>0.000600662315201894</v>
      </c>
      <c r="BA50" s="1" t="n">
        <f aca="false">BA$2*TripTable!AZ48</f>
        <v>0</v>
      </c>
      <c r="BB50" s="1" t="n">
        <f aca="false">SUM(C50:BA50)</f>
        <v>1222.68366790112</v>
      </c>
      <c r="BC50" s="2" t="n">
        <f aca="false">BB50/TripTable!BA48</f>
        <v>0.0455138351660632</v>
      </c>
      <c r="BD50" s="2" t="n">
        <f aca="false">BB50/BG50</f>
        <v>0.156293451093074</v>
      </c>
      <c r="BE50" s="0" t="s">
        <v>112</v>
      </c>
      <c r="BF50" s="0" t="n">
        <v>13744</v>
      </c>
      <c r="BG50" s="0" t="n">
        <v>7823</v>
      </c>
      <c r="BH50" s="0" t="n">
        <v>9012</v>
      </c>
      <c r="BI50" s="0" t="n">
        <v>18941</v>
      </c>
      <c r="BK50" s="0" t="n">
        <v>0.387612903225806</v>
      </c>
      <c r="BL50" s="0" t="n">
        <v>0.322398311451365</v>
      </c>
      <c r="BM50" s="0" t="s">
        <v>112</v>
      </c>
    </row>
    <row r="51" customFormat="false" ht="12.75" hidden="false" customHeight="false" outlineLevel="0" collapsed="false">
      <c r="A51" s="0" t="s">
        <v>48</v>
      </c>
      <c r="B51" s="1" t="n">
        <v>0.0414276298865866</v>
      </c>
      <c r="C51" s="1" t="n">
        <f aca="false">C$2*TripTable!B49</f>
        <v>0</v>
      </c>
      <c r="D51" s="1" t="n">
        <f aca="false">D$2*TripTable!C49</f>
        <v>7.16916451340366</v>
      </c>
      <c r="E51" s="1" t="n">
        <f aca="false">E$2*TripTable!D49</f>
        <v>0</v>
      </c>
      <c r="F51" s="1" t="n">
        <f aca="false">F$2*TripTable!E49</f>
        <v>0</v>
      </c>
      <c r="G51" s="1" t="n">
        <f aca="false">G$2*TripTable!F49</f>
        <v>36.3422751704119</v>
      </c>
      <c r="H51" s="1" t="n">
        <f aca="false">H$2*TripTable!G49</f>
        <v>0.485075541807345</v>
      </c>
      <c r="I51" s="1" t="n">
        <f aca="false">I$2*TripTable!H49</f>
        <v>0.008836116698843</v>
      </c>
      <c r="J51" s="1" t="n">
        <f aca="false">J$2*TripTable!I49</f>
        <v>0.252590047672857</v>
      </c>
      <c r="K51" s="1" t="n">
        <f aca="false">K$2*TripTable!J49</f>
        <v>0</v>
      </c>
      <c r="L51" s="1" t="n">
        <f aca="false">L$2*TripTable!K49</f>
        <v>13.6208720634408</v>
      </c>
      <c r="M51" s="1" t="n">
        <f aca="false">M$2*TripTable!L49</f>
        <v>0.339052154998504</v>
      </c>
      <c r="N51" s="1" t="n">
        <f aca="false">N$2*TripTable!M49</f>
        <v>0</v>
      </c>
      <c r="O51" s="1" t="n">
        <f aca="false">O$2*TripTable!N49</f>
        <v>0.874779444841981</v>
      </c>
      <c r="P51" s="1" t="n">
        <f aca="false">P$2*TripTable!O49</f>
        <v>0</v>
      </c>
      <c r="Q51" s="1" t="n">
        <f aca="false">Q$2*TripTable!P49</f>
        <v>2.03504460498123</v>
      </c>
      <c r="R51" s="1" t="n">
        <f aca="false">R$2*TripTable!Q49</f>
        <v>2.89496081585279</v>
      </c>
      <c r="S51" s="1" t="n">
        <f aca="false">S$2*TripTable!R49</f>
        <v>1.03302436070613</v>
      </c>
      <c r="T51" s="1" t="n">
        <f aca="false">T$2*TripTable!S49</f>
        <v>0.118345961988527</v>
      </c>
      <c r="U51" s="1" t="n">
        <f aca="false">U$2*TripTable!T49</f>
        <v>1.38104632327852</v>
      </c>
      <c r="V51" s="1" t="n">
        <f aca="false">V$2*TripTable!U49</f>
        <v>0.735618228573838</v>
      </c>
      <c r="W51" s="1" t="n">
        <f aca="false">W$2*TripTable!V49</f>
        <v>2.81031664589466</v>
      </c>
      <c r="X51" s="1" t="n">
        <f aca="false">X$2*TripTable!W49</f>
        <v>12.8891572047508</v>
      </c>
      <c r="Y51" s="1" t="n">
        <f aca="false">Y$2*TripTable!X49</f>
        <v>0.465436258163809</v>
      </c>
      <c r="Z51" s="1" t="n">
        <f aca="false">Z$2*TripTable!Y49</f>
        <v>0</v>
      </c>
      <c r="AA51" s="1" t="n">
        <f aca="false">AA$2*TripTable!Z49</f>
        <v>0</v>
      </c>
      <c r="AB51" s="1" t="n">
        <f aca="false">AB$2*TripTable!AA49</f>
        <v>0.0812863802900504</v>
      </c>
      <c r="AC51" s="1" t="n">
        <f aca="false">AC$2*TripTable!AB49</f>
        <v>0</v>
      </c>
      <c r="AD51" s="1" t="n">
        <f aca="false">AD$2*TripTable!AC49</f>
        <v>0.0399016617111377</v>
      </c>
      <c r="AE51" s="1" t="n">
        <f aca="false">AE$2*TripTable!AD49</f>
        <v>0</v>
      </c>
      <c r="AF51" s="1" t="n">
        <f aca="false">AF$2*TripTable!AE49</f>
        <v>0.588886844907593</v>
      </c>
      <c r="AG51" s="1" t="n">
        <f aca="false">AG$2*TripTable!AF49</f>
        <v>18.5846282399128</v>
      </c>
      <c r="AH51" s="1" t="n">
        <f aca="false">AH$2*TripTable!AG49</f>
        <v>0</v>
      </c>
      <c r="AI51" s="1" t="n">
        <f aca="false">AI$2*TripTable!AH49</f>
        <v>43.8005088958532</v>
      </c>
      <c r="AJ51" s="1" t="n">
        <f aca="false">AJ$2*TripTable!AI49</f>
        <v>0.0302761647236136</v>
      </c>
      <c r="AK51" s="1" t="n">
        <f aca="false">AK$2*TripTable!AJ49</f>
        <v>0</v>
      </c>
      <c r="AL51" s="1" t="n">
        <f aca="false">AL$2*TripTable!AK49</f>
        <v>1.15065175056941</v>
      </c>
      <c r="AM51" s="1" t="n">
        <f aca="false">AM$2*TripTable!AL49</f>
        <v>3.03913026186869</v>
      </c>
      <c r="AN51" s="1" t="n">
        <f aca="false">AN$2*TripTable!AM49</f>
        <v>20.7934340780503</v>
      </c>
      <c r="AO51" s="1" t="n">
        <f aca="false">AO$2*TripTable!AN49</f>
        <v>6.43374769826356</v>
      </c>
      <c r="AP51" s="1" t="n">
        <f aca="false">AP$2*TripTable!AO49</f>
        <v>0.0373661178404778</v>
      </c>
      <c r="AQ51" s="1" t="n">
        <f aca="false">AQ$2*TripTable!AP49</f>
        <v>0</v>
      </c>
      <c r="AR51" s="1" t="n">
        <f aca="false">AR$2*TripTable!AQ49</f>
        <v>0</v>
      </c>
      <c r="AS51" s="1" t="n">
        <f aca="false">AS$2*TripTable!AR49</f>
        <v>0.000812072306074421</v>
      </c>
      <c r="AT51" s="1" t="n">
        <f aca="false">AT$2*TripTable!AS49</f>
        <v>5.46919055058726</v>
      </c>
      <c r="AU51" s="1" t="n">
        <f aca="false">AU$2*TripTable!AT49</f>
        <v>0.0897100123849656</v>
      </c>
      <c r="AV51" s="1" t="n">
        <f aca="false">AV$2*TripTable!AU49</f>
        <v>0</v>
      </c>
      <c r="AW51" s="1" t="n">
        <f aca="false">AW$2*TripTable!AV49</f>
        <v>1.48890776811505</v>
      </c>
      <c r="AX51" s="1"/>
      <c r="AY51" s="1" t="n">
        <f aca="false">AY$2*TripTable!AX49</f>
        <v>0.328622831621343</v>
      </c>
      <c r="AZ51" s="1" t="n">
        <f aca="false">AZ$2*TripTable!AY49</f>
        <v>0.000543996059050772</v>
      </c>
      <c r="BA51" s="1" t="n">
        <f aca="false">BA$2*TripTable!AZ49</f>
        <v>0</v>
      </c>
      <c r="BB51" s="1" t="n">
        <f aca="false">SUM(C51:BA51)</f>
        <v>185.413200782531</v>
      </c>
      <c r="BC51" s="2" t="n">
        <f aca="false">BB51/TripTable!BA49</f>
        <v>0.00765632410218156</v>
      </c>
      <c r="BD51" s="2" t="n">
        <f aca="false">BB51/BG51</f>
        <v>0.0280971663558919</v>
      </c>
      <c r="BE51" s="0" t="s">
        <v>113</v>
      </c>
      <c r="BF51" s="0" t="n">
        <v>1854</v>
      </c>
      <c r="BG51" s="0" t="n">
        <v>6599</v>
      </c>
      <c r="BH51" s="0" t="n">
        <v>13744</v>
      </c>
      <c r="BI51" s="0" t="n">
        <v>10556</v>
      </c>
      <c r="BK51" s="0" t="n">
        <v>0.637269903092688</v>
      </c>
      <c r="BL51" s="0" t="n">
        <v>0.56559670781893</v>
      </c>
      <c r="BM51" s="0" t="s">
        <v>113</v>
      </c>
    </row>
    <row r="52" customFormat="false" ht="12.75" hidden="false" customHeight="false" outlineLevel="0" collapsed="false">
      <c r="A52" s="0" t="s">
        <v>49</v>
      </c>
      <c r="B52" s="1" t="n">
        <v>0.0657245663242686</v>
      </c>
      <c r="C52" s="1" t="n">
        <f aca="false">C$2*TripTable!B50</f>
        <v>0</v>
      </c>
      <c r="D52" s="1" t="n">
        <f aca="false">D$2*TripTable!C50</f>
        <v>0.125774816024626</v>
      </c>
      <c r="E52" s="1" t="n">
        <f aca="false">E$2*TripTable!D50</f>
        <v>0</v>
      </c>
      <c r="F52" s="1" t="n">
        <f aca="false">F$2*TripTable!E50</f>
        <v>0</v>
      </c>
      <c r="G52" s="1" t="n">
        <f aca="false">G$2*TripTable!F50</f>
        <v>0.528538033310238</v>
      </c>
      <c r="H52" s="1" t="n">
        <f aca="false">H$2*TripTable!G50</f>
        <v>0.0295777769394722</v>
      </c>
      <c r="I52" s="1" t="n">
        <f aca="false">I$2*TripTable!H50</f>
        <v>0.00181920049682062</v>
      </c>
      <c r="J52" s="1" t="n">
        <f aca="false">J$2*TripTable!I50</f>
        <v>5.55698104880285</v>
      </c>
      <c r="K52" s="1" t="n">
        <f aca="false">K$2*TripTable!J50</f>
        <v>0</v>
      </c>
      <c r="L52" s="1" t="n">
        <f aca="false">L$2*TripTable!K50</f>
        <v>12.8425365169585</v>
      </c>
      <c r="M52" s="1" t="n">
        <f aca="false">M$2*TripTable!L50</f>
        <v>0.259521402591447</v>
      </c>
      <c r="N52" s="1" t="n">
        <f aca="false">N$2*TripTable!M50</f>
        <v>0</v>
      </c>
      <c r="O52" s="1" t="n">
        <f aca="false">O$2*TripTable!N50</f>
        <v>0.0042933960483042</v>
      </c>
      <c r="P52" s="1" t="n">
        <f aca="false">P$2*TripTable!O50</f>
        <v>0</v>
      </c>
      <c r="Q52" s="1" t="n">
        <f aca="false">Q$2*TripTable!P50</f>
        <v>7.86267233742747</v>
      </c>
      <c r="R52" s="1" t="n">
        <f aca="false">R$2*TripTable!Q50</f>
        <v>0.212864765871529</v>
      </c>
      <c r="S52" s="1" t="n">
        <f aca="false">S$2*TripTable!R50</f>
        <v>0.129128045088267</v>
      </c>
      <c r="T52" s="1" t="n">
        <f aca="false">T$2*TripTable!S50</f>
        <v>1.29335229887462</v>
      </c>
      <c r="U52" s="1" t="n">
        <f aca="false">U$2*TripTable!T50</f>
        <v>0.411375500551047</v>
      </c>
      <c r="V52" s="1" t="n">
        <f aca="false">V$2*TripTable!U50</f>
        <v>0.840706546941529</v>
      </c>
      <c r="W52" s="1" t="n">
        <f aca="false">W$2*TripTable!V50</f>
        <v>13.8408094810312</v>
      </c>
      <c r="X52" s="1" t="n">
        <f aca="false">X$2*TripTable!W50</f>
        <v>2.59862040418362</v>
      </c>
      <c r="Y52" s="1" t="n">
        <f aca="false">Y$2*TripTable!X50</f>
        <v>0.251187821866183</v>
      </c>
      <c r="Z52" s="1" t="n">
        <f aca="false">Z$2*TripTable!Y50</f>
        <v>0</v>
      </c>
      <c r="AA52" s="1" t="n">
        <f aca="false">AA$2*TripTable!Z50</f>
        <v>0</v>
      </c>
      <c r="AB52" s="1" t="n">
        <f aca="false">AB$2*TripTable!AA50</f>
        <v>0.0197518307246851</v>
      </c>
      <c r="AC52" s="1" t="n">
        <f aca="false">AC$2*TripTable!AB50</f>
        <v>0</v>
      </c>
      <c r="AD52" s="1" t="n">
        <f aca="false">AD$2*TripTable!AC50</f>
        <v>0.00199508308555689</v>
      </c>
      <c r="AE52" s="1" t="n">
        <f aca="false">AE$2*TripTable!AD50</f>
        <v>0</v>
      </c>
      <c r="AF52" s="1" t="n">
        <f aca="false">AF$2*TripTable!AE50</f>
        <v>0.235554737963037</v>
      </c>
      <c r="AG52" s="1" t="n">
        <f aca="false">AG$2*TripTable!AF50</f>
        <v>16.6715047446277</v>
      </c>
      <c r="AH52" s="1" t="n">
        <f aca="false">AH$2*TripTable!AG50</f>
        <v>0</v>
      </c>
      <c r="AI52" s="1" t="n">
        <f aca="false">AI$2*TripTable!AH50</f>
        <v>38.8231783395062</v>
      </c>
      <c r="AJ52" s="1" t="n">
        <f aca="false">AJ$2*TripTable!AI50</f>
        <v>0.257716621671736</v>
      </c>
      <c r="AK52" s="1" t="n">
        <f aca="false">AK$2*TripTable!AJ50</f>
        <v>0</v>
      </c>
      <c r="AL52" s="1" t="n">
        <f aca="false">AL$2*TripTable!AK50</f>
        <v>38.6290230548301</v>
      </c>
      <c r="AM52" s="1" t="n">
        <f aca="false">AM$2*TripTable!AL50</f>
        <v>0.151956513093435</v>
      </c>
      <c r="AN52" s="1" t="n">
        <f aca="false">AN$2*TripTable!AM50</f>
        <v>0</v>
      </c>
      <c r="AO52" s="1" t="n">
        <f aca="false">AO$2*TripTable!AN50</f>
        <v>53.9265034345364</v>
      </c>
      <c r="AP52" s="1" t="n">
        <f aca="false">AP$2*TripTable!AO50</f>
        <v>0.0747322356809555</v>
      </c>
      <c r="AQ52" s="1" t="n">
        <f aca="false">AQ$2*TripTable!AP50</f>
        <v>0</v>
      </c>
      <c r="AR52" s="1" t="n">
        <f aca="false">AR$2*TripTable!AQ50</f>
        <v>0</v>
      </c>
      <c r="AS52" s="1" t="n">
        <f aca="false">AS$2*TripTable!AR50</f>
        <v>0.00870077470794023</v>
      </c>
      <c r="AT52" s="1" t="n">
        <f aca="false">AT$2*TripTable!AS50</f>
        <v>0.692929119531418</v>
      </c>
      <c r="AU52" s="1" t="n">
        <f aca="false">AU$2*TripTable!AT50</f>
        <v>0.000622986197117817</v>
      </c>
      <c r="AV52" s="1" t="n">
        <f aca="false">AV$2*TripTable!AU50</f>
        <v>0</v>
      </c>
      <c r="AW52" s="1" t="n">
        <f aca="false">AW$2*TripTable!AV50</f>
        <v>26.6607547228101</v>
      </c>
      <c r="AX52" s="1" t="n">
        <f aca="false">AX$2*TripTable!AW50</f>
        <v>0.0828552597731732</v>
      </c>
      <c r="AY52" s="1"/>
      <c r="AZ52" s="1" t="n">
        <f aca="false">AZ$2*TripTable!AY50</f>
        <v>0.000339997536906733</v>
      </c>
      <c r="BA52" s="1" t="n">
        <f aca="false">BA$2*TripTable!AZ50</f>
        <v>0</v>
      </c>
      <c r="BB52" s="1" t="n">
        <f aca="false">SUM(C52:BA52)</f>
        <v>223.027878849284</v>
      </c>
      <c r="BC52" s="2" t="n">
        <f aca="false">BB52/TripTable!BA50</f>
        <v>0.0373831509971982</v>
      </c>
      <c r="BD52" s="2" t="n">
        <f aca="false">BB52/BG52</f>
        <v>0.0337972236474139</v>
      </c>
      <c r="BE52" s="0" t="s">
        <v>114</v>
      </c>
      <c r="BF52" s="0" t="n">
        <v>1854</v>
      </c>
      <c r="BG52" s="0" t="n">
        <v>6599</v>
      </c>
      <c r="BH52" s="0" t="n">
        <v>1854</v>
      </c>
      <c r="BI52" s="0" t="n">
        <v>4176</v>
      </c>
      <c r="BK52" s="0" t="n">
        <v>0.219330415237194</v>
      </c>
      <c r="BL52" s="0" t="n">
        <v>0.307462686567164</v>
      </c>
      <c r="BM52" s="0" t="s">
        <v>114</v>
      </c>
    </row>
    <row r="53" customFormat="false" ht="12.75" hidden="false" customHeight="false" outlineLevel="0" collapsed="false">
      <c r="A53" s="0" t="s">
        <v>50</v>
      </c>
      <c r="B53" s="1" t="n">
        <v>1.13332512302244E-005</v>
      </c>
      <c r="C53" s="1" t="n">
        <f aca="false">C$2*TripTable!B51</f>
        <v>0</v>
      </c>
      <c r="D53" s="1" t="n">
        <f aca="false">D$2*TripTable!C51</f>
        <v>1.32063556825857</v>
      </c>
      <c r="E53" s="1" t="n">
        <f aca="false">E$2*TripTable!D51</f>
        <v>0</v>
      </c>
      <c r="F53" s="1" t="n">
        <f aca="false">F$2*TripTable!E51</f>
        <v>0</v>
      </c>
      <c r="G53" s="1" t="n">
        <f aca="false">G$2*TripTable!F51</f>
        <v>4.77798382112455</v>
      </c>
      <c r="H53" s="1" t="n">
        <f aca="false">H$2*TripTable!G51</f>
        <v>0.440708876398136</v>
      </c>
      <c r="I53" s="1" t="n">
        <f aca="false">I$2*TripTable!H51</f>
        <v>0.00805645934306274</v>
      </c>
      <c r="J53" s="1" t="n">
        <f aca="false">J$2*TripTable!I51</f>
        <v>2.27331042905571</v>
      </c>
      <c r="K53" s="1" t="n">
        <f aca="false">K$2*TripTable!J51</f>
        <v>0</v>
      </c>
      <c r="L53" s="1" t="n">
        <f aca="false">L$2*TripTable!K51</f>
        <v>39.695112870599</v>
      </c>
      <c r="M53" s="1" t="n">
        <f aca="false">M$2*TripTable!L51</f>
        <v>0.385096274813115</v>
      </c>
      <c r="N53" s="1" t="n">
        <f aca="false">N$2*TripTable!M51</f>
        <v>0</v>
      </c>
      <c r="O53" s="1" t="n">
        <f aca="false">O$2*TripTable!N51</f>
        <v>0.0150268861690647</v>
      </c>
      <c r="P53" s="1" t="n">
        <f aca="false">P$2*TripTable!O51</f>
        <v>0</v>
      </c>
      <c r="Q53" s="1" t="n">
        <f aca="false">Q$2*TripTable!P51</f>
        <v>42.3659285946092</v>
      </c>
      <c r="R53" s="1" t="n">
        <f aca="false">R$2*TripTable!Q51</f>
        <v>27.3318359379043</v>
      </c>
      <c r="S53" s="1" t="n">
        <f aca="false">S$2*TripTable!R51</f>
        <v>4.32578951045694</v>
      </c>
      <c r="T53" s="1" t="n">
        <f aca="false">T$2*TripTable!S51</f>
        <v>0.422664149959026</v>
      </c>
      <c r="U53" s="1" t="n">
        <f aca="false">U$2*TripTable!T51</f>
        <v>1.88057371680479</v>
      </c>
      <c r="V53" s="1" t="n">
        <f aca="false">V$2*TripTable!U51</f>
        <v>2.83738459592766</v>
      </c>
      <c r="W53" s="1" t="n">
        <f aca="false">W$2*TripTable!V51</f>
        <v>1.82670581983153</v>
      </c>
      <c r="X53" s="1" t="n">
        <f aca="false">X$2*TripTable!W51</f>
        <v>10.8102608814039</v>
      </c>
      <c r="Y53" s="1" t="n">
        <f aca="false">Y$2*TripTable!X51</f>
        <v>9.43431907420927</v>
      </c>
      <c r="Z53" s="1" t="n">
        <f aca="false">Z$2*TripTable!Y51</f>
        <v>0</v>
      </c>
      <c r="AA53" s="1" t="n">
        <f aca="false">AA$2*TripTable!Z51</f>
        <v>0</v>
      </c>
      <c r="AB53" s="1" t="n">
        <f aca="false">AB$2*TripTable!AA51</f>
        <v>0.189161763478715</v>
      </c>
      <c r="AC53" s="1" t="n">
        <f aca="false">AC$2*TripTable!AB51</f>
        <v>0</v>
      </c>
      <c r="AD53" s="1" t="n">
        <f aca="false">AD$2*TripTable!AC51</f>
        <v>0.161601729930108</v>
      </c>
      <c r="AE53" s="1" t="n">
        <f aca="false">AE$2*TripTable!AD51</f>
        <v>0</v>
      </c>
      <c r="AF53" s="1" t="n">
        <f aca="false">AF$2*TripTable!AE51</f>
        <v>0.706664213889112</v>
      </c>
      <c r="AG53" s="1" t="n">
        <f aca="false">AG$2*TripTable!AF51</f>
        <v>6.28597719879405</v>
      </c>
      <c r="AH53" s="1" t="n">
        <f aca="false">AH$2*TripTable!AG51</f>
        <v>0</v>
      </c>
      <c r="AI53" s="1" t="n">
        <f aca="false">AI$2*TripTable!AH51</f>
        <v>33.5140257460695</v>
      </c>
      <c r="AJ53" s="1" t="n">
        <f aca="false">AJ$2*TripTable!AI51</f>
        <v>0.0605523294472273</v>
      </c>
      <c r="AK53" s="1" t="n">
        <f aca="false">AK$2*TripTable!AJ51</f>
        <v>0</v>
      </c>
      <c r="AL53" s="1" t="n">
        <f aca="false">AL$2*TripTable!AK51</f>
        <v>7.26554391073826</v>
      </c>
      <c r="AM53" s="1" t="n">
        <f aca="false">AM$2*TripTable!AL51</f>
        <v>1.97543467021465</v>
      </c>
      <c r="AN53" s="1" t="n">
        <f aca="false">AN$2*TripTable!AM51</f>
        <v>0.148373127977933</v>
      </c>
      <c r="AO53" s="1" t="n">
        <f aca="false">AO$2*TripTable!AN51</f>
        <v>19.6521747874233</v>
      </c>
      <c r="AP53" s="1" t="n">
        <f aca="false">AP$2*TripTable!AO51</f>
        <v>0.112098353521433</v>
      </c>
      <c r="AQ53" s="1" t="n">
        <f aca="false">AQ$2*TripTable!AP51</f>
        <v>0</v>
      </c>
      <c r="AR53" s="1" t="n">
        <f aca="false">AR$2*TripTable!AQ51</f>
        <v>0</v>
      </c>
      <c r="AS53" s="1" t="n">
        <f aca="false">AS$2*TripTable!AR51</f>
        <v>0.00545248548364254</v>
      </c>
      <c r="AT53" s="1" t="n">
        <f aca="false">AT$2*TripTable!AS51</f>
        <v>4.42979687129014</v>
      </c>
      <c r="AU53" s="1" t="n">
        <f aca="false">AU$2*TripTable!AT51</f>
        <v>0.0161976411250632</v>
      </c>
      <c r="AV53" s="1" t="n">
        <f aca="false">AV$2*TripTable!AU51</f>
        <v>0</v>
      </c>
      <c r="AW53" s="1" t="n">
        <f aca="false">AW$2*TripTable!AV51</f>
        <v>2.9312871684765</v>
      </c>
      <c r="AX53" s="1" t="n">
        <f aca="false">AX$2*TripTable!AW51</f>
        <v>1.2428288965976</v>
      </c>
      <c r="AY53" s="1" t="n">
        <f aca="false">AY$2*TripTable!AX51</f>
        <v>0.525796530594149</v>
      </c>
      <c r="AZ53" s="1"/>
      <c r="BA53" s="1" t="n">
        <f aca="false">BA$2*TripTable!AZ51</f>
        <v>0</v>
      </c>
      <c r="BB53" s="1" t="n">
        <f aca="false">SUM(C53:BA53)</f>
        <v>229.374360891919</v>
      </c>
      <c r="BC53" s="2" t="n">
        <f aca="false">BB53/TripTable!BA51</f>
        <v>0.00891397329752523</v>
      </c>
      <c r="BD53" s="2" t="n">
        <f aca="false">BB53/BG53</f>
        <v>0.0190225875677491</v>
      </c>
      <c r="BE53" s="0" t="s">
        <v>115</v>
      </c>
      <c r="BF53" s="0" t="n">
        <v>14023</v>
      </c>
      <c r="BG53" s="0" t="n">
        <v>12058</v>
      </c>
      <c r="BH53" s="0" t="n">
        <v>14023</v>
      </c>
      <c r="BI53" s="0" t="n">
        <v>11784</v>
      </c>
      <c r="BK53" s="0" t="n">
        <v>0.537671101568191</v>
      </c>
      <c r="BL53" s="0" t="n">
        <v>0.543379703181307</v>
      </c>
      <c r="BM53" s="0" t="s">
        <v>115</v>
      </c>
    </row>
    <row r="54" customFormat="false" ht="12.75" hidden="false" customHeight="false" outlineLevel="0" collapsed="false">
      <c r="A54" s="0" t="s">
        <v>51</v>
      </c>
      <c r="B54" s="1" t="n">
        <v>0</v>
      </c>
      <c r="C54" s="1" t="n">
        <f aca="false">C$2*TripTable!B52</f>
        <v>0</v>
      </c>
      <c r="D54" s="1" t="n">
        <f aca="false">D$2*TripTable!C52</f>
        <v>0.314437040061564</v>
      </c>
      <c r="E54" s="1" t="n">
        <f aca="false">E$2*TripTable!D52</f>
        <v>0</v>
      </c>
      <c r="F54" s="1" t="n">
        <f aca="false">F$2*TripTable!E52</f>
        <v>0</v>
      </c>
      <c r="G54" s="1" t="n">
        <f aca="false">G$2*TripTable!F52</f>
        <v>0.86680237462879</v>
      </c>
      <c r="H54" s="1" t="n">
        <f aca="false">H$2*TripTable!G52</f>
        <v>2.04678216421148</v>
      </c>
      <c r="I54" s="1" t="n">
        <f aca="false">I$2*TripTable!H52</f>
        <v>0.000259885785260088</v>
      </c>
      <c r="J54" s="1" t="n">
        <f aca="false">J$2*TripTable!I52</f>
        <v>0</v>
      </c>
      <c r="K54" s="1" t="n">
        <f aca="false">K$2*TripTable!J52</f>
        <v>0</v>
      </c>
      <c r="L54" s="1" t="n">
        <f aca="false">L$2*TripTable!K52</f>
        <v>1.01183621042703</v>
      </c>
      <c r="M54" s="1" t="n">
        <f aca="false">M$2*TripTable!L52</f>
        <v>0.0167433162962224</v>
      </c>
      <c r="N54" s="1" t="n">
        <f aca="false">N$2*TripTable!M52</f>
        <v>0</v>
      </c>
      <c r="O54" s="1" t="n">
        <f aca="false">O$2*TripTable!N52</f>
        <v>0.0332738193743576</v>
      </c>
      <c r="P54" s="1" t="n">
        <f aca="false">P$2*TripTable!O52</f>
        <v>0</v>
      </c>
      <c r="Q54" s="1" t="n">
        <f aca="false">Q$2*TripTable!P52</f>
        <v>0.647514192494027</v>
      </c>
      <c r="R54" s="1" t="n">
        <f aca="false">R$2*TripTable!Q52</f>
        <v>0.723740203963199</v>
      </c>
      <c r="S54" s="1" t="n">
        <f aca="false">S$2*TripTable!R52</f>
        <v>1.80779263123574</v>
      </c>
      <c r="T54" s="1" t="n">
        <f aca="false">T$2*TripTable!S52</f>
        <v>0.00845328299918051</v>
      </c>
      <c r="U54" s="1" t="n">
        <f aca="false">U$2*TripTable!T52</f>
        <v>0.205687750275524</v>
      </c>
      <c r="V54" s="1" t="n">
        <f aca="false">V$2*TripTable!U52</f>
        <v>0.105088318367691</v>
      </c>
      <c r="W54" s="1" t="n">
        <f aca="false">W$2*TripTable!V52</f>
        <v>0.0702579161473665</v>
      </c>
      <c r="X54" s="1" t="n">
        <f aca="false">X$2*TripTable!W52</f>
        <v>0.20788963233469</v>
      </c>
      <c r="Y54" s="1" t="n">
        <f aca="false">Y$2*TripTable!X52</f>
        <v>0.0369393855685563</v>
      </c>
      <c r="Z54" s="1" t="n">
        <f aca="false">Z$2*TripTable!Y52</f>
        <v>0</v>
      </c>
      <c r="AA54" s="1" t="n">
        <f aca="false">AA$2*TripTable!Z52</f>
        <v>0</v>
      </c>
      <c r="AB54" s="1" t="n">
        <f aca="false">AB$2*TripTable!AA52</f>
        <v>0.0273486886957179</v>
      </c>
      <c r="AC54" s="1" t="n">
        <f aca="false">AC$2*TripTable!AB52</f>
        <v>0</v>
      </c>
      <c r="AD54" s="1" t="n">
        <f aca="false">AD$2*TripTable!AC52</f>
        <v>0.181552560785677</v>
      </c>
      <c r="AE54" s="1" t="n">
        <f aca="false">AE$2*TripTable!AD52</f>
        <v>0</v>
      </c>
      <c r="AF54" s="1" t="n">
        <f aca="false">AF$2*TripTable!AE52</f>
        <v>0</v>
      </c>
      <c r="AG54" s="1" t="n">
        <f aca="false">AG$2*TripTable!AF52</f>
        <v>1.36651678234653</v>
      </c>
      <c r="AH54" s="1" t="n">
        <f aca="false">AH$2*TripTable!AG52</f>
        <v>0</v>
      </c>
      <c r="AI54" s="1" t="n">
        <f aca="false">AI$2*TripTable!AH52</f>
        <v>2.98639833380817</v>
      </c>
      <c r="AJ54" s="1" t="n">
        <f aca="false">AJ$2*TripTable!AI52</f>
        <v>0.00147688608407871</v>
      </c>
      <c r="AK54" s="1" t="n">
        <f aca="false">AK$2*TripTable!AJ52</f>
        <v>0</v>
      </c>
      <c r="AL54" s="1" t="n">
        <f aca="false">AL$2*TripTable!AK52</f>
        <v>0.230130350113882</v>
      </c>
      <c r="AM54" s="1" t="n">
        <f aca="false">AM$2*TripTable!AL52</f>
        <v>0.531847795827021</v>
      </c>
      <c r="AN54" s="1" t="n">
        <f aca="false">AN$2*TripTable!AM52</f>
        <v>0.0635884834191141</v>
      </c>
      <c r="AO54" s="1" t="n">
        <f aca="false">AO$2*TripTable!AN52</f>
        <v>0.818840616142635</v>
      </c>
      <c r="AP54" s="1" t="n">
        <f aca="false">AP$2*TripTable!AO52</f>
        <v>0</v>
      </c>
      <c r="AQ54" s="1" t="n">
        <f aca="false">AQ$2*TripTable!AP52</f>
        <v>0</v>
      </c>
      <c r="AR54" s="1" t="n">
        <f aca="false">AR$2*TripTable!AQ52</f>
        <v>0</v>
      </c>
      <c r="AS54" s="1" t="n">
        <f aca="false">AS$2*TripTable!AR52</f>
        <v>0.000290025823598008</v>
      </c>
      <c r="AT54" s="1" t="n">
        <f aca="false">AT$2*TripTable!AS52</f>
        <v>0.91565633652366</v>
      </c>
      <c r="AU54" s="1" t="n">
        <f aca="false">AU$2*TripTable!AT52</f>
        <v>0.127712170409152</v>
      </c>
      <c r="AV54" s="1" t="n">
        <f aca="false">AV$2*TripTable!AU52</f>
        <v>0</v>
      </c>
      <c r="AW54" s="1" t="n">
        <f aca="false">AW$2*TripTable!AV52</f>
        <v>0.0930567355071904</v>
      </c>
      <c r="AX54" s="1" t="n">
        <f aca="false">AX$2*TripTable!AW52</f>
        <v>1.07711837705125</v>
      </c>
      <c r="AY54" s="1" t="n">
        <f aca="false">AY$2*TripTable!AX52</f>
        <v>0.131449132648537</v>
      </c>
      <c r="AZ54" s="1" t="n">
        <f aca="false">AZ$2*TripTable!AY52</f>
        <v>0.000113332512302244</v>
      </c>
      <c r="BA54" s="1"/>
      <c r="BB54" s="1" t="n">
        <f aca="false">SUM(C54:BA54)</f>
        <v>16.6565947318692</v>
      </c>
      <c r="BC54" s="2" t="n">
        <f aca="false">BB54/TripTable!BA52</f>
        <v>0.0040755064183678</v>
      </c>
      <c r="BD54" s="2" t="n">
        <f aca="false">BB54/BG54</f>
        <v>0.00554849924446009</v>
      </c>
      <c r="BE54" s="0" t="s">
        <v>116</v>
      </c>
      <c r="BF54" s="0" t="n">
        <v>1723</v>
      </c>
      <c r="BG54" s="0" t="n">
        <v>3002</v>
      </c>
      <c r="BH54" s="0" t="n">
        <v>1723</v>
      </c>
      <c r="BI54" s="0" t="n">
        <v>2368</v>
      </c>
      <c r="BK54" s="0" t="n">
        <v>0.364656084656085</v>
      </c>
      <c r="BL54" s="0" t="n">
        <v>0.421168418479589</v>
      </c>
      <c r="BM54" s="0" t="s">
        <v>116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9" activeCellId="0" sqref="C4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9.13"/>
  </cols>
  <sheetData>
    <row r="1" customFormat="false" ht="12.75" hidden="false" customHeight="false" outlineLevel="0" collapsed="false">
      <c r="A1" s="0" t="s">
        <v>117</v>
      </c>
      <c r="B1" s="3" t="n">
        <v>7205</v>
      </c>
      <c r="C1" s="0" t="n">
        <v>9734</v>
      </c>
    </row>
    <row r="2" customFormat="false" ht="12.75" hidden="false" customHeight="false" outlineLevel="0" collapsed="false">
      <c r="A2" s="0" t="s">
        <v>118</v>
      </c>
      <c r="B2" s="3" t="n">
        <v>1798</v>
      </c>
      <c r="C2" s="0" t="n">
        <v>636</v>
      </c>
    </row>
    <row r="3" customFormat="false" ht="12.75" hidden="false" customHeight="false" outlineLevel="0" collapsed="false">
      <c r="A3" s="0" t="s">
        <v>119</v>
      </c>
      <c r="B3" s="3" t="n">
        <v>10895</v>
      </c>
      <c r="C3" s="0" t="n">
        <v>8689</v>
      </c>
    </row>
    <row r="4" customFormat="false" ht="12.75" hidden="false" customHeight="false" outlineLevel="0" collapsed="false">
      <c r="A4" s="0" t="s">
        <v>120</v>
      </c>
      <c r="B4" s="3" t="n">
        <v>4485</v>
      </c>
      <c r="C4" s="0" t="n">
        <v>5856</v>
      </c>
    </row>
    <row r="5" customFormat="false" ht="12.75" hidden="false" customHeight="false" outlineLevel="0" collapsed="false">
      <c r="A5" s="0" t="s">
        <v>121</v>
      </c>
      <c r="B5" s="3" t="n">
        <v>64843</v>
      </c>
      <c r="C5" s="0" t="n">
        <v>37526</v>
      </c>
    </row>
    <row r="6" customFormat="false" ht="12.75" hidden="false" customHeight="false" outlineLevel="0" collapsed="false">
      <c r="A6" s="0" t="s">
        <v>122</v>
      </c>
      <c r="B6" s="3" t="n">
        <v>6982</v>
      </c>
      <c r="C6" s="0" t="n">
        <v>9048</v>
      </c>
    </row>
    <row r="7" customFormat="false" ht="12.75" hidden="false" customHeight="false" outlineLevel="0" collapsed="false">
      <c r="A7" s="0" t="s">
        <v>123</v>
      </c>
      <c r="B7" s="0" t="n">
        <v>177</v>
      </c>
      <c r="C7" s="0" t="n">
        <v>11859</v>
      </c>
    </row>
    <row r="8" customFormat="false" ht="12.75" hidden="false" customHeight="false" outlineLevel="0" collapsed="false">
      <c r="A8" s="0" t="s">
        <v>124</v>
      </c>
      <c r="B8" s="0" t="n">
        <v>82</v>
      </c>
      <c r="C8" s="0" t="n">
        <v>2198</v>
      </c>
    </row>
    <row r="9" customFormat="false" ht="12.75" hidden="false" customHeight="false" outlineLevel="0" collapsed="false">
      <c r="A9" s="0" t="s">
        <v>125</v>
      </c>
      <c r="B9" s="3" t="n">
        <v>24083</v>
      </c>
      <c r="C9" s="0" t="n">
        <v>18841</v>
      </c>
    </row>
    <row r="10" customFormat="false" ht="12.75" hidden="false" customHeight="false" outlineLevel="0" collapsed="false">
      <c r="A10" s="0" t="s">
        <v>126</v>
      </c>
      <c r="B10" s="3" t="n">
        <v>9448</v>
      </c>
      <c r="C10" s="0" t="n">
        <v>18337</v>
      </c>
    </row>
    <row r="11" customFormat="false" ht="12.75" hidden="false" customHeight="false" outlineLevel="0" collapsed="false">
      <c r="A11" s="0" t="s">
        <v>127</v>
      </c>
      <c r="B11" s="3" t="n">
        <v>1322</v>
      </c>
      <c r="C11" s="0" t="n">
        <v>765</v>
      </c>
    </row>
    <row r="12" customFormat="false" ht="12.75" hidden="false" customHeight="false" outlineLevel="0" collapsed="false">
      <c r="A12" s="0" t="s">
        <v>128</v>
      </c>
      <c r="B12" s="3" t="n">
        <v>3077</v>
      </c>
      <c r="C12" s="0" t="n">
        <v>3761</v>
      </c>
    </row>
    <row r="13" customFormat="false" ht="12.75" hidden="false" customHeight="false" outlineLevel="0" collapsed="false">
      <c r="A13" s="0" t="s">
        <v>129</v>
      </c>
      <c r="B13" s="3" t="n">
        <v>11964</v>
      </c>
      <c r="C13" s="0" t="n">
        <v>27788</v>
      </c>
    </row>
    <row r="14" customFormat="false" ht="12.75" hidden="false" customHeight="false" outlineLevel="0" collapsed="false">
      <c r="A14" s="0" t="s">
        <v>130</v>
      </c>
      <c r="B14" s="3" t="n">
        <v>8278</v>
      </c>
      <c r="C14" s="0" t="n">
        <v>13821</v>
      </c>
    </row>
    <row r="15" customFormat="false" ht="12.75" hidden="false" customHeight="false" outlineLevel="0" collapsed="false">
      <c r="A15" s="0" t="s">
        <v>131</v>
      </c>
      <c r="B15" s="3" t="n">
        <v>5811</v>
      </c>
      <c r="C15" s="0" t="n">
        <v>6939</v>
      </c>
    </row>
    <row r="16" customFormat="false" ht="12.75" hidden="false" customHeight="false" outlineLevel="0" collapsed="false">
      <c r="A16" s="0" t="s">
        <v>132</v>
      </c>
      <c r="B16" s="3" t="n">
        <v>4560</v>
      </c>
      <c r="C16" s="0" t="n">
        <v>7596</v>
      </c>
    </row>
    <row r="17" customFormat="false" ht="12.75" hidden="false" customHeight="false" outlineLevel="0" collapsed="false">
      <c r="A17" s="0" t="s">
        <v>133</v>
      </c>
      <c r="B17" s="3" t="n">
        <v>5574</v>
      </c>
      <c r="C17" s="0" t="n">
        <v>10081</v>
      </c>
    </row>
    <row r="18" customFormat="false" ht="12.75" hidden="false" customHeight="false" outlineLevel="0" collapsed="false">
      <c r="A18" s="0" t="s">
        <v>134</v>
      </c>
      <c r="B18" s="3" t="n">
        <v>6052</v>
      </c>
      <c r="C18" s="0" t="n">
        <v>8474</v>
      </c>
    </row>
    <row r="19" customFormat="false" ht="12.75" hidden="false" customHeight="false" outlineLevel="0" collapsed="false">
      <c r="A19" s="0" t="s">
        <v>135</v>
      </c>
      <c r="B19" s="3" t="n">
        <v>2144</v>
      </c>
      <c r="C19" s="0" t="n">
        <v>2927</v>
      </c>
    </row>
    <row r="20" customFormat="false" ht="12.75" hidden="false" customHeight="false" outlineLevel="0" collapsed="false">
      <c r="A20" s="0" t="s">
        <v>136</v>
      </c>
      <c r="B20" s="3" t="n">
        <v>3462</v>
      </c>
      <c r="C20" s="0" t="n">
        <v>17188</v>
      </c>
    </row>
    <row r="21" customFormat="false" ht="12.75" hidden="false" customHeight="false" outlineLevel="0" collapsed="false">
      <c r="A21" s="0" t="s">
        <v>137</v>
      </c>
      <c r="B21" s="3" t="n">
        <v>2722</v>
      </c>
      <c r="C21" s="0" t="n">
        <v>16479</v>
      </c>
    </row>
    <row r="22" customFormat="false" ht="12.75" hidden="false" customHeight="false" outlineLevel="0" collapsed="false">
      <c r="A22" s="0" t="s">
        <v>138</v>
      </c>
      <c r="B22" s="3" t="n">
        <v>22000</v>
      </c>
      <c r="C22" s="0" t="n">
        <v>17916</v>
      </c>
    </row>
    <row r="23" customFormat="false" ht="12.75" hidden="false" customHeight="false" outlineLevel="0" collapsed="false">
      <c r="A23" s="0" t="s">
        <v>139</v>
      </c>
      <c r="B23" s="3" t="n">
        <v>15379</v>
      </c>
      <c r="C23" s="0" t="n">
        <v>10468</v>
      </c>
    </row>
    <row r="24" customFormat="false" ht="12.75" hidden="false" customHeight="false" outlineLevel="0" collapsed="false">
      <c r="A24" s="0" t="s">
        <v>140</v>
      </c>
      <c r="B24" s="3" t="n">
        <v>4613</v>
      </c>
      <c r="C24" s="0" t="n">
        <v>6289</v>
      </c>
    </row>
    <row r="25" customFormat="false" ht="12.75" hidden="false" customHeight="false" outlineLevel="0" collapsed="false">
      <c r="A25" s="0" t="s">
        <v>141</v>
      </c>
      <c r="B25" s="3" t="n">
        <v>12275</v>
      </c>
      <c r="C25" s="0" t="n">
        <v>13002</v>
      </c>
    </row>
    <row r="26" customFormat="false" ht="12.75" hidden="false" customHeight="false" outlineLevel="0" collapsed="false">
      <c r="A26" s="0" t="s">
        <v>142</v>
      </c>
      <c r="B26" s="3" t="n">
        <v>4117</v>
      </c>
      <c r="C26" s="0" t="n">
        <v>1848</v>
      </c>
    </row>
    <row r="27" customFormat="false" ht="12.75" hidden="false" customHeight="false" outlineLevel="0" collapsed="false">
      <c r="A27" s="0" t="s">
        <v>143</v>
      </c>
      <c r="B27" s="3" t="n">
        <v>3653</v>
      </c>
      <c r="C27" s="0" t="n">
        <v>4966</v>
      </c>
    </row>
    <row r="28" customFormat="false" ht="12.75" hidden="false" customHeight="false" outlineLevel="0" collapsed="false">
      <c r="A28" s="0" t="s">
        <v>144</v>
      </c>
      <c r="B28" s="3" t="n">
        <v>1173</v>
      </c>
      <c r="C28" s="0" t="n">
        <v>5504</v>
      </c>
    </row>
    <row r="29" customFormat="false" ht="12.75" hidden="false" customHeight="false" outlineLevel="0" collapsed="false">
      <c r="A29" s="0" t="s">
        <v>145</v>
      </c>
      <c r="B29" s="0" t="n">
        <v>814</v>
      </c>
      <c r="C29" s="0" t="n">
        <v>4000</v>
      </c>
    </row>
    <row r="30" customFormat="false" ht="12.75" hidden="false" customHeight="false" outlineLevel="0" collapsed="false">
      <c r="A30" s="0" t="s">
        <v>146</v>
      </c>
      <c r="B30" s="3" t="n">
        <v>3431</v>
      </c>
      <c r="C30" s="0" t="n">
        <v>19801.4583333333</v>
      </c>
    </row>
    <row r="31" customFormat="false" ht="12.75" hidden="false" customHeight="false" outlineLevel="0" collapsed="false">
      <c r="A31" s="0" t="s">
        <v>147</v>
      </c>
      <c r="B31" s="3" t="n">
        <v>5437</v>
      </c>
      <c r="C31" s="0" t="n">
        <v>4668</v>
      </c>
    </row>
    <row r="32" customFormat="false" ht="12.75" hidden="false" customHeight="false" outlineLevel="0" collapsed="false">
      <c r="A32" s="0" t="s">
        <v>148</v>
      </c>
      <c r="B32" s="3" t="n">
        <v>15983</v>
      </c>
      <c r="C32" s="0" t="n">
        <v>29959</v>
      </c>
    </row>
    <row r="33" customFormat="false" ht="12.75" hidden="false" customHeight="false" outlineLevel="0" collapsed="false">
      <c r="A33" s="0" t="s">
        <v>149</v>
      </c>
      <c r="B33" s="3" t="n">
        <v>12665</v>
      </c>
      <c r="C33" s="0" t="n">
        <v>16703</v>
      </c>
    </row>
    <row r="34" customFormat="false" ht="12.75" hidden="false" customHeight="false" outlineLevel="0" collapsed="false">
      <c r="A34" s="0" t="s">
        <v>150</v>
      </c>
      <c r="B34" s="3" t="n">
        <v>2389</v>
      </c>
      <c r="C34" s="0" t="n">
        <v>1706</v>
      </c>
    </row>
    <row r="35" customFormat="false" ht="12.75" hidden="false" customHeight="false" outlineLevel="0" collapsed="false">
      <c r="A35" s="0" t="s">
        <v>151</v>
      </c>
      <c r="B35" s="3" t="n">
        <v>15997</v>
      </c>
      <c r="C35" s="0" t="n">
        <v>22303</v>
      </c>
    </row>
    <row r="36" customFormat="false" ht="12.75" hidden="false" customHeight="false" outlineLevel="0" collapsed="false">
      <c r="A36" s="0" t="s">
        <v>152</v>
      </c>
      <c r="B36" s="3" t="n">
        <v>7378</v>
      </c>
      <c r="C36" s="0" t="n">
        <v>8679</v>
      </c>
    </row>
    <row r="37" customFormat="false" ht="12.75" hidden="false" customHeight="false" outlineLevel="0" collapsed="false">
      <c r="A37" s="0" t="s">
        <v>153</v>
      </c>
      <c r="B37" s="3" t="n">
        <v>7420</v>
      </c>
      <c r="C37" s="0" t="n">
        <v>7120</v>
      </c>
    </row>
    <row r="38" customFormat="false" ht="12.75" hidden="false" customHeight="false" outlineLevel="0" collapsed="false">
      <c r="A38" s="0" t="s">
        <v>154</v>
      </c>
      <c r="B38" s="3" t="n">
        <v>7205</v>
      </c>
      <c r="C38" s="0" t="n">
        <v>9734</v>
      </c>
    </row>
    <row r="39" customFormat="false" ht="12.75" hidden="false" customHeight="false" outlineLevel="0" collapsed="false">
      <c r="A39" s="0" t="s">
        <v>155</v>
      </c>
      <c r="B39" s="0" t="s">
        <v>156</v>
      </c>
      <c r="C39" s="0" t="n">
        <v>2258</v>
      </c>
    </row>
    <row r="40" customFormat="false" ht="12.75" hidden="false" customHeight="false" outlineLevel="0" collapsed="false">
      <c r="A40" s="0" t="s">
        <v>157</v>
      </c>
      <c r="B40" s="3" t="n">
        <v>6033</v>
      </c>
      <c r="C40" s="0" t="n">
        <v>9024</v>
      </c>
    </row>
    <row r="41" customFormat="false" ht="12.75" hidden="false" customHeight="false" outlineLevel="0" collapsed="false">
      <c r="A41" s="0" t="s">
        <v>158</v>
      </c>
      <c r="B41" s="3" t="n">
        <v>2733</v>
      </c>
      <c r="C41" s="0" t="n">
        <v>2142</v>
      </c>
    </row>
    <row r="42" customFormat="false" ht="12.75" hidden="false" customHeight="false" outlineLevel="0" collapsed="false">
      <c r="A42" s="0" t="s">
        <v>159</v>
      </c>
      <c r="B42" s="3" t="n">
        <v>5864</v>
      </c>
      <c r="C42" s="0" t="n">
        <v>13941</v>
      </c>
    </row>
    <row r="43" customFormat="false" ht="12.75" hidden="false" customHeight="false" outlineLevel="0" collapsed="false">
      <c r="A43" s="0" t="s">
        <v>160</v>
      </c>
      <c r="B43" s="3" t="n">
        <v>56808</v>
      </c>
      <c r="C43" s="0" t="n">
        <v>23496</v>
      </c>
    </row>
    <row r="44" customFormat="false" ht="12.75" hidden="false" customHeight="false" outlineLevel="0" collapsed="false">
      <c r="A44" s="0" t="s">
        <v>161</v>
      </c>
      <c r="B44" s="3" t="n">
        <v>4495</v>
      </c>
      <c r="C44" s="0" t="n">
        <v>6206</v>
      </c>
    </row>
    <row r="45" customFormat="false" ht="12.75" hidden="false" customHeight="false" outlineLevel="0" collapsed="false">
      <c r="A45" s="0" t="s">
        <v>162</v>
      </c>
      <c r="B45" s="0" t="n">
        <v>317</v>
      </c>
      <c r="C45" s="0" t="n">
        <v>2547</v>
      </c>
    </row>
    <row r="46" customFormat="false" ht="12.75" hidden="false" customHeight="false" outlineLevel="0" collapsed="false">
      <c r="A46" s="0" t="s">
        <v>163</v>
      </c>
      <c r="B46" s="3" t="n">
        <v>9012</v>
      </c>
      <c r="C46" s="0" t="n">
        <v>18941</v>
      </c>
    </row>
    <row r="47" customFormat="false" ht="12.75" hidden="false" customHeight="false" outlineLevel="0" collapsed="false">
      <c r="A47" s="0" t="s">
        <v>164</v>
      </c>
      <c r="B47" s="3" t="n">
        <v>13744</v>
      </c>
      <c r="C47" s="0" t="n">
        <v>10556</v>
      </c>
    </row>
    <row r="48" customFormat="false" ht="12.75" hidden="false" customHeight="false" outlineLevel="0" collapsed="false">
      <c r="A48" s="0" t="s">
        <v>165</v>
      </c>
      <c r="B48" s="3" t="n">
        <v>1854</v>
      </c>
      <c r="C48" s="0" t="n">
        <v>4176</v>
      </c>
    </row>
    <row r="49" customFormat="false" ht="12.75" hidden="false" customHeight="false" outlineLevel="0" collapsed="false">
      <c r="A49" s="0" t="s">
        <v>166</v>
      </c>
      <c r="B49" s="3" t="n">
        <v>14023</v>
      </c>
      <c r="C49" s="0" t="n">
        <v>11784</v>
      </c>
    </row>
    <row r="50" customFormat="false" ht="12.75" hidden="false" customHeight="false" outlineLevel="0" collapsed="false">
      <c r="A50" s="0" t="s">
        <v>167</v>
      </c>
      <c r="B50" s="3" t="n">
        <v>1723</v>
      </c>
      <c r="C50" s="0" t="n">
        <v>2368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0.85"/>
    <col collapsed="false" customWidth="true" hidden="false" outlineLevel="0" max="8" min="7" style="0" width="9.56"/>
  </cols>
  <sheetData>
    <row r="1" customFormat="false" ht="12.75" hidden="false" customHeight="false" outlineLevel="0" collapsed="false">
      <c r="B1" s="0" t="s">
        <v>53</v>
      </c>
      <c r="D1" s="0" t="s">
        <v>54</v>
      </c>
      <c r="G1" s="0" t="s">
        <v>55</v>
      </c>
      <c r="H1" s="0" t="s">
        <v>56</v>
      </c>
    </row>
    <row r="2" customFormat="false" ht="12.75" hidden="false" customHeight="false" outlineLevel="0" collapsed="false">
      <c r="A2" s="0" t="s">
        <v>0</v>
      </c>
      <c r="B2" s="0" t="s">
        <v>61</v>
      </c>
      <c r="C2" s="0" t="s">
        <v>62</v>
      </c>
      <c r="D2" s="0" t="s">
        <v>61</v>
      </c>
      <c r="E2" s="0" t="s">
        <v>63</v>
      </c>
      <c r="G2" s="0" t="s">
        <v>168</v>
      </c>
      <c r="H2" s="0" t="s">
        <v>168</v>
      </c>
      <c r="I2" s="0" t="s">
        <v>60</v>
      </c>
    </row>
    <row r="3" customFormat="false" ht="12.75" hidden="false" customHeight="false" outlineLevel="0" collapsed="false">
      <c r="A3" s="0" t="s">
        <v>169</v>
      </c>
      <c r="B3" s="4" t="n">
        <v>7205</v>
      </c>
      <c r="C3" s="4" t="n">
        <v>9591</v>
      </c>
      <c r="D3" s="4" t="n">
        <v>7205</v>
      </c>
      <c r="E3" s="4" t="n">
        <v>9734</v>
      </c>
      <c r="G3" s="5" t="n">
        <f aca="false">B3/(B3+C3)</f>
        <v>0.428971183615146</v>
      </c>
      <c r="H3" s="5" t="n">
        <f aca="false">D3/(D3+E3)</f>
        <v>0.425349784520928</v>
      </c>
      <c r="I3" s="4" t="s">
        <v>66</v>
      </c>
    </row>
    <row r="4" customFormat="false" ht="12.75" hidden="false" customHeight="false" outlineLevel="0" collapsed="false">
      <c r="A4" s="0" t="s">
        <v>170</v>
      </c>
      <c r="B4" s="4" t="n">
        <v>4485</v>
      </c>
      <c r="C4" s="4" t="n">
        <v>5876</v>
      </c>
      <c r="D4" s="4" t="n">
        <v>4485</v>
      </c>
      <c r="E4" s="4" t="n">
        <v>5856</v>
      </c>
      <c r="G4" s="5" t="n">
        <f aca="false">B4/(B4+C4)</f>
        <v>0.432873274780427</v>
      </c>
      <c r="H4" s="5" t="n">
        <f aca="false">D4/(D4+E4)</f>
        <v>0.433710472874964</v>
      </c>
      <c r="I4" s="4" t="s">
        <v>68</v>
      </c>
    </row>
    <row r="5" customFormat="false" ht="12.75" hidden="false" customHeight="false" outlineLevel="0" collapsed="false">
      <c r="A5" s="0" t="s">
        <v>171</v>
      </c>
      <c r="B5" s="4" t="n">
        <v>10895</v>
      </c>
      <c r="C5" s="4" t="n">
        <v>10450</v>
      </c>
      <c r="D5" s="4" t="n">
        <v>10895</v>
      </c>
      <c r="E5" s="4" t="n">
        <v>8689</v>
      </c>
      <c r="G5" s="5" t="n">
        <f aca="false">B5/(B5+C5)</f>
        <v>0.510423986882174</v>
      </c>
      <c r="H5" s="5" t="n">
        <f aca="false">D5/(D5+E5)</f>
        <v>0.556321486928105</v>
      </c>
      <c r="I5" s="4" t="s">
        <v>69</v>
      </c>
    </row>
    <row r="6" customFormat="false" ht="12.75" hidden="false" customHeight="false" outlineLevel="0" collapsed="false">
      <c r="A6" s="0" t="s">
        <v>172</v>
      </c>
      <c r="B6" s="4" t="n">
        <v>64843</v>
      </c>
      <c r="C6" s="4" t="n">
        <v>24441</v>
      </c>
      <c r="D6" s="4" t="n">
        <v>64843</v>
      </c>
      <c r="E6" s="4" t="n">
        <v>37526</v>
      </c>
      <c r="G6" s="5" t="n">
        <f aca="false">B6/(B6+C6)</f>
        <v>0.726255544106447</v>
      </c>
      <c r="H6" s="5" t="n">
        <f aca="false">D6/(D6+E6)</f>
        <v>0.63342418114859</v>
      </c>
      <c r="I6" s="4" t="s">
        <v>70</v>
      </c>
      <c r="J6" s="0" t="n">
        <f aca="false">B6+C6</f>
        <v>89284</v>
      </c>
      <c r="K6" s="0" t="n">
        <f aca="false">D6+E6</f>
        <v>102369</v>
      </c>
    </row>
    <row r="7" customFormat="false" ht="12.75" hidden="false" customHeight="false" outlineLevel="0" collapsed="false">
      <c r="A7" s="0" t="s">
        <v>173</v>
      </c>
      <c r="B7" s="4" t="n">
        <v>6982</v>
      </c>
      <c r="C7" s="4" t="n">
        <v>11038</v>
      </c>
      <c r="D7" s="4" t="n">
        <v>6982</v>
      </c>
      <c r="E7" s="4" t="n">
        <v>9048</v>
      </c>
      <c r="G7" s="5" t="n">
        <f aca="false">B7/(B7+C7)</f>
        <v>0.387458379578246</v>
      </c>
      <c r="H7" s="5" t="n">
        <f aca="false">D7/(D7+E7)</f>
        <v>0.435558328134747</v>
      </c>
      <c r="I7" s="4" t="s">
        <v>71</v>
      </c>
    </row>
    <row r="8" customFormat="false" ht="12.75" hidden="false" customHeight="false" outlineLevel="0" collapsed="false">
      <c r="A8" s="0" t="s">
        <v>174</v>
      </c>
      <c r="B8" s="4" t="n">
        <v>177</v>
      </c>
      <c r="C8" s="4" t="n">
        <v>7148</v>
      </c>
      <c r="D8" s="4" t="n">
        <v>177</v>
      </c>
      <c r="E8" s="4" t="n">
        <v>11859</v>
      </c>
      <c r="G8" s="5" t="n">
        <f aca="false">B8/(B8+C8)</f>
        <v>0.0241638225255973</v>
      </c>
      <c r="H8" s="5" t="n">
        <f aca="false">D8/(D8+E8)</f>
        <v>0.0147058823529412</v>
      </c>
      <c r="I8" s="4" t="s">
        <v>72</v>
      </c>
    </row>
    <row r="9" customFormat="false" ht="12.75" hidden="false" customHeight="false" outlineLevel="0" collapsed="false">
      <c r="A9" s="0" t="s">
        <v>175</v>
      </c>
      <c r="B9" s="4" t="n">
        <v>82</v>
      </c>
      <c r="C9" s="4" t="n">
        <v>5132</v>
      </c>
      <c r="D9" s="4" t="n">
        <v>82</v>
      </c>
      <c r="E9" s="4" t="n">
        <v>2198</v>
      </c>
      <c r="G9" s="5" t="n">
        <f aca="false">B9/(B9+C9)</f>
        <v>0.0157268891446107</v>
      </c>
      <c r="H9" s="5" t="n">
        <f aca="false">D9/(D9+E9)</f>
        <v>0.0359649122807018</v>
      </c>
      <c r="I9" s="4" t="s">
        <v>73</v>
      </c>
    </row>
    <row r="10" customFormat="false" ht="12.75" hidden="false" customHeight="false" outlineLevel="0" collapsed="false">
      <c r="A10" s="0" t="s">
        <v>176</v>
      </c>
      <c r="B10" s="4" t="n">
        <v>24083</v>
      </c>
      <c r="C10" s="4" t="n">
        <v>35061</v>
      </c>
      <c r="D10" s="4" t="n">
        <v>24083</v>
      </c>
      <c r="E10" s="4" t="n">
        <v>18841</v>
      </c>
      <c r="G10" s="5" t="n">
        <f aca="false">B10/(B10+C10)</f>
        <v>0.407192614635466</v>
      </c>
      <c r="H10" s="5" t="n">
        <f aca="false">D10/(D10+E10)</f>
        <v>0.561061410865716</v>
      </c>
      <c r="I10" s="4" t="s">
        <v>75</v>
      </c>
    </row>
    <row r="11" customFormat="false" ht="12.75" hidden="false" customHeight="false" outlineLevel="0" collapsed="false">
      <c r="A11" s="0" t="s">
        <v>177</v>
      </c>
      <c r="B11" s="4" t="n">
        <v>9448</v>
      </c>
      <c r="C11" s="4" t="n">
        <v>19185</v>
      </c>
      <c r="D11" s="4" t="n">
        <v>9448</v>
      </c>
      <c r="E11" s="4" t="n">
        <v>18337</v>
      </c>
      <c r="G11" s="5" t="n">
        <f aca="false">B11/(B11+C11)</f>
        <v>0.3299689169839</v>
      </c>
      <c r="H11" s="5" t="n">
        <f aca="false">D11/(D11+E11)</f>
        <v>0.340039589706676</v>
      </c>
      <c r="I11" s="4" t="s">
        <v>76</v>
      </c>
    </row>
    <row r="12" customFormat="false" ht="12.75" hidden="false" customHeight="false" outlineLevel="0" collapsed="false">
      <c r="A12" s="0" t="s">
        <v>178</v>
      </c>
      <c r="B12" s="4" t="n">
        <v>1322</v>
      </c>
      <c r="C12" s="4" t="n">
        <v>3305</v>
      </c>
      <c r="D12" s="4" t="n">
        <v>1322</v>
      </c>
      <c r="E12" s="4" t="n">
        <v>765</v>
      </c>
      <c r="G12" s="5" t="n">
        <f aca="false">B12/(B12+C12)</f>
        <v>0.285714285714286</v>
      </c>
      <c r="H12" s="5" t="n">
        <f aca="false">D12/(D12+E12)</f>
        <v>0.633445136559655</v>
      </c>
      <c r="I12" s="4" t="s">
        <v>77</v>
      </c>
    </row>
    <row r="13" customFormat="false" ht="12.75" hidden="false" customHeight="false" outlineLevel="0" collapsed="false">
      <c r="A13" s="0" t="s">
        <v>179</v>
      </c>
      <c r="B13" s="4" t="n">
        <v>3077</v>
      </c>
      <c r="C13" s="4" t="n">
        <v>3684</v>
      </c>
      <c r="D13" s="4" t="n">
        <v>3077</v>
      </c>
      <c r="E13" s="4" t="n">
        <v>3761</v>
      </c>
      <c r="G13" s="5" t="n">
        <f aca="false">B13/(B13+C13)</f>
        <v>0.455110190800178</v>
      </c>
      <c r="H13" s="5" t="n">
        <f aca="false">D13/(D13+E13)</f>
        <v>0.449985375840889</v>
      </c>
      <c r="I13" s="4" t="s">
        <v>78</v>
      </c>
    </row>
    <row r="14" customFormat="false" ht="12.75" hidden="false" customHeight="false" outlineLevel="0" collapsed="false">
      <c r="A14" s="0" t="s">
        <v>180</v>
      </c>
      <c r="B14" s="4" t="n">
        <v>11964</v>
      </c>
      <c r="C14" s="4" t="n">
        <v>21128</v>
      </c>
      <c r="D14" s="4" t="n">
        <v>11964</v>
      </c>
      <c r="E14" s="4" t="n">
        <v>27788</v>
      </c>
      <c r="G14" s="5" t="n">
        <f aca="false">B14/(B14+C14)</f>
        <v>0.361537531729723</v>
      </c>
      <c r="H14" s="5" t="n">
        <f aca="false">D14/(D14+E14)</f>
        <v>0.300965989132622</v>
      </c>
      <c r="I14" s="4" t="s">
        <v>79</v>
      </c>
    </row>
    <row r="15" customFormat="false" ht="12.75" hidden="false" customHeight="false" outlineLevel="0" collapsed="false">
      <c r="A15" s="0" t="s">
        <v>181</v>
      </c>
      <c r="B15" s="4" t="n">
        <v>8278</v>
      </c>
      <c r="C15" s="4" t="n">
        <v>11750</v>
      </c>
      <c r="D15" s="4" t="n">
        <v>8278</v>
      </c>
      <c r="E15" s="4" t="n">
        <v>13821</v>
      </c>
      <c r="G15" s="5" t="n">
        <f aca="false">B15/(B15+C15)</f>
        <v>0.413321350109846</v>
      </c>
      <c r="H15" s="5" t="n">
        <f aca="false">D15/(D15+E15)</f>
        <v>0.374587085388479</v>
      </c>
      <c r="I15" s="4" t="s">
        <v>80</v>
      </c>
    </row>
    <row r="16" customFormat="false" ht="12.75" hidden="false" customHeight="false" outlineLevel="0" collapsed="false">
      <c r="A16" s="0" t="s">
        <v>182</v>
      </c>
      <c r="B16" s="4" t="n">
        <v>5811</v>
      </c>
      <c r="C16" s="4" t="n">
        <v>6380</v>
      </c>
      <c r="D16" s="4" t="n">
        <v>5811</v>
      </c>
      <c r="E16" s="4" t="n">
        <v>6939</v>
      </c>
      <c r="G16" s="5" t="n">
        <f aca="false">B16/(B16+C16)</f>
        <v>0.476663112131901</v>
      </c>
      <c r="H16" s="5" t="n">
        <f aca="false">D16/(D16+E16)</f>
        <v>0.455764705882353</v>
      </c>
      <c r="I16" s="4" t="s">
        <v>81</v>
      </c>
    </row>
    <row r="17" customFormat="false" ht="12.75" hidden="false" customHeight="false" outlineLevel="0" collapsed="false">
      <c r="A17" s="0" t="s">
        <v>183</v>
      </c>
      <c r="B17" s="4" t="n">
        <v>4560</v>
      </c>
      <c r="C17" s="4" t="n">
        <v>5889</v>
      </c>
      <c r="D17" s="4" t="n">
        <v>4560</v>
      </c>
      <c r="E17" s="4" t="n">
        <v>7596</v>
      </c>
      <c r="G17" s="5" t="n">
        <f aca="false">B17/(B17+C17)</f>
        <v>0.436405397645708</v>
      </c>
      <c r="H17" s="5" t="n">
        <f aca="false">D17/(D17+E17)</f>
        <v>0.375123395853899</v>
      </c>
      <c r="I17" s="4" t="s">
        <v>82</v>
      </c>
    </row>
    <row r="18" customFormat="false" ht="12.75" hidden="false" customHeight="false" outlineLevel="0" collapsed="false">
      <c r="B18" s="4" t="n">
        <v>5574</v>
      </c>
      <c r="C18" s="4" t="n">
        <v>8515</v>
      </c>
      <c r="D18" s="4" t="n">
        <v>5574</v>
      </c>
      <c r="E18" s="4" t="n">
        <v>10081</v>
      </c>
      <c r="G18" s="5" t="n">
        <f aca="false">B18/(B18+C18)</f>
        <v>0.39562779473348</v>
      </c>
      <c r="H18" s="5" t="n">
        <f aca="false">D18/(D18+E18)</f>
        <v>0.356052379431492</v>
      </c>
      <c r="I18" s="4" t="s">
        <v>83</v>
      </c>
    </row>
    <row r="19" customFormat="false" ht="12.75" hidden="false" customHeight="false" outlineLevel="0" collapsed="false">
      <c r="A19" s="0" t="s">
        <v>184</v>
      </c>
      <c r="B19" s="4" t="n">
        <v>6052</v>
      </c>
      <c r="C19" s="4" t="n">
        <v>10317</v>
      </c>
      <c r="D19" s="4" t="n">
        <v>6052</v>
      </c>
      <c r="E19" s="4" t="n">
        <v>33.1015625</v>
      </c>
      <c r="G19" s="5" t="n">
        <f aca="false">B19/(B19+C19)</f>
        <v>0.369723257376749</v>
      </c>
      <c r="H19" s="5" t="n">
        <f aca="false">D19/(D19+E19)</f>
        <v>0.994560228426754</v>
      </c>
      <c r="I19" s="4" t="s">
        <v>84</v>
      </c>
    </row>
    <row r="20" customFormat="false" ht="12.75" hidden="false" customHeight="false" outlineLevel="0" collapsed="false">
      <c r="A20" s="0" t="s">
        <v>185</v>
      </c>
      <c r="B20" s="4" t="n">
        <v>2722</v>
      </c>
      <c r="C20" s="4" t="n">
        <v>13901</v>
      </c>
      <c r="D20" s="4" t="n">
        <v>2722</v>
      </c>
      <c r="E20" s="4" t="n">
        <v>16479</v>
      </c>
      <c r="G20" s="5" t="n">
        <f aca="false">B20/(B20+C20)</f>
        <v>0.16374902243879</v>
      </c>
      <c r="H20" s="5" t="n">
        <f aca="false">D20/(D20+E20)</f>
        <v>0.141763449820322</v>
      </c>
      <c r="I20" s="4" t="s">
        <v>87</v>
      </c>
    </row>
    <row r="21" customFormat="false" ht="12.75" hidden="false" customHeight="false" outlineLevel="0" collapsed="false">
      <c r="A21" s="0" t="s">
        <v>186</v>
      </c>
      <c r="B21" s="4" t="n">
        <v>3462</v>
      </c>
      <c r="C21" s="4" t="n">
        <v>9407</v>
      </c>
      <c r="D21" s="4" t="n">
        <v>3462</v>
      </c>
      <c r="E21" s="4" t="n">
        <v>17188</v>
      </c>
      <c r="G21" s="5" t="n">
        <f aca="false">B21/(B21+C21)</f>
        <v>0.269018571761598</v>
      </c>
      <c r="H21" s="5" t="n">
        <f aca="false">D21/(D21+E21)</f>
        <v>0.167651331719128</v>
      </c>
      <c r="I21" s="4" t="s">
        <v>86</v>
      </c>
    </row>
    <row r="22" customFormat="false" ht="12.75" hidden="false" customHeight="false" outlineLevel="0" collapsed="false">
      <c r="A22" s="0" t="s">
        <v>187</v>
      </c>
      <c r="B22" s="4" t="n">
        <v>2144</v>
      </c>
      <c r="C22" s="4" t="n">
        <v>7012</v>
      </c>
      <c r="D22" s="4" t="n">
        <v>2144</v>
      </c>
      <c r="E22" s="4" t="n">
        <v>2927</v>
      </c>
      <c r="G22" s="5" t="n">
        <f aca="false">B22/(B22+C22)</f>
        <v>0.234163390126693</v>
      </c>
      <c r="H22" s="5" t="n">
        <f aca="false">D22/(D22+E22)</f>
        <v>0.422796292644449</v>
      </c>
      <c r="I22" s="4" t="s">
        <v>85</v>
      </c>
    </row>
    <row r="23" customFormat="false" ht="12.75" hidden="false" customHeight="false" outlineLevel="0" collapsed="false">
      <c r="A23" s="0" t="s">
        <v>188</v>
      </c>
      <c r="B23" s="4" t="n">
        <v>22000</v>
      </c>
      <c r="C23" s="4" t="n">
        <v>12525</v>
      </c>
      <c r="D23" s="4" t="n">
        <v>22000</v>
      </c>
      <c r="E23" s="4" t="n">
        <v>17916</v>
      </c>
      <c r="G23" s="5" t="n">
        <f aca="false">B23/(B23+C23)</f>
        <v>0.637219406227372</v>
      </c>
      <c r="H23" s="5" t="n">
        <f aca="false">D23/(D23+E23)</f>
        <v>0.551157430604269</v>
      </c>
      <c r="I23" s="4" t="s">
        <v>88</v>
      </c>
    </row>
    <row r="24" customFormat="false" ht="12.75" hidden="false" customHeight="false" outlineLevel="0" collapsed="false">
      <c r="A24" s="0" t="s">
        <v>189</v>
      </c>
      <c r="B24" s="4" t="n">
        <v>15379</v>
      </c>
      <c r="C24" s="4" t="n">
        <v>9420</v>
      </c>
      <c r="D24" s="4" t="n">
        <v>15379</v>
      </c>
      <c r="E24" s="4" t="n">
        <v>10468</v>
      </c>
      <c r="G24" s="5" t="n">
        <f aca="false">B24/(B24+C24)</f>
        <v>0.620145973627969</v>
      </c>
      <c r="H24" s="5" t="n">
        <f aca="false">D24/(D24+E24)</f>
        <v>0.595001354122335</v>
      </c>
      <c r="I24" s="4" t="s">
        <v>89</v>
      </c>
    </row>
    <row r="25" customFormat="false" ht="12.75" hidden="false" customHeight="false" outlineLevel="0" collapsed="false">
      <c r="A25" s="0" t="s">
        <v>190</v>
      </c>
      <c r="B25" s="4" t="n">
        <v>12275</v>
      </c>
      <c r="C25" s="4" t="n">
        <v>15797</v>
      </c>
      <c r="D25" s="4" t="n">
        <v>12275</v>
      </c>
      <c r="E25" s="4" t="n">
        <v>13002</v>
      </c>
      <c r="G25" s="5" t="n">
        <f aca="false">B25/(B25+C25)</f>
        <v>0.437268452550584</v>
      </c>
      <c r="H25" s="5" t="n">
        <f aca="false">D25/(D25+E25)</f>
        <v>0.485619337737865</v>
      </c>
      <c r="I25" s="4" t="s">
        <v>91</v>
      </c>
    </row>
    <row r="26" customFormat="false" ht="12.75" hidden="false" customHeight="false" outlineLevel="0" collapsed="false">
      <c r="A26" s="0" t="s">
        <v>191</v>
      </c>
      <c r="B26" s="4" t="n">
        <v>4613</v>
      </c>
      <c r="C26" s="4" t="n">
        <v>7112</v>
      </c>
      <c r="D26" s="4" t="n">
        <v>4613</v>
      </c>
      <c r="E26" s="4" t="n">
        <v>6289</v>
      </c>
      <c r="G26" s="5" t="n">
        <f aca="false">B26/(B26+C26)</f>
        <v>0.393432835820896</v>
      </c>
      <c r="H26" s="5" t="n">
        <f aca="false">D26/(D26+E26)</f>
        <v>0.423133370023849</v>
      </c>
      <c r="I26" s="4" t="s">
        <v>90</v>
      </c>
    </row>
    <row r="27" customFormat="false" ht="12.75" hidden="false" customHeight="false" outlineLevel="0" collapsed="false">
      <c r="A27" s="0" t="s">
        <v>192</v>
      </c>
      <c r="B27" s="4" t="n">
        <v>4117</v>
      </c>
      <c r="C27" s="4" t="n">
        <v>3131</v>
      </c>
      <c r="D27" s="4" t="n">
        <v>4117</v>
      </c>
      <c r="E27" s="4" t="n">
        <v>1848</v>
      </c>
      <c r="G27" s="5" t="n">
        <f aca="false">B27/(B27+C27)</f>
        <v>0.56801876379691</v>
      </c>
      <c r="H27" s="5" t="n">
        <f aca="false">D27/(D27+E27)</f>
        <v>0.690192791282481</v>
      </c>
      <c r="I27" s="4" t="s">
        <v>92</v>
      </c>
    </row>
    <row r="28" customFormat="false" ht="12.75" hidden="false" customHeight="false" outlineLevel="0" collapsed="false">
      <c r="A28" s="0" t="s">
        <v>193</v>
      </c>
      <c r="B28" s="4" t="n">
        <v>12665</v>
      </c>
      <c r="C28" s="4" t="n">
        <v>17369</v>
      </c>
      <c r="D28" s="4" t="n">
        <v>12665</v>
      </c>
      <c r="E28" s="4" t="n">
        <v>16703</v>
      </c>
      <c r="G28" s="5" t="n">
        <f aca="false">B28/(B28+C28)</f>
        <v>0.421688752746887</v>
      </c>
      <c r="H28" s="5" t="n">
        <f aca="false">D28/(D28+E28)</f>
        <v>0.43125170253337</v>
      </c>
      <c r="I28" s="4" t="s">
        <v>99</v>
      </c>
    </row>
    <row r="29" customFormat="false" ht="12.75" hidden="false" customHeight="false" outlineLevel="0" collapsed="false">
      <c r="A29" s="0" t="s">
        <v>194</v>
      </c>
      <c r="B29" s="4" t="n">
        <v>2389</v>
      </c>
      <c r="C29" s="4" t="n">
        <v>2214</v>
      </c>
      <c r="D29" s="4" t="n">
        <v>2389</v>
      </c>
      <c r="E29" s="4" t="n">
        <v>1706</v>
      </c>
      <c r="G29" s="5" t="n">
        <f aca="false">B29/(B29+C29)</f>
        <v>0.519009341733652</v>
      </c>
      <c r="H29" s="5" t="n">
        <f aca="false">D29/(D29+E29)</f>
        <v>0.583394383394383</v>
      </c>
      <c r="I29" s="4" t="s">
        <v>100</v>
      </c>
    </row>
    <row r="30" customFormat="false" ht="12.75" hidden="false" customHeight="false" outlineLevel="0" collapsed="false">
      <c r="A30" s="0" t="s">
        <v>195</v>
      </c>
      <c r="B30" s="4" t="n">
        <v>3653</v>
      </c>
      <c r="C30" s="4" t="n">
        <v>3766</v>
      </c>
      <c r="D30" s="4" t="n">
        <v>3653</v>
      </c>
      <c r="E30" s="4" t="n">
        <v>4966</v>
      </c>
      <c r="G30" s="5" t="n">
        <f aca="false">B30/(B30+C30)</f>
        <v>0.492384418385227</v>
      </c>
      <c r="H30" s="5" t="n">
        <f aca="false">D30/(D30+E30)</f>
        <v>0.423831070889894</v>
      </c>
      <c r="I30" s="4" t="s">
        <v>93</v>
      </c>
    </row>
    <row r="31" customFormat="false" ht="12.75" hidden="false" customHeight="false" outlineLevel="0" collapsed="false">
      <c r="A31" s="0" t="s">
        <v>196</v>
      </c>
      <c r="B31" s="4" t="n">
        <v>814</v>
      </c>
      <c r="C31" s="4" t="n">
        <v>6119</v>
      </c>
      <c r="D31" s="4" t="n">
        <v>814</v>
      </c>
      <c r="E31" s="4" t="n">
        <v>4000</v>
      </c>
      <c r="G31" s="5" t="n">
        <f aca="false">B31/(B31+C31)</f>
        <v>0.117409490840906</v>
      </c>
      <c r="H31" s="5" t="n">
        <f aca="false">D31/(D31+E31)</f>
        <v>0.169090153718322</v>
      </c>
      <c r="I31" s="4" t="s">
        <v>95</v>
      </c>
    </row>
    <row r="32" customFormat="false" ht="12.75" hidden="false" customHeight="false" outlineLevel="0" collapsed="false">
      <c r="A32" s="0" t="s">
        <v>197</v>
      </c>
      <c r="B32" s="4" t="n">
        <v>3431</v>
      </c>
      <c r="C32" s="4" t="n">
        <v>17008</v>
      </c>
      <c r="D32" s="4" t="n">
        <v>3431</v>
      </c>
      <c r="E32" s="4" t="n">
        <v>19801.4583333333</v>
      </c>
      <c r="G32" s="5" t="n">
        <f aca="false">B32/(B32+C32)</f>
        <v>0.167865355447918</v>
      </c>
      <c r="H32" s="5" t="n">
        <f aca="false">D32/(D32+E32)</f>
        <v>0.147681315114091</v>
      </c>
      <c r="I32" s="4" t="s">
        <v>96</v>
      </c>
    </row>
    <row r="33" customFormat="false" ht="12.75" hidden="false" customHeight="false" outlineLevel="0" collapsed="false">
      <c r="A33" s="0" t="s">
        <v>198</v>
      </c>
      <c r="B33" s="4" t="n">
        <v>5437</v>
      </c>
      <c r="C33" s="4" t="n">
        <v>4831</v>
      </c>
      <c r="D33" s="4" t="n">
        <v>5437</v>
      </c>
      <c r="E33" s="4" t="n">
        <v>4668</v>
      </c>
      <c r="G33" s="5" t="n">
        <f aca="false">B33/(B33+C33)</f>
        <v>0.52950915465524</v>
      </c>
      <c r="H33" s="5" t="n">
        <f aca="false">D33/(D33+E33)</f>
        <v>0.538050470064325</v>
      </c>
      <c r="I33" s="4" t="s">
        <v>97</v>
      </c>
    </row>
    <row r="34" customFormat="false" ht="12.75" hidden="false" customHeight="false" outlineLevel="0" collapsed="false">
      <c r="A34" s="0" t="s">
        <v>199</v>
      </c>
      <c r="B34" s="4" t="n">
        <v>1173</v>
      </c>
      <c r="C34" s="4" t="n">
        <v>25167</v>
      </c>
      <c r="D34" s="4" t="n">
        <v>1173</v>
      </c>
      <c r="E34" s="4" t="n">
        <v>5504</v>
      </c>
      <c r="G34" s="5" t="n">
        <f aca="false">B34/(B34+C34)</f>
        <v>0.0445330296127563</v>
      </c>
      <c r="H34" s="5" t="n">
        <f aca="false">D34/(D34+E34)</f>
        <v>0.175677699565673</v>
      </c>
      <c r="I34" s="4" t="s">
        <v>94</v>
      </c>
    </row>
    <row r="35" customFormat="false" ht="12.75" hidden="false" customHeight="false" outlineLevel="0" collapsed="false">
      <c r="A35" s="0" t="s">
        <v>200</v>
      </c>
      <c r="B35" s="4" t="n">
        <v>15983</v>
      </c>
      <c r="C35" s="4" t="n">
        <v>24822</v>
      </c>
      <c r="D35" s="4" t="n">
        <v>15983</v>
      </c>
      <c r="E35" s="4" t="n">
        <v>29959</v>
      </c>
      <c r="G35" s="5" t="n">
        <f aca="false">B35/(B35+C35)</f>
        <v>0.391692194583997</v>
      </c>
      <c r="H35" s="5" t="n">
        <f aca="false">D35/(D35+E35)</f>
        <v>0.34789517217361</v>
      </c>
      <c r="I35" s="4" t="s">
        <v>98</v>
      </c>
    </row>
    <row r="36" customFormat="false" ht="12.75" hidden="false" customHeight="false" outlineLevel="0" collapsed="false">
      <c r="A36" s="0" t="s">
        <v>201</v>
      </c>
      <c r="B36" s="4" t="n">
        <v>15997</v>
      </c>
      <c r="C36" s="4" t="n">
        <v>18407.4166666667</v>
      </c>
      <c r="D36" s="4" t="n">
        <v>15997</v>
      </c>
      <c r="E36" s="4" t="n">
        <v>22303</v>
      </c>
      <c r="G36" s="5" t="n">
        <f aca="false">B36/(B36+C36)</f>
        <v>0.464969371664975</v>
      </c>
      <c r="H36" s="5" t="n">
        <f aca="false">D36/(D36+E36)</f>
        <v>0.417676240208877</v>
      </c>
      <c r="I36" s="4" t="s">
        <v>101</v>
      </c>
    </row>
    <row r="37" customFormat="false" ht="12.75" hidden="false" customHeight="false" outlineLevel="0" collapsed="false">
      <c r="A37" s="0" t="s">
        <v>202</v>
      </c>
      <c r="B37" s="4" t="n">
        <v>7378</v>
      </c>
      <c r="C37" s="4" t="n">
        <v>7157</v>
      </c>
      <c r="D37" s="4" t="n">
        <v>7378</v>
      </c>
      <c r="E37" s="4" t="n">
        <v>8679</v>
      </c>
      <c r="G37" s="5" t="n">
        <f aca="false">B37/(B37+C37)</f>
        <v>0.507602339181287</v>
      </c>
      <c r="H37" s="5" t="n">
        <f aca="false">D37/(D37+E37)</f>
        <v>0.459488073737311</v>
      </c>
      <c r="I37" s="4" t="s">
        <v>102</v>
      </c>
    </row>
    <row r="38" customFormat="false" ht="12.75" hidden="false" customHeight="false" outlineLevel="0" collapsed="false">
      <c r="A38" s="0" t="s">
        <v>203</v>
      </c>
      <c r="B38" s="4" t="n">
        <v>7420</v>
      </c>
      <c r="C38" s="4" t="n">
        <v>6844</v>
      </c>
      <c r="D38" s="4" t="n">
        <v>7420</v>
      </c>
      <c r="E38" s="4" t="n">
        <v>7120</v>
      </c>
      <c r="G38" s="5" t="n">
        <f aca="false">B38/(B38+C38)</f>
        <v>0.52019068984857</v>
      </c>
      <c r="H38" s="5" t="n">
        <f aca="false">D38/(D38+E38)</f>
        <v>0.510316368638239</v>
      </c>
      <c r="I38" s="4" t="s">
        <v>103</v>
      </c>
    </row>
    <row r="39" customFormat="false" ht="12.75" hidden="false" customHeight="false" outlineLevel="0" collapsed="false">
      <c r="A39" s="0" t="s">
        <v>204</v>
      </c>
      <c r="B39" s="4" t="n">
        <v>12548</v>
      </c>
      <c r="C39" s="4" t="n">
        <v>23320</v>
      </c>
      <c r="D39" s="4" t="n">
        <v>7205</v>
      </c>
      <c r="E39" s="4" t="n">
        <v>9734</v>
      </c>
      <c r="G39" s="5" t="n">
        <f aca="false">B39/(B39+C39)</f>
        <v>0.349838295974127</v>
      </c>
      <c r="H39" s="5" t="n">
        <f aca="false">D39/(D39+E39)</f>
        <v>0.425349784520928</v>
      </c>
      <c r="I39" s="4" t="s">
        <v>104</v>
      </c>
    </row>
    <row r="40" customFormat="false" ht="12.75" hidden="false" customHeight="false" outlineLevel="0" collapsed="false">
      <c r="A40" s="0" t="s">
        <v>205</v>
      </c>
      <c r="B40" s="4" t="s">
        <v>156</v>
      </c>
      <c r="C40" s="4" t="n">
        <v>2049</v>
      </c>
      <c r="D40" s="4" t="s">
        <v>156</v>
      </c>
      <c r="E40" s="4" t="n">
        <v>2258</v>
      </c>
      <c r="G40" s="5" t="e">
        <f aca="false">B40/(B40+C40)</f>
        <v>#VALUE!</v>
      </c>
      <c r="H40" s="5" t="e">
        <f aca="false">D40/(D40+E40)</f>
        <v>#VALUE!</v>
      </c>
      <c r="I40" s="4" t="s">
        <v>105</v>
      </c>
    </row>
    <row r="41" customFormat="false" ht="12.75" hidden="false" customHeight="false" outlineLevel="0" collapsed="false">
      <c r="A41" s="0" t="s">
        <v>206</v>
      </c>
      <c r="B41" s="4" t="n">
        <v>6033</v>
      </c>
      <c r="C41" s="4" t="n">
        <v>13294</v>
      </c>
      <c r="D41" s="4" t="n">
        <v>6033</v>
      </c>
      <c r="E41" s="4" t="n">
        <v>9024</v>
      </c>
      <c r="G41" s="5" t="n">
        <f aca="false">B41/(B41+C41)</f>
        <v>0.312153981476691</v>
      </c>
      <c r="H41" s="5" t="n">
        <f aca="false">D41/(D41+E41)</f>
        <v>0.400677425782028</v>
      </c>
      <c r="I41" s="4" t="s">
        <v>106</v>
      </c>
    </row>
    <row r="42" customFormat="false" ht="12.75" hidden="false" customHeight="false" outlineLevel="0" collapsed="false">
      <c r="A42" s="0" t="s">
        <v>207</v>
      </c>
      <c r="B42" s="4" t="n">
        <v>7205</v>
      </c>
      <c r="C42" s="4" t="n">
        <v>2885</v>
      </c>
      <c r="D42" s="4" t="n">
        <v>2733</v>
      </c>
      <c r="E42" s="4" t="n">
        <v>2142</v>
      </c>
      <c r="G42" s="5" t="n">
        <f aca="false">B42/(B42+C42)</f>
        <v>0.714073339940535</v>
      </c>
      <c r="H42" s="5" t="n">
        <f aca="false">D42/(D42+E42)</f>
        <v>0.560615384615385</v>
      </c>
      <c r="I42" s="4" t="s">
        <v>107</v>
      </c>
    </row>
    <row r="43" customFormat="false" ht="12.75" hidden="false" customHeight="false" outlineLevel="0" collapsed="false">
      <c r="A43" s="0" t="s">
        <v>208</v>
      </c>
      <c r="B43" s="4" t="n">
        <v>5864</v>
      </c>
      <c r="C43" s="4" t="n">
        <v>16875</v>
      </c>
      <c r="D43" s="4" t="n">
        <v>5864</v>
      </c>
      <c r="E43" s="4" t="n">
        <v>13941</v>
      </c>
      <c r="G43" s="5" t="n">
        <f aca="false">B43/(B43+C43)</f>
        <v>0.257882932406878</v>
      </c>
      <c r="H43" s="5" t="n">
        <f aca="false">D43/(D43+E43)</f>
        <v>0.29608684675587</v>
      </c>
      <c r="I43" s="4" t="s">
        <v>108</v>
      </c>
    </row>
    <row r="44" customFormat="false" ht="12.75" hidden="false" customHeight="false" outlineLevel="0" collapsed="false">
      <c r="A44" s="0" t="s">
        <v>209</v>
      </c>
      <c r="B44" s="4" t="n">
        <v>56808</v>
      </c>
      <c r="C44" s="4" t="n">
        <v>19166</v>
      </c>
      <c r="D44" s="4" t="n">
        <v>56808</v>
      </c>
      <c r="E44" s="4" t="n">
        <v>23496</v>
      </c>
      <c r="G44" s="5" t="n">
        <f aca="false">B44/(B44+C44)</f>
        <v>0.747729486403243</v>
      </c>
      <c r="H44" s="5" t="n">
        <f aca="false">D44/(D44+E44)</f>
        <v>0.707411835026898</v>
      </c>
      <c r="I44" s="4" t="s">
        <v>109</v>
      </c>
    </row>
    <row r="45" customFormat="false" ht="12.75" hidden="false" customHeight="false" outlineLevel="0" collapsed="false">
      <c r="A45" s="0" t="s">
        <v>210</v>
      </c>
      <c r="B45" s="4" t="n">
        <v>4495</v>
      </c>
      <c r="C45" s="4" t="n">
        <v>5172</v>
      </c>
      <c r="D45" s="4" t="n">
        <v>4495</v>
      </c>
      <c r="E45" s="4" t="n">
        <v>6206</v>
      </c>
      <c r="G45" s="5" t="n">
        <f aca="false">B45/(B45+C45)</f>
        <v>0.464983966070136</v>
      </c>
      <c r="H45" s="5" t="n">
        <f aca="false">D45/(D45+E45)</f>
        <v>0.420054200542005</v>
      </c>
      <c r="I45" s="4" t="s">
        <v>110</v>
      </c>
    </row>
    <row r="46" customFormat="false" ht="12.75" hidden="false" customHeight="false" outlineLevel="0" collapsed="false">
      <c r="A46" s="0" t="s">
        <v>211</v>
      </c>
      <c r="B46" s="4" t="n">
        <v>9012</v>
      </c>
      <c r="C46" s="4" t="n">
        <v>14238</v>
      </c>
      <c r="D46" s="4" t="n">
        <v>9012</v>
      </c>
      <c r="E46" s="4" t="n">
        <v>18941</v>
      </c>
      <c r="G46" s="5" t="n">
        <f aca="false">B46/(B46+C46)</f>
        <v>0.387612903225806</v>
      </c>
      <c r="H46" s="5" t="n">
        <f aca="false">D46/(D46+E46)</f>
        <v>0.322398311451365</v>
      </c>
      <c r="I46" s="4" t="s">
        <v>112</v>
      </c>
    </row>
    <row r="47" customFormat="false" ht="12.75" hidden="false" customHeight="false" outlineLevel="0" collapsed="false">
      <c r="A47" s="0" t="s">
        <v>212</v>
      </c>
      <c r="B47" s="4" t="n">
        <v>317</v>
      </c>
      <c r="C47" s="4" t="n">
        <v>4784</v>
      </c>
      <c r="D47" s="4" t="n">
        <v>317</v>
      </c>
      <c r="E47" s="4" t="n">
        <v>2547</v>
      </c>
      <c r="G47" s="5" t="n">
        <f aca="false">B47/(B47+C47)</f>
        <v>0.0621446775142129</v>
      </c>
      <c r="H47" s="5" t="n">
        <f aca="false">D47/(D47+E47)</f>
        <v>0.110684357541899</v>
      </c>
      <c r="I47" s="4" t="s">
        <v>111</v>
      </c>
    </row>
    <row r="48" customFormat="false" ht="12.75" hidden="false" customHeight="false" outlineLevel="0" collapsed="false">
      <c r="A48" s="0" t="s">
        <v>213</v>
      </c>
      <c r="B48" s="4" t="n">
        <v>13744</v>
      </c>
      <c r="C48" s="4" t="n">
        <v>7823</v>
      </c>
      <c r="D48" s="4" t="n">
        <v>13744</v>
      </c>
      <c r="E48" s="4" t="n">
        <v>10556</v>
      </c>
      <c r="G48" s="5" t="n">
        <f aca="false">B48/(B48+C48)</f>
        <v>0.637269903092688</v>
      </c>
      <c r="H48" s="5" t="n">
        <f aca="false">D48/(D48+E48)</f>
        <v>0.56559670781893</v>
      </c>
      <c r="I48" s="4" t="s">
        <v>113</v>
      </c>
    </row>
    <row r="49" customFormat="false" ht="12.75" hidden="false" customHeight="false" outlineLevel="0" collapsed="false">
      <c r="A49" s="0" t="s">
        <v>214</v>
      </c>
      <c r="B49" s="4" t="n">
        <v>14023</v>
      </c>
      <c r="C49" s="4" t="n">
        <v>12058</v>
      </c>
      <c r="D49" s="4" t="n">
        <v>14023</v>
      </c>
      <c r="E49" s="4" t="n">
        <v>11784</v>
      </c>
      <c r="G49" s="5" t="n">
        <f aca="false">B49/(B49+C49)</f>
        <v>0.537671101568191</v>
      </c>
      <c r="H49" s="5" t="n">
        <f aca="false">D49/(D49+E49)</f>
        <v>0.543379703181307</v>
      </c>
      <c r="I49" s="4" t="s">
        <v>115</v>
      </c>
    </row>
    <row r="50" customFormat="false" ht="12.75" hidden="false" customHeight="false" outlineLevel="0" collapsed="false">
      <c r="A50" s="0" t="s">
        <v>215</v>
      </c>
      <c r="B50" s="4" t="n">
        <v>1854</v>
      </c>
      <c r="C50" s="4" t="n">
        <v>6599</v>
      </c>
      <c r="D50" s="4" t="n">
        <v>1854</v>
      </c>
      <c r="E50" s="4" t="n">
        <v>4176</v>
      </c>
      <c r="G50" s="5" t="n">
        <f aca="false">B50/(B50+C50)</f>
        <v>0.219330415237194</v>
      </c>
      <c r="H50" s="5" t="n">
        <f aca="false">D50/(D50+E50)</f>
        <v>0.307462686567164</v>
      </c>
      <c r="I50" s="4" t="s">
        <v>114</v>
      </c>
    </row>
    <row r="51" customFormat="false" ht="12.75" hidden="false" customHeight="false" outlineLevel="0" collapsed="false">
      <c r="A51" s="0" t="s">
        <v>216</v>
      </c>
      <c r="B51" s="4" t="n">
        <v>1723</v>
      </c>
      <c r="C51" s="4" t="n">
        <v>3002</v>
      </c>
      <c r="D51" s="4" t="n">
        <v>1723</v>
      </c>
      <c r="E51" s="4" t="n">
        <v>2368</v>
      </c>
      <c r="G51" s="5" t="n">
        <f aca="false">B51/(B51+C51)</f>
        <v>0.364656084656085</v>
      </c>
      <c r="H51" s="5" t="n">
        <f aca="false">D51/(D51+E51)</f>
        <v>0.421168418479589</v>
      </c>
      <c r="I51" s="4" t="s">
        <v>116</v>
      </c>
    </row>
    <row r="53" customFormat="false" ht="12.75" hidden="false" customHeight="false" outlineLevel="0" collapsed="false">
      <c r="A53" s="0" t="s">
        <v>217</v>
      </c>
      <c r="B53" s="4" t="n">
        <v>1798</v>
      </c>
      <c r="C53" s="4" t="n">
        <v>1242</v>
      </c>
      <c r="D53" s="4" t="n">
        <v>1798</v>
      </c>
      <c r="E53" s="4" t="n">
        <v>636</v>
      </c>
      <c r="G53" s="5" t="n">
        <f aca="false">B53/(B53+C53)</f>
        <v>0.591447368421053</v>
      </c>
      <c r="H53" s="5" t="n">
        <f aca="false">D53/(D53+E53)</f>
        <v>0.738701725554643</v>
      </c>
      <c r="I53" s="4" t="s">
        <v>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67"/>
  <sheetViews>
    <sheetView showFormulas="false" showGridLines="true" showRowColHeaders="true" showZeros="true" rightToLeft="false" tabSelected="false" showOutlineSymbols="true" defaultGridColor="true" view="normal" topLeftCell="A2604" colorId="64" zoomScale="100" zoomScaleNormal="100" zoomScalePageLayoutView="100" workbookViewId="0">
      <selection pane="topLeft" activeCell="B2517" activeCellId="0" sqref="B2517:B2617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3.28"/>
  </cols>
  <sheetData>
    <row r="1" customFormat="false" ht="12.75" hidden="false" customHeight="false" outlineLevel="0" collapsed="false">
      <c r="A1" s="0" t="s">
        <v>117</v>
      </c>
      <c r="B1" s="3" t="n">
        <v>7205</v>
      </c>
      <c r="C1" s="0" t="n">
        <v>9591</v>
      </c>
      <c r="D1" s="0" t="n">
        <f aca="false">SUM(B2:B52)</f>
        <v>9591</v>
      </c>
    </row>
    <row r="2" customFormat="false" ht="12.75" hidden="false" customHeight="false" outlineLevel="0" collapsed="false">
      <c r="A2" s="0" t="s">
        <v>2</v>
      </c>
      <c r="B2" s="0" t="n">
        <v>6</v>
      </c>
      <c r="C2" s="0" t="n">
        <v>9585</v>
      </c>
    </row>
    <row r="3" customFormat="false" ht="12.75" hidden="false" customHeight="false" outlineLevel="0" collapsed="false">
      <c r="A3" s="0" t="s">
        <v>3</v>
      </c>
      <c r="B3" s="0" t="n">
        <v>29</v>
      </c>
      <c r="C3" s="0" t="n">
        <v>9556</v>
      </c>
    </row>
    <row r="4" customFormat="false" ht="12.75" hidden="false" customHeight="false" outlineLevel="0" collapsed="false">
      <c r="A4" s="0" t="s">
        <v>4</v>
      </c>
      <c r="B4" s="0" t="n">
        <v>122</v>
      </c>
      <c r="C4" s="0" t="n">
        <v>11232</v>
      </c>
    </row>
    <row r="5" customFormat="false" ht="12.75" hidden="false" customHeight="false" outlineLevel="0" collapsed="false">
      <c r="A5" s="0" t="s">
        <v>5</v>
      </c>
      <c r="B5" s="0" t="n">
        <v>97</v>
      </c>
      <c r="C5" s="0" t="n">
        <v>11144</v>
      </c>
    </row>
    <row r="6" customFormat="false" ht="12.75" hidden="false" customHeight="false" outlineLevel="0" collapsed="false">
      <c r="A6" s="0" t="s">
        <v>6</v>
      </c>
      <c r="B6" s="0" t="n">
        <v>43</v>
      </c>
      <c r="C6" s="0" t="n">
        <v>11140</v>
      </c>
    </row>
    <row r="7" customFormat="false" ht="12.75" hidden="false" customHeight="false" outlineLevel="0" collapsed="false">
      <c r="A7" s="0" t="s">
        <v>7</v>
      </c>
      <c r="B7" s="0" t="n">
        <v>7</v>
      </c>
      <c r="C7" s="0" t="n">
        <v>11157</v>
      </c>
    </row>
    <row r="8" customFormat="false" ht="12.75" hidden="false" customHeight="false" outlineLevel="0" collapsed="false">
      <c r="A8" s="0" t="s">
        <v>8</v>
      </c>
      <c r="B8" s="0" t="n">
        <v>11</v>
      </c>
      <c r="C8" s="0" t="n">
        <v>11247</v>
      </c>
    </row>
    <row r="9" customFormat="false" ht="12.75" hidden="false" customHeight="false" outlineLevel="0" collapsed="false">
      <c r="A9" s="0" t="s">
        <v>9</v>
      </c>
      <c r="B9" s="0" t="n">
        <v>12</v>
      </c>
      <c r="C9" s="0" t="n">
        <v>11278</v>
      </c>
    </row>
    <row r="10" customFormat="false" ht="12.75" hidden="false" customHeight="false" outlineLevel="0" collapsed="false">
      <c r="A10" s="0" t="s">
        <v>10</v>
      </c>
      <c r="B10" s="3" t="n">
        <v>1514</v>
      </c>
      <c r="C10" s="0" t="n">
        <v>9777</v>
      </c>
    </row>
    <row r="11" customFormat="false" ht="12.75" hidden="false" customHeight="false" outlineLevel="0" collapsed="false">
      <c r="A11" s="0" t="s">
        <v>11</v>
      </c>
      <c r="B11" s="3" t="n">
        <v>2477</v>
      </c>
      <c r="C11" s="0" t="n">
        <v>7302</v>
      </c>
    </row>
    <row r="12" customFormat="false" ht="12.75" hidden="false" customHeight="false" outlineLevel="0" collapsed="false">
      <c r="A12" s="0" t="s">
        <v>12</v>
      </c>
      <c r="B12" s="0" t="n">
        <v>9</v>
      </c>
      <c r="C12" s="0" t="n">
        <v>7294</v>
      </c>
    </row>
    <row r="13" customFormat="false" ht="12.75" hidden="false" customHeight="false" outlineLevel="0" collapsed="false">
      <c r="A13" s="0" t="s">
        <v>13</v>
      </c>
      <c r="B13" s="0" t="n">
        <v>2</v>
      </c>
      <c r="C13" s="0" t="n">
        <v>7375</v>
      </c>
    </row>
    <row r="14" customFormat="false" ht="12.75" hidden="false" customHeight="false" outlineLevel="0" collapsed="false">
      <c r="A14" s="0" t="s">
        <v>14</v>
      </c>
      <c r="B14" s="0" t="n">
        <v>130</v>
      </c>
      <c r="C14" s="0" t="n">
        <v>7265</v>
      </c>
    </row>
    <row r="15" customFormat="false" ht="12.75" hidden="false" customHeight="false" outlineLevel="0" collapsed="false">
      <c r="A15" s="0" t="s">
        <v>15</v>
      </c>
      <c r="B15" s="0" t="n">
        <v>195</v>
      </c>
      <c r="C15" s="0" t="n">
        <v>7080</v>
      </c>
    </row>
    <row r="16" customFormat="false" ht="12.75" hidden="false" customHeight="false" outlineLevel="0" collapsed="false">
      <c r="A16" s="0" t="s">
        <v>16</v>
      </c>
      <c r="B16" s="0" t="n">
        <v>3</v>
      </c>
      <c r="C16" s="0" t="n">
        <v>7092</v>
      </c>
    </row>
    <row r="17" customFormat="false" ht="12.75" hidden="false" customHeight="false" outlineLevel="0" collapsed="false">
      <c r="A17" s="0" t="s">
        <v>17</v>
      </c>
      <c r="B17" s="0" t="n">
        <v>17</v>
      </c>
      <c r="C17" s="0" t="n">
        <v>7125</v>
      </c>
    </row>
    <row r="18" customFormat="false" ht="12.75" hidden="false" customHeight="false" outlineLevel="0" collapsed="false">
      <c r="A18" s="0" t="s">
        <v>18</v>
      </c>
      <c r="B18" s="0" t="n">
        <v>211</v>
      </c>
      <c r="C18" s="0" t="n">
        <v>6932</v>
      </c>
    </row>
    <row r="19" customFormat="false" ht="12.75" hidden="false" customHeight="false" outlineLevel="0" collapsed="false">
      <c r="A19" s="0" t="s">
        <v>19</v>
      </c>
      <c r="B19" s="0" t="n">
        <v>668</v>
      </c>
      <c r="C19" s="0" t="n">
        <v>6275</v>
      </c>
    </row>
    <row r="20" customFormat="false" ht="12.75" hidden="false" customHeight="false" outlineLevel="0" collapsed="false">
      <c r="A20" s="0" t="s">
        <v>20</v>
      </c>
      <c r="B20" s="0" t="n">
        <v>3</v>
      </c>
      <c r="C20" s="0" t="n">
        <v>6282</v>
      </c>
    </row>
    <row r="21" customFormat="false" ht="12.75" hidden="false" customHeight="false" outlineLevel="0" collapsed="false">
      <c r="A21" s="0" t="s">
        <v>21</v>
      </c>
      <c r="B21" s="0" t="n">
        <v>112</v>
      </c>
      <c r="C21" s="0" t="n">
        <v>6172</v>
      </c>
    </row>
    <row r="22" customFormat="false" ht="12.75" hidden="false" customHeight="false" outlineLevel="0" collapsed="false">
      <c r="A22" s="0" t="s">
        <v>22</v>
      </c>
      <c r="B22" s="0" t="n">
        <v>16</v>
      </c>
      <c r="C22" s="0" t="n">
        <v>6166</v>
      </c>
    </row>
    <row r="23" customFormat="false" ht="12.75" hidden="false" customHeight="false" outlineLevel="0" collapsed="false">
      <c r="A23" s="0" t="s">
        <v>23</v>
      </c>
      <c r="B23" s="0" t="n">
        <v>146</v>
      </c>
      <c r="C23" s="0" t="n">
        <v>6028</v>
      </c>
    </row>
    <row r="24" customFormat="false" ht="12.75" hidden="false" customHeight="false" outlineLevel="0" collapsed="false">
      <c r="A24" s="0" t="s">
        <v>24</v>
      </c>
      <c r="B24" s="0" t="n">
        <v>34</v>
      </c>
      <c r="C24" s="0" t="n">
        <v>6012</v>
      </c>
    </row>
    <row r="25" customFormat="false" ht="12.75" hidden="false" customHeight="false" outlineLevel="0" collapsed="false">
      <c r="A25" s="0" t="s">
        <v>25</v>
      </c>
      <c r="B25" s="0" t="n">
        <v>960</v>
      </c>
      <c r="C25" s="0" t="n">
        <v>5073</v>
      </c>
    </row>
    <row r="26" customFormat="false" ht="12.75" hidden="false" customHeight="false" outlineLevel="0" collapsed="false">
      <c r="A26" s="0" t="s">
        <v>26</v>
      </c>
      <c r="B26" s="0" t="n">
        <v>120</v>
      </c>
      <c r="C26" s="0" t="n">
        <v>5038</v>
      </c>
    </row>
    <row r="27" customFormat="false" ht="12.75" hidden="false" customHeight="false" outlineLevel="0" collapsed="false">
      <c r="A27" s="0" t="s">
        <v>27</v>
      </c>
      <c r="B27" s="0" t="n">
        <v>1</v>
      </c>
      <c r="C27" s="0" t="n">
        <v>5059</v>
      </c>
    </row>
    <row r="28" customFormat="false" ht="12.75" hidden="false" customHeight="false" outlineLevel="0" collapsed="false">
      <c r="A28" s="0" t="s">
        <v>28</v>
      </c>
      <c r="B28" s="0" t="n">
        <v>26</v>
      </c>
      <c r="C28" s="0" t="n">
        <v>5059</v>
      </c>
    </row>
    <row r="29" customFormat="false" ht="12.75" hidden="false" customHeight="false" outlineLevel="0" collapsed="false">
      <c r="A29" s="0" t="s">
        <v>29</v>
      </c>
      <c r="B29" s="0" t="n">
        <v>1</v>
      </c>
      <c r="C29" s="0" t="n">
        <v>5073</v>
      </c>
    </row>
    <row r="30" customFormat="false" ht="12.75" hidden="false" customHeight="false" outlineLevel="0" collapsed="false">
      <c r="A30" s="0" t="s">
        <v>30</v>
      </c>
      <c r="B30" s="0" t="n">
        <v>3</v>
      </c>
      <c r="C30" s="0" t="n">
        <v>5079</v>
      </c>
    </row>
    <row r="31" customFormat="false" ht="12.75" hidden="false" customHeight="false" outlineLevel="0" collapsed="false">
      <c r="A31" s="0" t="s">
        <v>31</v>
      </c>
      <c r="B31" s="0" t="n">
        <v>24</v>
      </c>
      <c r="C31" s="0" t="n">
        <v>5062</v>
      </c>
    </row>
    <row r="32" customFormat="false" ht="12.75" hidden="false" customHeight="false" outlineLevel="0" collapsed="false">
      <c r="A32" s="0" t="s">
        <v>32</v>
      </c>
      <c r="B32" s="0" t="n">
        <v>9</v>
      </c>
      <c r="C32" s="0" t="n">
        <v>5069</v>
      </c>
    </row>
    <row r="33" customFormat="false" ht="12.75" hidden="false" customHeight="false" outlineLevel="0" collapsed="false">
      <c r="A33" s="0" t="s">
        <v>33</v>
      </c>
      <c r="B33" s="0" t="n">
        <v>114</v>
      </c>
      <c r="C33" s="0" t="n">
        <v>4957</v>
      </c>
    </row>
    <row r="34" customFormat="false" ht="12.75" hidden="false" customHeight="false" outlineLevel="0" collapsed="false">
      <c r="A34" s="0" t="s">
        <v>34</v>
      </c>
      <c r="B34" s="0" t="n">
        <v>138</v>
      </c>
      <c r="C34" s="0" t="n">
        <v>4843</v>
      </c>
    </row>
    <row r="35" customFormat="false" ht="12.75" hidden="false" customHeight="false" outlineLevel="0" collapsed="false">
      <c r="A35" s="0" t="s">
        <v>35</v>
      </c>
      <c r="B35" s="0" t="n">
        <v>2</v>
      </c>
      <c r="C35" s="0" t="n">
        <v>4847</v>
      </c>
    </row>
    <row r="36" customFormat="false" ht="12.75" hidden="false" customHeight="false" outlineLevel="0" collapsed="false">
      <c r="A36" s="0" t="s">
        <v>36</v>
      </c>
      <c r="B36" s="0" t="n">
        <v>258</v>
      </c>
      <c r="C36" s="0" t="n">
        <v>4630</v>
      </c>
    </row>
    <row r="37" customFormat="false" ht="12.75" hidden="false" customHeight="false" outlineLevel="0" collapsed="false">
      <c r="A37" s="0" t="s">
        <v>37</v>
      </c>
      <c r="B37" s="0" t="n">
        <v>132</v>
      </c>
      <c r="C37" s="0" t="n">
        <v>4509</v>
      </c>
    </row>
    <row r="38" customFormat="false" ht="12.75" hidden="false" customHeight="false" outlineLevel="0" collapsed="false">
      <c r="A38" s="0" t="s">
        <v>38</v>
      </c>
      <c r="B38" s="0" t="n">
        <v>2</v>
      </c>
      <c r="C38" s="0" t="n">
        <v>4508</v>
      </c>
    </row>
    <row r="39" customFormat="false" ht="12.75" hidden="false" customHeight="false" outlineLevel="0" collapsed="false">
      <c r="A39" s="0" t="s">
        <v>39</v>
      </c>
      <c r="B39" s="0" t="n">
        <v>43</v>
      </c>
      <c r="C39" s="0" t="n">
        <v>4498</v>
      </c>
    </row>
    <row r="40" customFormat="false" ht="12.75" hidden="false" customHeight="false" outlineLevel="0" collapsed="false">
      <c r="A40" s="0" t="s">
        <v>40</v>
      </c>
      <c r="B40" s="0" t="n">
        <v>6</v>
      </c>
      <c r="C40" s="0" t="n">
        <v>4502</v>
      </c>
    </row>
    <row r="41" customFormat="false" ht="12.75" hidden="false" customHeight="false" outlineLevel="0" collapsed="false">
      <c r="A41" s="0" t="s">
        <v>41</v>
      </c>
      <c r="B41" s="0" t="n">
        <v>209</v>
      </c>
      <c r="C41" s="0" t="n">
        <v>4341</v>
      </c>
    </row>
    <row r="42" customFormat="false" ht="12.75" hidden="false" customHeight="false" outlineLevel="0" collapsed="false">
      <c r="A42" s="0" t="s">
        <v>42</v>
      </c>
      <c r="B42" s="0" t="n">
        <v>8</v>
      </c>
      <c r="C42" s="0" t="n">
        <v>4366</v>
      </c>
    </row>
    <row r="43" customFormat="false" ht="12.75" hidden="false" customHeight="false" outlineLevel="0" collapsed="false">
      <c r="A43" s="0" t="s">
        <v>43</v>
      </c>
      <c r="B43" s="3" t="n">
        <v>1183</v>
      </c>
      <c r="C43" s="0" t="n">
        <v>3184</v>
      </c>
    </row>
    <row r="44" customFormat="false" ht="12.75" hidden="false" customHeight="false" outlineLevel="0" collapsed="false">
      <c r="A44" s="0" t="s">
        <v>44</v>
      </c>
      <c r="B44" s="0" t="n">
        <v>251</v>
      </c>
      <c r="C44" s="0" t="n">
        <v>2933</v>
      </c>
    </row>
    <row r="45" customFormat="false" ht="12.75" hidden="false" customHeight="false" outlineLevel="0" collapsed="false">
      <c r="A45" s="0" t="s">
        <v>45</v>
      </c>
      <c r="B45" s="0" t="n">
        <v>8</v>
      </c>
      <c r="C45" s="0" t="n">
        <v>2927</v>
      </c>
    </row>
    <row r="46" customFormat="false" ht="12.75" hidden="false" customHeight="false" outlineLevel="0" collapsed="false">
      <c r="A46" s="0" t="s">
        <v>46</v>
      </c>
      <c r="B46" s="0" t="n">
        <v>2</v>
      </c>
      <c r="C46" s="0" t="n">
        <v>2952</v>
      </c>
    </row>
    <row r="47" customFormat="false" ht="12.75" hidden="false" customHeight="false" outlineLevel="0" collapsed="false">
      <c r="A47" s="0" t="s">
        <v>47</v>
      </c>
      <c r="B47" s="0" t="n">
        <v>130</v>
      </c>
      <c r="C47" s="0" t="n">
        <v>2968</v>
      </c>
    </row>
    <row r="48" customFormat="false" ht="12.75" hidden="false" customHeight="false" outlineLevel="0" collapsed="false">
      <c r="A48" s="0" t="s">
        <v>48</v>
      </c>
      <c r="B48" s="0" t="n">
        <v>43</v>
      </c>
      <c r="C48" s="0" t="n">
        <v>2945</v>
      </c>
    </row>
    <row r="49" customFormat="false" ht="12.75" hidden="false" customHeight="false" outlineLevel="0" collapsed="false">
      <c r="A49" s="0" t="s">
        <v>49</v>
      </c>
      <c r="B49" s="0" t="n">
        <v>12</v>
      </c>
      <c r="C49" s="0" t="n">
        <v>2936</v>
      </c>
    </row>
    <row r="50" customFormat="false" ht="12.75" hidden="false" customHeight="false" outlineLevel="0" collapsed="false">
      <c r="A50" s="0" t="s">
        <v>50</v>
      </c>
      <c r="B50" s="0" t="n">
        <v>40</v>
      </c>
      <c r="C50" s="0" t="n">
        <v>2900</v>
      </c>
    </row>
    <row r="51" customFormat="false" ht="12.75" hidden="false" customHeight="false" outlineLevel="0" collapsed="false">
      <c r="A51" s="0" t="s">
        <v>51</v>
      </c>
      <c r="B51" s="0" t="n">
        <v>2</v>
      </c>
      <c r="C51" s="0" t="n">
        <v>3012</v>
      </c>
    </row>
    <row r="52" customFormat="false" ht="12.75" hidden="false" customHeight="false" outlineLevel="0" collapsed="false">
      <c r="C52" s="0" t="n">
        <v>3014</v>
      </c>
    </row>
    <row r="53" customFormat="false" ht="12.75" hidden="false" customHeight="false" outlineLevel="0" collapsed="false">
      <c r="C53" s="0" t="n">
        <v>3035</v>
      </c>
    </row>
    <row r="54" customFormat="false" ht="12.75" hidden="false" customHeight="false" outlineLevel="0" collapsed="false">
      <c r="A54" s="0" t="s">
        <v>118</v>
      </c>
      <c r="B54" s="3" t="n">
        <v>1798</v>
      </c>
      <c r="C54" s="0" t="n">
        <v>1242</v>
      </c>
      <c r="D54" s="0" t="n">
        <f aca="false">SUM(B55:B105)</f>
        <v>1242</v>
      </c>
    </row>
    <row r="55" customFormat="false" ht="12.75" hidden="false" customHeight="false" outlineLevel="0" collapsed="false">
      <c r="A55" s="0" t="s">
        <v>1</v>
      </c>
      <c r="B55" s="0" t="n">
        <v>9</v>
      </c>
      <c r="C55" s="0" t="n">
        <v>1233</v>
      </c>
    </row>
    <row r="56" customFormat="false" ht="12.75" hidden="false" customHeight="false" outlineLevel="0" collapsed="false">
      <c r="A56" s="0" t="s">
        <v>3</v>
      </c>
      <c r="B56" s="0" t="n">
        <v>39</v>
      </c>
      <c r="C56" s="0" t="n">
        <v>1194</v>
      </c>
    </row>
    <row r="57" customFormat="false" ht="12.75" hidden="false" customHeight="false" outlineLevel="0" collapsed="false">
      <c r="A57" s="0" t="s">
        <v>4</v>
      </c>
      <c r="B57" s="0" t="n">
        <v>24</v>
      </c>
      <c r="C57" s="0" t="n">
        <v>12065</v>
      </c>
    </row>
    <row r="58" customFormat="false" ht="12.75" hidden="false" customHeight="false" outlineLevel="0" collapsed="false">
      <c r="A58" s="0" t="s">
        <v>5</v>
      </c>
      <c r="B58" s="0" t="n">
        <v>101</v>
      </c>
      <c r="C58" s="0" t="n">
        <v>11991</v>
      </c>
    </row>
    <row r="59" customFormat="false" ht="12.75" hidden="false" customHeight="false" outlineLevel="0" collapsed="false">
      <c r="A59" s="0" t="s">
        <v>6</v>
      </c>
      <c r="B59" s="0" t="n">
        <v>43</v>
      </c>
      <c r="C59" s="0" t="n">
        <v>11985</v>
      </c>
    </row>
    <row r="60" customFormat="false" ht="12.75" hidden="false" customHeight="false" outlineLevel="0" collapsed="false">
      <c r="A60" s="0" t="s">
        <v>7</v>
      </c>
      <c r="B60" s="0" t="n">
        <v>13</v>
      </c>
      <c r="C60" s="0" t="n">
        <v>12009</v>
      </c>
    </row>
    <row r="61" customFormat="false" ht="12.75" hidden="false" customHeight="false" outlineLevel="0" collapsed="false">
      <c r="A61" s="0" t="s">
        <v>8</v>
      </c>
      <c r="B61" s="0" t="n">
        <v>2</v>
      </c>
      <c r="C61" s="0" t="n">
        <v>15839</v>
      </c>
    </row>
    <row r="62" customFormat="false" ht="12.75" hidden="false" customHeight="false" outlineLevel="0" collapsed="false">
      <c r="A62" s="0" t="s">
        <v>9</v>
      </c>
      <c r="B62" s="0" t="n">
        <v>1</v>
      </c>
      <c r="C62" s="0" t="n">
        <v>16370</v>
      </c>
    </row>
    <row r="63" customFormat="false" ht="12.75" hidden="false" customHeight="false" outlineLevel="0" collapsed="false">
      <c r="A63" s="0" t="s">
        <v>10</v>
      </c>
      <c r="B63" s="0" t="n">
        <v>83</v>
      </c>
      <c r="C63" s="0" t="n">
        <v>16332</v>
      </c>
    </row>
    <row r="64" customFormat="false" ht="12.75" hidden="false" customHeight="false" outlineLevel="0" collapsed="false">
      <c r="A64" s="0" t="s">
        <v>11</v>
      </c>
      <c r="B64" s="0" t="n">
        <v>20</v>
      </c>
      <c r="C64" s="0" t="n">
        <v>16314</v>
      </c>
    </row>
    <row r="65" customFormat="false" ht="12.75" hidden="false" customHeight="false" outlineLevel="0" collapsed="false">
      <c r="A65" s="0" t="s">
        <v>12</v>
      </c>
      <c r="B65" s="0" t="n">
        <v>10</v>
      </c>
      <c r="C65" s="0" t="n">
        <v>16315</v>
      </c>
    </row>
    <row r="66" customFormat="false" ht="12.75" hidden="false" customHeight="false" outlineLevel="0" collapsed="false">
      <c r="A66" s="0" t="s">
        <v>13</v>
      </c>
      <c r="B66" s="0" t="n">
        <v>15</v>
      </c>
      <c r="C66" s="0" t="n">
        <v>16418</v>
      </c>
    </row>
    <row r="67" customFormat="false" ht="12.75" hidden="false" customHeight="false" outlineLevel="0" collapsed="false">
      <c r="A67" s="0" t="s">
        <v>14</v>
      </c>
      <c r="B67" s="0" t="n">
        <v>50</v>
      </c>
      <c r="C67" s="0" t="n">
        <v>16401</v>
      </c>
    </row>
    <row r="68" customFormat="false" ht="12.75" hidden="false" customHeight="false" outlineLevel="0" collapsed="false">
      <c r="A68" s="0" t="s">
        <v>15</v>
      </c>
      <c r="B68" s="0" t="n">
        <v>18</v>
      </c>
      <c r="C68" s="0" t="n">
        <v>16393</v>
      </c>
    </row>
    <row r="69" customFormat="false" ht="12.75" hidden="false" customHeight="false" outlineLevel="0" collapsed="false">
      <c r="A69" s="0" t="s">
        <v>16</v>
      </c>
      <c r="B69" s="0" t="n">
        <v>11</v>
      </c>
      <c r="C69" s="0" t="n">
        <v>16451</v>
      </c>
    </row>
    <row r="70" customFormat="false" ht="12.75" hidden="false" customHeight="false" outlineLevel="0" collapsed="false">
      <c r="A70" s="0" t="s">
        <v>17</v>
      </c>
      <c r="B70" s="0" t="n">
        <v>10</v>
      </c>
      <c r="C70" s="0" t="n">
        <v>16890</v>
      </c>
    </row>
    <row r="71" customFormat="false" ht="12.75" hidden="false" customHeight="false" outlineLevel="0" collapsed="false">
      <c r="A71" s="0" t="s">
        <v>18</v>
      </c>
      <c r="B71" s="0" t="n">
        <v>2</v>
      </c>
      <c r="C71" s="0" t="n">
        <v>16998</v>
      </c>
    </row>
    <row r="72" customFormat="false" ht="12.75" hidden="false" customHeight="false" outlineLevel="0" collapsed="false">
      <c r="A72" s="0" t="s">
        <v>19</v>
      </c>
      <c r="B72" s="0" t="n">
        <v>10</v>
      </c>
      <c r="C72" s="0" t="n">
        <v>17076</v>
      </c>
    </row>
    <row r="73" customFormat="false" ht="12.75" hidden="false" customHeight="false" outlineLevel="0" collapsed="false">
      <c r="A73" s="0" t="s">
        <v>20</v>
      </c>
      <c r="B73" s="0" t="n">
        <v>8</v>
      </c>
      <c r="C73" s="0" t="n">
        <v>17174</v>
      </c>
    </row>
    <row r="74" customFormat="false" ht="12.75" hidden="false" customHeight="false" outlineLevel="0" collapsed="false">
      <c r="A74" s="0" t="s">
        <v>21</v>
      </c>
      <c r="B74" s="0" t="n">
        <v>18</v>
      </c>
      <c r="C74" s="0" t="n">
        <v>17206</v>
      </c>
    </row>
    <row r="75" customFormat="false" ht="12.75" hidden="false" customHeight="false" outlineLevel="0" collapsed="false">
      <c r="A75" s="0" t="s">
        <v>22</v>
      </c>
      <c r="B75" s="0" t="n">
        <v>21</v>
      </c>
      <c r="C75" s="0" t="n">
        <v>17213</v>
      </c>
    </row>
    <row r="76" customFormat="false" ht="12.75" hidden="false" customHeight="false" outlineLevel="0" collapsed="false">
      <c r="A76" s="0" t="s">
        <v>23</v>
      </c>
      <c r="B76" s="0" t="n">
        <v>85</v>
      </c>
      <c r="C76" s="0" t="n">
        <v>17138</v>
      </c>
    </row>
    <row r="77" customFormat="false" ht="12.75" hidden="false" customHeight="false" outlineLevel="0" collapsed="false">
      <c r="A77" s="0" t="s">
        <v>24</v>
      </c>
      <c r="B77" s="0" t="n">
        <v>22</v>
      </c>
      <c r="C77" s="0" t="n">
        <v>17209</v>
      </c>
    </row>
    <row r="78" customFormat="false" ht="12.75" hidden="false" customHeight="false" outlineLevel="0" collapsed="false">
      <c r="A78" s="0" t="s">
        <v>25</v>
      </c>
      <c r="B78" s="0" t="n">
        <v>26</v>
      </c>
      <c r="C78" s="0" t="n">
        <v>17263</v>
      </c>
    </row>
    <row r="79" customFormat="false" ht="12.75" hidden="false" customHeight="false" outlineLevel="0" collapsed="false">
      <c r="A79" s="0" t="s">
        <v>26</v>
      </c>
      <c r="B79" s="0" t="n">
        <v>15</v>
      </c>
      <c r="C79" s="0" t="n">
        <v>17468</v>
      </c>
    </row>
    <row r="80" customFormat="false" ht="12.75" hidden="false" customHeight="false" outlineLevel="0" collapsed="false">
      <c r="A80" s="0" t="s">
        <v>27</v>
      </c>
      <c r="B80" s="0" t="n">
        <v>9</v>
      </c>
      <c r="C80" s="0" t="n">
        <v>17667</v>
      </c>
    </row>
    <row r="81" customFormat="false" ht="12.75" hidden="false" customHeight="false" outlineLevel="0" collapsed="false">
      <c r="A81" s="0" t="s">
        <v>28</v>
      </c>
      <c r="B81" s="0" t="n">
        <v>7</v>
      </c>
      <c r="C81" s="0" t="n">
        <v>17679</v>
      </c>
    </row>
    <row r="82" customFormat="false" ht="12.75" hidden="false" customHeight="false" outlineLevel="0" collapsed="false">
      <c r="A82" s="0" t="s">
        <v>29</v>
      </c>
      <c r="B82" s="0" t="n">
        <v>16</v>
      </c>
      <c r="C82" s="0" t="n">
        <v>17776</v>
      </c>
    </row>
    <row r="83" customFormat="false" ht="12.75" hidden="false" customHeight="false" outlineLevel="0" collapsed="false">
      <c r="A83" s="0" t="s">
        <v>30</v>
      </c>
      <c r="B83" s="0" t="n">
        <v>2</v>
      </c>
      <c r="C83" s="0" t="n">
        <v>17836</v>
      </c>
    </row>
    <row r="84" customFormat="false" ht="12.75" hidden="false" customHeight="false" outlineLevel="0" collapsed="false">
      <c r="A84" s="0" t="s">
        <v>31</v>
      </c>
      <c r="B84" s="0" t="n">
        <v>24</v>
      </c>
      <c r="C84" s="0" t="n">
        <v>17897</v>
      </c>
    </row>
    <row r="85" customFormat="false" ht="12.75" hidden="false" customHeight="false" outlineLevel="0" collapsed="false">
      <c r="A85" s="0" t="s">
        <v>32</v>
      </c>
      <c r="B85" s="0" t="n">
        <v>6</v>
      </c>
      <c r="C85" s="0" t="n">
        <v>18341</v>
      </c>
    </row>
    <row r="86" customFormat="false" ht="12.75" hidden="false" customHeight="false" outlineLevel="0" collapsed="false">
      <c r="A86" s="0" t="s">
        <v>33</v>
      </c>
      <c r="B86" s="0" t="n">
        <v>41</v>
      </c>
      <c r="C86" s="0" t="n">
        <v>18317</v>
      </c>
    </row>
    <row r="87" customFormat="false" ht="12.75" hidden="false" customHeight="false" outlineLevel="0" collapsed="false">
      <c r="A87" s="0" t="s">
        <v>34</v>
      </c>
      <c r="B87" s="0" t="n">
        <v>11</v>
      </c>
      <c r="C87" s="0" t="n">
        <v>18467</v>
      </c>
    </row>
    <row r="88" customFormat="false" ht="12.75" hidden="false" customHeight="false" outlineLevel="0" collapsed="false">
      <c r="A88" s="0" t="s">
        <v>35</v>
      </c>
      <c r="B88" s="0" t="n">
        <v>1</v>
      </c>
      <c r="C88" s="0" t="n">
        <v>19264</v>
      </c>
    </row>
    <row r="89" customFormat="false" ht="12.75" hidden="false" customHeight="false" outlineLevel="0" collapsed="false">
      <c r="A89" s="0" t="s">
        <v>36</v>
      </c>
      <c r="B89" s="0" t="n">
        <v>33</v>
      </c>
      <c r="C89" s="0" t="n">
        <v>19420</v>
      </c>
    </row>
    <row r="90" customFormat="false" ht="12.75" hidden="false" customHeight="false" outlineLevel="0" collapsed="false">
      <c r="A90" s="0" t="s">
        <v>37</v>
      </c>
      <c r="B90" s="0" t="n">
        <v>10</v>
      </c>
      <c r="C90" s="0" t="n">
        <v>19451</v>
      </c>
    </row>
    <row r="91" customFormat="false" ht="12.75" hidden="false" customHeight="false" outlineLevel="0" collapsed="false">
      <c r="A91" s="0" t="s">
        <v>38</v>
      </c>
      <c r="B91" s="0" t="n">
        <v>48</v>
      </c>
      <c r="C91" s="0" t="n">
        <v>19436</v>
      </c>
    </row>
    <row r="92" customFormat="false" ht="12.75" hidden="false" customHeight="false" outlineLevel="0" collapsed="false">
      <c r="A92" s="0" t="s">
        <v>39</v>
      </c>
      <c r="B92" s="0" t="n">
        <v>33</v>
      </c>
      <c r="C92" s="0" t="n">
        <v>19540</v>
      </c>
    </row>
    <row r="93" customFormat="false" ht="12.75" hidden="false" customHeight="false" outlineLevel="0" collapsed="false">
      <c r="A93" s="0" t="s">
        <v>40</v>
      </c>
      <c r="B93" s="0" t="n">
        <v>1</v>
      </c>
      <c r="C93" s="0" t="n">
        <v>19600</v>
      </c>
    </row>
    <row r="94" customFormat="false" ht="12.75" hidden="false" customHeight="false" outlineLevel="0" collapsed="false">
      <c r="A94" s="0" t="s">
        <v>41</v>
      </c>
      <c r="B94" s="0" t="s">
        <v>156</v>
      </c>
      <c r="C94" s="0" t="n">
        <v>19891</v>
      </c>
    </row>
    <row r="95" customFormat="false" ht="12.75" hidden="false" customHeight="false" outlineLevel="0" collapsed="false">
      <c r="A95" s="0" t="s">
        <v>42</v>
      </c>
      <c r="B95" s="0" t="n">
        <v>2</v>
      </c>
      <c r="C95" s="0" t="n">
        <v>20069</v>
      </c>
    </row>
    <row r="96" customFormat="false" ht="12.75" hidden="false" customHeight="false" outlineLevel="0" collapsed="false">
      <c r="A96" s="0" t="s">
        <v>43</v>
      </c>
      <c r="B96" s="0" t="n">
        <v>27</v>
      </c>
      <c r="C96" s="0" t="n">
        <v>20055</v>
      </c>
    </row>
    <row r="97" customFormat="false" ht="12.75" hidden="false" customHeight="false" outlineLevel="0" collapsed="false">
      <c r="A97" s="0" t="s">
        <v>44</v>
      </c>
      <c r="B97" s="0" t="n">
        <v>146</v>
      </c>
      <c r="C97" s="0" t="n">
        <v>19922</v>
      </c>
    </row>
    <row r="98" customFormat="false" ht="12.75" hidden="false" customHeight="false" outlineLevel="0" collapsed="false">
      <c r="A98" s="0" t="s">
        <v>45</v>
      </c>
      <c r="B98" s="0" t="n">
        <v>20</v>
      </c>
      <c r="C98" s="0" t="n">
        <v>19938</v>
      </c>
    </row>
    <row r="99" customFormat="false" ht="12.75" hidden="false" customHeight="false" outlineLevel="0" collapsed="false">
      <c r="A99" s="0" t="s">
        <v>46</v>
      </c>
      <c r="B99" s="0" t="n">
        <v>3</v>
      </c>
      <c r="C99" s="0" t="n">
        <v>19993</v>
      </c>
    </row>
    <row r="100" customFormat="false" ht="12.75" hidden="false" customHeight="false" outlineLevel="0" collapsed="false">
      <c r="A100" s="0" t="s">
        <v>47</v>
      </c>
      <c r="B100" s="0" t="n">
        <v>4</v>
      </c>
      <c r="C100" s="0" t="n">
        <v>20540</v>
      </c>
    </row>
    <row r="101" customFormat="false" ht="12.75" hidden="false" customHeight="false" outlineLevel="0" collapsed="false">
      <c r="A101" s="0" t="s">
        <v>48</v>
      </c>
      <c r="B101" s="0" t="n">
        <v>114</v>
      </c>
      <c r="C101" s="0" t="n">
        <v>20873</v>
      </c>
    </row>
    <row r="102" customFormat="false" ht="12.75" hidden="false" customHeight="false" outlineLevel="0" collapsed="false">
      <c r="A102" s="0" t="s">
        <v>49</v>
      </c>
      <c r="B102" s="0" t="n">
        <v>2</v>
      </c>
      <c r="C102" s="0" t="n">
        <v>20878</v>
      </c>
    </row>
    <row r="103" customFormat="false" ht="12.75" hidden="false" customHeight="false" outlineLevel="0" collapsed="false">
      <c r="A103" s="0" t="s">
        <v>50</v>
      </c>
      <c r="B103" s="0" t="n">
        <v>21</v>
      </c>
      <c r="C103" s="0" t="n">
        <v>20978</v>
      </c>
    </row>
    <row r="104" customFormat="false" ht="12.75" hidden="false" customHeight="false" outlineLevel="0" collapsed="false">
      <c r="A104" s="0" t="s">
        <v>51</v>
      </c>
      <c r="B104" s="0" t="n">
        <v>5</v>
      </c>
      <c r="C104" s="0" t="n">
        <v>21136</v>
      </c>
    </row>
    <row r="105" customFormat="false" ht="12.75" hidden="false" customHeight="false" outlineLevel="0" collapsed="false">
      <c r="C105" s="0" t="n">
        <v>21141</v>
      </c>
    </row>
    <row r="106" customFormat="false" ht="12.75" hidden="false" customHeight="false" outlineLevel="0" collapsed="false">
      <c r="C106" s="0" t="n">
        <v>21317</v>
      </c>
    </row>
    <row r="107" customFormat="false" ht="12.75" hidden="false" customHeight="false" outlineLevel="0" collapsed="false">
      <c r="A107" s="0" t="s">
        <v>119</v>
      </c>
      <c r="B107" s="3" t="n">
        <v>10895</v>
      </c>
      <c r="C107" s="0" t="n">
        <v>10450</v>
      </c>
      <c r="D107" s="0" t="n">
        <f aca="false">SUM(B108:B158)</f>
        <v>10450</v>
      </c>
    </row>
    <row r="108" customFormat="false" ht="12.75" hidden="false" customHeight="false" outlineLevel="0" collapsed="false">
      <c r="A108" s="0" t="s">
        <v>1</v>
      </c>
      <c r="B108" s="0" t="n">
        <v>27</v>
      </c>
      <c r="C108" s="0" t="n">
        <v>10423</v>
      </c>
    </row>
    <row r="109" customFormat="false" ht="12.75" hidden="false" customHeight="false" outlineLevel="0" collapsed="false">
      <c r="A109" s="0" t="s">
        <v>2</v>
      </c>
      <c r="B109" s="0" t="n">
        <v>37</v>
      </c>
      <c r="C109" s="0" t="n">
        <v>10386</v>
      </c>
    </row>
    <row r="110" customFormat="false" ht="12.75" hidden="false" customHeight="false" outlineLevel="0" collapsed="false">
      <c r="A110" s="0" t="s">
        <v>4</v>
      </c>
      <c r="B110" s="0" t="n">
        <v>37</v>
      </c>
      <c r="C110" s="0" t="n">
        <v>14834</v>
      </c>
    </row>
    <row r="111" customFormat="false" ht="12.75" hidden="false" customHeight="false" outlineLevel="0" collapsed="false">
      <c r="A111" s="0" t="s">
        <v>5</v>
      </c>
      <c r="B111" s="3" t="n">
        <v>3832</v>
      </c>
      <c r="C111" s="0" t="n">
        <v>11057</v>
      </c>
    </row>
    <row r="112" customFormat="false" ht="12.75" hidden="false" customHeight="false" outlineLevel="0" collapsed="false">
      <c r="A112" s="0" t="s">
        <v>6</v>
      </c>
      <c r="B112" s="0" t="n">
        <v>532</v>
      </c>
      <c r="C112" s="0" t="n">
        <v>10535</v>
      </c>
    </row>
    <row r="113" customFormat="false" ht="12.75" hidden="false" customHeight="false" outlineLevel="0" collapsed="false">
      <c r="A113" s="0" t="s">
        <v>7</v>
      </c>
      <c r="B113" s="0" t="n">
        <v>45</v>
      </c>
      <c r="C113" s="0" t="n">
        <v>10505</v>
      </c>
    </row>
    <row r="114" customFormat="false" ht="12.75" hidden="false" customHeight="false" outlineLevel="0" collapsed="false">
      <c r="A114" s="0" t="s">
        <v>8</v>
      </c>
      <c r="B114" s="0" t="n">
        <v>2</v>
      </c>
      <c r="C114" s="0" t="n">
        <v>10729</v>
      </c>
    </row>
    <row r="115" customFormat="false" ht="12.75" hidden="false" customHeight="false" outlineLevel="0" collapsed="false">
      <c r="A115" s="0" t="s">
        <v>9</v>
      </c>
      <c r="B115" s="0" t="n">
        <v>11</v>
      </c>
      <c r="C115" s="0" t="n">
        <v>10739</v>
      </c>
    </row>
    <row r="116" customFormat="false" ht="12.75" hidden="false" customHeight="false" outlineLevel="0" collapsed="false">
      <c r="A116" s="0" t="s">
        <v>10</v>
      </c>
      <c r="B116" s="0" t="n">
        <v>118</v>
      </c>
      <c r="C116" s="0" t="n">
        <v>10633</v>
      </c>
    </row>
    <row r="117" customFormat="false" ht="12.75" hidden="false" customHeight="false" outlineLevel="0" collapsed="false">
      <c r="A117" s="0" t="s">
        <v>11</v>
      </c>
      <c r="B117" s="0" t="n">
        <v>33</v>
      </c>
      <c r="C117" s="0" t="n">
        <v>10602</v>
      </c>
    </row>
    <row r="118" customFormat="false" ht="12.75" hidden="false" customHeight="false" outlineLevel="0" collapsed="false">
      <c r="A118" s="0" t="s">
        <v>12</v>
      </c>
      <c r="B118" s="0" t="n">
        <v>10</v>
      </c>
      <c r="C118" s="0" t="n">
        <v>10599</v>
      </c>
    </row>
    <row r="119" customFormat="false" ht="12.75" hidden="false" customHeight="false" outlineLevel="0" collapsed="false">
      <c r="A119" s="0" t="s">
        <v>13</v>
      </c>
      <c r="B119" s="0" t="n">
        <v>69</v>
      </c>
      <c r="C119" s="0" t="n">
        <v>10761</v>
      </c>
    </row>
    <row r="120" customFormat="false" ht="12.75" hidden="false" customHeight="false" outlineLevel="0" collapsed="false">
      <c r="A120" s="0" t="s">
        <v>14</v>
      </c>
      <c r="B120" s="0" t="n">
        <v>449</v>
      </c>
      <c r="C120" s="0" t="n">
        <v>10349</v>
      </c>
    </row>
    <row r="121" customFormat="false" ht="12.75" hidden="false" customHeight="false" outlineLevel="0" collapsed="false">
      <c r="A121" s="0" t="s">
        <v>15</v>
      </c>
      <c r="B121" s="0" t="n">
        <v>110</v>
      </c>
      <c r="C121" s="0" t="n">
        <v>10241</v>
      </c>
    </row>
    <row r="122" customFormat="false" ht="12.75" hidden="false" customHeight="false" outlineLevel="0" collapsed="false">
      <c r="A122" s="0" t="s">
        <v>16</v>
      </c>
      <c r="B122" s="0" t="n">
        <v>88</v>
      </c>
      <c r="C122" s="0" t="n">
        <v>10160</v>
      </c>
    </row>
    <row r="123" customFormat="false" ht="12.75" hidden="false" customHeight="false" outlineLevel="0" collapsed="false">
      <c r="A123" s="0" t="s">
        <v>17</v>
      </c>
      <c r="B123" s="0" t="n">
        <v>106</v>
      </c>
      <c r="C123" s="0" t="n">
        <v>10246</v>
      </c>
    </row>
    <row r="124" customFormat="false" ht="12.75" hidden="false" customHeight="false" outlineLevel="0" collapsed="false">
      <c r="A124" s="0" t="s">
        <v>18</v>
      </c>
      <c r="B124" s="0" t="n">
        <v>50</v>
      </c>
      <c r="C124" s="0" t="n">
        <v>10296</v>
      </c>
    </row>
    <row r="125" customFormat="false" ht="12.75" hidden="false" customHeight="false" outlineLevel="0" collapsed="false">
      <c r="A125" s="0" t="s">
        <v>19</v>
      </c>
      <c r="B125" s="0" t="n">
        <v>28</v>
      </c>
      <c r="C125" s="0" t="n">
        <v>10333</v>
      </c>
    </row>
    <row r="126" customFormat="false" ht="12.75" hidden="false" customHeight="false" outlineLevel="0" collapsed="false">
      <c r="A126" s="0" t="s">
        <v>20</v>
      </c>
      <c r="B126" s="0" t="n">
        <v>10</v>
      </c>
      <c r="C126" s="0" t="n">
        <v>10498</v>
      </c>
    </row>
    <row r="127" customFormat="false" ht="12.75" hidden="false" customHeight="false" outlineLevel="0" collapsed="false">
      <c r="A127" s="0" t="s">
        <v>21</v>
      </c>
      <c r="B127" s="0" t="n">
        <v>93</v>
      </c>
      <c r="C127" s="0" t="n">
        <v>10456</v>
      </c>
    </row>
    <row r="128" customFormat="false" ht="12.75" hidden="false" customHeight="false" outlineLevel="0" collapsed="false">
      <c r="A128" s="0" t="s">
        <v>22</v>
      </c>
      <c r="B128" s="0" t="n">
        <v>80</v>
      </c>
      <c r="C128" s="0" t="n">
        <v>10655</v>
      </c>
    </row>
    <row r="129" customFormat="false" ht="12.75" hidden="false" customHeight="false" outlineLevel="0" collapsed="false">
      <c r="A129" s="0" t="s">
        <v>23</v>
      </c>
      <c r="B129" s="0" t="n">
        <v>220</v>
      </c>
      <c r="C129" s="0" t="n">
        <v>10435</v>
      </c>
    </row>
    <row r="130" customFormat="false" ht="12.75" hidden="false" customHeight="false" outlineLevel="0" collapsed="false">
      <c r="A130" s="0" t="s">
        <v>24</v>
      </c>
      <c r="B130" s="0" t="n">
        <v>208</v>
      </c>
      <c r="C130" s="0" t="n">
        <v>10245</v>
      </c>
    </row>
    <row r="131" customFormat="false" ht="12.75" hidden="false" customHeight="false" outlineLevel="0" collapsed="false">
      <c r="A131" s="0" t="s">
        <v>25</v>
      </c>
      <c r="B131" s="0" t="n">
        <v>19</v>
      </c>
      <c r="C131" s="0" t="n">
        <v>10235</v>
      </c>
    </row>
    <row r="132" customFormat="false" ht="12.75" hidden="false" customHeight="false" outlineLevel="0" collapsed="false">
      <c r="A132" s="0" t="s">
        <v>26</v>
      </c>
      <c r="B132" s="0" t="n">
        <v>113</v>
      </c>
      <c r="C132" s="0" t="n">
        <v>10338</v>
      </c>
    </row>
    <row r="133" customFormat="false" ht="12.75" hidden="false" customHeight="false" outlineLevel="0" collapsed="false">
      <c r="A133" s="0" t="s">
        <v>27</v>
      </c>
      <c r="B133" s="0" t="n">
        <v>62</v>
      </c>
      <c r="C133" s="0" t="n">
        <v>10288</v>
      </c>
    </row>
    <row r="134" customFormat="false" ht="12.75" hidden="false" customHeight="false" outlineLevel="0" collapsed="false">
      <c r="A134" s="0" t="s">
        <v>28</v>
      </c>
      <c r="B134" s="0" t="n">
        <v>85</v>
      </c>
      <c r="C134" s="0" t="n">
        <v>10461</v>
      </c>
    </row>
    <row r="135" customFormat="false" ht="12.75" hidden="false" customHeight="false" outlineLevel="0" collapsed="false">
      <c r="A135" s="0" t="s">
        <v>29</v>
      </c>
      <c r="B135" s="0" t="n">
        <v>450</v>
      </c>
      <c r="C135" s="0" t="n">
        <v>10920</v>
      </c>
    </row>
    <row r="136" customFormat="false" ht="12.75" hidden="false" customHeight="false" outlineLevel="0" collapsed="false">
      <c r="A136" s="0" t="s">
        <v>30</v>
      </c>
      <c r="B136" s="0" t="n">
        <v>17</v>
      </c>
      <c r="C136" s="0" t="n">
        <v>10904</v>
      </c>
    </row>
    <row r="137" customFormat="false" ht="12.75" hidden="false" customHeight="false" outlineLevel="0" collapsed="false">
      <c r="A137" s="0" t="s">
        <v>31</v>
      </c>
      <c r="B137" s="0" t="n">
        <v>161</v>
      </c>
      <c r="C137" s="0" t="n">
        <v>10804</v>
      </c>
    </row>
    <row r="138" customFormat="false" ht="12.75" hidden="false" customHeight="false" outlineLevel="0" collapsed="false">
      <c r="A138" s="0" t="s">
        <v>32</v>
      </c>
      <c r="B138" s="0" t="n">
        <v>798</v>
      </c>
      <c r="C138" s="0" t="n">
        <v>10017</v>
      </c>
    </row>
    <row r="139" customFormat="false" ht="12.75" hidden="false" customHeight="false" outlineLevel="0" collapsed="false">
      <c r="A139" s="0" t="s">
        <v>33</v>
      </c>
      <c r="B139" s="0" t="n">
        <v>189</v>
      </c>
      <c r="C139" s="0" t="n">
        <v>9831</v>
      </c>
    </row>
    <row r="140" customFormat="false" ht="12.75" hidden="false" customHeight="false" outlineLevel="0" collapsed="false">
      <c r="A140" s="0" t="s">
        <v>34</v>
      </c>
      <c r="B140" s="0" t="n">
        <v>41</v>
      </c>
      <c r="C140" s="0" t="n">
        <v>9813</v>
      </c>
    </row>
    <row r="141" customFormat="false" ht="12.75" hidden="false" customHeight="false" outlineLevel="0" collapsed="false">
      <c r="A141" s="0" t="s">
        <v>35</v>
      </c>
      <c r="B141" s="0" t="n">
        <v>33</v>
      </c>
      <c r="C141" s="0" t="n">
        <v>9797</v>
      </c>
    </row>
    <row r="142" customFormat="false" ht="12.75" hidden="false" customHeight="false" outlineLevel="0" collapsed="false">
      <c r="A142" s="0" t="s">
        <v>36</v>
      </c>
      <c r="B142" s="0" t="n">
        <v>137</v>
      </c>
      <c r="C142" s="0" t="n">
        <v>9660</v>
      </c>
    </row>
    <row r="143" customFormat="false" ht="12.75" hidden="false" customHeight="false" outlineLevel="0" collapsed="false">
      <c r="A143" s="0" t="s">
        <v>37</v>
      </c>
      <c r="B143" s="0" t="n">
        <v>61</v>
      </c>
      <c r="C143" s="0" t="n">
        <v>9645</v>
      </c>
    </row>
    <row r="144" customFormat="false" ht="12.75" hidden="false" customHeight="false" outlineLevel="0" collapsed="false">
      <c r="A144" s="0" t="s">
        <v>38</v>
      </c>
      <c r="B144" s="0" t="n">
        <v>291</v>
      </c>
      <c r="C144" s="0" t="n">
        <v>9359</v>
      </c>
    </row>
    <row r="145" customFormat="false" ht="12.75" hidden="false" customHeight="false" outlineLevel="0" collapsed="false">
      <c r="A145" s="0" t="s">
        <v>39</v>
      </c>
      <c r="B145" s="0" t="n">
        <v>180</v>
      </c>
      <c r="C145" s="0" t="n">
        <v>9190</v>
      </c>
    </row>
    <row r="146" customFormat="false" ht="12.75" hidden="false" customHeight="false" outlineLevel="0" collapsed="false">
      <c r="A146" s="0" t="s">
        <v>40</v>
      </c>
      <c r="B146" s="0" t="n">
        <v>13</v>
      </c>
      <c r="C146" s="0" t="n">
        <v>9840</v>
      </c>
    </row>
    <row r="147" customFormat="false" ht="12.75" hidden="false" customHeight="false" outlineLevel="0" collapsed="false">
      <c r="A147" s="0" t="s">
        <v>41</v>
      </c>
      <c r="B147" s="0" t="n">
        <v>13</v>
      </c>
      <c r="C147" s="0" t="n">
        <v>9827</v>
      </c>
    </row>
    <row r="148" customFormat="false" ht="12.75" hidden="false" customHeight="false" outlineLevel="0" collapsed="false">
      <c r="A148" s="0" t="s">
        <v>42</v>
      </c>
      <c r="B148" s="0" t="n">
        <v>36</v>
      </c>
      <c r="C148" s="0" t="n">
        <v>9825</v>
      </c>
    </row>
    <row r="149" customFormat="false" ht="12.75" hidden="false" customHeight="false" outlineLevel="0" collapsed="false">
      <c r="A149" s="0" t="s">
        <v>43</v>
      </c>
      <c r="B149" s="0" t="n">
        <v>58</v>
      </c>
      <c r="C149" s="0" t="n">
        <v>9769</v>
      </c>
    </row>
    <row r="150" customFormat="false" ht="12.75" hidden="false" customHeight="false" outlineLevel="0" collapsed="false">
      <c r="A150" s="0" t="s">
        <v>44</v>
      </c>
      <c r="B150" s="0" t="n">
        <v>551</v>
      </c>
      <c r="C150" s="0" t="n">
        <v>9228</v>
      </c>
    </row>
    <row r="151" customFormat="false" ht="12.75" hidden="false" customHeight="false" outlineLevel="0" collapsed="false">
      <c r="A151" s="0" t="s">
        <v>45</v>
      </c>
      <c r="B151" s="0" t="n">
        <v>447</v>
      </c>
      <c r="C151" s="0" t="n">
        <v>8784</v>
      </c>
    </row>
    <row r="152" customFormat="false" ht="12.75" hidden="false" customHeight="false" outlineLevel="0" collapsed="false">
      <c r="A152" s="0" t="s">
        <v>46</v>
      </c>
      <c r="B152" s="0" t="n">
        <v>7</v>
      </c>
      <c r="C152" s="0" t="n">
        <v>9554</v>
      </c>
    </row>
    <row r="153" customFormat="false" ht="12.75" hidden="false" customHeight="false" outlineLevel="0" collapsed="false">
      <c r="A153" s="0" t="s">
        <v>47</v>
      </c>
      <c r="B153" s="0" t="n">
        <v>121</v>
      </c>
      <c r="C153" s="0" t="n">
        <v>10655</v>
      </c>
    </row>
    <row r="154" customFormat="false" ht="12.75" hidden="false" customHeight="false" outlineLevel="0" collapsed="false">
      <c r="A154" s="0" t="s">
        <v>48</v>
      </c>
      <c r="B154" s="0" t="n">
        <v>163</v>
      </c>
      <c r="C154" s="0" t="n">
        <v>10497</v>
      </c>
    </row>
    <row r="155" customFormat="false" ht="12.75" hidden="false" customHeight="false" outlineLevel="0" collapsed="false">
      <c r="A155" s="0" t="s">
        <v>49</v>
      </c>
      <c r="B155" s="0" t="n">
        <v>5</v>
      </c>
      <c r="C155" s="0" t="n">
        <v>10494</v>
      </c>
    </row>
    <row r="156" customFormat="false" ht="12.75" hidden="false" customHeight="false" outlineLevel="0" collapsed="false">
      <c r="A156" s="0" t="s">
        <v>50</v>
      </c>
      <c r="B156" s="0" t="n">
        <v>176</v>
      </c>
      <c r="C156" s="0" t="n">
        <v>10330</v>
      </c>
    </row>
    <row r="157" customFormat="false" ht="12.75" hidden="false" customHeight="false" outlineLevel="0" collapsed="false">
      <c r="A157" s="0" t="s">
        <v>51</v>
      </c>
      <c r="B157" s="0" t="n">
        <v>28</v>
      </c>
      <c r="C157" s="0" t="n">
        <v>10314</v>
      </c>
    </row>
    <row r="158" customFormat="false" ht="12.75" hidden="false" customHeight="false" outlineLevel="0" collapsed="false">
      <c r="C158" s="0" t="n">
        <v>10321</v>
      </c>
    </row>
    <row r="159" customFormat="false" ht="12.75" hidden="false" customHeight="false" outlineLevel="0" collapsed="false">
      <c r="C159" s="0" t="n">
        <v>10358</v>
      </c>
    </row>
    <row r="160" customFormat="false" ht="12.75" hidden="false" customHeight="false" outlineLevel="0" collapsed="false">
      <c r="A160" s="0" t="s">
        <v>120</v>
      </c>
      <c r="B160" s="3" t="n">
        <v>4485</v>
      </c>
      <c r="C160" s="0" t="n">
        <v>5876</v>
      </c>
    </row>
    <row r="161" customFormat="false" ht="12.75" hidden="false" customHeight="false" outlineLevel="0" collapsed="false">
      <c r="A161" s="0" t="s">
        <v>1</v>
      </c>
      <c r="B161" s="0" t="n">
        <v>55</v>
      </c>
      <c r="C161" s="0" t="n">
        <v>5821</v>
      </c>
    </row>
    <row r="162" customFormat="false" ht="12.75" hidden="false" customHeight="false" outlineLevel="0" collapsed="false">
      <c r="A162" s="0" t="s">
        <v>2</v>
      </c>
      <c r="B162" s="0" t="n">
        <v>10</v>
      </c>
      <c r="C162" s="0" t="n">
        <v>70654</v>
      </c>
    </row>
    <row r="163" customFormat="false" ht="12.75" hidden="false" customHeight="false" outlineLevel="0" collapsed="false">
      <c r="A163" s="0" t="s">
        <v>3</v>
      </c>
      <c r="B163" s="0" t="n">
        <v>15</v>
      </c>
      <c r="C163" s="0" t="n">
        <v>70791</v>
      </c>
    </row>
    <row r="164" customFormat="false" ht="12.75" hidden="false" customHeight="false" outlineLevel="0" collapsed="false">
      <c r="A164" s="0" t="s">
        <v>5</v>
      </c>
      <c r="B164" s="0" t="n">
        <v>226</v>
      </c>
      <c r="C164" s="0" t="n">
        <v>70663</v>
      </c>
    </row>
    <row r="165" customFormat="false" ht="12.75" hidden="false" customHeight="false" outlineLevel="0" collapsed="false">
      <c r="A165" s="0" t="s">
        <v>6</v>
      </c>
      <c r="B165" s="0" t="n">
        <v>21</v>
      </c>
      <c r="C165" s="0" t="n">
        <v>74718</v>
      </c>
    </row>
    <row r="166" customFormat="false" ht="12.75" hidden="false" customHeight="false" outlineLevel="0" collapsed="false">
      <c r="A166" s="0" t="s">
        <v>7</v>
      </c>
      <c r="B166" s="0" t="n">
        <v>12</v>
      </c>
      <c r="C166" s="0" t="n">
        <v>74803</v>
      </c>
    </row>
    <row r="167" customFormat="false" ht="12.75" hidden="false" customHeight="false" outlineLevel="0" collapsed="false">
      <c r="A167" s="0" t="s">
        <v>8</v>
      </c>
      <c r="B167" s="0" t="n">
        <v>2</v>
      </c>
      <c r="C167" s="0" t="n">
        <v>75849</v>
      </c>
    </row>
    <row r="168" customFormat="false" ht="12.75" hidden="false" customHeight="false" outlineLevel="0" collapsed="false">
      <c r="A168" s="0" t="s">
        <v>9</v>
      </c>
      <c r="B168" s="0" t="n">
        <v>7</v>
      </c>
      <c r="C168" s="0" t="n">
        <v>76038</v>
      </c>
    </row>
    <row r="169" customFormat="false" ht="12.75" hidden="false" customHeight="false" outlineLevel="0" collapsed="false">
      <c r="A169" s="0" t="s">
        <v>10</v>
      </c>
      <c r="B169" s="0" t="n">
        <v>231</v>
      </c>
      <c r="C169" s="0" t="n">
        <v>75835</v>
      </c>
    </row>
    <row r="170" customFormat="false" ht="12.75" hidden="false" customHeight="false" outlineLevel="0" collapsed="false">
      <c r="A170" s="0" t="s">
        <v>11</v>
      </c>
      <c r="B170" s="0" t="n">
        <v>37</v>
      </c>
      <c r="C170" s="0" t="n">
        <v>75891</v>
      </c>
    </row>
    <row r="171" customFormat="false" ht="12.75" hidden="false" customHeight="false" outlineLevel="0" collapsed="false">
      <c r="A171" s="0" t="s">
        <v>12</v>
      </c>
      <c r="B171" s="0" t="n">
        <v>2</v>
      </c>
      <c r="C171" s="0" t="n">
        <v>76558</v>
      </c>
    </row>
    <row r="172" customFormat="false" ht="12.75" hidden="false" customHeight="false" outlineLevel="0" collapsed="false">
      <c r="A172" s="0" t="s">
        <v>13</v>
      </c>
      <c r="B172" s="0" t="n">
        <v>7</v>
      </c>
      <c r="C172" s="0" t="n">
        <v>76857</v>
      </c>
    </row>
    <row r="173" customFormat="false" ht="12.75" hidden="false" customHeight="false" outlineLevel="0" collapsed="false">
      <c r="A173" s="0" t="s">
        <v>14</v>
      </c>
      <c r="B173" s="0" t="n">
        <v>192</v>
      </c>
      <c r="C173" s="0" t="n">
        <v>76875</v>
      </c>
    </row>
    <row r="174" customFormat="false" ht="12.75" hidden="false" customHeight="false" outlineLevel="0" collapsed="false">
      <c r="A174" s="0" t="s">
        <v>15</v>
      </c>
      <c r="B174" s="0" t="n">
        <v>100</v>
      </c>
      <c r="C174" s="0" t="n">
        <v>77105</v>
      </c>
    </row>
    <row r="175" customFormat="false" ht="12.75" hidden="false" customHeight="false" outlineLevel="0" collapsed="false">
      <c r="A175" s="0" t="s">
        <v>16</v>
      </c>
      <c r="B175" s="0" t="n">
        <v>65</v>
      </c>
      <c r="C175" s="0" t="n">
        <v>78005</v>
      </c>
    </row>
    <row r="176" customFormat="false" ht="12.75" hidden="false" customHeight="false" outlineLevel="0" collapsed="false">
      <c r="A176" s="0" t="s">
        <v>17</v>
      </c>
      <c r="B176" s="0" t="n">
        <v>175</v>
      </c>
      <c r="C176" s="0" t="n">
        <v>78001</v>
      </c>
    </row>
    <row r="177" customFormat="false" ht="12.75" hidden="false" customHeight="false" outlineLevel="0" collapsed="false">
      <c r="A177" s="0" t="s">
        <v>18</v>
      </c>
      <c r="B177" s="0" t="n">
        <v>51</v>
      </c>
      <c r="C177" s="0" t="n">
        <v>78184</v>
      </c>
    </row>
    <row r="178" customFormat="false" ht="12.75" hidden="false" customHeight="false" outlineLevel="0" collapsed="false">
      <c r="A178" s="0" t="s">
        <v>19</v>
      </c>
      <c r="B178" s="0" t="n">
        <v>279</v>
      </c>
      <c r="C178" s="0" t="n">
        <v>78090</v>
      </c>
    </row>
    <row r="179" customFormat="false" ht="12.75" hidden="false" customHeight="false" outlineLevel="0" collapsed="false">
      <c r="A179" s="0" t="s">
        <v>20</v>
      </c>
      <c r="B179" s="0" t="s">
        <v>156</v>
      </c>
      <c r="C179" s="0" t="n">
        <v>78208</v>
      </c>
    </row>
    <row r="180" customFormat="false" ht="12.75" hidden="false" customHeight="false" outlineLevel="0" collapsed="false">
      <c r="A180" s="0" t="s">
        <v>21</v>
      </c>
      <c r="B180" s="0" t="n">
        <v>18</v>
      </c>
      <c r="C180" s="0" t="n">
        <v>78353</v>
      </c>
    </row>
    <row r="181" customFormat="false" ht="12.75" hidden="false" customHeight="false" outlineLevel="0" collapsed="false">
      <c r="A181" s="0" t="s">
        <v>22</v>
      </c>
      <c r="B181" s="0" t="n">
        <v>9</v>
      </c>
      <c r="C181" s="0" t="n">
        <v>78372</v>
      </c>
    </row>
    <row r="182" customFormat="false" ht="12.75" hidden="false" customHeight="false" outlineLevel="0" collapsed="false">
      <c r="A182" s="0" t="s">
        <v>23</v>
      </c>
      <c r="B182" s="0" t="n">
        <v>216</v>
      </c>
      <c r="C182" s="0" t="n">
        <v>78438</v>
      </c>
    </row>
    <row r="183" customFormat="false" ht="12.75" hidden="false" customHeight="false" outlineLevel="0" collapsed="false">
      <c r="A183" s="0" t="s">
        <v>24</v>
      </c>
      <c r="B183" s="0" t="n">
        <v>12</v>
      </c>
      <c r="C183" s="0" t="n">
        <v>78863</v>
      </c>
    </row>
    <row r="184" customFormat="false" ht="12.75" hidden="false" customHeight="false" outlineLevel="0" collapsed="false">
      <c r="A184" s="0" t="s">
        <v>25</v>
      </c>
      <c r="B184" s="0" t="n">
        <v>258</v>
      </c>
      <c r="C184" s="0" t="n">
        <v>79123</v>
      </c>
    </row>
    <row r="185" customFormat="false" ht="12.75" hidden="false" customHeight="false" outlineLevel="0" collapsed="false">
      <c r="A185" s="0" t="s">
        <v>26</v>
      </c>
      <c r="B185" s="0" t="n">
        <v>909</v>
      </c>
      <c r="C185" s="0" t="n">
        <v>78653</v>
      </c>
    </row>
    <row r="186" customFormat="false" ht="12.75" hidden="false" customHeight="false" outlineLevel="0" collapsed="false">
      <c r="A186" s="0" t="s">
        <v>27</v>
      </c>
      <c r="B186" s="0" t="n">
        <v>1</v>
      </c>
      <c r="C186" s="0" t="n">
        <v>78724</v>
      </c>
    </row>
    <row r="187" customFormat="false" ht="12.75" hidden="false" customHeight="false" outlineLevel="0" collapsed="false">
      <c r="A187" s="0" t="s">
        <v>28</v>
      </c>
      <c r="B187" s="0" t="n">
        <v>61</v>
      </c>
      <c r="C187" s="0" t="n">
        <v>78929</v>
      </c>
    </row>
    <row r="188" customFormat="false" ht="12.75" hidden="false" customHeight="false" outlineLevel="0" collapsed="false">
      <c r="A188" s="0" t="s">
        <v>29</v>
      </c>
      <c r="B188" s="0" t="n">
        <v>11</v>
      </c>
      <c r="C188" s="0" t="n">
        <v>79007</v>
      </c>
    </row>
    <row r="189" customFormat="false" ht="12.75" hidden="false" customHeight="false" outlineLevel="0" collapsed="false">
      <c r="A189" s="0" t="s">
        <v>30</v>
      </c>
      <c r="B189" s="0" t="n">
        <v>3</v>
      </c>
      <c r="C189" s="0" t="n">
        <v>79134</v>
      </c>
    </row>
    <row r="190" customFormat="false" ht="12.75" hidden="false" customHeight="false" outlineLevel="0" collapsed="false">
      <c r="A190" s="0" t="s">
        <v>31</v>
      </c>
      <c r="B190" s="0" t="n">
        <v>23</v>
      </c>
      <c r="C190" s="0" t="n">
        <v>82033</v>
      </c>
    </row>
    <row r="191" customFormat="false" ht="12.75" hidden="false" customHeight="false" outlineLevel="0" collapsed="false">
      <c r="A191" s="0" t="s">
        <v>32</v>
      </c>
      <c r="B191" s="0" t="n">
        <v>17</v>
      </c>
      <c r="C191" s="0" t="n">
        <v>82074</v>
      </c>
    </row>
    <row r="192" customFormat="false" ht="12.75" hidden="false" customHeight="false" outlineLevel="0" collapsed="false">
      <c r="A192" s="0" t="s">
        <v>33</v>
      </c>
      <c r="B192" s="0" t="s">
        <v>156</v>
      </c>
      <c r="C192" s="0" t="n">
        <v>82613</v>
      </c>
    </row>
    <row r="193" customFormat="false" ht="12.75" hidden="false" customHeight="false" outlineLevel="0" collapsed="false">
      <c r="A193" s="0" t="s">
        <v>34</v>
      </c>
      <c r="B193" s="0" t="n">
        <v>46</v>
      </c>
      <c r="C193" s="0" t="n">
        <v>82888</v>
      </c>
    </row>
    <row r="194" customFormat="false" ht="12.75" hidden="false" customHeight="false" outlineLevel="0" collapsed="false">
      <c r="A194" s="0" t="s">
        <v>35</v>
      </c>
      <c r="B194" s="0" t="n">
        <v>5</v>
      </c>
      <c r="C194" s="0" t="n">
        <v>83727</v>
      </c>
    </row>
    <row r="195" customFormat="false" ht="12.75" hidden="false" customHeight="false" outlineLevel="0" collapsed="false">
      <c r="A195" s="0" t="s">
        <v>36</v>
      </c>
      <c r="B195" s="0" t="n">
        <v>11</v>
      </c>
      <c r="C195" s="0" t="n">
        <v>83894</v>
      </c>
    </row>
    <row r="196" customFormat="false" ht="12.75" hidden="false" customHeight="false" outlineLevel="0" collapsed="false">
      <c r="A196" s="0" t="s">
        <v>37</v>
      </c>
      <c r="B196" s="0" t="n">
        <v>663</v>
      </c>
      <c r="C196" s="0" t="n">
        <v>83262</v>
      </c>
    </row>
    <row r="197" customFormat="false" ht="12.75" hidden="false" customHeight="false" outlineLevel="0" collapsed="false">
      <c r="A197" s="0" t="s">
        <v>38</v>
      </c>
      <c r="B197" s="0" t="s">
        <v>156</v>
      </c>
      <c r="C197" s="0" t="n">
        <v>83800</v>
      </c>
    </row>
    <row r="198" customFormat="false" ht="12.75" hidden="false" customHeight="false" outlineLevel="0" collapsed="false">
      <c r="A198" s="0" t="s">
        <v>39</v>
      </c>
      <c r="B198" s="0" t="n">
        <v>34</v>
      </c>
      <c r="C198" s="0" t="n">
        <v>83935</v>
      </c>
    </row>
    <row r="199" customFormat="false" ht="12.75" hidden="false" customHeight="false" outlineLevel="0" collapsed="false">
      <c r="A199" s="0" t="s">
        <v>40</v>
      </c>
      <c r="B199" s="0" t="n">
        <v>2</v>
      </c>
      <c r="C199" s="0" t="n">
        <v>85603</v>
      </c>
    </row>
    <row r="200" customFormat="false" ht="12.75" hidden="false" customHeight="false" outlineLevel="0" collapsed="false">
      <c r="A200" s="0" t="s">
        <v>41</v>
      </c>
      <c r="B200" s="0" t="n">
        <v>10</v>
      </c>
      <c r="C200" s="0" t="n">
        <v>86083</v>
      </c>
    </row>
    <row r="201" customFormat="false" ht="12.75" hidden="false" customHeight="false" outlineLevel="0" collapsed="false">
      <c r="A201" s="0" t="s">
        <v>42</v>
      </c>
      <c r="B201" s="0" t="n">
        <v>3</v>
      </c>
      <c r="C201" s="0" t="n">
        <v>86133</v>
      </c>
    </row>
    <row r="202" customFormat="false" ht="12.75" hidden="false" customHeight="false" outlineLevel="0" collapsed="false">
      <c r="A202" s="0" t="s">
        <v>43</v>
      </c>
      <c r="B202" s="0" t="n">
        <v>777</v>
      </c>
      <c r="C202" s="0" t="n">
        <v>85408</v>
      </c>
    </row>
    <row r="203" customFormat="false" ht="12.75" hidden="false" customHeight="false" outlineLevel="0" collapsed="false">
      <c r="A203" s="0" t="s">
        <v>44</v>
      </c>
      <c r="B203" s="3" t="n">
        <v>1222</v>
      </c>
      <c r="C203" s="0" t="n">
        <v>84222</v>
      </c>
    </row>
    <row r="204" customFormat="false" ht="12.75" hidden="false" customHeight="false" outlineLevel="0" collapsed="false">
      <c r="A204" s="0" t="s">
        <v>45</v>
      </c>
      <c r="B204" s="0" t="n">
        <v>5</v>
      </c>
      <c r="C204" s="0" t="n">
        <v>84443</v>
      </c>
    </row>
    <row r="205" customFormat="false" ht="12.75" hidden="false" customHeight="false" outlineLevel="0" collapsed="false">
      <c r="A205" s="0" t="s">
        <v>46</v>
      </c>
      <c r="B205" s="0" t="n">
        <v>2</v>
      </c>
      <c r="C205" s="0" t="n">
        <v>85957</v>
      </c>
    </row>
    <row r="206" customFormat="false" ht="12.75" hidden="false" customHeight="false" outlineLevel="0" collapsed="false">
      <c r="A206" s="0" t="s">
        <v>47</v>
      </c>
      <c r="B206" s="0" t="n">
        <v>12</v>
      </c>
      <c r="C206" s="0" t="n">
        <v>86941</v>
      </c>
    </row>
    <row r="207" customFormat="false" ht="12.75" hidden="false" customHeight="false" outlineLevel="0" collapsed="false">
      <c r="A207" s="0" t="s">
        <v>48</v>
      </c>
      <c r="B207" s="0" t="n">
        <v>12</v>
      </c>
      <c r="C207" s="0" t="n">
        <v>86961</v>
      </c>
    </row>
    <row r="208" customFormat="false" ht="12.75" hidden="false" customHeight="false" outlineLevel="0" collapsed="false">
      <c r="A208" s="0" t="s">
        <v>49</v>
      </c>
      <c r="B208" s="0" t="n">
        <v>7</v>
      </c>
      <c r="C208" s="0" t="n">
        <v>87313</v>
      </c>
    </row>
    <row r="209" customFormat="false" ht="12.75" hidden="false" customHeight="false" outlineLevel="0" collapsed="false">
      <c r="A209" s="0" t="s">
        <v>50</v>
      </c>
      <c r="B209" s="0" t="n">
        <v>37</v>
      </c>
      <c r="C209" s="0" t="n">
        <v>88995</v>
      </c>
    </row>
    <row r="210" customFormat="false" ht="12.75" hidden="false" customHeight="false" outlineLevel="0" collapsed="false">
      <c r="A210" s="0" t="s">
        <v>51</v>
      </c>
      <c r="B210" s="0" t="n">
        <v>3</v>
      </c>
      <c r="C210" s="0" t="n">
        <v>89017</v>
      </c>
    </row>
    <row r="211" customFormat="false" ht="12.75" hidden="false" customHeight="false" outlineLevel="0" collapsed="false">
      <c r="C211" s="0" t="n">
        <v>89243</v>
      </c>
    </row>
    <row r="212" customFormat="false" ht="12.75" hidden="false" customHeight="false" outlineLevel="0" collapsed="false">
      <c r="A212" s="0" t="s">
        <v>121</v>
      </c>
      <c r="B212" s="3" t="n">
        <v>64843</v>
      </c>
      <c r="C212" s="0" t="n">
        <v>24441</v>
      </c>
    </row>
    <row r="213" customFormat="false" ht="12.75" hidden="false" customHeight="false" outlineLevel="0" collapsed="false">
      <c r="A213" s="0" t="s">
        <v>1</v>
      </c>
      <c r="B213" s="0" t="n">
        <v>152</v>
      </c>
      <c r="C213" s="0" t="n">
        <v>31271</v>
      </c>
    </row>
    <row r="214" customFormat="false" ht="12.75" hidden="false" customHeight="false" outlineLevel="0" collapsed="false">
      <c r="A214" s="0" t="s">
        <v>2</v>
      </c>
      <c r="B214" s="0" t="n">
        <v>98</v>
      </c>
      <c r="C214" s="0" t="n">
        <v>31223</v>
      </c>
    </row>
    <row r="215" customFormat="false" ht="12.75" hidden="false" customHeight="false" outlineLevel="0" collapsed="false">
      <c r="A215" s="0" t="s">
        <v>3</v>
      </c>
      <c r="B215" s="3" t="n">
        <v>4076</v>
      </c>
      <c r="C215" s="0" t="n">
        <v>27169</v>
      </c>
    </row>
    <row r="216" customFormat="false" ht="12.75" hidden="false" customHeight="false" outlineLevel="0" collapsed="false">
      <c r="A216" s="0" t="s">
        <v>4</v>
      </c>
      <c r="B216" s="0" t="n">
        <v>97</v>
      </c>
      <c r="C216" s="0" t="n">
        <v>27418</v>
      </c>
    </row>
    <row r="217" customFormat="false" ht="12.75" hidden="false" customHeight="false" outlineLevel="0" collapsed="false">
      <c r="A217" s="0" t="s">
        <v>6</v>
      </c>
      <c r="B217" s="3" t="n">
        <v>1048</v>
      </c>
      <c r="C217" s="0" t="n">
        <v>26476</v>
      </c>
    </row>
    <row r="218" customFormat="false" ht="12.75" hidden="false" customHeight="false" outlineLevel="0" collapsed="false">
      <c r="A218" s="0" t="s">
        <v>7</v>
      </c>
      <c r="B218" s="0" t="n">
        <v>196</v>
      </c>
      <c r="C218" s="0" t="n">
        <v>27688</v>
      </c>
    </row>
    <row r="219" customFormat="false" ht="12.75" hidden="false" customHeight="false" outlineLevel="0" collapsed="false">
      <c r="A219" s="0" t="s">
        <v>8</v>
      </c>
      <c r="B219" s="0" t="n">
        <v>28</v>
      </c>
      <c r="C219" s="0" t="n">
        <v>27726</v>
      </c>
    </row>
    <row r="220" customFormat="false" ht="12.75" hidden="false" customHeight="false" outlineLevel="0" collapsed="false">
      <c r="A220" s="0" t="s">
        <v>9</v>
      </c>
      <c r="B220" s="0" t="n">
        <v>93</v>
      </c>
      <c r="C220" s="0" t="n">
        <v>27643</v>
      </c>
    </row>
    <row r="221" customFormat="false" ht="12.75" hidden="false" customHeight="false" outlineLevel="0" collapsed="false">
      <c r="A221" s="0" t="s">
        <v>10</v>
      </c>
      <c r="B221" s="0" t="n">
        <v>669</v>
      </c>
      <c r="C221" s="0" t="n">
        <v>26998</v>
      </c>
    </row>
    <row r="222" customFormat="false" ht="12.75" hidden="false" customHeight="false" outlineLevel="0" collapsed="false">
      <c r="A222" s="0" t="s">
        <v>11</v>
      </c>
      <c r="B222" s="0" t="n">
        <v>306</v>
      </c>
      <c r="C222" s="0" t="n">
        <v>26911</v>
      </c>
    </row>
    <row r="223" customFormat="false" ht="12.75" hidden="false" customHeight="false" outlineLevel="0" collapsed="false">
      <c r="A223" s="0" t="s">
        <v>12</v>
      </c>
      <c r="B223" s="0" t="n">
        <v>210</v>
      </c>
      <c r="C223" s="0" t="n">
        <v>26786</v>
      </c>
    </row>
    <row r="224" customFormat="false" ht="12.75" hidden="false" customHeight="false" outlineLevel="0" collapsed="false">
      <c r="A224" s="0" t="s">
        <v>13</v>
      </c>
      <c r="B224" s="0" t="n">
        <v>330</v>
      </c>
      <c r="C224" s="0" t="n">
        <v>26472</v>
      </c>
    </row>
    <row r="225" customFormat="false" ht="12.75" hidden="false" customHeight="false" outlineLevel="0" collapsed="false">
      <c r="A225" s="0" t="s">
        <v>14</v>
      </c>
      <c r="B225" s="0" t="n">
        <v>965</v>
      </c>
      <c r="C225" s="0" t="n">
        <v>25589</v>
      </c>
    </row>
    <row r="226" customFormat="false" ht="12.75" hidden="false" customHeight="false" outlineLevel="0" collapsed="false">
      <c r="A226" s="0" t="s">
        <v>15</v>
      </c>
      <c r="B226" s="0" t="n">
        <v>171</v>
      </c>
      <c r="C226" s="0" t="n">
        <v>25786</v>
      </c>
    </row>
    <row r="227" customFormat="false" ht="12.75" hidden="false" customHeight="false" outlineLevel="0" collapsed="false">
      <c r="A227" s="0" t="s">
        <v>16</v>
      </c>
      <c r="B227" s="0" t="n">
        <v>234</v>
      </c>
      <c r="C227" s="0" t="n">
        <v>25703</v>
      </c>
    </row>
    <row r="228" customFormat="false" ht="12.75" hidden="false" customHeight="false" outlineLevel="0" collapsed="false">
      <c r="A228" s="0" t="s">
        <v>17</v>
      </c>
      <c r="B228" s="0" t="n">
        <v>185</v>
      </c>
      <c r="C228" s="0" t="n">
        <v>25788</v>
      </c>
    </row>
    <row r="229" customFormat="false" ht="12.75" hidden="false" customHeight="false" outlineLevel="0" collapsed="false">
      <c r="A229" s="0" t="s">
        <v>18</v>
      </c>
      <c r="B229" s="0" t="n">
        <v>118</v>
      </c>
      <c r="C229" s="0" t="n">
        <v>26511</v>
      </c>
    </row>
    <row r="230" customFormat="false" ht="12.75" hidden="false" customHeight="false" outlineLevel="0" collapsed="false">
      <c r="A230" s="0" t="s">
        <v>19</v>
      </c>
      <c r="B230" s="0" t="n">
        <v>163</v>
      </c>
      <c r="C230" s="0" t="n">
        <v>26395</v>
      </c>
    </row>
    <row r="231" customFormat="false" ht="12.75" hidden="false" customHeight="false" outlineLevel="0" collapsed="false">
      <c r="A231" s="0" t="s">
        <v>20</v>
      </c>
      <c r="B231" s="0" t="n">
        <v>28</v>
      </c>
      <c r="C231" s="0" t="n">
        <v>26462</v>
      </c>
    </row>
    <row r="232" customFormat="false" ht="12.75" hidden="false" customHeight="false" outlineLevel="0" collapsed="false">
      <c r="A232" s="0" t="s">
        <v>21</v>
      </c>
      <c r="B232" s="0" t="n">
        <v>282</v>
      </c>
      <c r="C232" s="0" t="n">
        <v>26187</v>
      </c>
    </row>
    <row r="233" customFormat="false" ht="12.75" hidden="false" customHeight="false" outlineLevel="0" collapsed="false">
      <c r="A233" s="0" t="s">
        <v>22</v>
      </c>
      <c r="B233" s="0" t="n">
        <v>437</v>
      </c>
      <c r="C233" s="0" t="n">
        <v>25808</v>
      </c>
    </row>
    <row r="234" customFormat="false" ht="12.75" hidden="false" customHeight="false" outlineLevel="0" collapsed="false">
      <c r="A234" s="0" t="s">
        <v>23</v>
      </c>
      <c r="B234" s="0" t="n">
        <v>518</v>
      </c>
      <c r="C234" s="0" t="n">
        <v>25357</v>
      </c>
    </row>
    <row r="235" customFormat="false" ht="12.75" hidden="false" customHeight="false" outlineLevel="0" collapsed="false">
      <c r="A235" s="0" t="s">
        <v>24</v>
      </c>
      <c r="B235" s="0" t="n">
        <v>439</v>
      </c>
      <c r="C235" s="0" t="n">
        <v>25035</v>
      </c>
    </row>
    <row r="236" customFormat="false" ht="12.75" hidden="false" customHeight="false" outlineLevel="0" collapsed="false">
      <c r="A236" s="0" t="s">
        <v>25</v>
      </c>
      <c r="B236" s="0" t="n">
        <v>72</v>
      </c>
      <c r="C236" s="0" t="n">
        <v>25180</v>
      </c>
    </row>
    <row r="237" customFormat="false" ht="12.75" hidden="false" customHeight="false" outlineLevel="0" collapsed="false">
      <c r="A237" s="0" t="s">
        <v>26</v>
      </c>
      <c r="B237" s="0" t="n">
        <v>266</v>
      </c>
      <c r="C237" s="0" t="n">
        <v>24945</v>
      </c>
    </row>
    <row r="238" customFormat="false" ht="12.75" hidden="false" customHeight="false" outlineLevel="0" collapsed="false">
      <c r="A238" s="0" t="s">
        <v>27</v>
      </c>
      <c r="B238" s="0" t="n">
        <v>89</v>
      </c>
      <c r="C238" s="0" t="n">
        <v>25332</v>
      </c>
    </row>
    <row r="239" customFormat="false" ht="12.75" hidden="false" customHeight="false" outlineLevel="0" collapsed="false">
      <c r="A239" s="0" t="s">
        <v>28</v>
      </c>
      <c r="B239" s="0" t="n">
        <v>130</v>
      </c>
      <c r="C239" s="0" t="n">
        <v>25289</v>
      </c>
    </row>
    <row r="240" customFormat="false" ht="12.75" hidden="false" customHeight="false" outlineLevel="0" collapsed="false">
      <c r="A240" s="0" t="s">
        <v>29</v>
      </c>
      <c r="B240" s="3" t="n">
        <v>2922</v>
      </c>
      <c r="C240" s="0" t="n">
        <v>22963</v>
      </c>
    </row>
    <row r="241" customFormat="false" ht="12.75" hidden="false" customHeight="false" outlineLevel="0" collapsed="false">
      <c r="A241" s="0" t="s">
        <v>30</v>
      </c>
      <c r="B241" s="0" t="n">
        <v>58</v>
      </c>
      <c r="C241" s="0" t="n">
        <v>23010</v>
      </c>
    </row>
    <row r="242" customFormat="false" ht="12.75" hidden="false" customHeight="false" outlineLevel="0" collapsed="false">
      <c r="A242" s="0" t="s">
        <v>31</v>
      </c>
      <c r="B242" s="0" t="n">
        <v>539</v>
      </c>
      <c r="C242" s="0" t="n">
        <v>22494</v>
      </c>
    </row>
    <row r="243" customFormat="false" ht="12.75" hidden="false" customHeight="false" outlineLevel="0" collapsed="false">
      <c r="A243" s="0" t="s">
        <v>32</v>
      </c>
      <c r="B243" s="0" t="n">
        <v>321</v>
      </c>
      <c r="C243" s="0" t="n">
        <v>22299</v>
      </c>
    </row>
    <row r="244" customFormat="false" ht="12.75" hidden="false" customHeight="false" outlineLevel="0" collapsed="false">
      <c r="A244" s="0" t="s">
        <v>33</v>
      </c>
      <c r="B244" s="0" t="n">
        <v>844</v>
      </c>
      <c r="C244" s="0" t="n">
        <v>22202</v>
      </c>
    </row>
    <row r="245" customFormat="false" ht="12.75" hidden="false" customHeight="false" outlineLevel="0" collapsed="false">
      <c r="A245" s="0" t="s">
        <v>34</v>
      </c>
      <c r="B245" s="0" t="n">
        <v>178</v>
      </c>
      <c r="C245" s="0" t="n">
        <v>22146</v>
      </c>
    </row>
    <row r="246" customFormat="false" ht="12.75" hidden="false" customHeight="false" outlineLevel="0" collapsed="false">
      <c r="A246" s="0" t="s">
        <v>35</v>
      </c>
      <c r="B246" s="0" t="n">
        <v>31</v>
      </c>
      <c r="C246" s="0" t="n">
        <v>22183</v>
      </c>
    </row>
    <row r="247" customFormat="false" ht="12.75" hidden="false" customHeight="false" outlineLevel="0" collapsed="false">
      <c r="A247" s="0" t="s">
        <v>36</v>
      </c>
      <c r="B247" s="0" t="n">
        <v>538</v>
      </c>
      <c r="C247" s="0" t="n">
        <v>21693</v>
      </c>
    </row>
    <row r="248" customFormat="false" ht="12.75" hidden="false" customHeight="false" outlineLevel="0" collapsed="false">
      <c r="A248" s="0" t="s">
        <v>37</v>
      </c>
      <c r="B248" s="0" t="n">
        <v>169</v>
      </c>
      <c r="C248" s="0" t="n">
        <v>21757</v>
      </c>
    </row>
    <row r="249" customFormat="false" ht="12.75" hidden="false" customHeight="false" outlineLevel="0" collapsed="false">
      <c r="A249" s="0" t="s">
        <v>38</v>
      </c>
      <c r="B249" s="3" t="n">
        <v>1670</v>
      </c>
      <c r="C249" s="0" t="n">
        <v>20413</v>
      </c>
    </row>
    <row r="250" customFormat="false" ht="12.75" hidden="false" customHeight="false" outlineLevel="0" collapsed="false">
      <c r="A250" s="0" t="s">
        <v>39</v>
      </c>
      <c r="B250" s="0" t="n">
        <v>490</v>
      </c>
      <c r="C250" s="0" t="n">
        <v>20032</v>
      </c>
    </row>
    <row r="251" customFormat="false" ht="12.75" hidden="false" customHeight="false" outlineLevel="0" collapsed="false">
      <c r="A251" s="0" t="s">
        <v>40</v>
      </c>
      <c r="B251" s="0" t="n">
        <v>53</v>
      </c>
      <c r="C251" s="0" t="n">
        <v>20219</v>
      </c>
    </row>
    <row r="252" customFormat="false" ht="12.75" hidden="false" customHeight="false" outlineLevel="0" collapsed="false">
      <c r="A252" s="0" t="s">
        <v>41</v>
      </c>
      <c r="B252" s="0" t="n">
        <v>52</v>
      </c>
      <c r="C252" s="0" t="n">
        <v>20179</v>
      </c>
    </row>
    <row r="253" customFormat="false" ht="12.75" hidden="false" customHeight="false" outlineLevel="0" collapsed="false">
      <c r="A253" s="0" t="s">
        <v>42</v>
      </c>
      <c r="B253" s="0" t="n">
        <v>36</v>
      </c>
      <c r="C253" s="0" t="n">
        <v>20182</v>
      </c>
    </row>
    <row r="254" customFormat="false" ht="12.75" hidden="false" customHeight="false" outlineLevel="0" collapsed="false">
      <c r="A254" s="0" t="s">
        <v>43</v>
      </c>
      <c r="B254" s="0" t="n">
        <v>226</v>
      </c>
      <c r="C254" s="0" t="n">
        <v>20071</v>
      </c>
    </row>
    <row r="255" customFormat="false" ht="12.75" hidden="false" customHeight="false" outlineLevel="0" collapsed="false">
      <c r="A255" s="0" t="s">
        <v>44</v>
      </c>
      <c r="B255" s="3" t="n">
        <v>1516</v>
      </c>
      <c r="C255" s="0" t="n">
        <v>18613</v>
      </c>
    </row>
    <row r="256" customFormat="false" ht="12.75" hidden="false" customHeight="false" outlineLevel="0" collapsed="false">
      <c r="A256" s="0" t="s">
        <v>45</v>
      </c>
      <c r="B256" s="0" t="n">
        <v>996</v>
      </c>
      <c r="C256" s="0" t="n">
        <v>19013</v>
      </c>
    </row>
    <row r="257" customFormat="false" ht="12.75" hidden="false" customHeight="false" outlineLevel="0" collapsed="false">
      <c r="A257" s="0" t="s">
        <v>46</v>
      </c>
      <c r="B257" s="0" t="n">
        <v>32</v>
      </c>
      <c r="C257" s="0" t="n">
        <v>19262</v>
      </c>
    </row>
    <row r="258" customFormat="false" ht="12.75" hidden="false" customHeight="false" outlineLevel="0" collapsed="false">
      <c r="A258" s="0" t="s">
        <v>47</v>
      </c>
      <c r="B258" s="0" t="n">
        <v>359</v>
      </c>
      <c r="C258" s="0" t="n">
        <v>18916</v>
      </c>
    </row>
    <row r="259" customFormat="false" ht="12.75" hidden="false" customHeight="false" outlineLevel="0" collapsed="false">
      <c r="A259" s="0" t="s">
        <v>48</v>
      </c>
      <c r="B259" s="3" t="n">
        <v>1719</v>
      </c>
      <c r="C259" s="0" t="n">
        <v>17297</v>
      </c>
    </row>
    <row r="260" customFormat="false" ht="12.75" hidden="false" customHeight="false" outlineLevel="0" collapsed="false">
      <c r="A260" s="0" t="s">
        <v>49</v>
      </c>
      <c r="B260" s="0" t="n">
        <v>25</v>
      </c>
      <c r="C260" s="0" t="n">
        <v>17436</v>
      </c>
    </row>
    <row r="261" customFormat="false" ht="12.75" hidden="false" customHeight="false" outlineLevel="0" collapsed="false">
      <c r="A261" s="0" t="s">
        <v>50</v>
      </c>
      <c r="B261" s="0" t="n">
        <v>226</v>
      </c>
      <c r="C261" s="0" t="n">
        <v>17220</v>
      </c>
    </row>
    <row r="262" customFormat="false" ht="12.75" hidden="false" customHeight="false" outlineLevel="0" collapsed="false">
      <c r="A262" s="0" t="s">
        <v>51</v>
      </c>
      <c r="B262" s="0" t="n">
        <v>41</v>
      </c>
      <c r="C262" s="0" t="n">
        <v>17328</v>
      </c>
    </row>
    <row r="263" customFormat="false" ht="12.75" hidden="false" customHeight="false" outlineLevel="0" collapsed="false">
      <c r="A263" s="0" t="s">
        <v>122</v>
      </c>
      <c r="B263" s="3" t="n">
        <v>6982</v>
      </c>
      <c r="C263" s="0" t="n">
        <v>11038</v>
      </c>
    </row>
    <row r="264" customFormat="false" ht="12.75" hidden="false" customHeight="false" outlineLevel="0" collapsed="false">
      <c r="A264" s="0" t="s">
        <v>1</v>
      </c>
      <c r="B264" s="0" t="n">
        <v>50</v>
      </c>
      <c r="C264" s="0" t="n">
        <v>10988</v>
      </c>
    </row>
    <row r="265" customFormat="false" ht="12.75" hidden="false" customHeight="false" outlineLevel="0" collapsed="false">
      <c r="A265" s="0" t="s">
        <v>2</v>
      </c>
      <c r="B265" s="0" t="n">
        <v>22</v>
      </c>
      <c r="C265" s="0" t="n">
        <v>11143</v>
      </c>
    </row>
    <row r="266" customFormat="false" ht="12.75" hidden="false" customHeight="false" outlineLevel="0" collapsed="false">
      <c r="A266" s="0" t="s">
        <v>3</v>
      </c>
      <c r="B266" s="0" t="n">
        <v>346</v>
      </c>
      <c r="C266" s="0" t="n">
        <v>10807</v>
      </c>
    </row>
    <row r="267" customFormat="false" ht="12.75" hidden="false" customHeight="false" outlineLevel="0" collapsed="false">
      <c r="A267" s="0" t="s">
        <v>4</v>
      </c>
      <c r="B267" s="0" t="n">
        <v>106</v>
      </c>
      <c r="C267" s="0" t="n">
        <v>10707</v>
      </c>
    </row>
    <row r="268" customFormat="false" ht="12.75" hidden="false" customHeight="false" outlineLevel="0" collapsed="false">
      <c r="A268" s="0" t="s">
        <v>5</v>
      </c>
      <c r="B268" s="3" t="n">
        <v>1408</v>
      </c>
      <c r="C268" s="0" t="n">
        <v>9326</v>
      </c>
    </row>
    <row r="269" customFormat="false" ht="12.75" hidden="false" customHeight="false" outlineLevel="0" collapsed="false">
      <c r="A269" s="0" t="s">
        <v>7</v>
      </c>
      <c r="B269" s="0" t="n">
        <v>66</v>
      </c>
      <c r="C269" s="0" t="n">
        <v>9266</v>
      </c>
    </row>
    <row r="270" customFormat="false" ht="12.75" hidden="false" customHeight="false" outlineLevel="0" collapsed="false">
      <c r="A270" s="0" t="s">
        <v>8</v>
      </c>
      <c r="B270" s="0" t="n">
        <v>10</v>
      </c>
      <c r="C270" s="0" t="n">
        <v>9446</v>
      </c>
    </row>
    <row r="271" customFormat="false" ht="12.75" hidden="false" customHeight="false" outlineLevel="0" collapsed="false">
      <c r="A271" s="0" t="s">
        <v>9</v>
      </c>
      <c r="B271" s="0" t="n">
        <v>24</v>
      </c>
      <c r="C271" s="0" t="n">
        <v>9435</v>
      </c>
    </row>
    <row r="272" customFormat="false" ht="12.75" hidden="false" customHeight="false" outlineLevel="0" collapsed="false">
      <c r="A272" s="0" t="s">
        <v>10</v>
      </c>
      <c r="B272" s="0" t="n">
        <v>219</v>
      </c>
      <c r="C272" s="0" t="n">
        <v>9248</v>
      </c>
    </row>
    <row r="273" customFormat="false" ht="12.75" hidden="false" customHeight="false" outlineLevel="0" collapsed="false">
      <c r="A273" s="0" t="s">
        <v>11</v>
      </c>
      <c r="B273" s="0" t="n">
        <v>85</v>
      </c>
      <c r="C273" s="0" t="n">
        <v>9207</v>
      </c>
    </row>
    <row r="274" customFormat="false" ht="12.75" hidden="false" customHeight="false" outlineLevel="0" collapsed="false">
      <c r="A274" s="0" t="s">
        <v>12</v>
      </c>
      <c r="B274" s="0" t="n">
        <v>16</v>
      </c>
      <c r="C274" s="0" t="n">
        <v>9437</v>
      </c>
    </row>
    <row r="275" customFormat="false" ht="12.75" hidden="false" customHeight="false" outlineLevel="0" collapsed="false">
      <c r="A275" s="0" t="s">
        <v>13</v>
      </c>
      <c r="B275" s="0" t="n">
        <v>82</v>
      </c>
      <c r="C275" s="0" t="n">
        <v>9432</v>
      </c>
    </row>
    <row r="276" customFormat="false" ht="12.75" hidden="false" customHeight="false" outlineLevel="0" collapsed="false">
      <c r="A276" s="0" t="s">
        <v>14</v>
      </c>
      <c r="B276" s="0" t="n">
        <v>368</v>
      </c>
      <c r="C276" s="0" t="n">
        <v>9064</v>
      </c>
    </row>
    <row r="277" customFormat="false" ht="12.75" hidden="false" customHeight="false" outlineLevel="0" collapsed="false">
      <c r="A277" s="0" t="s">
        <v>15</v>
      </c>
      <c r="B277" s="0" t="n">
        <v>151</v>
      </c>
      <c r="C277" s="0" t="n">
        <v>8916</v>
      </c>
    </row>
    <row r="278" customFormat="false" ht="12.75" hidden="false" customHeight="false" outlineLevel="0" collapsed="false">
      <c r="A278" s="0" t="s">
        <v>16</v>
      </c>
      <c r="B278" s="0" t="n">
        <v>270</v>
      </c>
      <c r="C278" s="0" t="n">
        <v>8667</v>
      </c>
    </row>
    <row r="279" customFormat="false" ht="12.75" hidden="false" customHeight="false" outlineLevel="0" collapsed="false">
      <c r="A279" s="0" t="s">
        <v>17</v>
      </c>
      <c r="B279" s="0" t="n">
        <v>841</v>
      </c>
      <c r="C279" s="0" t="n">
        <v>7860</v>
      </c>
    </row>
    <row r="280" customFormat="false" ht="12.75" hidden="false" customHeight="false" outlineLevel="0" collapsed="false">
      <c r="A280" s="0" t="s">
        <v>18</v>
      </c>
      <c r="B280" s="0" t="n">
        <v>47</v>
      </c>
      <c r="C280" s="0" t="n">
        <v>7818</v>
      </c>
    </row>
    <row r="281" customFormat="false" ht="12.75" hidden="false" customHeight="false" outlineLevel="0" collapsed="false">
      <c r="A281" s="0" t="s">
        <v>19</v>
      </c>
      <c r="B281" s="0" t="n">
        <v>95</v>
      </c>
      <c r="C281" s="0" t="n">
        <v>7728</v>
      </c>
    </row>
    <row r="282" customFormat="false" ht="12.75" hidden="false" customHeight="false" outlineLevel="0" collapsed="false">
      <c r="A282" s="0" t="s">
        <v>20</v>
      </c>
      <c r="B282" s="0" t="n">
        <v>7</v>
      </c>
      <c r="C282" s="0" t="n">
        <v>7723</v>
      </c>
    </row>
    <row r="283" customFormat="false" ht="12.75" hidden="false" customHeight="false" outlineLevel="0" collapsed="false">
      <c r="A283" s="0" t="s">
        <v>21</v>
      </c>
      <c r="B283" s="0" t="n">
        <v>58</v>
      </c>
      <c r="C283" s="0" t="n">
        <v>7687</v>
      </c>
    </row>
    <row r="284" customFormat="false" ht="12.75" hidden="false" customHeight="false" outlineLevel="0" collapsed="false">
      <c r="A284" s="0" t="s">
        <v>22</v>
      </c>
      <c r="B284" s="0" t="n">
        <v>67</v>
      </c>
      <c r="C284" s="0" t="n">
        <v>7819</v>
      </c>
    </row>
    <row r="285" customFormat="false" ht="12.75" hidden="false" customHeight="false" outlineLevel="0" collapsed="false">
      <c r="A285" s="0" t="s">
        <v>23</v>
      </c>
      <c r="B285" s="0" t="n">
        <v>117</v>
      </c>
      <c r="C285" s="0" t="n">
        <v>8023</v>
      </c>
    </row>
    <row r="286" customFormat="false" ht="12.75" hidden="false" customHeight="false" outlineLevel="0" collapsed="false">
      <c r="A286" s="0" t="s">
        <v>24</v>
      </c>
      <c r="B286" s="0" t="n">
        <v>217</v>
      </c>
      <c r="C286" s="0" t="n">
        <v>9340</v>
      </c>
    </row>
    <row r="287" customFormat="false" ht="12.75" hidden="false" customHeight="false" outlineLevel="0" collapsed="false">
      <c r="A287" s="0" t="s">
        <v>25</v>
      </c>
      <c r="B287" s="0" t="n">
        <v>31</v>
      </c>
      <c r="C287" s="0" t="n">
        <v>9335</v>
      </c>
    </row>
    <row r="288" customFormat="false" ht="12.75" hidden="false" customHeight="false" outlineLevel="0" collapsed="false">
      <c r="A288" s="0" t="s">
        <v>26</v>
      </c>
      <c r="B288" s="0" t="n">
        <v>476</v>
      </c>
      <c r="C288" s="0" t="n">
        <v>8881</v>
      </c>
    </row>
    <row r="289" customFormat="false" ht="12.75" hidden="false" customHeight="false" outlineLevel="0" collapsed="false">
      <c r="A289" s="0" t="s">
        <v>27</v>
      </c>
      <c r="B289" s="0" t="n">
        <v>87</v>
      </c>
      <c r="C289" s="0" t="n">
        <v>8797</v>
      </c>
    </row>
    <row r="290" customFormat="false" ht="12.75" hidden="false" customHeight="false" outlineLevel="0" collapsed="false">
      <c r="A290" s="0" t="s">
        <v>28</v>
      </c>
      <c r="B290" s="0" t="n">
        <v>596</v>
      </c>
      <c r="C290" s="0" t="n">
        <v>8210</v>
      </c>
    </row>
    <row r="291" customFormat="false" ht="12.75" hidden="false" customHeight="false" outlineLevel="0" collapsed="false">
      <c r="A291" s="0" t="s">
        <v>29</v>
      </c>
      <c r="B291" s="0" t="n">
        <v>105</v>
      </c>
      <c r="C291" s="0" t="n">
        <v>8107</v>
      </c>
    </row>
    <row r="292" customFormat="false" ht="12.75" hidden="false" customHeight="false" outlineLevel="0" collapsed="false">
      <c r="A292" s="0" t="s">
        <v>30</v>
      </c>
      <c r="B292" s="0" t="n">
        <v>23</v>
      </c>
      <c r="C292" s="0" t="n">
        <v>8091</v>
      </c>
    </row>
    <row r="293" customFormat="false" ht="12.75" hidden="false" customHeight="false" outlineLevel="0" collapsed="false">
      <c r="A293" s="0" t="s">
        <v>31</v>
      </c>
      <c r="B293" s="0" t="n">
        <v>126</v>
      </c>
      <c r="C293" s="0" t="n">
        <v>7969</v>
      </c>
    </row>
    <row r="294" customFormat="false" ht="12.75" hidden="false" customHeight="false" outlineLevel="0" collapsed="false">
      <c r="A294" s="0" t="s">
        <v>32</v>
      </c>
      <c r="B294" s="0" t="n">
        <v>747</v>
      </c>
      <c r="C294" s="0" t="n">
        <v>7854</v>
      </c>
    </row>
    <row r="295" customFormat="false" ht="12.75" hidden="false" customHeight="false" outlineLevel="0" collapsed="false">
      <c r="A295" s="0" t="s">
        <v>33</v>
      </c>
      <c r="B295" s="0" t="n">
        <v>122</v>
      </c>
      <c r="C295" s="0" t="n">
        <v>8468</v>
      </c>
    </row>
    <row r="296" customFormat="false" ht="12.75" hidden="false" customHeight="false" outlineLevel="0" collapsed="false">
      <c r="A296" s="0" t="s">
        <v>34</v>
      </c>
      <c r="B296" s="0" t="n">
        <v>68</v>
      </c>
      <c r="C296" s="0" t="n">
        <v>8401</v>
      </c>
    </row>
    <row r="297" customFormat="false" ht="12.75" hidden="false" customHeight="false" outlineLevel="0" collapsed="false">
      <c r="A297" s="0" t="s">
        <v>35</v>
      </c>
      <c r="B297" s="0" t="n">
        <v>48</v>
      </c>
      <c r="C297" s="0" t="n">
        <v>9739</v>
      </c>
    </row>
    <row r="298" customFormat="false" ht="12.75" hidden="false" customHeight="false" outlineLevel="0" collapsed="false">
      <c r="A298" s="0" t="s">
        <v>36</v>
      </c>
      <c r="B298" s="0" t="n">
        <v>233</v>
      </c>
      <c r="C298" s="0" t="n">
        <v>9589</v>
      </c>
    </row>
    <row r="299" customFormat="false" ht="12.75" hidden="false" customHeight="false" outlineLevel="0" collapsed="false">
      <c r="A299" s="0" t="s">
        <v>37</v>
      </c>
      <c r="B299" s="0" t="n">
        <v>326</v>
      </c>
      <c r="C299" s="0" t="n">
        <v>9265</v>
      </c>
    </row>
    <row r="300" customFormat="false" ht="12.75" hidden="false" customHeight="false" outlineLevel="0" collapsed="false">
      <c r="A300" s="0" t="s">
        <v>38</v>
      </c>
      <c r="B300" s="0" t="n">
        <v>109</v>
      </c>
      <c r="C300" s="0" t="n">
        <v>9400</v>
      </c>
    </row>
    <row r="301" customFormat="false" ht="12.75" hidden="false" customHeight="false" outlineLevel="0" collapsed="false">
      <c r="A301" s="0" t="s">
        <v>39</v>
      </c>
      <c r="B301" s="0" t="n">
        <v>240</v>
      </c>
      <c r="C301" s="0" t="n">
        <v>9164</v>
      </c>
    </row>
    <row r="302" customFormat="false" ht="12.75" hidden="false" customHeight="false" outlineLevel="0" collapsed="false">
      <c r="A302" s="0" t="s">
        <v>40</v>
      </c>
      <c r="B302" s="0" t="n">
        <v>12</v>
      </c>
      <c r="C302" s="0" t="n">
        <v>9164</v>
      </c>
    </row>
    <row r="303" customFormat="false" ht="12.75" hidden="false" customHeight="false" outlineLevel="0" collapsed="false">
      <c r="A303" s="0" t="s">
        <v>41</v>
      </c>
      <c r="B303" s="0" t="n">
        <v>39</v>
      </c>
      <c r="C303" s="0" t="n">
        <v>9657</v>
      </c>
    </row>
    <row r="304" customFormat="false" ht="12.75" hidden="false" customHeight="false" outlineLevel="0" collapsed="false">
      <c r="A304" s="0" t="s">
        <v>42</v>
      </c>
      <c r="B304" s="0" t="n">
        <v>115</v>
      </c>
      <c r="C304" s="0" t="n">
        <v>9677</v>
      </c>
    </row>
    <row r="305" customFormat="false" ht="12.75" hidden="false" customHeight="false" outlineLevel="0" collapsed="false">
      <c r="A305" s="0" t="s">
        <v>43</v>
      </c>
      <c r="B305" s="0" t="n">
        <v>58</v>
      </c>
      <c r="C305" s="0" t="n">
        <v>9666</v>
      </c>
    </row>
    <row r="306" customFormat="false" ht="12.75" hidden="false" customHeight="false" outlineLevel="0" collapsed="false">
      <c r="A306" s="0" t="s">
        <v>44</v>
      </c>
      <c r="B306" s="3" t="n">
        <v>1396</v>
      </c>
      <c r="C306" s="0" t="n">
        <v>8271</v>
      </c>
    </row>
    <row r="307" customFormat="false" ht="12.75" hidden="false" customHeight="false" outlineLevel="0" collapsed="false">
      <c r="A307" s="0" t="s">
        <v>45</v>
      </c>
      <c r="B307" s="0" t="n">
        <v>281</v>
      </c>
      <c r="C307" s="0" t="n">
        <v>7997</v>
      </c>
    </row>
    <row r="308" customFormat="false" ht="12.75" hidden="false" customHeight="false" outlineLevel="0" collapsed="false">
      <c r="A308" s="0" t="s">
        <v>46</v>
      </c>
      <c r="B308" s="0" t="n">
        <v>13</v>
      </c>
      <c r="C308" s="0" t="n">
        <v>8052</v>
      </c>
    </row>
    <row r="309" customFormat="false" ht="12.75" hidden="false" customHeight="false" outlineLevel="0" collapsed="false">
      <c r="A309" s="0" t="s">
        <v>47</v>
      </c>
      <c r="B309" s="0" t="n">
        <v>100</v>
      </c>
      <c r="C309" s="0" t="n">
        <v>7954</v>
      </c>
    </row>
    <row r="310" customFormat="false" ht="12.75" hidden="false" customHeight="false" outlineLevel="0" collapsed="false">
      <c r="A310" s="0" t="s">
        <v>48</v>
      </c>
      <c r="B310" s="0" t="n">
        <v>164</v>
      </c>
      <c r="C310" s="0" t="n">
        <v>7936</v>
      </c>
    </row>
    <row r="311" customFormat="false" ht="12.75" hidden="false" customHeight="false" outlineLevel="0" collapsed="false">
      <c r="A311" s="0" t="s">
        <v>49</v>
      </c>
      <c r="B311" s="0" t="n">
        <v>10</v>
      </c>
      <c r="C311" s="0" t="n">
        <v>8093</v>
      </c>
    </row>
    <row r="312" customFormat="false" ht="12.75" hidden="false" customHeight="false" outlineLevel="0" collapsed="false">
      <c r="A312" s="0" t="s">
        <v>50</v>
      </c>
      <c r="B312" s="0" t="n">
        <v>149</v>
      </c>
      <c r="C312" s="0" t="n">
        <v>7978</v>
      </c>
    </row>
    <row r="313" customFormat="false" ht="12.75" hidden="false" customHeight="false" outlineLevel="0" collapsed="false">
      <c r="A313" s="0" t="s">
        <v>51</v>
      </c>
      <c r="B313" s="0" t="n">
        <v>692</v>
      </c>
      <c r="C313" s="0" t="n">
        <v>7293</v>
      </c>
    </row>
    <row r="314" customFormat="false" ht="12.75" hidden="false" customHeight="false" outlineLevel="0" collapsed="false">
      <c r="C314" s="0" t="n">
        <v>7324</v>
      </c>
    </row>
    <row r="315" customFormat="false" ht="12.75" hidden="false" customHeight="false" outlineLevel="0" collapsed="false">
      <c r="A315" s="0" t="s">
        <v>123</v>
      </c>
      <c r="B315" s="0" t="n">
        <v>177</v>
      </c>
      <c r="C315" s="0" t="n">
        <v>7148</v>
      </c>
    </row>
    <row r="316" customFormat="false" ht="12.75" hidden="false" customHeight="false" outlineLevel="0" collapsed="false">
      <c r="A316" s="0" t="s">
        <v>1</v>
      </c>
      <c r="B316" s="0" t="n">
        <v>10</v>
      </c>
      <c r="C316" s="0" t="n">
        <v>7138</v>
      </c>
    </row>
    <row r="317" customFormat="false" ht="12.75" hidden="false" customHeight="false" outlineLevel="0" collapsed="false">
      <c r="A317" s="0" t="s">
        <v>2</v>
      </c>
      <c r="B317" s="0" t="n">
        <v>6</v>
      </c>
      <c r="C317" s="0" t="n">
        <v>7214</v>
      </c>
    </row>
    <row r="318" customFormat="false" ht="12.75" hidden="false" customHeight="false" outlineLevel="0" collapsed="false">
      <c r="A318" s="0" t="s">
        <v>3</v>
      </c>
      <c r="B318" s="0" t="n">
        <v>27</v>
      </c>
      <c r="C318" s="0" t="n">
        <v>7192</v>
      </c>
    </row>
    <row r="319" customFormat="false" ht="12.75" hidden="false" customHeight="false" outlineLevel="0" collapsed="false">
      <c r="A319" s="0" t="s">
        <v>4</v>
      </c>
      <c r="B319" s="0" t="n">
        <v>6</v>
      </c>
      <c r="C319" s="0" t="n">
        <v>7186</v>
      </c>
    </row>
    <row r="320" customFormat="false" ht="12.75" hidden="false" customHeight="false" outlineLevel="0" collapsed="false">
      <c r="A320" s="0" t="s">
        <v>5</v>
      </c>
      <c r="B320" s="0" t="n">
        <v>190</v>
      </c>
      <c r="C320" s="0" t="n">
        <v>7001</v>
      </c>
    </row>
    <row r="321" customFormat="false" ht="12.75" hidden="false" customHeight="false" outlineLevel="0" collapsed="false">
      <c r="A321" s="0" t="s">
        <v>6</v>
      </c>
      <c r="B321" s="0" t="n">
        <v>13</v>
      </c>
      <c r="C321" s="0" t="n">
        <v>6988</v>
      </c>
    </row>
    <row r="322" customFormat="false" ht="12.75" hidden="false" customHeight="false" outlineLevel="0" collapsed="false">
      <c r="A322" s="0" t="s">
        <v>8</v>
      </c>
      <c r="B322" s="0" t="n">
        <v>32</v>
      </c>
      <c r="C322" s="0" t="n">
        <v>6969</v>
      </c>
    </row>
    <row r="323" customFormat="false" ht="12.75" hidden="false" customHeight="false" outlineLevel="0" collapsed="false">
      <c r="A323" s="0" t="s">
        <v>9</v>
      </c>
      <c r="B323" s="0" t="n">
        <v>44</v>
      </c>
      <c r="C323" s="0" t="n">
        <v>6926</v>
      </c>
    </row>
    <row r="324" customFormat="false" ht="12.75" hidden="false" customHeight="false" outlineLevel="0" collapsed="false">
      <c r="A324" s="0" t="s">
        <v>10</v>
      </c>
      <c r="B324" s="0" t="n">
        <v>246</v>
      </c>
      <c r="C324" s="0" t="n">
        <v>6731</v>
      </c>
    </row>
    <row r="325" customFormat="false" ht="12.75" hidden="false" customHeight="false" outlineLevel="0" collapsed="false">
      <c r="A325" s="0" t="s">
        <v>11</v>
      </c>
      <c r="B325" s="0" t="n">
        <v>77</v>
      </c>
      <c r="C325" s="0" t="n">
        <v>6757</v>
      </c>
    </row>
    <row r="326" customFormat="false" ht="12.75" hidden="false" customHeight="false" outlineLevel="0" collapsed="false">
      <c r="A326" s="0" t="s">
        <v>12</v>
      </c>
      <c r="B326" s="0" t="s">
        <v>156</v>
      </c>
      <c r="C326" s="0" t="n">
        <v>6810</v>
      </c>
    </row>
    <row r="327" customFormat="false" ht="12.75" hidden="false" customHeight="false" outlineLevel="0" collapsed="false">
      <c r="A327" s="0" t="s">
        <v>13</v>
      </c>
      <c r="B327" s="0" t="n">
        <v>3</v>
      </c>
      <c r="C327" s="0" t="n">
        <v>6812</v>
      </c>
    </row>
    <row r="328" customFormat="false" ht="12.75" hidden="false" customHeight="false" outlineLevel="0" collapsed="false">
      <c r="A328" s="0" t="s">
        <v>14</v>
      </c>
      <c r="B328" s="0" t="n">
        <v>21</v>
      </c>
      <c r="C328" s="0" t="n">
        <v>6792</v>
      </c>
    </row>
    <row r="329" customFormat="false" ht="12.75" hidden="false" customHeight="false" outlineLevel="0" collapsed="false">
      <c r="A329" s="0" t="s">
        <v>15</v>
      </c>
      <c r="B329" s="0" t="n">
        <v>34</v>
      </c>
      <c r="C329" s="0" t="n">
        <v>6759</v>
      </c>
    </row>
    <row r="330" customFormat="false" ht="12.75" hidden="false" customHeight="false" outlineLevel="0" collapsed="false">
      <c r="A330" s="0" t="s">
        <v>16</v>
      </c>
      <c r="B330" s="0" t="n">
        <v>5</v>
      </c>
      <c r="C330" s="0" t="n">
        <v>6754</v>
      </c>
    </row>
    <row r="331" customFormat="false" ht="12.75" hidden="false" customHeight="false" outlineLevel="0" collapsed="false">
      <c r="A331" s="0" t="s">
        <v>17</v>
      </c>
      <c r="B331" s="0" t="n">
        <v>5</v>
      </c>
      <c r="C331" s="0" t="n">
        <v>6756</v>
      </c>
    </row>
    <row r="332" customFormat="false" ht="12.75" hidden="false" customHeight="false" outlineLevel="0" collapsed="false">
      <c r="A332" s="0" t="s">
        <v>18</v>
      </c>
      <c r="B332" s="0" t="n">
        <v>2</v>
      </c>
      <c r="C332" s="0" t="n">
        <v>6765</v>
      </c>
    </row>
    <row r="333" customFormat="false" ht="12.75" hidden="false" customHeight="false" outlineLevel="0" collapsed="false">
      <c r="A333" s="0" t="s">
        <v>19</v>
      </c>
      <c r="B333" s="0" t="n">
        <v>22</v>
      </c>
      <c r="C333" s="0" t="n">
        <v>6743</v>
      </c>
    </row>
    <row r="334" customFormat="false" ht="12.75" hidden="false" customHeight="false" outlineLevel="0" collapsed="false">
      <c r="A334" s="0" t="s">
        <v>20</v>
      </c>
      <c r="B334" s="0" t="n">
        <v>199</v>
      </c>
      <c r="C334" s="0" t="n">
        <v>6546</v>
      </c>
    </row>
    <row r="335" customFormat="false" ht="12.75" hidden="false" customHeight="false" outlineLevel="0" collapsed="false">
      <c r="A335" s="0" t="s">
        <v>21</v>
      </c>
      <c r="B335" s="0" t="n">
        <v>321</v>
      </c>
      <c r="C335" s="0" t="n">
        <v>6225</v>
      </c>
    </row>
    <row r="336" customFormat="false" ht="12.75" hidden="false" customHeight="false" outlineLevel="0" collapsed="false">
      <c r="A336" s="0" t="s">
        <v>22</v>
      </c>
      <c r="B336" s="3" t="n">
        <v>1534</v>
      </c>
      <c r="C336" s="0" t="n">
        <v>4697</v>
      </c>
    </row>
    <row r="337" customFormat="false" ht="12.75" hidden="false" customHeight="false" outlineLevel="0" collapsed="false">
      <c r="A337" s="0" t="s">
        <v>23</v>
      </c>
      <c r="B337" s="0" t="n">
        <v>26</v>
      </c>
      <c r="C337" s="0" t="n">
        <v>5527</v>
      </c>
    </row>
    <row r="338" customFormat="false" ht="12.75" hidden="false" customHeight="false" outlineLevel="0" collapsed="false">
      <c r="A338" s="0" t="s">
        <v>24</v>
      </c>
      <c r="B338" s="0" t="n">
        <v>22</v>
      </c>
      <c r="C338" s="0" t="n">
        <v>5556</v>
      </c>
    </row>
    <row r="339" customFormat="false" ht="12.75" hidden="false" customHeight="false" outlineLevel="0" collapsed="false">
      <c r="A339" s="0" t="s">
        <v>25</v>
      </c>
      <c r="B339" s="0" t="n">
        <v>3</v>
      </c>
      <c r="C339" s="0" t="n">
        <v>5571</v>
      </c>
    </row>
    <row r="340" customFormat="false" ht="12.75" hidden="false" customHeight="false" outlineLevel="0" collapsed="false">
      <c r="A340" s="0" t="s">
        <v>26</v>
      </c>
      <c r="B340" s="0" t="n">
        <v>9</v>
      </c>
      <c r="C340" s="0" t="n">
        <v>5562</v>
      </c>
    </row>
    <row r="341" customFormat="false" ht="12.75" hidden="false" customHeight="false" outlineLevel="0" collapsed="false">
      <c r="A341" s="0" t="s">
        <v>27</v>
      </c>
      <c r="B341" s="0" t="n">
        <v>2</v>
      </c>
      <c r="C341" s="0" t="n">
        <v>5561</v>
      </c>
    </row>
    <row r="342" customFormat="false" ht="12.75" hidden="false" customHeight="false" outlineLevel="0" collapsed="false">
      <c r="A342" s="0" t="s">
        <v>28</v>
      </c>
      <c r="B342" s="0" t="n">
        <v>7</v>
      </c>
      <c r="C342" s="0" t="n">
        <v>5556</v>
      </c>
    </row>
    <row r="343" customFormat="false" ht="12.75" hidden="false" customHeight="false" outlineLevel="0" collapsed="false">
      <c r="A343" s="0" t="s">
        <v>29</v>
      </c>
      <c r="B343" s="0" t="n">
        <v>4</v>
      </c>
      <c r="C343" s="0" t="n">
        <v>5552</v>
      </c>
    </row>
    <row r="344" customFormat="false" ht="12.75" hidden="false" customHeight="false" outlineLevel="0" collapsed="false">
      <c r="A344" s="0" t="s">
        <v>30</v>
      </c>
      <c r="B344" s="0" t="n">
        <v>632</v>
      </c>
      <c r="C344" s="0" t="n">
        <v>4922</v>
      </c>
    </row>
    <row r="345" customFormat="false" ht="12.75" hidden="false" customHeight="false" outlineLevel="0" collapsed="false">
      <c r="A345" s="0" t="s">
        <v>31</v>
      </c>
      <c r="B345" s="0" t="n">
        <v>736</v>
      </c>
      <c r="C345" s="0" t="n">
        <v>4186</v>
      </c>
    </row>
    <row r="346" customFormat="false" ht="12.75" hidden="false" customHeight="false" outlineLevel="0" collapsed="false">
      <c r="A346" s="0" t="s">
        <v>32</v>
      </c>
      <c r="B346" s="0" t="n">
        <v>1</v>
      </c>
      <c r="C346" s="0" t="n">
        <v>4195</v>
      </c>
    </row>
    <row r="347" customFormat="false" ht="12.75" hidden="false" customHeight="false" outlineLevel="0" collapsed="false">
      <c r="A347" s="0" t="s">
        <v>33</v>
      </c>
      <c r="B347" s="3" t="n">
        <v>1386</v>
      </c>
      <c r="C347" s="0" t="n">
        <v>2979</v>
      </c>
    </row>
    <row r="348" customFormat="false" ht="12.75" hidden="false" customHeight="false" outlineLevel="0" collapsed="false">
      <c r="A348" s="0" t="s">
        <v>34</v>
      </c>
      <c r="B348" s="0" t="n">
        <v>83</v>
      </c>
      <c r="C348" s="0" t="n">
        <v>2897</v>
      </c>
    </row>
    <row r="349" customFormat="false" ht="12.75" hidden="false" customHeight="false" outlineLevel="0" collapsed="false">
      <c r="A349" s="0" t="s">
        <v>35</v>
      </c>
      <c r="B349" s="0" t="n">
        <v>2</v>
      </c>
      <c r="C349" s="0" t="n">
        <v>3392</v>
      </c>
    </row>
    <row r="350" customFormat="false" ht="12.75" hidden="false" customHeight="false" outlineLevel="0" collapsed="false">
      <c r="A350" s="0" t="s">
        <v>36</v>
      </c>
      <c r="B350" s="0" t="n">
        <v>244</v>
      </c>
      <c r="C350" s="0" t="n">
        <v>3193</v>
      </c>
    </row>
    <row r="351" customFormat="false" ht="12.75" hidden="false" customHeight="false" outlineLevel="0" collapsed="false">
      <c r="A351" s="0" t="s">
        <v>37</v>
      </c>
      <c r="B351" s="0" t="n">
        <v>4</v>
      </c>
      <c r="C351" s="0" t="n">
        <v>3189</v>
      </c>
    </row>
    <row r="352" customFormat="false" ht="12.75" hidden="false" customHeight="false" outlineLevel="0" collapsed="false">
      <c r="A352" s="0" t="s">
        <v>38</v>
      </c>
      <c r="B352" s="0" t="n">
        <v>12</v>
      </c>
      <c r="C352" s="0" t="n">
        <v>3238</v>
      </c>
    </row>
    <row r="353" customFormat="false" ht="12.75" hidden="false" customHeight="false" outlineLevel="0" collapsed="false">
      <c r="A353" s="0" t="s">
        <v>39</v>
      </c>
      <c r="B353" s="0" t="n">
        <v>532</v>
      </c>
      <c r="C353" s="0" t="n">
        <v>2706</v>
      </c>
    </row>
    <row r="354" customFormat="false" ht="12.75" hidden="false" customHeight="false" outlineLevel="0" collapsed="false">
      <c r="A354" s="0" t="s">
        <v>40</v>
      </c>
      <c r="B354" s="0" t="n">
        <v>135</v>
      </c>
      <c r="C354" s="0" t="n">
        <v>2571</v>
      </c>
    </row>
    <row r="355" customFormat="false" ht="12.75" hidden="false" customHeight="false" outlineLevel="0" collapsed="false">
      <c r="A355" s="0" t="s">
        <v>41</v>
      </c>
      <c r="B355" s="0" t="n">
        <v>47</v>
      </c>
      <c r="C355" s="0" t="n">
        <v>5216</v>
      </c>
    </row>
    <row r="356" customFormat="false" ht="12.75" hidden="false" customHeight="false" outlineLevel="0" collapsed="false">
      <c r="A356" s="0" t="s">
        <v>42</v>
      </c>
      <c r="B356" s="0" t="n">
        <v>1</v>
      </c>
      <c r="C356" s="0" t="n">
        <v>5221</v>
      </c>
    </row>
    <row r="357" customFormat="false" ht="12.75" hidden="false" customHeight="false" outlineLevel="0" collapsed="false">
      <c r="A357" s="0" t="s">
        <v>43</v>
      </c>
      <c r="B357" s="0" t="n">
        <v>7</v>
      </c>
      <c r="C357" s="0" t="n">
        <v>5223</v>
      </c>
    </row>
    <row r="358" customFormat="false" ht="12.75" hidden="false" customHeight="false" outlineLevel="0" collapsed="false">
      <c r="A358" s="0" t="s">
        <v>44</v>
      </c>
      <c r="B358" s="0" t="n">
        <v>68</v>
      </c>
      <c r="C358" s="0" t="n">
        <v>5155</v>
      </c>
    </row>
    <row r="359" customFormat="false" ht="12.75" hidden="false" customHeight="false" outlineLevel="0" collapsed="false">
      <c r="A359" s="0" t="s">
        <v>45</v>
      </c>
      <c r="B359" s="0" t="n">
        <v>2</v>
      </c>
      <c r="C359" s="0" t="n">
        <v>5206</v>
      </c>
    </row>
    <row r="360" customFormat="false" ht="12.75" hidden="false" customHeight="false" outlineLevel="0" collapsed="false">
      <c r="A360" s="0" t="s">
        <v>46</v>
      </c>
      <c r="B360" s="0" t="n">
        <v>146</v>
      </c>
      <c r="C360" s="0" t="n">
        <v>5060</v>
      </c>
    </row>
    <row r="361" customFormat="false" ht="12.75" hidden="false" customHeight="false" outlineLevel="0" collapsed="false">
      <c r="A361" s="0" t="s">
        <v>47</v>
      </c>
      <c r="B361" s="0" t="n">
        <v>167</v>
      </c>
      <c r="C361" s="0" t="n">
        <v>4893</v>
      </c>
    </row>
    <row r="362" customFormat="false" ht="12.75" hidden="false" customHeight="false" outlineLevel="0" collapsed="false">
      <c r="A362" s="0" t="s">
        <v>48</v>
      </c>
      <c r="B362" s="0" t="n">
        <v>34</v>
      </c>
      <c r="C362" s="0" t="n">
        <v>4864</v>
      </c>
    </row>
    <row r="363" customFormat="false" ht="12.75" hidden="false" customHeight="false" outlineLevel="0" collapsed="false">
      <c r="A363" s="0" t="s">
        <v>49</v>
      </c>
      <c r="B363" s="0" t="n">
        <v>7</v>
      </c>
      <c r="C363" s="0" t="n">
        <v>5214</v>
      </c>
    </row>
    <row r="364" customFormat="false" ht="12.75" hidden="false" customHeight="false" outlineLevel="0" collapsed="false">
      <c r="A364" s="0" t="s">
        <v>50</v>
      </c>
      <c r="B364" s="0" t="n">
        <v>31</v>
      </c>
      <c r="C364" s="0" t="n">
        <v>5184</v>
      </c>
    </row>
    <row r="365" customFormat="false" ht="12.75" hidden="false" customHeight="false" outlineLevel="0" collapsed="false">
      <c r="A365" s="0" t="s">
        <v>51</v>
      </c>
      <c r="B365" s="0" t="n">
        <v>1</v>
      </c>
      <c r="C365" s="0" t="n">
        <v>5205</v>
      </c>
    </row>
    <row r="366" customFormat="false" ht="12.75" hidden="false" customHeight="false" outlineLevel="0" collapsed="false">
      <c r="C366" s="0" t="n">
        <v>5214</v>
      </c>
    </row>
    <row r="367" customFormat="false" ht="12.75" hidden="false" customHeight="false" outlineLevel="0" collapsed="false">
      <c r="A367" s="0" t="s">
        <v>124</v>
      </c>
      <c r="B367" s="0" t="n">
        <v>82</v>
      </c>
      <c r="C367" s="0" t="n">
        <v>5132</v>
      </c>
    </row>
    <row r="368" customFormat="false" ht="12.75" hidden="false" customHeight="false" outlineLevel="0" collapsed="false">
      <c r="A368" s="0" t="s">
        <v>1</v>
      </c>
      <c r="B368" s="0" t="n">
        <v>5</v>
      </c>
      <c r="C368" s="0" t="n">
        <v>5127</v>
      </c>
    </row>
    <row r="369" customFormat="false" ht="12.75" hidden="false" customHeight="false" outlineLevel="0" collapsed="false">
      <c r="A369" s="0" t="s">
        <v>2</v>
      </c>
      <c r="B369" s="0" t="s">
        <v>156</v>
      </c>
      <c r="C369" s="0" t="n">
        <v>29210</v>
      </c>
    </row>
    <row r="370" customFormat="false" ht="12.75" hidden="false" customHeight="false" outlineLevel="0" collapsed="false">
      <c r="A370" s="0" t="s">
        <v>3</v>
      </c>
      <c r="B370" s="0" t="n">
        <v>5</v>
      </c>
      <c r="C370" s="0" t="n">
        <v>31139</v>
      </c>
    </row>
    <row r="371" customFormat="false" ht="12.75" hidden="false" customHeight="false" outlineLevel="0" collapsed="false">
      <c r="A371" s="0" t="s">
        <v>4</v>
      </c>
      <c r="B371" s="0" t="s">
        <v>156</v>
      </c>
      <c r="C371" s="0" t="n">
        <v>31155</v>
      </c>
    </row>
    <row r="372" customFormat="false" ht="12.75" hidden="false" customHeight="false" outlineLevel="0" collapsed="false">
      <c r="A372" s="0" t="s">
        <v>5</v>
      </c>
      <c r="B372" s="0" t="n">
        <v>13</v>
      </c>
      <c r="C372" s="0" t="n">
        <v>31236</v>
      </c>
    </row>
    <row r="373" customFormat="false" ht="12.75" hidden="false" customHeight="false" outlineLevel="0" collapsed="false">
      <c r="A373" s="0" t="s">
        <v>6</v>
      </c>
      <c r="B373" s="0" t="n">
        <v>1</v>
      </c>
      <c r="C373" s="0" t="n">
        <v>31394</v>
      </c>
    </row>
    <row r="374" customFormat="false" ht="12.75" hidden="false" customHeight="false" outlineLevel="0" collapsed="false">
      <c r="A374" s="0" t="s">
        <v>7</v>
      </c>
      <c r="B374" s="0" t="n">
        <v>51</v>
      </c>
      <c r="C374" s="0" t="n">
        <v>32292</v>
      </c>
    </row>
    <row r="375" customFormat="false" ht="12.75" hidden="false" customHeight="false" outlineLevel="0" collapsed="false">
      <c r="A375" s="0" t="s">
        <v>9</v>
      </c>
      <c r="B375" s="0" t="n">
        <v>103</v>
      </c>
      <c r="C375" s="0" t="n">
        <v>32504</v>
      </c>
    </row>
    <row r="376" customFormat="false" ht="12.75" hidden="false" customHeight="false" outlineLevel="0" collapsed="false">
      <c r="A376" s="0" t="s">
        <v>10</v>
      </c>
      <c r="B376" s="0" t="n">
        <v>53</v>
      </c>
      <c r="C376" s="0" t="n">
        <v>33151</v>
      </c>
    </row>
    <row r="377" customFormat="false" ht="12.75" hidden="false" customHeight="false" outlineLevel="0" collapsed="false">
      <c r="A377" s="0" t="s">
        <v>11</v>
      </c>
      <c r="B377" s="0" t="n">
        <v>5</v>
      </c>
      <c r="C377" s="0" t="n">
        <v>33247</v>
      </c>
    </row>
    <row r="378" customFormat="false" ht="12.75" hidden="false" customHeight="false" outlineLevel="0" collapsed="false">
      <c r="A378" s="0" t="s">
        <v>12</v>
      </c>
      <c r="B378" s="0" t="n">
        <v>1</v>
      </c>
      <c r="C378" s="0" t="n">
        <v>33350</v>
      </c>
    </row>
    <row r="379" customFormat="false" ht="12.75" hidden="false" customHeight="false" outlineLevel="0" collapsed="false">
      <c r="A379" s="0" t="s">
        <v>13</v>
      </c>
      <c r="B379" s="0" t="n">
        <v>1</v>
      </c>
      <c r="C379" s="0" t="n">
        <v>37917</v>
      </c>
    </row>
    <row r="380" customFormat="false" ht="12.75" hidden="false" customHeight="false" outlineLevel="0" collapsed="false">
      <c r="A380" s="0" t="s">
        <v>14</v>
      </c>
      <c r="B380" s="0" t="s">
        <v>156</v>
      </c>
      <c r="C380" s="0" t="n">
        <v>37945</v>
      </c>
    </row>
    <row r="381" customFormat="false" ht="12.75" hidden="false" customHeight="false" outlineLevel="0" collapsed="false">
      <c r="A381" s="0" t="s">
        <v>15</v>
      </c>
      <c r="B381" s="0" t="n">
        <v>7</v>
      </c>
      <c r="C381" s="0" t="n">
        <v>37961</v>
      </c>
    </row>
    <row r="382" customFormat="false" ht="12.75" hidden="false" customHeight="false" outlineLevel="0" collapsed="false">
      <c r="A382" s="0" t="s">
        <v>16</v>
      </c>
      <c r="B382" s="0" t="n">
        <v>11</v>
      </c>
      <c r="C382" s="0" t="n">
        <v>39771</v>
      </c>
    </row>
    <row r="383" customFormat="false" ht="12.75" hidden="false" customHeight="false" outlineLevel="0" collapsed="false">
      <c r="A383" s="0" t="s">
        <v>17</v>
      </c>
      <c r="B383" s="0" t="s">
        <v>156</v>
      </c>
      <c r="C383" s="0" t="n">
        <v>40768</v>
      </c>
    </row>
    <row r="384" customFormat="false" ht="12.75" hidden="false" customHeight="false" outlineLevel="0" collapsed="false">
      <c r="A384" s="0" t="s">
        <v>18</v>
      </c>
      <c r="B384" s="0" t="n">
        <v>2</v>
      </c>
      <c r="C384" s="0" t="n">
        <v>40924</v>
      </c>
    </row>
    <row r="385" customFormat="false" ht="12.75" hidden="false" customHeight="false" outlineLevel="0" collapsed="false">
      <c r="A385" s="0" t="s">
        <v>19</v>
      </c>
      <c r="B385" s="0" t="s">
        <v>156</v>
      </c>
      <c r="C385" s="0" t="n">
        <v>41056</v>
      </c>
    </row>
    <row r="386" customFormat="false" ht="12.75" hidden="false" customHeight="false" outlineLevel="0" collapsed="false">
      <c r="A386" s="0" t="s">
        <v>20</v>
      </c>
      <c r="B386" s="0" t="n">
        <v>6</v>
      </c>
      <c r="C386" s="0" t="n">
        <v>41744</v>
      </c>
    </row>
    <row r="387" customFormat="false" ht="12.75" hidden="false" customHeight="false" outlineLevel="0" collapsed="false">
      <c r="A387" s="0" t="s">
        <v>21</v>
      </c>
      <c r="B387" s="0" t="n">
        <v>856</v>
      </c>
      <c r="C387" s="0" t="n">
        <v>41877</v>
      </c>
    </row>
    <row r="388" customFormat="false" ht="12.75" hidden="false" customHeight="false" outlineLevel="0" collapsed="false">
      <c r="A388" s="0" t="s">
        <v>22</v>
      </c>
      <c r="B388" s="0" t="n">
        <v>51</v>
      </c>
      <c r="C388" s="0" t="n">
        <v>41977</v>
      </c>
    </row>
    <row r="389" customFormat="false" ht="12.75" hidden="false" customHeight="false" outlineLevel="0" collapsed="false">
      <c r="A389" s="0" t="s">
        <v>23</v>
      </c>
      <c r="B389" s="0" t="n">
        <v>18</v>
      </c>
      <c r="C389" s="0" t="n">
        <v>42707</v>
      </c>
    </row>
    <row r="390" customFormat="false" ht="12.75" hidden="false" customHeight="false" outlineLevel="0" collapsed="false">
      <c r="A390" s="0" t="s">
        <v>24</v>
      </c>
      <c r="B390" s="0" t="s">
        <v>156</v>
      </c>
      <c r="C390" s="0" t="n">
        <v>43893</v>
      </c>
    </row>
    <row r="391" customFormat="false" ht="12.75" hidden="false" customHeight="false" outlineLevel="0" collapsed="false">
      <c r="A391" s="0" t="s">
        <v>25</v>
      </c>
      <c r="B391" s="0" t="n">
        <v>1</v>
      </c>
      <c r="C391" s="0" t="n">
        <v>45250</v>
      </c>
    </row>
    <row r="392" customFormat="false" ht="12.75" hidden="false" customHeight="false" outlineLevel="0" collapsed="false">
      <c r="A392" s="0" t="s">
        <v>26</v>
      </c>
      <c r="B392" s="0" t="n">
        <v>2</v>
      </c>
      <c r="C392" s="0" t="n">
        <v>45668</v>
      </c>
    </row>
    <row r="393" customFormat="false" ht="12.75" hidden="false" customHeight="false" outlineLevel="0" collapsed="false">
      <c r="A393" s="0" t="s">
        <v>27</v>
      </c>
      <c r="B393" s="0" t="s">
        <v>156</v>
      </c>
      <c r="C393" s="0" t="n">
        <v>46228</v>
      </c>
    </row>
    <row r="394" customFormat="false" ht="12.75" hidden="false" customHeight="false" outlineLevel="0" collapsed="false">
      <c r="A394" s="0" t="s">
        <v>28</v>
      </c>
      <c r="B394" s="0" t="n">
        <v>2</v>
      </c>
      <c r="C394" s="0" t="n">
        <v>46750</v>
      </c>
    </row>
    <row r="395" customFormat="false" ht="12.75" hidden="false" customHeight="false" outlineLevel="0" collapsed="false">
      <c r="A395" s="0" t="s">
        <v>29</v>
      </c>
      <c r="B395" s="0" t="s">
        <v>156</v>
      </c>
      <c r="C395" s="0" t="n">
        <v>46772</v>
      </c>
    </row>
    <row r="396" customFormat="false" ht="12.75" hidden="false" customHeight="false" outlineLevel="0" collapsed="false">
      <c r="A396" s="0" t="s">
        <v>30</v>
      </c>
      <c r="B396" s="0" t="n">
        <v>10</v>
      </c>
      <c r="C396" s="0" t="n">
        <v>46850</v>
      </c>
    </row>
    <row r="397" customFormat="false" ht="12.75" hidden="false" customHeight="false" outlineLevel="0" collapsed="false">
      <c r="A397" s="0" t="s">
        <v>31</v>
      </c>
      <c r="B397" s="0" t="n">
        <v>170</v>
      </c>
      <c r="C397" s="0" t="n">
        <v>46729</v>
      </c>
    </row>
    <row r="398" customFormat="false" ht="12.75" hidden="false" customHeight="false" outlineLevel="0" collapsed="false">
      <c r="A398" s="0" t="s">
        <v>32</v>
      </c>
      <c r="B398" s="0" t="n">
        <v>1</v>
      </c>
      <c r="C398" s="0" t="n">
        <v>46915</v>
      </c>
    </row>
    <row r="399" customFormat="false" ht="12.75" hidden="false" customHeight="false" outlineLevel="0" collapsed="false">
      <c r="A399" s="0" t="s">
        <v>33</v>
      </c>
      <c r="B399" s="0" t="n">
        <v>497</v>
      </c>
      <c r="C399" s="0" t="n">
        <v>48393</v>
      </c>
    </row>
    <row r="400" customFormat="false" ht="12.75" hidden="false" customHeight="false" outlineLevel="0" collapsed="false">
      <c r="A400" s="0" t="s">
        <v>34</v>
      </c>
      <c r="B400" s="0" t="n">
        <v>45</v>
      </c>
      <c r="C400" s="0" t="n">
        <v>48411</v>
      </c>
    </row>
    <row r="401" customFormat="false" ht="12.75" hidden="false" customHeight="false" outlineLevel="0" collapsed="false">
      <c r="A401" s="0" t="s">
        <v>35</v>
      </c>
      <c r="B401" s="0" t="s">
        <v>156</v>
      </c>
      <c r="C401" s="0" t="n">
        <v>51540</v>
      </c>
    </row>
    <row r="402" customFormat="false" ht="12.75" hidden="false" customHeight="false" outlineLevel="0" collapsed="false">
      <c r="A402" s="0" t="s">
        <v>36</v>
      </c>
      <c r="B402" s="0" t="n">
        <v>61</v>
      </c>
      <c r="C402" s="0" t="n">
        <v>52654</v>
      </c>
    </row>
    <row r="403" customFormat="false" ht="12.75" hidden="false" customHeight="false" outlineLevel="0" collapsed="false">
      <c r="A403" s="0" t="s">
        <v>37</v>
      </c>
      <c r="B403" s="0" t="s">
        <v>156</v>
      </c>
      <c r="C403" s="0" t="n">
        <v>52685</v>
      </c>
    </row>
    <row r="404" customFormat="false" ht="12.75" hidden="false" customHeight="false" outlineLevel="0" collapsed="false">
      <c r="A404" s="0" t="s">
        <v>38</v>
      </c>
      <c r="B404" s="0" t="s">
        <v>156</v>
      </c>
      <c r="C404" s="0" t="n">
        <v>54315</v>
      </c>
    </row>
    <row r="405" customFormat="false" ht="12.75" hidden="false" customHeight="false" outlineLevel="0" collapsed="false">
      <c r="A405" s="0" t="s">
        <v>39</v>
      </c>
      <c r="B405" s="3" t="n">
        <v>2692</v>
      </c>
      <c r="C405" s="0" t="n">
        <v>51744</v>
      </c>
    </row>
    <row r="406" customFormat="false" ht="12.75" hidden="false" customHeight="false" outlineLevel="0" collapsed="false">
      <c r="A406" s="0" t="s">
        <v>40</v>
      </c>
      <c r="B406" s="0" t="n">
        <v>6</v>
      </c>
      <c r="C406" s="0" t="n">
        <v>51816</v>
      </c>
    </row>
    <row r="407" customFormat="false" ht="12.75" hidden="false" customHeight="false" outlineLevel="0" collapsed="false">
      <c r="A407" s="0" t="s">
        <v>41</v>
      </c>
      <c r="B407" s="0" t="n">
        <v>9</v>
      </c>
      <c r="C407" s="0" t="n">
        <v>53337</v>
      </c>
    </row>
    <row r="408" customFormat="false" ht="12.75" hidden="false" customHeight="false" outlineLevel="0" collapsed="false">
      <c r="A408" s="0" t="s">
        <v>42</v>
      </c>
      <c r="B408" s="0" t="s">
        <v>156</v>
      </c>
      <c r="C408" s="0" t="n">
        <v>53502</v>
      </c>
    </row>
    <row r="409" customFormat="false" ht="12.75" hidden="false" customHeight="false" outlineLevel="0" collapsed="false">
      <c r="A409" s="0" t="s">
        <v>43</v>
      </c>
      <c r="B409" s="0" t="n">
        <v>53</v>
      </c>
      <c r="C409" s="0" t="n">
        <v>54401</v>
      </c>
    </row>
    <row r="410" customFormat="false" ht="12.75" hidden="false" customHeight="false" outlineLevel="0" collapsed="false">
      <c r="A410" s="0" t="s">
        <v>44</v>
      </c>
      <c r="B410" s="0" t="s">
        <v>156</v>
      </c>
      <c r="C410" s="0" t="n">
        <v>54426</v>
      </c>
    </row>
    <row r="411" customFormat="false" ht="12.75" hidden="false" customHeight="false" outlineLevel="0" collapsed="false">
      <c r="A411" s="0" t="s">
        <v>45</v>
      </c>
      <c r="B411" s="0" t="s">
        <v>156</v>
      </c>
      <c r="C411" s="0" t="n">
        <v>55618</v>
      </c>
    </row>
    <row r="412" customFormat="false" ht="12.75" hidden="false" customHeight="false" outlineLevel="0" collapsed="false">
      <c r="A412" s="0" t="s">
        <v>46</v>
      </c>
      <c r="B412" s="0" t="n">
        <v>5</v>
      </c>
      <c r="C412" s="0" t="n">
        <v>57320</v>
      </c>
    </row>
    <row r="413" customFormat="false" ht="12.75" hidden="false" customHeight="false" outlineLevel="0" collapsed="false">
      <c r="A413" s="0" t="s">
        <v>47</v>
      </c>
      <c r="B413" s="0" t="n">
        <v>357</v>
      </c>
      <c r="C413" s="0" t="n">
        <v>57028</v>
      </c>
    </row>
    <row r="414" customFormat="false" ht="12.75" hidden="false" customHeight="false" outlineLevel="0" collapsed="false">
      <c r="A414" s="0" t="s">
        <v>48</v>
      </c>
      <c r="B414" s="0" t="n">
        <v>1</v>
      </c>
      <c r="C414" s="0" t="n">
        <v>57124</v>
      </c>
    </row>
    <row r="415" customFormat="false" ht="12.75" hidden="false" customHeight="false" outlineLevel="0" collapsed="false">
      <c r="A415" s="0" t="s">
        <v>49</v>
      </c>
      <c r="B415" s="0" t="n">
        <v>22</v>
      </c>
      <c r="C415" s="0" t="n">
        <v>58290</v>
      </c>
    </row>
    <row r="416" customFormat="false" ht="12.75" hidden="false" customHeight="false" outlineLevel="0" collapsed="false">
      <c r="A416" s="0" t="s">
        <v>50</v>
      </c>
      <c r="B416" s="0" t="n">
        <v>9</v>
      </c>
      <c r="C416" s="0" t="n">
        <v>58456</v>
      </c>
    </row>
    <row r="417" customFormat="false" ht="12.75" hidden="false" customHeight="false" outlineLevel="0" collapsed="false">
      <c r="A417" s="0" t="s">
        <v>51</v>
      </c>
      <c r="B417" s="0" t="s">
        <v>156</v>
      </c>
      <c r="C417" s="0" t="n">
        <v>58621</v>
      </c>
    </row>
    <row r="418" customFormat="false" ht="12.75" hidden="false" customHeight="false" outlineLevel="0" collapsed="false">
      <c r="C418" s="0" t="n">
        <v>59131</v>
      </c>
    </row>
    <row r="419" customFormat="false" ht="12.75" hidden="false" customHeight="false" outlineLevel="0" collapsed="false">
      <c r="A419" s="0" t="s">
        <v>125</v>
      </c>
      <c r="B419" s="3" t="n">
        <v>24083</v>
      </c>
      <c r="C419" s="0" t="n">
        <v>35061</v>
      </c>
    </row>
    <row r="420" customFormat="false" ht="12.75" hidden="false" customHeight="false" outlineLevel="0" collapsed="false">
      <c r="A420" s="0" t="s">
        <v>1</v>
      </c>
      <c r="B420" s="3" t="n">
        <v>1934</v>
      </c>
      <c r="C420" s="0" t="n">
        <v>33127</v>
      </c>
    </row>
    <row r="421" customFormat="false" ht="12.75" hidden="false" customHeight="false" outlineLevel="0" collapsed="false">
      <c r="A421" s="0" t="s">
        <v>2</v>
      </c>
      <c r="B421" s="0" t="n">
        <v>16</v>
      </c>
      <c r="C421" s="0" t="n">
        <v>42559</v>
      </c>
    </row>
    <row r="422" customFormat="false" ht="12.75" hidden="false" customHeight="false" outlineLevel="0" collapsed="false">
      <c r="A422" s="0" t="s">
        <v>3</v>
      </c>
      <c r="B422" s="0" t="n">
        <v>94</v>
      </c>
      <c r="C422" s="0" t="n">
        <v>45004</v>
      </c>
    </row>
    <row r="423" customFormat="false" ht="12.75" hidden="false" customHeight="false" outlineLevel="0" collapsed="false">
      <c r="A423" s="0" t="s">
        <v>4</v>
      </c>
      <c r="B423" s="0" t="n">
        <v>159</v>
      </c>
      <c r="C423" s="0" t="n">
        <v>44849</v>
      </c>
    </row>
    <row r="424" customFormat="false" ht="12.75" hidden="false" customHeight="false" outlineLevel="0" collapsed="false">
      <c r="A424" s="0" t="s">
        <v>5</v>
      </c>
      <c r="B424" s="0" t="n">
        <v>949</v>
      </c>
      <c r="C424" s="0" t="n">
        <v>43951</v>
      </c>
    </row>
    <row r="425" customFormat="false" ht="12.75" hidden="false" customHeight="false" outlineLevel="0" collapsed="false">
      <c r="A425" s="0" t="s">
        <v>6</v>
      </c>
      <c r="B425" s="0" t="n">
        <v>315</v>
      </c>
      <c r="C425" s="0" t="n">
        <v>43709</v>
      </c>
    </row>
    <row r="426" customFormat="false" ht="12.75" hidden="false" customHeight="false" outlineLevel="0" collapsed="false">
      <c r="A426" s="0" t="s">
        <v>7</v>
      </c>
      <c r="B426" s="0" t="n">
        <v>700</v>
      </c>
      <c r="C426" s="0" t="n">
        <v>43324</v>
      </c>
    </row>
    <row r="427" customFormat="false" ht="12.75" hidden="false" customHeight="false" outlineLevel="0" collapsed="false">
      <c r="A427" s="0" t="s">
        <v>8</v>
      </c>
      <c r="B427" s="0" t="n">
        <v>101</v>
      </c>
      <c r="C427" s="0" t="n">
        <v>43364</v>
      </c>
    </row>
    <row r="428" customFormat="false" ht="12.75" hidden="false" customHeight="false" outlineLevel="0" collapsed="false">
      <c r="A428" s="0" t="s">
        <v>9</v>
      </c>
      <c r="B428" s="0" t="n">
        <v>104</v>
      </c>
      <c r="C428" s="0" t="n">
        <v>43365</v>
      </c>
    </row>
    <row r="429" customFormat="false" ht="12.75" hidden="false" customHeight="false" outlineLevel="0" collapsed="false">
      <c r="A429" s="0" t="s">
        <v>11</v>
      </c>
      <c r="B429" s="3" t="n">
        <v>4568</v>
      </c>
      <c r="C429" s="0" t="n">
        <v>38826</v>
      </c>
    </row>
    <row r="430" customFormat="false" ht="12.75" hidden="false" customHeight="false" outlineLevel="0" collapsed="false">
      <c r="A430" s="0" t="s">
        <v>12</v>
      </c>
      <c r="B430" s="0" t="n">
        <v>28</v>
      </c>
      <c r="C430" s="0" t="n">
        <v>38846</v>
      </c>
    </row>
    <row r="431" customFormat="false" ht="12.75" hidden="false" customHeight="false" outlineLevel="0" collapsed="false">
      <c r="A431" s="0" t="s">
        <v>13</v>
      </c>
      <c r="B431" s="0" t="n">
        <v>23</v>
      </c>
      <c r="C431" s="0" t="n">
        <v>42125</v>
      </c>
    </row>
    <row r="432" customFormat="false" ht="12.75" hidden="false" customHeight="false" outlineLevel="0" collapsed="false">
      <c r="A432" s="0" t="s">
        <v>14</v>
      </c>
      <c r="B432" s="3" t="n">
        <v>1821</v>
      </c>
      <c r="C432" s="0" t="n">
        <v>40308</v>
      </c>
    </row>
    <row r="433" customFormat="false" ht="12.75" hidden="false" customHeight="false" outlineLevel="0" collapsed="false">
      <c r="A433" s="0" t="s">
        <v>15</v>
      </c>
      <c r="B433" s="0" t="n">
        <v>997</v>
      </c>
      <c r="C433" s="0" t="n">
        <v>39315</v>
      </c>
    </row>
    <row r="434" customFormat="false" ht="12.75" hidden="false" customHeight="false" outlineLevel="0" collapsed="false">
      <c r="A434" s="0" t="s">
        <v>16</v>
      </c>
      <c r="B434" s="0" t="n">
        <v>158</v>
      </c>
      <c r="C434" s="0" t="n">
        <v>39467</v>
      </c>
    </row>
    <row r="435" customFormat="false" ht="12.75" hidden="false" customHeight="false" outlineLevel="0" collapsed="false">
      <c r="A435" s="0" t="s">
        <v>17</v>
      </c>
      <c r="B435" s="0" t="n">
        <v>132</v>
      </c>
      <c r="C435" s="0" t="n">
        <v>39479</v>
      </c>
    </row>
    <row r="436" customFormat="false" ht="12.75" hidden="false" customHeight="false" outlineLevel="0" collapsed="false">
      <c r="A436" s="0" t="s">
        <v>18</v>
      </c>
      <c r="B436" s="0" t="n">
        <v>694</v>
      </c>
      <c r="C436" s="0" t="n">
        <v>38868</v>
      </c>
    </row>
    <row r="437" customFormat="false" ht="12.75" hidden="false" customHeight="false" outlineLevel="0" collapsed="false">
      <c r="A437" s="0" t="s">
        <v>19</v>
      </c>
      <c r="B437" s="0" t="n">
        <v>989</v>
      </c>
      <c r="C437" s="0" t="n">
        <v>37950</v>
      </c>
    </row>
    <row r="438" customFormat="false" ht="12.75" hidden="false" customHeight="false" outlineLevel="0" collapsed="false">
      <c r="A438" s="0" t="s">
        <v>20</v>
      </c>
      <c r="B438" s="0" t="n">
        <v>151</v>
      </c>
      <c r="C438" s="0" t="n">
        <v>38116</v>
      </c>
    </row>
    <row r="439" customFormat="false" ht="12.75" hidden="false" customHeight="false" outlineLevel="0" collapsed="false">
      <c r="A439" s="0" t="s">
        <v>21</v>
      </c>
      <c r="B439" s="0" t="n">
        <v>748</v>
      </c>
      <c r="C439" s="0" t="n">
        <v>37622</v>
      </c>
    </row>
    <row r="440" customFormat="false" ht="12.75" hidden="false" customHeight="false" outlineLevel="0" collapsed="false">
      <c r="A440" s="0" t="s">
        <v>22</v>
      </c>
      <c r="B440" s="3" t="n">
        <v>1186</v>
      </c>
      <c r="C440" s="0" t="n">
        <v>36453</v>
      </c>
    </row>
    <row r="441" customFormat="false" ht="12.75" hidden="false" customHeight="false" outlineLevel="0" collapsed="false">
      <c r="A441" s="0" t="s">
        <v>23</v>
      </c>
      <c r="B441" s="3" t="n">
        <v>1358</v>
      </c>
      <c r="C441" s="0" t="n">
        <v>35395</v>
      </c>
    </row>
    <row r="442" customFormat="false" ht="12.75" hidden="false" customHeight="false" outlineLevel="0" collapsed="false">
      <c r="A442" s="0" t="s">
        <v>24</v>
      </c>
      <c r="B442" s="0" t="n">
        <v>420</v>
      </c>
      <c r="C442" s="0" t="n">
        <v>35155</v>
      </c>
    </row>
    <row r="443" customFormat="false" ht="12.75" hidden="false" customHeight="false" outlineLevel="0" collapsed="false">
      <c r="A443" s="0" t="s">
        <v>25</v>
      </c>
      <c r="B443" s="0" t="n">
        <v>560</v>
      </c>
      <c r="C443" s="0" t="n">
        <v>35093</v>
      </c>
    </row>
    <row r="444" customFormat="false" ht="12.75" hidden="false" customHeight="false" outlineLevel="0" collapsed="false">
      <c r="A444" s="0" t="s">
        <v>26</v>
      </c>
      <c r="B444" s="0" t="n">
        <v>524</v>
      </c>
      <c r="C444" s="0" t="n">
        <v>34602</v>
      </c>
    </row>
    <row r="445" customFormat="false" ht="12.75" hidden="false" customHeight="false" outlineLevel="0" collapsed="false">
      <c r="A445" s="0" t="s">
        <v>27</v>
      </c>
      <c r="B445" s="0" t="n">
        <v>22</v>
      </c>
      <c r="C445" s="0" t="n">
        <v>34832</v>
      </c>
    </row>
    <row r="446" customFormat="false" ht="12.75" hidden="false" customHeight="false" outlineLevel="0" collapsed="false">
      <c r="A446" s="0" t="s">
        <v>28</v>
      </c>
      <c r="B446" s="0" t="n">
        <v>88</v>
      </c>
      <c r="C446" s="0" t="n">
        <v>34959</v>
      </c>
    </row>
    <row r="447" customFormat="false" ht="12.75" hidden="false" customHeight="false" outlineLevel="0" collapsed="false">
      <c r="A447" s="0" t="s">
        <v>29</v>
      </c>
      <c r="B447" s="0" t="n">
        <v>49</v>
      </c>
      <c r="C447" s="0" t="n">
        <v>34915</v>
      </c>
    </row>
    <row r="448" customFormat="false" ht="12.75" hidden="false" customHeight="false" outlineLevel="0" collapsed="false">
      <c r="A448" s="0" t="s">
        <v>30</v>
      </c>
      <c r="B448" s="0" t="n">
        <v>187</v>
      </c>
      <c r="C448" s="0" t="n">
        <v>34757</v>
      </c>
    </row>
    <row r="449" customFormat="false" ht="12.75" hidden="false" customHeight="false" outlineLevel="0" collapsed="false">
      <c r="A449" s="0" t="s">
        <v>31</v>
      </c>
      <c r="B449" s="3" t="n">
        <v>1975</v>
      </c>
      <c r="C449" s="0" t="n">
        <v>32794</v>
      </c>
    </row>
    <row r="450" customFormat="false" ht="12.75" hidden="false" customHeight="false" outlineLevel="0" collapsed="false">
      <c r="A450" s="0" t="s">
        <v>32</v>
      </c>
      <c r="B450" s="0" t="n">
        <v>63</v>
      </c>
      <c r="C450" s="0" t="n">
        <v>32753</v>
      </c>
    </row>
    <row r="451" customFormat="false" ht="12.75" hidden="false" customHeight="false" outlineLevel="0" collapsed="false">
      <c r="A451" s="0" t="s">
        <v>33</v>
      </c>
      <c r="B451" s="3" t="n">
        <v>3129</v>
      </c>
      <c r="C451" s="0" t="n">
        <v>29960</v>
      </c>
    </row>
    <row r="452" customFormat="false" ht="12.75" hidden="false" customHeight="false" outlineLevel="0" collapsed="false">
      <c r="A452" s="0" t="s">
        <v>34</v>
      </c>
      <c r="B452" s="3" t="n">
        <v>1175</v>
      </c>
      <c r="C452" s="0" t="n">
        <v>28805</v>
      </c>
    </row>
    <row r="453" customFormat="false" ht="12.75" hidden="false" customHeight="false" outlineLevel="0" collapsed="false">
      <c r="A453" s="0" t="s">
        <v>35</v>
      </c>
      <c r="B453" s="0" t="n">
        <v>31</v>
      </c>
      <c r="C453" s="0" t="n">
        <v>29212</v>
      </c>
    </row>
    <row r="454" customFormat="false" ht="12.75" hidden="false" customHeight="false" outlineLevel="0" collapsed="false">
      <c r="A454" s="0" t="s">
        <v>36</v>
      </c>
      <c r="B454" s="3" t="n">
        <v>1630</v>
      </c>
      <c r="C454" s="0" t="n">
        <v>29416</v>
      </c>
    </row>
    <row r="455" customFormat="false" ht="12.75" hidden="false" customHeight="false" outlineLevel="0" collapsed="false">
      <c r="A455" s="0" t="s">
        <v>37</v>
      </c>
      <c r="B455" s="0" t="n">
        <v>121</v>
      </c>
      <c r="C455" s="0" t="n">
        <v>29300</v>
      </c>
    </row>
    <row r="456" customFormat="false" ht="12.75" hidden="false" customHeight="false" outlineLevel="0" collapsed="false">
      <c r="A456" s="0" t="s">
        <v>38</v>
      </c>
      <c r="B456" s="0" t="n">
        <v>78</v>
      </c>
      <c r="C456" s="0" t="n">
        <v>29745</v>
      </c>
    </row>
    <row r="457" customFormat="false" ht="12.75" hidden="false" customHeight="false" outlineLevel="0" collapsed="false">
      <c r="A457" s="0" t="s">
        <v>39</v>
      </c>
      <c r="B457" s="3" t="n">
        <v>1530</v>
      </c>
      <c r="C457" s="0" t="n">
        <v>28278</v>
      </c>
    </row>
    <row r="458" customFormat="false" ht="12.75" hidden="false" customHeight="false" outlineLevel="0" collapsed="false">
      <c r="A458" s="0" t="s">
        <v>40</v>
      </c>
      <c r="B458" s="0" t="n">
        <v>165</v>
      </c>
      <c r="C458" s="0" t="n">
        <v>28129</v>
      </c>
    </row>
    <row r="459" customFormat="false" ht="12.75" hidden="false" customHeight="false" outlineLevel="0" collapsed="false">
      <c r="A459" s="0" t="s">
        <v>41</v>
      </c>
      <c r="B459" s="0" t="n">
        <v>952</v>
      </c>
      <c r="C459" s="0" t="n">
        <v>27393</v>
      </c>
    </row>
    <row r="460" customFormat="false" ht="12.75" hidden="false" customHeight="false" outlineLevel="0" collapsed="false">
      <c r="A460" s="0" t="s">
        <v>42</v>
      </c>
      <c r="B460" s="0" t="n">
        <v>25</v>
      </c>
      <c r="C460" s="0" t="n">
        <v>27379</v>
      </c>
    </row>
    <row r="461" customFormat="false" ht="12.75" hidden="false" customHeight="false" outlineLevel="0" collapsed="false">
      <c r="A461" s="0" t="s">
        <v>43</v>
      </c>
      <c r="B461" s="3" t="n">
        <v>1192</v>
      </c>
      <c r="C461" s="0" t="n">
        <v>28321</v>
      </c>
    </row>
    <row r="462" customFormat="false" ht="12.75" hidden="false" customHeight="false" outlineLevel="0" collapsed="false">
      <c r="A462" s="0" t="s">
        <v>44</v>
      </c>
      <c r="B462" s="3" t="n">
        <v>1707</v>
      </c>
      <c r="C462" s="0" t="n">
        <v>26617</v>
      </c>
    </row>
    <row r="463" customFormat="false" ht="12.75" hidden="false" customHeight="false" outlineLevel="0" collapsed="false">
      <c r="A463" s="0" t="s">
        <v>45</v>
      </c>
      <c r="B463" s="0" t="n">
        <v>65</v>
      </c>
      <c r="C463" s="0" t="n">
        <v>29525</v>
      </c>
    </row>
    <row r="464" customFormat="false" ht="12.75" hidden="false" customHeight="false" outlineLevel="0" collapsed="false">
      <c r="A464" s="0" t="s">
        <v>46</v>
      </c>
      <c r="B464" s="0" t="n">
        <v>97</v>
      </c>
      <c r="C464" s="0" t="n">
        <v>29805</v>
      </c>
    </row>
    <row r="465" customFormat="false" ht="12.75" hidden="false" customHeight="false" outlineLevel="0" collapsed="false">
      <c r="A465" s="0" t="s">
        <v>47</v>
      </c>
      <c r="B465" s="3" t="n">
        <v>1188</v>
      </c>
      <c r="C465" s="0" t="n">
        <v>28643</v>
      </c>
    </row>
    <row r="466" customFormat="false" ht="12.75" hidden="false" customHeight="false" outlineLevel="0" collapsed="false">
      <c r="A466" s="0" t="s">
        <v>48</v>
      </c>
      <c r="B466" s="0" t="n">
        <v>175</v>
      </c>
      <c r="C466" s="0" t="n">
        <v>28474</v>
      </c>
    </row>
    <row r="467" customFormat="false" ht="12.75" hidden="false" customHeight="false" outlineLevel="0" collapsed="false">
      <c r="A467" s="0" t="s">
        <v>49</v>
      </c>
      <c r="B467" s="0" t="n">
        <v>165</v>
      </c>
      <c r="C467" s="0" t="n">
        <v>28917</v>
      </c>
    </row>
    <row r="468" customFormat="false" ht="12.75" hidden="false" customHeight="false" outlineLevel="0" collapsed="false">
      <c r="A468" s="0" t="s">
        <v>50</v>
      </c>
      <c r="B468" s="0" t="n">
        <v>510</v>
      </c>
      <c r="C468" s="0" t="n">
        <v>28488</v>
      </c>
    </row>
    <row r="469" customFormat="false" ht="12.75" hidden="false" customHeight="false" outlineLevel="0" collapsed="false">
      <c r="A469" s="0" t="s">
        <v>51</v>
      </c>
      <c r="B469" s="0" t="n">
        <v>13</v>
      </c>
      <c r="C469" s="0" t="n">
        <v>28537</v>
      </c>
    </row>
    <row r="470" customFormat="false" ht="12.75" hidden="false" customHeight="false" outlineLevel="0" collapsed="false">
      <c r="C470" s="0" t="n">
        <v>28629</v>
      </c>
    </row>
    <row r="471" customFormat="false" ht="12.75" hidden="false" customHeight="false" outlineLevel="0" collapsed="false">
      <c r="A471" s="0" t="s">
        <v>126</v>
      </c>
      <c r="B471" s="3" t="n">
        <v>9448</v>
      </c>
      <c r="C471" s="0" t="n">
        <v>19185</v>
      </c>
    </row>
    <row r="472" customFormat="false" ht="12.75" hidden="false" customHeight="false" outlineLevel="0" collapsed="false">
      <c r="A472" s="0" t="s">
        <v>1</v>
      </c>
      <c r="B472" s="3" t="n">
        <v>2539</v>
      </c>
      <c r="C472" s="0" t="n">
        <v>17968</v>
      </c>
    </row>
    <row r="473" customFormat="false" ht="12.75" hidden="false" customHeight="false" outlineLevel="0" collapsed="false">
      <c r="A473" s="0" t="s">
        <v>2</v>
      </c>
      <c r="B473" s="0" t="n">
        <v>4</v>
      </c>
      <c r="C473" s="0" t="n">
        <v>17967</v>
      </c>
    </row>
    <row r="474" customFormat="false" ht="12.75" hidden="false" customHeight="false" outlineLevel="0" collapsed="false">
      <c r="A474" s="0" t="s">
        <v>3</v>
      </c>
      <c r="B474" s="0" t="n">
        <v>51</v>
      </c>
      <c r="C474" s="0" t="n">
        <v>17939</v>
      </c>
    </row>
    <row r="475" customFormat="false" ht="12.75" hidden="false" customHeight="false" outlineLevel="0" collapsed="false">
      <c r="A475" s="0" t="s">
        <v>4</v>
      </c>
      <c r="B475" s="0" t="n">
        <v>73</v>
      </c>
      <c r="C475" s="0" t="n">
        <v>17955</v>
      </c>
    </row>
    <row r="476" customFormat="false" ht="12.75" hidden="false" customHeight="false" outlineLevel="0" collapsed="false">
      <c r="A476" s="0" t="s">
        <v>5</v>
      </c>
      <c r="B476" s="0" t="n">
        <v>315</v>
      </c>
      <c r="C476" s="0" t="n">
        <v>17644</v>
      </c>
    </row>
    <row r="477" customFormat="false" ht="12.75" hidden="false" customHeight="false" outlineLevel="0" collapsed="false">
      <c r="A477" s="0" t="s">
        <v>6</v>
      </c>
      <c r="B477" s="0" t="n">
        <v>141</v>
      </c>
      <c r="C477" s="0" t="n">
        <v>19033</v>
      </c>
    </row>
    <row r="478" customFormat="false" ht="12.75" hidden="false" customHeight="false" outlineLevel="0" collapsed="false">
      <c r="A478" s="0" t="s">
        <v>7</v>
      </c>
      <c r="B478" s="0" t="n">
        <v>105</v>
      </c>
      <c r="C478" s="0" t="n">
        <v>18966</v>
      </c>
    </row>
    <row r="479" customFormat="false" ht="12.75" hidden="false" customHeight="false" outlineLevel="0" collapsed="false">
      <c r="A479" s="0" t="s">
        <v>8</v>
      </c>
      <c r="B479" s="0" t="n">
        <v>29</v>
      </c>
      <c r="C479" s="0" t="n">
        <v>18964</v>
      </c>
    </row>
    <row r="480" customFormat="false" ht="12.75" hidden="false" customHeight="false" outlineLevel="0" collapsed="false">
      <c r="A480" s="0" t="s">
        <v>9</v>
      </c>
      <c r="B480" s="0" t="n">
        <v>48</v>
      </c>
      <c r="C480" s="0" t="n">
        <v>18919</v>
      </c>
    </row>
    <row r="481" customFormat="false" ht="12.75" hidden="false" customHeight="false" outlineLevel="0" collapsed="false">
      <c r="A481" s="0" t="s">
        <v>10</v>
      </c>
      <c r="B481" s="3" t="n">
        <v>3302</v>
      </c>
      <c r="C481" s="0" t="n">
        <v>15621</v>
      </c>
    </row>
    <row r="482" customFormat="false" ht="12.75" hidden="false" customHeight="false" outlineLevel="0" collapsed="false">
      <c r="A482" s="0" t="s">
        <v>12</v>
      </c>
      <c r="B482" s="0" t="n">
        <v>4</v>
      </c>
      <c r="C482" s="0" t="n">
        <v>15641</v>
      </c>
    </row>
    <row r="483" customFormat="false" ht="12.75" hidden="false" customHeight="false" outlineLevel="0" collapsed="false">
      <c r="A483" s="0" t="s">
        <v>13</v>
      </c>
      <c r="B483" s="0" t="n">
        <v>4</v>
      </c>
      <c r="C483" s="0" t="n">
        <v>15663</v>
      </c>
    </row>
    <row r="484" customFormat="false" ht="12.75" hidden="false" customHeight="false" outlineLevel="0" collapsed="false">
      <c r="A484" s="0" t="s">
        <v>14</v>
      </c>
      <c r="B484" s="0" t="n">
        <v>310</v>
      </c>
      <c r="C484" s="0" t="n">
        <v>15370</v>
      </c>
    </row>
    <row r="485" customFormat="false" ht="12.75" hidden="false" customHeight="false" outlineLevel="0" collapsed="false">
      <c r="A485" s="0" t="s">
        <v>15</v>
      </c>
      <c r="B485" s="0" t="n">
        <v>144</v>
      </c>
      <c r="C485" s="0" t="n">
        <v>15368</v>
      </c>
    </row>
    <row r="486" customFormat="false" ht="12.75" hidden="false" customHeight="false" outlineLevel="0" collapsed="false">
      <c r="A486" s="0" t="s">
        <v>16</v>
      </c>
      <c r="B486" s="0" t="n">
        <v>83</v>
      </c>
      <c r="C486" s="0" t="n">
        <v>15307</v>
      </c>
    </row>
    <row r="487" customFormat="false" ht="12.75" hidden="false" customHeight="false" outlineLevel="0" collapsed="false">
      <c r="A487" s="0" t="s">
        <v>17</v>
      </c>
      <c r="B487" s="0" t="n">
        <v>71</v>
      </c>
      <c r="C487" s="0" t="n">
        <v>15257</v>
      </c>
    </row>
    <row r="488" customFormat="false" ht="12.75" hidden="false" customHeight="false" outlineLevel="0" collapsed="false">
      <c r="A488" s="0" t="s">
        <v>18</v>
      </c>
      <c r="B488" s="0" t="n">
        <v>317</v>
      </c>
      <c r="C488" s="0" t="n">
        <v>14959</v>
      </c>
    </row>
    <row r="489" customFormat="false" ht="12.75" hidden="false" customHeight="false" outlineLevel="0" collapsed="false">
      <c r="A489" s="0" t="s">
        <v>19</v>
      </c>
      <c r="B489" s="0" t="n">
        <v>254</v>
      </c>
      <c r="C489" s="0" t="n">
        <v>14708</v>
      </c>
    </row>
    <row r="490" customFormat="false" ht="12.75" hidden="false" customHeight="false" outlineLevel="0" collapsed="false">
      <c r="A490" s="0" t="s">
        <v>20</v>
      </c>
      <c r="B490" s="0" t="n">
        <v>17</v>
      </c>
      <c r="C490" s="0" t="n">
        <v>14711</v>
      </c>
    </row>
    <row r="491" customFormat="false" ht="12.75" hidden="false" customHeight="false" outlineLevel="0" collapsed="false">
      <c r="A491" s="0" t="s">
        <v>21</v>
      </c>
      <c r="B491" s="0" t="n">
        <v>300</v>
      </c>
      <c r="C491" s="0" t="n">
        <v>14418</v>
      </c>
    </row>
    <row r="492" customFormat="false" ht="12.75" hidden="false" customHeight="false" outlineLevel="0" collapsed="false">
      <c r="A492" s="0" t="s">
        <v>22</v>
      </c>
      <c r="B492" s="0" t="n">
        <v>180</v>
      </c>
      <c r="C492" s="0" t="n">
        <v>14272</v>
      </c>
    </row>
    <row r="493" customFormat="false" ht="12.75" hidden="false" customHeight="false" outlineLevel="0" collapsed="false">
      <c r="A493" s="0" t="s">
        <v>23</v>
      </c>
      <c r="B493" s="0" t="n">
        <v>498</v>
      </c>
      <c r="C493" s="0" t="n">
        <v>13795</v>
      </c>
    </row>
    <row r="494" customFormat="false" ht="12.75" hidden="false" customHeight="false" outlineLevel="0" collapsed="false">
      <c r="A494" s="0" t="s">
        <v>24</v>
      </c>
      <c r="B494" s="0" t="n">
        <v>33</v>
      </c>
      <c r="C494" s="0" t="n">
        <v>13811</v>
      </c>
    </row>
    <row r="495" customFormat="false" ht="12.75" hidden="false" customHeight="false" outlineLevel="0" collapsed="false">
      <c r="A495" s="0" t="s">
        <v>25</v>
      </c>
      <c r="B495" s="0" t="n">
        <v>252</v>
      </c>
      <c r="C495" s="0" t="n">
        <v>13615</v>
      </c>
    </row>
    <row r="496" customFormat="false" ht="12.75" hidden="false" customHeight="false" outlineLevel="0" collapsed="false">
      <c r="A496" s="0" t="s">
        <v>26</v>
      </c>
      <c r="B496" s="0" t="n">
        <v>215</v>
      </c>
      <c r="C496" s="0" t="n">
        <v>13418</v>
      </c>
    </row>
    <row r="497" customFormat="false" ht="12.75" hidden="false" customHeight="false" outlineLevel="0" collapsed="false">
      <c r="A497" s="0" t="s">
        <v>27</v>
      </c>
      <c r="B497" s="0" t="n">
        <v>5</v>
      </c>
      <c r="C497" s="0" t="n">
        <v>13441</v>
      </c>
    </row>
    <row r="498" customFormat="false" ht="12.75" hidden="false" customHeight="false" outlineLevel="0" collapsed="false">
      <c r="A498" s="0" t="s">
        <v>28</v>
      </c>
      <c r="B498" s="0" t="n">
        <v>29</v>
      </c>
      <c r="C498" s="0" t="n">
        <v>13423</v>
      </c>
    </row>
    <row r="499" customFormat="false" ht="12.75" hidden="false" customHeight="false" outlineLevel="0" collapsed="false">
      <c r="A499" s="0" t="s">
        <v>29</v>
      </c>
      <c r="B499" s="0" t="n">
        <v>12</v>
      </c>
      <c r="C499" s="0" t="n">
        <v>13426</v>
      </c>
    </row>
    <row r="500" customFormat="false" ht="12.75" hidden="false" customHeight="false" outlineLevel="0" collapsed="false">
      <c r="A500" s="0" t="s">
        <v>30</v>
      </c>
      <c r="B500" s="0" t="n">
        <v>22</v>
      </c>
      <c r="C500" s="0" t="n">
        <v>13439</v>
      </c>
    </row>
    <row r="501" customFormat="false" ht="12.75" hidden="false" customHeight="false" outlineLevel="0" collapsed="false">
      <c r="A501" s="0" t="s">
        <v>31</v>
      </c>
      <c r="B501" s="0" t="n">
        <v>336</v>
      </c>
      <c r="C501" s="0" t="n">
        <v>13107</v>
      </c>
    </row>
    <row r="502" customFormat="false" ht="12.75" hidden="false" customHeight="false" outlineLevel="0" collapsed="false">
      <c r="A502" s="0" t="s">
        <v>32</v>
      </c>
      <c r="B502" s="0" t="n">
        <v>20</v>
      </c>
      <c r="C502" s="0" t="n">
        <v>13135</v>
      </c>
    </row>
    <row r="503" customFormat="false" ht="12.75" hidden="false" customHeight="false" outlineLevel="0" collapsed="false">
      <c r="A503" s="0" t="s">
        <v>33</v>
      </c>
      <c r="B503" s="0" t="n">
        <v>438</v>
      </c>
      <c r="C503" s="0" t="n">
        <v>12699</v>
      </c>
    </row>
    <row r="504" customFormat="false" ht="12.75" hidden="false" customHeight="false" outlineLevel="0" collapsed="false">
      <c r="A504" s="0" t="s">
        <v>34</v>
      </c>
      <c r="B504" s="3" t="n">
        <v>1834</v>
      </c>
      <c r="C504" s="0" t="n">
        <v>10960</v>
      </c>
    </row>
    <row r="505" customFormat="false" ht="12.75" hidden="false" customHeight="false" outlineLevel="0" collapsed="false">
      <c r="A505" s="0" t="s">
        <v>35</v>
      </c>
      <c r="B505" s="0" t="n">
        <v>5</v>
      </c>
      <c r="C505" s="0" t="n">
        <v>10977</v>
      </c>
    </row>
    <row r="506" customFormat="false" ht="12.75" hidden="false" customHeight="false" outlineLevel="0" collapsed="false">
      <c r="A506" s="0" t="s">
        <v>36</v>
      </c>
      <c r="B506" s="0" t="n">
        <v>523</v>
      </c>
      <c r="C506" s="0" t="n">
        <v>10456</v>
      </c>
    </row>
    <row r="507" customFormat="false" ht="12.75" hidden="false" customHeight="false" outlineLevel="0" collapsed="false">
      <c r="A507" s="0" t="s">
        <v>37</v>
      </c>
      <c r="B507" s="0" t="n">
        <v>63</v>
      </c>
      <c r="C507" s="0" t="n">
        <v>10435</v>
      </c>
    </row>
    <row r="508" customFormat="false" ht="12.75" hidden="false" customHeight="false" outlineLevel="0" collapsed="false">
      <c r="A508" s="0" t="s">
        <v>38</v>
      </c>
      <c r="B508" s="0" t="n">
        <v>16</v>
      </c>
      <c r="C508" s="0" t="n">
        <v>10428</v>
      </c>
    </row>
    <row r="509" customFormat="false" ht="12.75" hidden="false" customHeight="false" outlineLevel="0" collapsed="false">
      <c r="A509" s="0" t="s">
        <v>39</v>
      </c>
      <c r="B509" s="0" t="n">
        <v>216</v>
      </c>
      <c r="C509" s="0" t="n">
        <v>10347</v>
      </c>
    </row>
    <row r="510" customFormat="false" ht="12.75" hidden="false" customHeight="false" outlineLevel="0" collapsed="false">
      <c r="A510" s="0" t="s">
        <v>40</v>
      </c>
      <c r="B510" s="0" t="n">
        <v>11</v>
      </c>
      <c r="C510" s="0" t="n">
        <v>10381</v>
      </c>
    </row>
    <row r="511" customFormat="false" ht="12.75" hidden="false" customHeight="false" outlineLevel="0" collapsed="false">
      <c r="A511" s="0" t="s">
        <v>41</v>
      </c>
      <c r="B511" s="3" t="n">
        <v>2134</v>
      </c>
      <c r="C511" s="0" t="n">
        <v>8255</v>
      </c>
    </row>
    <row r="512" customFormat="false" ht="12.75" hidden="false" customHeight="false" outlineLevel="0" collapsed="false">
      <c r="A512" s="0" t="s">
        <v>42</v>
      </c>
      <c r="B512" s="0" t="n">
        <v>3</v>
      </c>
      <c r="C512" s="0" t="n">
        <v>8273</v>
      </c>
    </row>
    <row r="513" customFormat="false" ht="12.75" hidden="false" customHeight="false" outlineLevel="0" collapsed="false">
      <c r="A513" s="0" t="s">
        <v>43</v>
      </c>
      <c r="B513" s="3" t="n">
        <v>2973</v>
      </c>
      <c r="C513" s="0" t="n">
        <v>5304</v>
      </c>
    </row>
    <row r="514" customFormat="false" ht="12.75" hidden="false" customHeight="false" outlineLevel="0" collapsed="false">
      <c r="A514" s="0" t="s">
        <v>44</v>
      </c>
      <c r="B514" s="0" t="n">
        <v>377</v>
      </c>
      <c r="C514" s="0" t="n">
        <v>4945</v>
      </c>
    </row>
    <row r="515" customFormat="false" ht="12.75" hidden="false" customHeight="false" outlineLevel="0" collapsed="false">
      <c r="A515" s="0" t="s">
        <v>45</v>
      </c>
      <c r="B515" s="0" t="n">
        <v>26</v>
      </c>
      <c r="C515" s="0" t="n">
        <v>5101</v>
      </c>
    </row>
    <row r="516" customFormat="false" ht="12.75" hidden="false" customHeight="false" outlineLevel="0" collapsed="false">
      <c r="A516" s="0" t="s">
        <v>46</v>
      </c>
      <c r="B516" s="0" t="n">
        <v>6</v>
      </c>
      <c r="C516" s="0" t="n">
        <v>5134</v>
      </c>
    </row>
    <row r="517" customFormat="false" ht="12.75" hidden="false" customHeight="false" outlineLevel="0" collapsed="false">
      <c r="A517" s="0" t="s">
        <v>47</v>
      </c>
      <c r="B517" s="0" t="n">
        <v>608</v>
      </c>
      <c r="C517" s="0" t="n">
        <v>4530</v>
      </c>
    </row>
    <row r="518" customFormat="false" ht="12.75" hidden="false" customHeight="false" outlineLevel="0" collapsed="false">
      <c r="A518" s="0" t="s">
        <v>48</v>
      </c>
      <c r="B518" s="0" t="n">
        <v>81</v>
      </c>
      <c r="C518" s="0" t="n">
        <v>4500</v>
      </c>
    </row>
    <row r="519" customFormat="false" ht="12.75" hidden="false" customHeight="false" outlineLevel="0" collapsed="false">
      <c r="A519" s="0" t="s">
        <v>49</v>
      </c>
      <c r="B519" s="0" t="n">
        <v>62</v>
      </c>
      <c r="C519" s="0" t="n">
        <v>4699</v>
      </c>
    </row>
    <row r="520" customFormat="false" ht="12.75" hidden="false" customHeight="false" outlineLevel="0" collapsed="false">
      <c r="A520" s="0" t="s">
        <v>50</v>
      </c>
      <c r="B520" s="0" t="n">
        <v>92</v>
      </c>
      <c r="C520" s="0" t="n">
        <v>4611</v>
      </c>
    </row>
    <row r="521" customFormat="false" ht="12.75" hidden="false" customHeight="false" outlineLevel="0" collapsed="false">
      <c r="A521" s="0" t="s">
        <v>51</v>
      </c>
      <c r="B521" s="0" t="n">
        <v>4</v>
      </c>
      <c r="C521" s="0" t="n">
        <v>4622</v>
      </c>
    </row>
    <row r="522" customFormat="false" ht="12.75" hidden="false" customHeight="false" outlineLevel="0" collapsed="false">
      <c r="A522" s="0" t="s">
        <v>127</v>
      </c>
      <c r="B522" s="3" t="n">
        <v>1322</v>
      </c>
      <c r="C522" s="0" t="n">
        <v>3305</v>
      </c>
    </row>
    <row r="523" customFormat="false" ht="12.75" hidden="false" customHeight="false" outlineLevel="0" collapsed="false">
      <c r="A523" s="0" t="s">
        <v>1</v>
      </c>
      <c r="B523" s="0" t="n">
        <v>3</v>
      </c>
      <c r="C523" s="0" t="n">
        <v>3302</v>
      </c>
    </row>
    <row r="524" customFormat="false" ht="12.75" hidden="false" customHeight="false" outlineLevel="0" collapsed="false">
      <c r="A524" s="0" t="s">
        <v>2</v>
      </c>
      <c r="B524" s="0" t="n">
        <v>23</v>
      </c>
      <c r="C524" s="0" t="n">
        <v>6356</v>
      </c>
    </row>
    <row r="525" customFormat="false" ht="12.75" hidden="false" customHeight="false" outlineLevel="0" collapsed="false">
      <c r="A525" s="0" t="s">
        <v>3</v>
      </c>
      <c r="B525" s="0" t="n">
        <v>89</v>
      </c>
      <c r="C525" s="0" t="n">
        <v>6269</v>
      </c>
    </row>
    <row r="526" customFormat="false" ht="12.75" hidden="false" customHeight="false" outlineLevel="0" collapsed="false">
      <c r="A526" s="0" t="s">
        <v>4</v>
      </c>
      <c r="B526" s="0" t="n">
        <v>4</v>
      </c>
      <c r="C526" s="0" t="n">
        <v>6272</v>
      </c>
    </row>
    <row r="527" customFormat="false" ht="12.75" hidden="false" customHeight="false" outlineLevel="0" collapsed="false">
      <c r="A527" s="0" t="s">
        <v>5</v>
      </c>
      <c r="B527" s="3" t="n">
        <v>1530</v>
      </c>
      <c r="C527" s="0" t="n">
        <v>4775</v>
      </c>
    </row>
    <row r="528" customFormat="false" ht="12.75" hidden="false" customHeight="false" outlineLevel="0" collapsed="false">
      <c r="A528" s="0" t="s">
        <v>6</v>
      </c>
      <c r="B528" s="0" t="n">
        <v>38</v>
      </c>
      <c r="C528" s="0" t="n">
        <v>4750</v>
      </c>
    </row>
    <row r="529" customFormat="false" ht="12.75" hidden="false" customHeight="false" outlineLevel="0" collapsed="false">
      <c r="A529" s="0" t="s">
        <v>7</v>
      </c>
      <c r="B529" s="0" t="n">
        <v>27</v>
      </c>
      <c r="C529" s="0" t="n">
        <v>5052</v>
      </c>
    </row>
    <row r="530" customFormat="false" ht="12.75" hidden="false" customHeight="false" outlineLevel="0" collapsed="false">
      <c r="A530" s="0" t="s">
        <v>8</v>
      </c>
      <c r="B530" s="0" t="n">
        <v>3</v>
      </c>
      <c r="C530" s="0" t="n">
        <v>5128</v>
      </c>
    </row>
    <row r="531" customFormat="false" ht="12.75" hidden="false" customHeight="false" outlineLevel="0" collapsed="false">
      <c r="A531" s="0" t="s">
        <v>9</v>
      </c>
      <c r="B531" s="0" t="n">
        <v>4</v>
      </c>
      <c r="C531" s="0" t="n">
        <v>5129</v>
      </c>
    </row>
    <row r="532" customFormat="false" ht="12.75" hidden="false" customHeight="false" outlineLevel="0" collapsed="false">
      <c r="A532" s="0" t="s">
        <v>10</v>
      </c>
      <c r="B532" s="0" t="n">
        <v>24</v>
      </c>
      <c r="C532" s="0" t="n">
        <v>5106</v>
      </c>
    </row>
    <row r="533" customFormat="false" ht="12.75" hidden="false" customHeight="false" outlineLevel="0" collapsed="false">
      <c r="A533" s="0" t="s">
        <v>11</v>
      </c>
      <c r="B533" s="0" t="n">
        <v>26</v>
      </c>
      <c r="C533" s="0" t="n">
        <v>5081</v>
      </c>
    </row>
    <row r="534" customFormat="false" ht="12.75" hidden="false" customHeight="false" outlineLevel="0" collapsed="false">
      <c r="A534" s="0" t="s">
        <v>13</v>
      </c>
      <c r="B534" s="0" t="n">
        <v>17</v>
      </c>
      <c r="C534" s="0" t="n">
        <v>5079</v>
      </c>
    </row>
    <row r="535" customFormat="false" ht="12.75" hidden="false" customHeight="false" outlineLevel="0" collapsed="false">
      <c r="A535" s="0" t="s">
        <v>14</v>
      </c>
      <c r="B535" s="0" t="n">
        <v>142</v>
      </c>
      <c r="C535" s="0" t="n">
        <v>4945</v>
      </c>
    </row>
    <row r="536" customFormat="false" ht="12.75" hidden="false" customHeight="false" outlineLevel="0" collapsed="false">
      <c r="A536" s="0" t="s">
        <v>15</v>
      </c>
      <c r="B536" s="0" t="n">
        <v>22</v>
      </c>
      <c r="C536" s="0" t="n">
        <v>4927</v>
      </c>
    </row>
    <row r="537" customFormat="false" ht="12.75" hidden="false" customHeight="false" outlineLevel="0" collapsed="false">
      <c r="A537" s="0" t="s">
        <v>16</v>
      </c>
      <c r="B537" s="0" t="n">
        <v>21</v>
      </c>
      <c r="C537" s="0" t="n">
        <v>4923</v>
      </c>
    </row>
    <row r="538" customFormat="false" ht="12.75" hidden="false" customHeight="false" outlineLevel="0" collapsed="false">
      <c r="A538" s="0" t="s">
        <v>17</v>
      </c>
      <c r="B538" s="0" t="n">
        <v>19</v>
      </c>
      <c r="C538" s="0" t="n">
        <v>4927</v>
      </c>
    </row>
    <row r="539" customFormat="false" ht="12.75" hidden="false" customHeight="false" outlineLevel="0" collapsed="false">
      <c r="A539" s="0" t="s">
        <v>18</v>
      </c>
      <c r="B539" s="0" t="n">
        <v>3</v>
      </c>
      <c r="C539" s="0" t="n">
        <v>4940</v>
      </c>
    </row>
    <row r="540" customFormat="false" ht="12.75" hidden="false" customHeight="false" outlineLevel="0" collapsed="false">
      <c r="A540" s="0" t="s">
        <v>19</v>
      </c>
      <c r="B540" s="0" t="n">
        <v>20</v>
      </c>
      <c r="C540" s="0" t="n">
        <v>4926</v>
      </c>
    </row>
    <row r="541" customFormat="false" ht="12.75" hidden="false" customHeight="false" outlineLevel="0" collapsed="false">
      <c r="A541" s="0" t="s">
        <v>20</v>
      </c>
      <c r="B541" s="0" t="n">
        <v>7</v>
      </c>
      <c r="C541" s="0" t="n">
        <v>4920</v>
      </c>
    </row>
    <row r="542" customFormat="false" ht="12.75" hidden="false" customHeight="false" outlineLevel="0" collapsed="false">
      <c r="A542" s="0" t="s">
        <v>21</v>
      </c>
      <c r="B542" s="0" t="n">
        <v>34</v>
      </c>
      <c r="C542" s="0" t="n">
        <v>4913</v>
      </c>
    </row>
    <row r="543" customFormat="false" ht="12.75" hidden="false" customHeight="false" outlineLevel="0" collapsed="false">
      <c r="A543" s="0" t="s">
        <v>22</v>
      </c>
      <c r="B543" s="0" t="n">
        <v>21</v>
      </c>
      <c r="C543" s="0" t="n">
        <v>4893</v>
      </c>
    </row>
    <row r="544" customFormat="false" ht="12.75" hidden="false" customHeight="false" outlineLevel="0" collapsed="false">
      <c r="A544" s="0" t="s">
        <v>23</v>
      </c>
      <c r="B544" s="0" t="n">
        <v>49</v>
      </c>
      <c r="C544" s="0" t="n">
        <v>4850</v>
      </c>
    </row>
    <row r="545" customFormat="false" ht="12.75" hidden="false" customHeight="false" outlineLevel="0" collapsed="false">
      <c r="A545" s="0" t="s">
        <v>24</v>
      </c>
      <c r="B545" s="0" t="n">
        <v>56</v>
      </c>
      <c r="C545" s="0" t="n">
        <v>4794</v>
      </c>
    </row>
    <row r="546" customFormat="false" ht="12.75" hidden="false" customHeight="false" outlineLevel="0" collapsed="false">
      <c r="A546" s="0" t="s">
        <v>25</v>
      </c>
      <c r="B546" s="0" t="n">
        <v>18</v>
      </c>
      <c r="C546" s="0" t="n">
        <v>4788</v>
      </c>
    </row>
    <row r="547" customFormat="false" ht="12.75" hidden="false" customHeight="false" outlineLevel="0" collapsed="false">
      <c r="A547" s="0" t="s">
        <v>26</v>
      </c>
      <c r="B547" s="0" t="n">
        <v>28</v>
      </c>
      <c r="C547" s="0" t="n">
        <v>4773</v>
      </c>
    </row>
    <row r="548" customFormat="false" ht="12.75" hidden="false" customHeight="false" outlineLevel="0" collapsed="false">
      <c r="A548" s="0" t="s">
        <v>27</v>
      </c>
      <c r="B548" s="0" t="n">
        <v>11</v>
      </c>
      <c r="C548" s="0" t="n">
        <v>4764</v>
      </c>
    </row>
    <row r="549" customFormat="false" ht="12.75" hidden="false" customHeight="false" outlineLevel="0" collapsed="false">
      <c r="A549" s="0" t="s">
        <v>28</v>
      </c>
      <c r="B549" s="0" t="n">
        <v>15</v>
      </c>
      <c r="C549" s="0" t="n">
        <v>4753</v>
      </c>
    </row>
    <row r="550" customFormat="false" ht="12.75" hidden="false" customHeight="false" outlineLevel="0" collapsed="false">
      <c r="A550" s="0" t="s">
        <v>29</v>
      </c>
      <c r="B550" s="0" t="n">
        <v>35</v>
      </c>
      <c r="C550" s="0" t="n">
        <v>4964</v>
      </c>
    </row>
    <row r="551" customFormat="false" ht="12.75" hidden="false" customHeight="false" outlineLevel="0" collapsed="false">
      <c r="A551" s="0" t="s">
        <v>30</v>
      </c>
      <c r="B551" s="0" t="n">
        <v>4</v>
      </c>
      <c r="C551" s="0" t="n">
        <v>4970</v>
      </c>
    </row>
    <row r="552" customFormat="false" ht="12.75" hidden="false" customHeight="false" outlineLevel="0" collapsed="false">
      <c r="A552" s="0" t="s">
        <v>31</v>
      </c>
      <c r="B552" s="0" t="n">
        <v>48</v>
      </c>
      <c r="C552" s="0" t="n">
        <v>5247</v>
      </c>
    </row>
    <row r="553" customFormat="false" ht="12.75" hidden="false" customHeight="false" outlineLevel="0" collapsed="false">
      <c r="A553" s="0" t="s">
        <v>32</v>
      </c>
      <c r="B553" s="0" t="n">
        <v>2</v>
      </c>
      <c r="C553" s="0" t="n">
        <v>5247</v>
      </c>
    </row>
    <row r="554" customFormat="false" ht="12.75" hidden="false" customHeight="false" outlineLevel="0" collapsed="false">
      <c r="A554" s="0" t="s">
        <v>33</v>
      </c>
      <c r="B554" s="0" t="n">
        <v>95</v>
      </c>
      <c r="C554" s="0" t="n">
        <v>5154</v>
      </c>
    </row>
    <row r="555" customFormat="false" ht="12.75" hidden="false" customHeight="false" outlineLevel="0" collapsed="false">
      <c r="A555" s="0" t="s">
        <v>34</v>
      </c>
      <c r="B555" s="0" t="n">
        <v>22</v>
      </c>
      <c r="C555" s="0" t="n">
        <v>5154</v>
      </c>
    </row>
    <row r="556" customFormat="false" ht="12.75" hidden="false" customHeight="false" outlineLevel="0" collapsed="false">
      <c r="A556" s="0" t="s">
        <v>35</v>
      </c>
      <c r="B556" s="0" t="n">
        <v>2</v>
      </c>
      <c r="C556" s="0" t="n">
        <v>5152</v>
      </c>
    </row>
    <row r="557" customFormat="false" ht="12.75" hidden="false" customHeight="false" outlineLevel="0" collapsed="false">
      <c r="A557" s="0" t="s">
        <v>36</v>
      </c>
      <c r="B557" s="0" t="n">
        <v>42</v>
      </c>
      <c r="C557" s="0" t="n">
        <v>5110</v>
      </c>
    </row>
    <row r="558" customFormat="false" ht="12.75" hidden="false" customHeight="false" outlineLevel="0" collapsed="false">
      <c r="A558" s="0" t="s">
        <v>37</v>
      </c>
      <c r="B558" s="0" t="n">
        <v>9</v>
      </c>
      <c r="C558" s="0" t="n">
        <v>5110</v>
      </c>
    </row>
    <row r="559" customFormat="false" ht="12.75" hidden="false" customHeight="false" outlineLevel="0" collapsed="false">
      <c r="A559" s="0" t="s">
        <v>38</v>
      </c>
      <c r="B559" s="0" t="n">
        <v>135</v>
      </c>
      <c r="C559" s="0" t="n">
        <v>4984</v>
      </c>
    </row>
    <row r="560" customFormat="false" ht="12.75" hidden="false" customHeight="false" outlineLevel="0" collapsed="false">
      <c r="A560" s="0" t="s">
        <v>39</v>
      </c>
      <c r="B560" s="0" t="n">
        <v>45</v>
      </c>
      <c r="C560" s="0" t="n">
        <v>4952</v>
      </c>
    </row>
    <row r="561" customFormat="false" ht="12.75" hidden="false" customHeight="false" outlineLevel="0" collapsed="false">
      <c r="A561" s="0" t="s">
        <v>40</v>
      </c>
      <c r="B561" s="0" t="n">
        <v>8</v>
      </c>
      <c r="C561" s="0" t="n">
        <v>5320</v>
      </c>
    </row>
    <row r="562" customFormat="false" ht="12.75" hidden="false" customHeight="false" outlineLevel="0" collapsed="false">
      <c r="A562" s="0" t="s">
        <v>41</v>
      </c>
      <c r="B562" s="0" t="n">
        <v>21</v>
      </c>
      <c r="C562" s="0" t="n">
        <v>5304</v>
      </c>
    </row>
    <row r="563" customFormat="false" ht="12.75" hidden="false" customHeight="false" outlineLevel="0" collapsed="false">
      <c r="A563" s="0" t="s">
        <v>42</v>
      </c>
      <c r="B563" s="0" t="n">
        <v>4</v>
      </c>
      <c r="C563" s="0" t="n">
        <v>5301</v>
      </c>
    </row>
    <row r="564" customFormat="false" ht="12.75" hidden="false" customHeight="false" outlineLevel="0" collapsed="false">
      <c r="A564" s="0" t="s">
        <v>43</v>
      </c>
      <c r="B564" s="0" t="n">
        <v>18</v>
      </c>
      <c r="C564" s="0" t="n">
        <v>5286</v>
      </c>
    </row>
    <row r="565" customFormat="false" ht="12.75" hidden="false" customHeight="false" outlineLevel="0" collapsed="false">
      <c r="A565" s="0" t="s">
        <v>44</v>
      </c>
      <c r="B565" s="0" t="n">
        <v>182</v>
      </c>
      <c r="C565" s="0" t="n">
        <v>5108</v>
      </c>
    </row>
    <row r="566" customFormat="false" ht="12.75" hidden="false" customHeight="false" outlineLevel="0" collapsed="false">
      <c r="A566" s="0" t="s">
        <v>45</v>
      </c>
      <c r="B566" s="0" t="n">
        <v>39</v>
      </c>
      <c r="C566" s="0" t="n">
        <v>5097</v>
      </c>
    </row>
    <row r="567" customFormat="false" ht="12.75" hidden="false" customHeight="false" outlineLevel="0" collapsed="false">
      <c r="A567" s="0" t="s">
        <v>46</v>
      </c>
      <c r="B567" s="0" t="n">
        <v>4</v>
      </c>
      <c r="C567" s="0" t="n">
        <v>5211</v>
      </c>
    </row>
    <row r="568" customFormat="false" ht="12.75" hidden="false" customHeight="false" outlineLevel="0" collapsed="false">
      <c r="A568" s="0" t="s">
        <v>47</v>
      </c>
      <c r="B568" s="0" t="n">
        <v>51</v>
      </c>
      <c r="C568" s="0" t="n">
        <v>6162</v>
      </c>
    </row>
    <row r="569" customFormat="false" ht="12.75" hidden="false" customHeight="false" outlineLevel="0" collapsed="false">
      <c r="A569" s="0" t="s">
        <v>48</v>
      </c>
      <c r="B569" s="0" t="n">
        <v>261</v>
      </c>
      <c r="C569" s="0" t="n">
        <v>5901</v>
      </c>
    </row>
    <row r="570" customFormat="false" ht="12.75" hidden="false" customHeight="false" outlineLevel="0" collapsed="false">
      <c r="A570" s="0" t="s">
        <v>49</v>
      </c>
      <c r="B570" s="0" t="n">
        <v>4</v>
      </c>
      <c r="C570" s="0" t="n">
        <v>5917</v>
      </c>
    </row>
    <row r="571" customFormat="false" ht="12.75" hidden="false" customHeight="false" outlineLevel="0" collapsed="false">
      <c r="A571" s="0" t="s">
        <v>50</v>
      </c>
      <c r="B571" s="0" t="n">
        <v>15</v>
      </c>
      <c r="C571" s="0" t="n">
        <v>6717</v>
      </c>
    </row>
    <row r="572" customFormat="false" ht="12.75" hidden="false" customHeight="false" outlineLevel="0" collapsed="false">
      <c r="A572" s="0" t="s">
        <v>51</v>
      </c>
      <c r="B572" s="0" t="n">
        <v>5</v>
      </c>
      <c r="C572" s="0" t="n">
        <v>6716</v>
      </c>
    </row>
    <row r="573" customFormat="false" ht="12.75" hidden="false" customHeight="false" outlineLevel="0" collapsed="false">
      <c r="C573" s="0" t="n">
        <v>6730</v>
      </c>
    </row>
    <row r="574" customFormat="false" ht="12.75" hidden="false" customHeight="false" outlineLevel="0" collapsed="false">
      <c r="A574" s="0" t="s">
        <v>128</v>
      </c>
      <c r="B574" s="3" t="n">
        <v>3077</v>
      </c>
      <c r="C574" s="0" t="n">
        <v>3684</v>
      </c>
    </row>
    <row r="575" customFormat="false" ht="12.75" hidden="false" customHeight="false" outlineLevel="0" collapsed="false">
      <c r="A575" s="0" t="s">
        <v>1</v>
      </c>
      <c r="B575" s="0" t="n">
        <v>2</v>
      </c>
      <c r="C575" s="0" t="n">
        <v>3682</v>
      </c>
    </row>
    <row r="576" customFormat="false" ht="12.75" hidden="false" customHeight="false" outlineLevel="0" collapsed="false">
      <c r="A576" s="0" t="s">
        <v>2</v>
      </c>
      <c r="B576" s="0" t="n">
        <v>7</v>
      </c>
      <c r="C576" s="0" t="n">
        <v>3675</v>
      </c>
    </row>
    <row r="577" customFormat="false" ht="12.75" hidden="false" customHeight="false" outlineLevel="0" collapsed="false">
      <c r="A577" s="0" t="s">
        <v>3</v>
      </c>
      <c r="B577" s="0" t="n">
        <v>33</v>
      </c>
      <c r="C577" s="0" t="n">
        <v>15606</v>
      </c>
    </row>
    <row r="578" customFormat="false" ht="12.75" hidden="false" customHeight="false" outlineLevel="0" collapsed="false">
      <c r="A578" s="0" t="s">
        <v>4</v>
      </c>
      <c r="B578" s="0" t="n">
        <v>13</v>
      </c>
      <c r="C578" s="0" t="n">
        <v>15721</v>
      </c>
    </row>
    <row r="579" customFormat="false" ht="12.75" hidden="false" customHeight="false" outlineLevel="0" collapsed="false">
      <c r="A579" s="0" t="s">
        <v>5</v>
      </c>
      <c r="B579" s="0" t="n">
        <v>329</v>
      </c>
      <c r="C579" s="0" t="n">
        <v>15411</v>
      </c>
    </row>
    <row r="580" customFormat="false" ht="12.75" hidden="false" customHeight="false" outlineLevel="0" collapsed="false">
      <c r="A580" s="0" t="s">
        <v>6</v>
      </c>
      <c r="B580" s="0" t="n">
        <v>79</v>
      </c>
      <c r="C580" s="0" t="n">
        <v>15547</v>
      </c>
    </row>
    <row r="581" customFormat="false" ht="12.75" hidden="false" customHeight="false" outlineLevel="0" collapsed="false">
      <c r="A581" s="0" t="s">
        <v>7</v>
      </c>
      <c r="B581" s="0" t="n">
        <v>5</v>
      </c>
      <c r="C581" s="0" t="n">
        <v>15688</v>
      </c>
    </row>
    <row r="582" customFormat="false" ht="12.75" hidden="false" customHeight="false" outlineLevel="0" collapsed="false">
      <c r="A582" s="0" t="s">
        <v>8</v>
      </c>
      <c r="B582" s="0" t="n">
        <v>1</v>
      </c>
      <c r="C582" s="0" t="n">
        <v>16281</v>
      </c>
    </row>
    <row r="583" customFormat="false" ht="12.75" hidden="false" customHeight="false" outlineLevel="0" collapsed="false">
      <c r="A583" s="0" t="s">
        <v>9</v>
      </c>
      <c r="B583" s="0" t="n">
        <v>1</v>
      </c>
      <c r="C583" s="0" t="n">
        <v>16495</v>
      </c>
    </row>
    <row r="584" customFormat="false" ht="12.75" hidden="false" customHeight="false" outlineLevel="0" collapsed="false">
      <c r="A584" s="0" t="s">
        <v>10</v>
      </c>
      <c r="B584" s="0" t="n">
        <v>15</v>
      </c>
      <c r="C584" s="0" t="n">
        <v>16602</v>
      </c>
    </row>
    <row r="585" customFormat="false" ht="12.75" hidden="false" customHeight="false" outlineLevel="0" collapsed="false">
      <c r="A585" s="0" t="s">
        <v>11</v>
      </c>
      <c r="B585" s="0" t="n">
        <v>8</v>
      </c>
      <c r="C585" s="0" t="n">
        <v>16618</v>
      </c>
    </row>
    <row r="586" customFormat="false" ht="12.75" hidden="false" customHeight="false" outlineLevel="0" collapsed="false">
      <c r="A586" s="0" t="s">
        <v>12</v>
      </c>
      <c r="B586" s="0" t="n">
        <v>4</v>
      </c>
      <c r="C586" s="0" t="n">
        <v>16659</v>
      </c>
    </row>
    <row r="587" customFormat="false" ht="12.75" hidden="false" customHeight="false" outlineLevel="0" collapsed="false">
      <c r="A587" s="0" t="s">
        <v>14</v>
      </c>
      <c r="B587" s="0" t="n">
        <v>17</v>
      </c>
      <c r="C587" s="0" t="n">
        <v>17154</v>
      </c>
    </row>
    <row r="588" customFormat="false" ht="12.75" hidden="false" customHeight="false" outlineLevel="0" collapsed="false">
      <c r="A588" s="0" t="s">
        <v>15</v>
      </c>
      <c r="B588" s="0" t="n">
        <v>23</v>
      </c>
      <c r="C588" s="0" t="n">
        <v>17438</v>
      </c>
    </row>
    <row r="589" customFormat="false" ht="12.75" hidden="false" customHeight="false" outlineLevel="0" collapsed="false">
      <c r="A589" s="0" t="s">
        <v>16</v>
      </c>
      <c r="B589" s="0" t="n">
        <v>16</v>
      </c>
      <c r="C589" s="0" t="n">
        <v>17435</v>
      </c>
    </row>
    <row r="590" customFormat="false" ht="12.75" hidden="false" customHeight="false" outlineLevel="0" collapsed="false">
      <c r="A590" s="0" t="s">
        <v>17</v>
      </c>
      <c r="B590" s="0" t="n">
        <v>6</v>
      </c>
      <c r="C590" s="0" t="n">
        <v>17453</v>
      </c>
    </row>
    <row r="591" customFormat="false" ht="12.75" hidden="false" customHeight="false" outlineLevel="0" collapsed="false">
      <c r="A591" s="0" t="s">
        <v>18</v>
      </c>
      <c r="B591" s="0" t="n">
        <v>1</v>
      </c>
      <c r="C591" s="0" t="n">
        <v>19811</v>
      </c>
    </row>
    <row r="592" customFormat="false" ht="12.75" hidden="false" customHeight="false" outlineLevel="0" collapsed="false">
      <c r="A592" s="0" t="s">
        <v>19</v>
      </c>
      <c r="B592" s="0" t="n">
        <v>27</v>
      </c>
      <c r="C592" s="0" t="n">
        <v>20894</v>
      </c>
    </row>
    <row r="593" customFormat="false" ht="12.75" hidden="false" customHeight="false" outlineLevel="0" collapsed="false">
      <c r="A593" s="0" t="s">
        <v>20</v>
      </c>
      <c r="B593" s="0" t="n">
        <v>1</v>
      </c>
      <c r="C593" s="0" t="n">
        <v>21125</v>
      </c>
    </row>
    <row r="594" customFormat="false" ht="12.75" hidden="false" customHeight="false" outlineLevel="0" collapsed="false">
      <c r="A594" s="0" t="s">
        <v>21</v>
      </c>
      <c r="B594" s="0" t="n">
        <v>6</v>
      </c>
      <c r="C594" s="0" t="n">
        <v>21681</v>
      </c>
    </row>
    <row r="595" customFormat="false" ht="12.75" hidden="false" customHeight="false" outlineLevel="0" collapsed="false">
      <c r="A595" s="0" t="s">
        <v>22</v>
      </c>
      <c r="B595" s="0" t="s">
        <v>156</v>
      </c>
      <c r="C595" s="0" t="n">
        <v>21786</v>
      </c>
    </row>
    <row r="596" customFormat="false" ht="12.75" hidden="false" customHeight="false" outlineLevel="0" collapsed="false">
      <c r="A596" s="0" t="s">
        <v>23</v>
      </c>
      <c r="B596" s="0" t="n">
        <v>12</v>
      </c>
      <c r="C596" s="0" t="n">
        <v>21789</v>
      </c>
    </row>
    <row r="597" customFormat="false" ht="12.75" hidden="false" customHeight="false" outlineLevel="0" collapsed="false">
      <c r="A597" s="0" t="s">
        <v>24</v>
      </c>
      <c r="B597" s="0" t="n">
        <v>13</v>
      </c>
      <c r="C597" s="0" t="n">
        <v>21945</v>
      </c>
    </row>
    <row r="598" customFormat="false" ht="12.75" hidden="false" customHeight="false" outlineLevel="0" collapsed="false">
      <c r="A598" s="0" t="s">
        <v>25</v>
      </c>
      <c r="B598" s="0" t="n">
        <v>2</v>
      </c>
      <c r="C598" s="0" t="n">
        <v>22066</v>
      </c>
    </row>
    <row r="599" customFormat="false" ht="12.75" hidden="false" customHeight="false" outlineLevel="0" collapsed="false">
      <c r="A599" s="0" t="s">
        <v>26</v>
      </c>
      <c r="B599" s="0" t="n">
        <v>4</v>
      </c>
      <c r="C599" s="0" t="n">
        <v>25446</v>
      </c>
    </row>
    <row r="600" customFormat="false" ht="12.75" hidden="false" customHeight="false" outlineLevel="0" collapsed="false">
      <c r="A600" s="0" t="s">
        <v>27</v>
      </c>
      <c r="B600" s="0" t="n">
        <v>246</v>
      </c>
      <c r="C600" s="0" t="n">
        <v>25944</v>
      </c>
    </row>
    <row r="601" customFormat="false" ht="12.75" hidden="false" customHeight="false" outlineLevel="0" collapsed="false">
      <c r="A601" s="0" t="s">
        <v>28</v>
      </c>
      <c r="B601" s="0" t="n">
        <v>10</v>
      </c>
      <c r="C601" s="0" t="n">
        <v>26081</v>
      </c>
    </row>
    <row r="602" customFormat="false" ht="12.75" hidden="false" customHeight="false" outlineLevel="0" collapsed="false">
      <c r="A602" s="0" t="s">
        <v>29</v>
      </c>
      <c r="B602" s="0" t="n">
        <v>325</v>
      </c>
      <c r="C602" s="0" t="n">
        <v>27814</v>
      </c>
    </row>
    <row r="603" customFormat="false" ht="12.75" hidden="false" customHeight="false" outlineLevel="0" collapsed="false">
      <c r="A603" s="0" t="s">
        <v>30</v>
      </c>
      <c r="B603" s="0" t="n">
        <v>2</v>
      </c>
      <c r="C603" s="0" t="n">
        <v>27821</v>
      </c>
    </row>
    <row r="604" customFormat="false" ht="12.75" hidden="false" customHeight="false" outlineLevel="0" collapsed="false">
      <c r="A604" s="0" t="s">
        <v>31</v>
      </c>
      <c r="B604" s="0" t="n">
        <v>2</v>
      </c>
      <c r="C604" s="0" t="n">
        <v>28010</v>
      </c>
    </row>
    <row r="605" customFormat="false" ht="12.75" hidden="false" customHeight="false" outlineLevel="0" collapsed="false">
      <c r="A605" s="0" t="s">
        <v>32</v>
      </c>
      <c r="B605" s="0" t="n">
        <v>22</v>
      </c>
      <c r="C605" s="0" t="n">
        <v>28053</v>
      </c>
    </row>
    <row r="606" customFormat="false" ht="12.75" hidden="false" customHeight="false" outlineLevel="0" collapsed="false">
      <c r="A606" s="0" t="s">
        <v>33</v>
      </c>
      <c r="B606" s="0" t="s">
        <v>156</v>
      </c>
      <c r="C606" s="0" t="n">
        <v>28088</v>
      </c>
    </row>
    <row r="607" customFormat="false" ht="12.75" hidden="false" customHeight="false" outlineLevel="0" collapsed="false">
      <c r="A607" s="0" t="s">
        <v>34</v>
      </c>
      <c r="B607" s="0" t="s">
        <v>156</v>
      </c>
      <c r="C607" s="0" t="n">
        <v>28448</v>
      </c>
    </row>
    <row r="608" customFormat="false" ht="12.75" hidden="false" customHeight="false" outlineLevel="0" collapsed="false">
      <c r="A608" s="0" t="s">
        <v>35</v>
      </c>
      <c r="B608" s="0" t="n">
        <v>9</v>
      </c>
      <c r="C608" s="0" t="n">
        <v>28493</v>
      </c>
    </row>
    <row r="609" customFormat="false" ht="12.75" hidden="false" customHeight="false" outlineLevel="0" collapsed="false">
      <c r="A609" s="0" t="s">
        <v>36</v>
      </c>
      <c r="B609" s="0" t="n">
        <v>9</v>
      </c>
      <c r="C609" s="0" t="n">
        <v>28844</v>
      </c>
    </row>
    <row r="610" customFormat="false" ht="12.75" hidden="false" customHeight="false" outlineLevel="0" collapsed="false">
      <c r="A610" s="0" t="s">
        <v>37</v>
      </c>
      <c r="B610" s="0" t="n">
        <v>13</v>
      </c>
      <c r="C610" s="0" t="n">
        <v>29054</v>
      </c>
    </row>
    <row r="611" customFormat="false" ht="12.75" hidden="false" customHeight="false" outlineLevel="0" collapsed="false">
      <c r="A611" s="0" t="s">
        <v>38</v>
      </c>
      <c r="B611" s="0" t="n">
        <v>376</v>
      </c>
      <c r="C611" s="0" t="n">
        <v>28695</v>
      </c>
    </row>
    <row r="612" customFormat="false" ht="12.75" hidden="false" customHeight="false" outlineLevel="0" collapsed="false">
      <c r="A612" s="0" t="s">
        <v>39</v>
      </c>
      <c r="B612" s="0" t="n">
        <v>5</v>
      </c>
      <c r="C612" s="0" t="n">
        <v>29723</v>
      </c>
    </row>
    <row r="613" customFormat="false" ht="12.75" hidden="false" customHeight="false" outlineLevel="0" collapsed="false">
      <c r="A613" s="0" t="s">
        <v>40</v>
      </c>
      <c r="B613" s="0" t="n">
        <v>1</v>
      </c>
      <c r="C613" s="0" t="n">
        <v>29886</v>
      </c>
    </row>
    <row r="614" customFormat="false" ht="12.75" hidden="false" customHeight="false" outlineLevel="0" collapsed="false">
      <c r="A614" s="0" t="s">
        <v>41</v>
      </c>
      <c r="B614" s="0" t="n">
        <v>3</v>
      </c>
      <c r="C614" s="0" t="n">
        <v>29928</v>
      </c>
    </row>
    <row r="615" customFormat="false" ht="12.75" hidden="false" customHeight="false" outlineLevel="0" collapsed="false">
      <c r="A615" s="0" t="s">
        <v>42</v>
      </c>
      <c r="B615" s="0" t="n">
        <v>4</v>
      </c>
      <c r="C615" s="0" t="n">
        <v>30261</v>
      </c>
    </row>
    <row r="616" customFormat="false" ht="12.75" hidden="false" customHeight="false" outlineLevel="0" collapsed="false">
      <c r="A616" s="0" t="s">
        <v>43</v>
      </c>
      <c r="B616" s="0" t="n">
        <v>28</v>
      </c>
      <c r="C616" s="0" t="n">
        <v>30258</v>
      </c>
    </row>
    <row r="617" customFormat="false" ht="12.75" hidden="false" customHeight="false" outlineLevel="0" collapsed="false">
      <c r="A617" s="0" t="s">
        <v>44</v>
      </c>
      <c r="B617" s="0" t="n">
        <v>118</v>
      </c>
      <c r="C617" s="0" t="n">
        <v>30249</v>
      </c>
    </row>
    <row r="618" customFormat="false" ht="12.75" hidden="false" customHeight="false" outlineLevel="0" collapsed="false">
      <c r="A618" s="0" t="s">
        <v>45</v>
      </c>
      <c r="B618" s="3" t="n">
        <v>1002</v>
      </c>
      <c r="C618" s="0" t="n">
        <v>29293</v>
      </c>
    </row>
    <row r="619" customFormat="false" ht="12.75" hidden="false" customHeight="false" outlineLevel="0" collapsed="false">
      <c r="A619" s="0" t="s">
        <v>46</v>
      </c>
      <c r="B619" s="0" t="s">
        <v>156</v>
      </c>
      <c r="C619" s="0" t="n">
        <v>29781</v>
      </c>
    </row>
    <row r="620" customFormat="false" ht="12.75" hidden="false" customHeight="false" outlineLevel="0" collapsed="false">
      <c r="A620" s="0" t="s">
        <v>47</v>
      </c>
      <c r="B620" s="0" t="n">
        <v>20</v>
      </c>
      <c r="C620" s="0" t="n">
        <v>30355</v>
      </c>
    </row>
    <row r="621" customFormat="false" ht="12.75" hidden="false" customHeight="false" outlineLevel="0" collapsed="false">
      <c r="A621" s="0" t="s">
        <v>48</v>
      </c>
      <c r="B621" s="0" t="n">
        <v>815</v>
      </c>
      <c r="C621" s="0" t="n">
        <v>29589</v>
      </c>
    </row>
    <row r="622" customFormat="false" ht="12.75" hidden="false" customHeight="false" outlineLevel="0" collapsed="false">
      <c r="A622" s="0" t="s">
        <v>49</v>
      </c>
      <c r="B622" s="0" t="n">
        <v>4</v>
      </c>
      <c r="C622" s="0" t="n">
        <v>29600</v>
      </c>
    </row>
    <row r="623" customFormat="false" ht="12.75" hidden="false" customHeight="false" outlineLevel="0" collapsed="false">
      <c r="A623" s="0" t="s">
        <v>50</v>
      </c>
      <c r="B623" s="0" t="n">
        <v>14</v>
      </c>
      <c r="C623" s="0" t="n">
        <v>29838</v>
      </c>
    </row>
    <row r="624" customFormat="false" ht="12.75" hidden="false" customHeight="false" outlineLevel="0" collapsed="false">
      <c r="A624" s="0" t="s">
        <v>51</v>
      </c>
      <c r="B624" s="0" t="n">
        <v>31</v>
      </c>
      <c r="C624" s="0" t="n">
        <v>29937</v>
      </c>
    </row>
    <row r="625" customFormat="false" ht="12.75" hidden="false" customHeight="false" outlineLevel="0" collapsed="false">
      <c r="C625" s="0" t="n">
        <v>29965</v>
      </c>
    </row>
    <row r="626" customFormat="false" ht="12.75" hidden="false" customHeight="false" outlineLevel="0" collapsed="false">
      <c r="C626" s="0" t="n">
        <v>33082</v>
      </c>
    </row>
    <row r="627" customFormat="false" ht="12.75" hidden="false" customHeight="false" outlineLevel="0" collapsed="false">
      <c r="A627" s="0" t="s">
        <v>129</v>
      </c>
      <c r="B627" s="3" t="n">
        <v>11964</v>
      </c>
      <c r="C627" s="0" t="n">
        <v>21128</v>
      </c>
    </row>
    <row r="628" customFormat="false" ht="12.75" hidden="false" customHeight="false" outlineLevel="0" collapsed="false">
      <c r="A628" s="0" t="s">
        <v>1</v>
      </c>
      <c r="B628" s="0" t="n">
        <v>128</v>
      </c>
      <c r="C628" s="0" t="n">
        <v>21000</v>
      </c>
    </row>
    <row r="629" customFormat="false" ht="12.75" hidden="false" customHeight="false" outlineLevel="0" collapsed="false">
      <c r="A629" s="0" t="s">
        <v>2</v>
      </c>
      <c r="B629" s="0" t="n">
        <v>19</v>
      </c>
      <c r="C629" s="0" t="n">
        <v>29259</v>
      </c>
    </row>
    <row r="630" customFormat="false" ht="12.75" hidden="false" customHeight="false" outlineLevel="0" collapsed="false">
      <c r="A630" s="0" t="s">
        <v>3</v>
      </c>
      <c r="B630" s="0" t="n">
        <v>215</v>
      </c>
      <c r="C630" s="0" t="n">
        <v>29120</v>
      </c>
    </row>
    <row r="631" customFormat="false" ht="12.75" hidden="false" customHeight="false" outlineLevel="0" collapsed="false">
      <c r="A631" s="0" t="s">
        <v>4</v>
      </c>
      <c r="B631" s="0" t="n">
        <v>146</v>
      </c>
      <c r="C631" s="0" t="n">
        <v>28976</v>
      </c>
    </row>
    <row r="632" customFormat="false" ht="12.75" hidden="false" customHeight="false" outlineLevel="0" collapsed="false">
      <c r="A632" s="0" t="s">
        <v>5</v>
      </c>
      <c r="B632" s="0" t="n">
        <v>594</v>
      </c>
      <c r="C632" s="0" t="n">
        <v>28427</v>
      </c>
    </row>
    <row r="633" customFormat="false" ht="12.75" hidden="false" customHeight="false" outlineLevel="0" collapsed="false">
      <c r="A633" s="0" t="s">
        <v>6</v>
      </c>
      <c r="B633" s="0" t="n">
        <v>215</v>
      </c>
      <c r="C633" s="0" t="n">
        <v>28252</v>
      </c>
    </row>
    <row r="634" customFormat="false" ht="12.75" hidden="false" customHeight="false" outlineLevel="0" collapsed="false">
      <c r="A634" s="0" t="s">
        <v>7</v>
      </c>
      <c r="B634" s="0" t="n">
        <v>122</v>
      </c>
      <c r="C634" s="0" t="n">
        <v>28377</v>
      </c>
    </row>
    <row r="635" customFormat="false" ht="12.75" hidden="false" customHeight="false" outlineLevel="0" collapsed="false">
      <c r="A635" s="0" t="s">
        <v>8</v>
      </c>
      <c r="B635" s="0" t="n">
        <v>24</v>
      </c>
      <c r="C635" s="0" t="n">
        <v>28393</v>
      </c>
    </row>
    <row r="636" customFormat="false" ht="12.75" hidden="false" customHeight="false" outlineLevel="0" collapsed="false">
      <c r="A636" s="0" t="s">
        <v>9</v>
      </c>
      <c r="B636" s="0" t="n">
        <v>45</v>
      </c>
      <c r="C636" s="0" t="n">
        <v>28378</v>
      </c>
    </row>
    <row r="637" customFormat="false" ht="12.75" hidden="false" customHeight="false" outlineLevel="0" collapsed="false">
      <c r="A637" s="0" t="s">
        <v>10</v>
      </c>
      <c r="B637" s="0" t="n">
        <v>512</v>
      </c>
      <c r="C637" s="0" t="n">
        <v>27878</v>
      </c>
    </row>
    <row r="638" customFormat="false" ht="12.75" hidden="false" customHeight="false" outlineLevel="0" collapsed="false">
      <c r="A638" s="0" t="s">
        <v>11</v>
      </c>
      <c r="B638" s="0" t="n">
        <v>307</v>
      </c>
      <c r="C638" s="0" t="n">
        <v>27583</v>
      </c>
    </row>
    <row r="639" customFormat="false" ht="12.75" hidden="false" customHeight="false" outlineLevel="0" collapsed="false">
      <c r="A639" s="0" t="s">
        <v>12</v>
      </c>
      <c r="B639" s="0" t="n">
        <v>13</v>
      </c>
      <c r="C639" s="0" t="n">
        <v>27822</v>
      </c>
    </row>
    <row r="640" customFormat="false" ht="12.75" hidden="false" customHeight="false" outlineLevel="0" collapsed="false">
      <c r="A640" s="0" t="s">
        <v>13</v>
      </c>
      <c r="B640" s="0" t="n">
        <v>24</v>
      </c>
      <c r="C640" s="0" t="n">
        <v>27985</v>
      </c>
    </row>
    <row r="641" customFormat="false" ht="12.75" hidden="false" customHeight="false" outlineLevel="0" collapsed="false">
      <c r="A641" s="0" t="s">
        <v>15</v>
      </c>
      <c r="B641" s="3" t="n">
        <v>2359</v>
      </c>
      <c r="C641" s="0" t="n">
        <v>25635</v>
      </c>
    </row>
    <row r="642" customFormat="false" ht="12.75" hidden="false" customHeight="false" outlineLevel="0" collapsed="false">
      <c r="A642" s="0" t="s">
        <v>16</v>
      </c>
      <c r="B642" s="3" t="n">
        <v>1110</v>
      </c>
      <c r="C642" s="0" t="n">
        <v>24531</v>
      </c>
    </row>
    <row r="643" customFormat="false" ht="12.75" hidden="false" customHeight="false" outlineLevel="0" collapsed="false">
      <c r="A643" s="0" t="s">
        <v>17</v>
      </c>
      <c r="B643" s="0" t="n">
        <v>232</v>
      </c>
      <c r="C643" s="0" t="n">
        <v>27316</v>
      </c>
    </row>
    <row r="644" customFormat="false" ht="12.75" hidden="false" customHeight="false" outlineLevel="0" collapsed="false">
      <c r="A644" s="0" t="s">
        <v>18</v>
      </c>
      <c r="B644" s="0" t="n">
        <v>562</v>
      </c>
      <c r="C644" s="0" t="n">
        <v>26942</v>
      </c>
    </row>
    <row r="645" customFormat="false" ht="12.75" hidden="false" customHeight="false" outlineLevel="0" collapsed="false">
      <c r="A645" s="0" t="s">
        <v>19</v>
      </c>
      <c r="B645" s="0" t="n">
        <v>105</v>
      </c>
      <c r="C645" s="0" t="n">
        <v>26914</v>
      </c>
    </row>
    <row r="646" customFormat="false" ht="12.75" hidden="false" customHeight="false" outlineLevel="0" collapsed="false">
      <c r="A646" s="0" t="s">
        <v>20</v>
      </c>
      <c r="B646" s="0" t="n">
        <v>15</v>
      </c>
      <c r="C646" s="0" t="n">
        <v>28288</v>
      </c>
    </row>
    <row r="647" customFormat="false" ht="12.75" hidden="false" customHeight="false" outlineLevel="0" collapsed="false">
      <c r="A647" s="0" t="s">
        <v>21</v>
      </c>
      <c r="B647" s="0" t="n">
        <v>169</v>
      </c>
      <c r="C647" s="0" t="n">
        <v>28140</v>
      </c>
    </row>
    <row r="648" customFormat="false" ht="12.75" hidden="false" customHeight="false" outlineLevel="0" collapsed="false">
      <c r="A648" s="0" t="s">
        <v>22</v>
      </c>
      <c r="B648" s="0" t="n">
        <v>123</v>
      </c>
      <c r="C648" s="0" t="n">
        <v>28027</v>
      </c>
    </row>
    <row r="649" customFormat="false" ht="12.75" hidden="false" customHeight="false" outlineLevel="0" collapsed="false">
      <c r="A649" s="0" t="s">
        <v>23</v>
      </c>
      <c r="B649" s="3" t="n">
        <v>3384</v>
      </c>
      <c r="C649" s="0" t="n">
        <v>24733</v>
      </c>
    </row>
    <row r="650" customFormat="false" ht="12.75" hidden="false" customHeight="false" outlineLevel="0" collapsed="false">
      <c r="A650" s="0" t="s">
        <v>24</v>
      </c>
      <c r="B650" s="0" t="n">
        <v>744</v>
      </c>
      <c r="C650" s="0" t="n">
        <v>24031</v>
      </c>
    </row>
    <row r="651" customFormat="false" ht="12.75" hidden="false" customHeight="false" outlineLevel="0" collapsed="false">
      <c r="A651" s="0" t="s">
        <v>25</v>
      </c>
      <c r="B651" s="0" t="n">
        <v>147</v>
      </c>
      <c r="C651" s="0" t="n">
        <v>24891</v>
      </c>
    </row>
    <row r="652" customFormat="false" ht="12.75" hidden="false" customHeight="false" outlineLevel="0" collapsed="false">
      <c r="A652" s="0" t="s">
        <v>26</v>
      </c>
      <c r="B652" s="3" t="n">
        <v>2058</v>
      </c>
      <c r="C652" s="0" t="n">
        <v>22936</v>
      </c>
    </row>
    <row r="653" customFormat="false" ht="12.75" hidden="false" customHeight="false" outlineLevel="0" collapsed="false">
      <c r="A653" s="0" t="s">
        <v>27</v>
      </c>
      <c r="B653" s="0" t="n">
        <v>9</v>
      </c>
      <c r="C653" s="0" t="n">
        <v>22965</v>
      </c>
    </row>
    <row r="654" customFormat="false" ht="12.75" hidden="false" customHeight="false" outlineLevel="0" collapsed="false">
      <c r="A654" s="0" t="s">
        <v>28</v>
      </c>
      <c r="B654" s="0" t="n">
        <v>191</v>
      </c>
      <c r="C654" s="0" t="n">
        <v>23156</v>
      </c>
    </row>
    <row r="655" customFormat="false" ht="12.75" hidden="false" customHeight="false" outlineLevel="0" collapsed="false">
      <c r="A655" s="0" t="s">
        <v>29</v>
      </c>
      <c r="B655" s="0" t="n">
        <v>65</v>
      </c>
      <c r="C655" s="0" t="n">
        <v>23096</v>
      </c>
    </row>
    <row r="656" customFormat="false" ht="12.75" hidden="false" customHeight="false" outlineLevel="0" collapsed="false">
      <c r="A656" s="0" t="s">
        <v>30</v>
      </c>
      <c r="B656" s="0" t="n">
        <v>35</v>
      </c>
      <c r="C656" s="0" t="n">
        <v>23127</v>
      </c>
    </row>
    <row r="657" customFormat="false" ht="12.75" hidden="false" customHeight="false" outlineLevel="0" collapsed="false">
      <c r="A657" s="0" t="s">
        <v>31</v>
      </c>
      <c r="B657" s="0" t="n">
        <v>360</v>
      </c>
      <c r="C657" s="0" t="n">
        <v>22780</v>
      </c>
    </row>
    <row r="658" customFormat="false" ht="12.75" hidden="false" customHeight="false" outlineLevel="0" collapsed="false">
      <c r="A658" s="0" t="s">
        <v>32</v>
      </c>
      <c r="B658" s="0" t="n">
        <v>54</v>
      </c>
      <c r="C658" s="0" t="n">
        <v>22736</v>
      </c>
    </row>
    <row r="659" customFormat="false" ht="12.75" hidden="false" customHeight="false" outlineLevel="0" collapsed="false">
      <c r="A659" s="0" t="s">
        <v>33</v>
      </c>
      <c r="B659" s="0" t="n">
        <v>360</v>
      </c>
      <c r="C659" s="0" t="n">
        <v>22480</v>
      </c>
    </row>
    <row r="660" customFormat="false" ht="12.75" hidden="false" customHeight="false" outlineLevel="0" collapsed="false">
      <c r="A660" s="0" t="s">
        <v>34</v>
      </c>
      <c r="B660" s="0" t="n">
        <v>223</v>
      </c>
      <c r="C660" s="0" t="n">
        <v>22276</v>
      </c>
    </row>
    <row r="661" customFormat="false" ht="12.75" hidden="false" customHeight="false" outlineLevel="0" collapsed="false">
      <c r="A661" s="0" t="s">
        <v>35</v>
      </c>
      <c r="B661" s="0" t="n">
        <v>17</v>
      </c>
      <c r="C661" s="0" t="n">
        <v>22403</v>
      </c>
    </row>
    <row r="662" customFormat="false" ht="12.75" hidden="false" customHeight="false" outlineLevel="0" collapsed="false">
      <c r="A662" s="0" t="s">
        <v>36</v>
      </c>
      <c r="B662" s="3" t="n">
        <v>1033</v>
      </c>
      <c r="C662" s="0" t="n">
        <v>21511</v>
      </c>
    </row>
    <row r="663" customFormat="false" ht="12.75" hidden="false" customHeight="false" outlineLevel="0" collapsed="false">
      <c r="A663" s="0" t="s">
        <v>37</v>
      </c>
      <c r="B663" s="0" t="n">
        <v>164</v>
      </c>
      <c r="C663" s="0" t="n">
        <v>21358</v>
      </c>
    </row>
    <row r="664" customFormat="false" ht="12.75" hidden="false" customHeight="false" outlineLevel="0" collapsed="false">
      <c r="A664" s="0" t="s">
        <v>38</v>
      </c>
      <c r="B664" s="0" t="n">
        <v>45</v>
      </c>
      <c r="C664" s="0" t="n">
        <v>23601</v>
      </c>
    </row>
    <row r="665" customFormat="false" ht="12.75" hidden="false" customHeight="false" outlineLevel="0" collapsed="false">
      <c r="A665" s="0" t="s">
        <v>39</v>
      </c>
      <c r="B665" s="0" t="n">
        <v>337</v>
      </c>
      <c r="C665" s="0" t="n">
        <v>23332</v>
      </c>
    </row>
    <row r="666" customFormat="false" ht="12.75" hidden="false" customHeight="false" outlineLevel="0" collapsed="false">
      <c r="A666" s="0" t="s">
        <v>40</v>
      </c>
      <c r="B666" s="0" t="n">
        <v>25</v>
      </c>
      <c r="C666" s="0" t="n">
        <v>23322</v>
      </c>
    </row>
    <row r="667" customFormat="false" ht="12.75" hidden="false" customHeight="false" outlineLevel="0" collapsed="false">
      <c r="A667" s="0" t="s">
        <v>41</v>
      </c>
      <c r="B667" s="0" t="n">
        <v>109</v>
      </c>
      <c r="C667" s="0" t="n">
        <v>23506</v>
      </c>
    </row>
    <row r="668" customFormat="false" ht="12.75" hidden="false" customHeight="false" outlineLevel="0" collapsed="false">
      <c r="A668" s="0" t="s">
        <v>42</v>
      </c>
      <c r="B668" s="0" t="n">
        <v>46</v>
      </c>
      <c r="C668" s="0" t="n">
        <v>23463</v>
      </c>
    </row>
    <row r="669" customFormat="false" ht="12.75" hidden="false" customHeight="false" outlineLevel="0" collapsed="false">
      <c r="A669" s="0" t="s">
        <v>43</v>
      </c>
      <c r="B669" s="0" t="n">
        <v>488</v>
      </c>
      <c r="C669" s="0" t="n">
        <v>23054</v>
      </c>
    </row>
    <row r="670" customFormat="false" ht="12.75" hidden="false" customHeight="false" outlineLevel="0" collapsed="false">
      <c r="A670" s="0" t="s">
        <v>44</v>
      </c>
      <c r="B670" s="0" t="n">
        <v>594</v>
      </c>
      <c r="C670" s="0" t="n">
        <v>22472</v>
      </c>
    </row>
    <row r="671" customFormat="false" ht="12.75" hidden="false" customHeight="false" outlineLevel="0" collapsed="false">
      <c r="A671" s="0" t="s">
        <v>45</v>
      </c>
      <c r="B671" s="0" t="n">
        <v>49</v>
      </c>
      <c r="C671" s="0" t="n">
        <v>22721</v>
      </c>
    </row>
    <row r="672" customFormat="false" ht="12.75" hidden="false" customHeight="false" outlineLevel="0" collapsed="false">
      <c r="A672" s="0" t="s">
        <v>46</v>
      </c>
      <c r="B672" s="0" t="n">
        <v>15</v>
      </c>
      <c r="C672" s="0" t="n">
        <v>22880</v>
      </c>
    </row>
    <row r="673" customFormat="false" ht="12.75" hidden="false" customHeight="false" outlineLevel="0" collapsed="false">
      <c r="A673" s="0" t="s">
        <v>47</v>
      </c>
      <c r="B673" s="0" t="n">
        <v>252</v>
      </c>
      <c r="C673" s="0" t="n">
        <v>22640</v>
      </c>
    </row>
    <row r="674" customFormat="false" ht="12.75" hidden="false" customHeight="false" outlineLevel="0" collapsed="false">
      <c r="A674" s="0" t="s">
        <v>48</v>
      </c>
      <c r="B674" s="0" t="n">
        <v>130</v>
      </c>
      <c r="C674" s="0" t="n">
        <v>22515</v>
      </c>
    </row>
    <row r="675" customFormat="false" ht="12.75" hidden="false" customHeight="false" outlineLevel="0" collapsed="false">
      <c r="A675" s="0" t="s">
        <v>49</v>
      </c>
      <c r="B675" s="0" t="n">
        <v>28</v>
      </c>
      <c r="C675" s="0" t="n">
        <v>22583</v>
      </c>
    </row>
    <row r="676" customFormat="false" ht="12.75" hidden="false" customHeight="false" outlineLevel="0" collapsed="false">
      <c r="A676" s="0" t="s">
        <v>50</v>
      </c>
      <c r="B676" s="3" t="n">
        <v>3117</v>
      </c>
      <c r="C676" s="0" t="n">
        <v>19488</v>
      </c>
    </row>
    <row r="677" customFormat="false" ht="12.75" hidden="false" customHeight="false" outlineLevel="0" collapsed="false">
      <c r="A677" s="0" t="s">
        <v>51</v>
      </c>
      <c r="B677" s="0" t="n">
        <v>10</v>
      </c>
      <c r="C677" s="0" t="n">
        <v>19563</v>
      </c>
    </row>
    <row r="678" customFormat="false" ht="12.75" hidden="false" customHeight="false" outlineLevel="0" collapsed="false">
      <c r="C678" s="0" t="n">
        <v>20021</v>
      </c>
    </row>
    <row r="679" customFormat="false" ht="12.75" hidden="false" customHeight="false" outlineLevel="0" collapsed="false">
      <c r="A679" s="0" t="s">
        <v>130</v>
      </c>
      <c r="B679" s="3" t="n">
        <v>8278</v>
      </c>
      <c r="C679" s="0" t="n">
        <v>11750</v>
      </c>
    </row>
    <row r="680" customFormat="false" ht="12.75" hidden="false" customHeight="false" outlineLevel="0" collapsed="false">
      <c r="A680" s="0" t="s">
        <v>1</v>
      </c>
      <c r="B680" s="0" t="n">
        <v>76</v>
      </c>
      <c r="C680" s="0" t="n">
        <v>17485</v>
      </c>
    </row>
    <row r="681" customFormat="false" ht="12.75" hidden="false" customHeight="false" outlineLevel="0" collapsed="false">
      <c r="A681" s="0" t="s">
        <v>2</v>
      </c>
      <c r="B681" s="0" t="n">
        <v>2</v>
      </c>
      <c r="C681" s="0" t="n">
        <v>17518</v>
      </c>
    </row>
    <row r="682" customFormat="false" ht="12.75" hidden="false" customHeight="false" outlineLevel="0" collapsed="false">
      <c r="A682" s="0" t="s">
        <v>3</v>
      </c>
      <c r="B682" s="0" t="n">
        <v>45</v>
      </c>
      <c r="C682" s="0" t="n">
        <v>17474</v>
      </c>
    </row>
    <row r="683" customFormat="false" ht="12.75" hidden="false" customHeight="false" outlineLevel="0" collapsed="false">
      <c r="A683" s="0" t="s">
        <v>4</v>
      </c>
      <c r="B683" s="0" t="n">
        <v>40</v>
      </c>
      <c r="C683" s="0" t="n">
        <v>17492</v>
      </c>
    </row>
    <row r="684" customFormat="false" ht="12.75" hidden="false" customHeight="false" outlineLevel="0" collapsed="false">
      <c r="A684" s="0" t="s">
        <v>5</v>
      </c>
      <c r="B684" s="0" t="n">
        <v>247</v>
      </c>
      <c r="C684" s="0" t="n">
        <v>17277</v>
      </c>
    </row>
    <row r="685" customFormat="false" ht="12.75" hidden="false" customHeight="false" outlineLevel="0" collapsed="false">
      <c r="A685" s="0" t="s">
        <v>6</v>
      </c>
      <c r="B685" s="0" t="n">
        <v>40</v>
      </c>
      <c r="C685" s="0" t="n">
        <v>17306</v>
      </c>
    </row>
    <row r="686" customFormat="false" ht="12.75" hidden="false" customHeight="false" outlineLevel="0" collapsed="false">
      <c r="A686" s="0" t="s">
        <v>7</v>
      </c>
      <c r="B686" s="0" t="n">
        <v>30</v>
      </c>
      <c r="C686" s="0" t="n">
        <v>17383</v>
      </c>
    </row>
    <row r="687" customFormat="false" ht="12.75" hidden="false" customHeight="false" outlineLevel="0" collapsed="false">
      <c r="A687" s="0" t="s">
        <v>8</v>
      </c>
      <c r="B687" s="0" t="n">
        <v>12</v>
      </c>
      <c r="C687" s="0" t="n">
        <v>17395</v>
      </c>
    </row>
    <row r="688" customFormat="false" ht="12.75" hidden="false" customHeight="false" outlineLevel="0" collapsed="false">
      <c r="A688" s="0" t="s">
        <v>9</v>
      </c>
      <c r="B688" s="0" t="n">
        <v>12</v>
      </c>
      <c r="C688" s="0" t="n">
        <v>17386</v>
      </c>
    </row>
    <row r="689" customFormat="false" ht="12.75" hidden="false" customHeight="false" outlineLevel="0" collapsed="false">
      <c r="A689" s="0" t="s">
        <v>10</v>
      </c>
      <c r="B689" s="0" t="n">
        <v>252</v>
      </c>
      <c r="C689" s="0" t="n">
        <v>17136</v>
      </c>
    </row>
    <row r="690" customFormat="false" ht="12.75" hidden="false" customHeight="false" outlineLevel="0" collapsed="false">
      <c r="A690" s="0" t="s">
        <v>11</v>
      </c>
      <c r="B690" s="0" t="n">
        <v>187</v>
      </c>
      <c r="C690" s="0" t="n">
        <v>17022</v>
      </c>
    </row>
    <row r="691" customFormat="false" ht="12.75" hidden="false" customHeight="false" outlineLevel="0" collapsed="false">
      <c r="A691" s="0" t="s">
        <v>12</v>
      </c>
      <c r="B691" s="0" t="n">
        <v>9</v>
      </c>
      <c r="C691" s="0" t="n">
        <v>17030</v>
      </c>
    </row>
    <row r="692" customFormat="false" ht="12.75" hidden="false" customHeight="false" outlineLevel="0" collapsed="false">
      <c r="A692" s="0" t="s">
        <v>13</v>
      </c>
      <c r="B692" s="0" t="n">
        <v>6</v>
      </c>
      <c r="C692" s="0" t="n">
        <v>17025</v>
      </c>
    </row>
    <row r="693" customFormat="false" ht="12.75" hidden="false" customHeight="false" outlineLevel="0" collapsed="false">
      <c r="A693" s="0" t="s">
        <v>14</v>
      </c>
      <c r="B693" s="3" t="n">
        <v>3017</v>
      </c>
      <c r="C693" s="0" t="n">
        <v>14024</v>
      </c>
    </row>
    <row r="694" customFormat="false" ht="12.75" hidden="false" customHeight="false" outlineLevel="0" collapsed="false">
      <c r="A694" s="0" t="s">
        <v>16</v>
      </c>
      <c r="B694" s="0" t="n">
        <v>188</v>
      </c>
      <c r="C694" s="0" t="n">
        <v>14902</v>
      </c>
    </row>
    <row r="695" customFormat="false" ht="12.75" hidden="false" customHeight="false" outlineLevel="0" collapsed="false">
      <c r="A695" s="0" t="s">
        <v>17</v>
      </c>
      <c r="B695" s="0" t="n">
        <v>77</v>
      </c>
      <c r="C695" s="0" t="n">
        <v>14950</v>
      </c>
    </row>
    <row r="696" customFormat="false" ht="12.75" hidden="false" customHeight="false" outlineLevel="0" collapsed="false">
      <c r="A696" s="0" t="s">
        <v>18</v>
      </c>
      <c r="B696" s="3" t="n">
        <v>1389</v>
      </c>
      <c r="C696" s="0" t="n">
        <v>13814</v>
      </c>
    </row>
    <row r="697" customFormat="false" ht="12.75" hidden="false" customHeight="false" outlineLevel="0" collapsed="false">
      <c r="A697" s="0" t="s">
        <v>19</v>
      </c>
      <c r="B697" s="0" t="n">
        <v>21</v>
      </c>
      <c r="C697" s="0" t="n">
        <v>13804</v>
      </c>
    </row>
    <row r="698" customFormat="false" ht="12.75" hidden="false" customHeight="false" outlineLevel="0" collapsed="false">
      <c r="A698" s="0" t="s">
        <v>20</v>
      </c>
      <c r="B698" s="0" t="n">
        <v>10</v>
      </c>
      <c r="C698" s="0" t="n">
        <v>13840</v>
      </c>
    </row>
    <row r="699" customFormat="false" ht="12.75" hidden="false" customHeight="false" outlineLevel="0" collapsed="false">
      <c r="A699" s="0" t="s">
        <v>21</v>
      </c>
      <c r="B699" s="0" t="n">
        <v>90</v>
      </c>
      <c r="C699" s="0" t="n">
        <v>13751</v>
      </c>
    </row>
    <row r="700" customFormat="false" ht="12.75" hidden="false" customHeight="false" outlineLevel="0" collapsed="false">
      <c r="A700" s="0" t="s">
        <v>22</v>
      </c>
      <c r="B700" s="0" t="n">
        <v>42</v>
      </c>
      <c r="C700" s="0" t="n">
        <v>13740</v>
      </c>
    </row>
    <row r="701" customFormat="false" ht="12.75" hidden="false" customHeight="false" outlineLevel="0" collapsed="false">
      <c r="A701" s="0" t="s">
        <v>23</v>
      </c>
      <c r="B701" s="3" t="n">
        <v>1007</v>
      </c>
      <c r="C701" s="0" t="n">
        <v>12749</v>
      </c>
    </row>
    <row r="702" customFormat="false" ht="12.75" hidden="false" customHeight="false" outlineLevel="0" collapsed="false">
      <c r="A702" s="0" t="s">
        <v>24</v>
      </c>
      <c r="B702" s="0" t="n">
        <v>103</v>
      </c>
      <c r="C702" s="0" t="n">
        <v>12822</v>
      </c>
    </row>
    <row r="703" customFormat="false" ht="12.75" hidden="false" customHeight="false" outlineLevel="0" collapsed="false">
      <c r="A703" s="0" t="s">
        <v>25</v>
      </c>
      <c r="B703" s="0" t="n">
        <v>38</v>
      </c>
      <c r="C703" s="0" t="n">
        <v>13593</v>
      </c>
    </row>
    <row r="704" customFormat="false" ht="12.75" hidden="false" customHeight="false" outlineLevel="0" collapsed="false">
      <c r="A704" s="0" t="s">
        <v>26</v>
      </c>
      <c r="B704" s="0" t="n">
        <v>382</v>
      </c>
      <c r="C704" s="0" t="n">
        <v>13221</v>
      </c>
    </row>
    <row r="705" customFormat="false" ht="12.75" hidden="false" customHeight="false" outlineLevel="0" collapsed="false">
      <c r="A705" s="0" t="s">
        <v>27</v>
      </c>
      <c r="B705" s="0" t="n">
        <v>5</v>
      </c>
      <c r="C705" s="0" t="n">
        <v>14111</v>
      </c>
    </row>
    <row r="706" customFormat="false" ht="12.75" hidden="false" customHeight="false" outlineLevel="0" collapsed="false">
      <c r="A706" s="0" t="s">
        <v>28</v>
      </c>
      <c r="B706" s="0" t="n">
        <v>66</v>
      </c>
      <c r="C706" s="0" t="n">
        <v>14057</v>
      </c>
    </row>
    <row r="707" customFormat="false" ht="12.75" hidden="false" customHeight="false" outlineLevel="0" collapsed="false">
      <c r="A707" s="0" t="s">
        <v>29</v>
      </c>
      <c r="B707" s="0" t="n">
        <v>13</v>
      </c>
      <c r="C707" s="0" t="n">
        <v>15005</v>
      </c>
    </row>
    <row r="708" customFormat="false" ht="12.75" hidden="false" customHeight="false" outlineLevel="0" collapsed="false">
      <c r="A708" s="0" t="s">
        <v>30</v>
      </c>
      <c r="B708" s="0" t="n">
        <v>10</v>
      </c>
      <c r="C708" s="0" t="n">
        <v>15005</v>
      </c>
    </row>
    <row r="709" customFormat="false" ht="12.75" hidden="false" customHeight="false" outlineLevel="0" collapsed="false">
      <c r="A709" s="0" t="s">
        <v>31</v>
      </c>
      <c r="B709" s="0" t="n">
        <v>104</v>
      </c>
      <c r="C709" s="0" t="n">
        <v>14903</v>
      </c>
    </row>
    <row r="710" customFormat="false" ht="12.75" hidden="false" customHeight="false" outlineLevel="0" collapsed="false">
      <c r="A710" s="0" t="s">
        <v>32</v>
      </c>
      <c r="B710" s="0" t="n">
        <v>19</v>
      </c>
      <c r="C710" s="0" t="n">
        <v>14884</v>
      </c>
    </row>
    <row r="711" customFormat="false" ht="12.75" hidden="false" customHeight="false" outlineLevel="0" collapsed="false">
      <c r="A711" s="0" t="s">
        <v>33</v>
      </c>
      <c r="B711" s="0" t="n">
        <v>144</v>
      </c>
      <c r="C711" s="0" t="n">
        <v>14754</v>
      </c>
    </row>
    <row r="712" customFormat="false" ht="12.75" hidden="false" customHeight="false" outlineLevel="0" collapsed="false">
      <c r="A712" s="0" t="s">
        <v>34</v>
      </c>
      <c r="B712" s="0" t="n">
        <v>141</v>
      </c>
      <c r="C712" s="0" t="n">
        <v>14647</v>
      </c>
    </row>
    <row r="713" customFormat="false" ht="12.75" hidden="false" customHeight="false" outlineLevel="0" collapsed="false">
      <c r="A713" s="0" t="s">
        <v>35</v>
      </c>
      <c r="B713" s="0" t="n">
        <v>11</v>
      </c>
      <c r="C713" s="0" t="n">
        <v>14685</v>
      </c>
    </row>
    <row r="714" customFormat="false" ht="12.75" hidden="false" customHeight="false" outlineLevel="0" collapsed="false">
      <c r="A714" s="0" t="s">
        <v>36</v>
      </c>
      <c r="B714" s="3" t="n">
        <v>2288</v>
      </c>
      <c r="C714" s="0" t="n">
        <v>12419</v>
      </c>
    </row>
    <row r="715" customFormat="false" ht="12.75" hidden="false" customHeight="false" outlineLevel="0" collapsed="false">
      <c r="A715" s="0" t="s">
        <v>37</v>
      </c>
      <c r="B715" s="0" t="n">
        <v>68</v>
      </c>
      <c r="C715" s="0" t="n">
        <v>12483</v>
      </c>
    </row>
    <row r="716" customFormat="false" ht="12.75" hidden="false" customHeight="false" outlineLevel="0" collapsed="false">
      <c r="A716" s="0" t="s">
        <v>38</v>
      </c>
      <c r="B716" s="0" t="n">
        <v>15</v>
      </c>
      <c r="C716" s="0" t="n">
        <v>12508</v>
      </c>
    </row>
    <row r="717" customFormat="false" ht="12.75" hidden="false" customHeight="false" outlineLevel="0" collapsed="false">
      <c r="A717" s="0" t="s">
        <v>39</v>
      </c>
      <c r="B717" s="0" t="n">
        <v>293</v>
      </c>
      <c r="C717" s="0" t="n">
        <v>12229</v>
      </c>
    </row>
    <row r="718" customFormat="false" ht="12.75" hidden="false" customHeight="false" outlineLevel="0" collapsed="false">
      <c r="A718" s="0" t="s">
        <v>40</v>
      </c>
      <c r="B718" s="0" t="n">
        <v>3</v>
      </c>
      <c r="C718" s="0" t="n">
        <v>12230</v>
      </c>
    </row>
    <row r="719" customFormat="false" ht="12.75" hidden="false" customHeight="false" outlineLevel="0" collapsed="false">
      <c r="A719" s="0" t="s">
        <v>41</v>
      </c>
      <c r="B719" s="0" t="n">
        <v>79</v>
      </c>
      <c r="C719" s="0" t="n">
        <v>12153</v>
      </c>
    </row>
    <row r="720" customFormat="false" ht="12.75" hidden="false" customHeight="false" outlineLevel="0" collapsed="false">
      <c r="A720" s="0" t="s">
        <v>42</v>
      </c>
      <c r="B720" s="0" t="n">
        <v>12</v>
      </c>
      <c r="C720" s="0" t="n">
        <v>12148</v>
      </c>
    </row>
    <row r="721" customFormat="false" ht="12.75" hidden="false" customHeight="false" outlineLevel="0" collapsed="false">
      <c r="A721" s="0" t="s">
        <v>43</v>
      </c>
      <c r="B721" s="0" t="n">
        <v>298</v>
      </c>
      <c r="C721" s="0" t="n">
        <v>12081</v>
      </c>
    </row>
    <row r="722" customFormat="false" ht="12.75" hidden="false" customHeight="false" outlineLevel="0" collapsed="false">
      <c r="A722" s="0" t="s">
        <v>44</v>
      </c>
      <c r="B722" s="0" t="n">
        <v>174</v>
      </c>
      <c r="C722" s="0" t="n">
        <v>11940</v>
      </c>
    </row>
    <row r="723" customFormat="false" ht="12.75" hidden="false" customHeight="false" outlineLevel="0" collapsed="false">
      <c r="A723" s="0" t="s">
        <v>45</v>
      </c>
      <c r="B723" s="0" t="n">
        <v>12</v>
      </c>
      <c r="C723" s="0" t="n">
        <v>12070</v>
      </c>
    </row>
    <row r="724" customFormat="false" ht="12.75" hidden="false" customHeight="false" outlineLevel="0" collapsed="false">
      <c r="A724" s="0" t="s">
        <v>46</v>
      </c>
      <c r="B724" s="0" t="n">
        <v>5</v>
      </c>
      <c r="C724" s="0" t="n">
        <v>12070</v>
      </c>
    </row>
    <row r="725" customFormat="false" ht="12.75" hidden="false" customHeight="false" outlineLevel="0" collapsed="false">
      <c r="A725" s="0" t="s">
        <v>47</v>
      </c>
      <c r="B725" s="0" t="n">
        <v>96</v>
      </c>
      <c r="C725" s="0" t="n">
        <v>11976</v>
      </c>
    </row>
    <row r="726" customFormat="false" ht="12.75" hidden="false" customHeight="false" outlineLevel="0" collapsed="false">
      <c r="A726" s="0" t="s">
        <v>48</v>
      </c>
      <c r="B726" s="0" t="n">
        <v>22</v>
      </c>
      <c r="C726" s="0" t="n">
        <v>12009</v>
      </c>
    </row>
    <row r="727" customFormat="false" ht="12.75" hidden="false" customHeight="false" outlineLevel="0" collapsed="false">
      <c r="A727" s="0" t="s">
        <v>49</v>
      </c>
      <c r="B727" s="0" t="n">
        <v>85</v>
      </c>
      <c r="C727" s="0" t="n">
        <v>11992</v>
      </c>
    </row>
    <row r="728" customFormat="false" ht="12.75" hidden="false" customHeight="false" outlineLevel="0" collapsed="false">
      <c r="A728" s="0" t="s">
        <v>50</v>
      </c>
      <c r="B728" s="0" t="n">
        <v>458</v>
      </c>
      <c r="C728" s="0" t="n">
        <v>11539</v>
      </c>
    </row>
    <row r="729" customFormat="false" ht="12.75" hidden="false" customHeight="false" outlineLevel="0" collapsed="false">
      <c r="A729" s="0" t="s">
        <v>51</v>
      </c>
      <c r="B729" s="0" t="n">
        <v>7</v>
      </c>
      <c r="C729" s="0" t="n">
        <v>12174</v>
      </c>
    </row>
    <row r="730" customFormat="false" ht="12.75" hidden="false" customHeight="false" outlineLevel="0" collapsed="false">
      <c r="A730" s="0" t="s">
        <v>131</v>
      </c>
      <c r="B730" s="3" t="n">
        <v>5811</v>
      </c>
      <c r="C730" s="0" t="n">
        <v>6380</v>
      </c>
    </row>
    <row r="731" customFormat="false" ht="12.75" hidden="false" customHeight="false" outlineLevel="0" collapsed="false">
      <c r="A731" s="0" t="s">
        <v>1</v>
      </c>
      <c r="B731" s="0" t="n">
        <v>35</v>
      </c>
      <c r="C731" s="0" t="n">
        <v>10905</v>
      </c>
    </row>
    <row r="732" customFormat="false" ht="12.75" hidden="false" customHeight="false" outlineLevel="0" collapsed="false">
      <c r="A732" s="0" t="s">
        <v>2</v>
      </c>
      <c r="B732" s="0" t="n">
        <v>1</v>
      </c>
      <c r="C732" s="0" t="n">
        <v>10921</v>
      </c>
    </row>
    <row r="733" customFormat="false" ht="12.75" hidden="false" customHeight="false" outlineLevel="0" collapsed="false">
      <c r="A733" s="0" t="s">
        <v>3</v>
      </c>
      <c r="B733" s="0" t="n">
        <v>58</v>
      </c>
      <c r="C733" s="0" t="n">
        <v>10866</v>
      </c>
    </row>
    <row r="734" customFormat="false" ht="12.75" hidden="false" customHeight="false" outlineLevel="0" collapsed="false">
      <c r="A734" s="0" t="s">
        <v>4</v>
      </c>
      <c r="B734" s="0" t="n">
        <v>32</v>
      </c>
      <c r="C734" s="0" t="n">
        <v>10908</v>
      </c>
    </row>
    <row r="735" customFormat="false" ht="12.75" hidden="false" customHeight="false" outlineLevel="0" collapsed="false">
      <c r="A735" s="0" t="s">
        <v>5</v>
      </c>
      <c r="B735" s="0" t="n">
        <v>69</v>
      </c>
      <c r="C735" s="0" t="n">
        <v>10970</v>
      </c>
    </row>
    <row r="736" customFormat="false" ht="12.75" hidden="false" customHeight="false" outlineLevel="0" collapsed="false">
      <c r="A736" s="0" t="s">
        <v>6</v>
      </c>
      <c r="B736" s="0" t="n">
        <v>107</v>
      </c>
      <c r="C736" s="0" t="n">
        <v>11004</v>
      </c>
    </row>
    <row r="737" customFormat="false" ht="12.75" hidden="false" customHeight="false" outlineLevel="0" collapsed="false">
      <c r="A737" s="0" t="s">
        <v>7</v>
      </c>
      <c r="B737" s="0" t="n">
        <v>24</v>
      </c>
      <c r="C737" s="0" t="n">
        <v>11313</v>
      </c>
    </row>
    <row r="738" customFormat="false" ht="12.75" hidden="false" customHeight="false" outlineLevel="0" collapsed="false">
      <c r="A738" s="0" t="s">
        <v>8</v>
      </c>
      <c r="B738" s="0" t="n">
        <v>3</v>
      </c>
      <c r="C738" s="0" t="n">
        <v>11313</v>
      </c>
    </row>
    <row r="739" customFormat="false" ht="12.75" hidden="false" customHeight="false" outlineLevel="0" collapsed="false">
      <c r="A739" s="0" t="s">
        <v>9</v>
      </c>
      <c r="B739" s="0" t="n">
        <v>2</v>
      </c>
      <c r="C739" s="0" t="n">
        <v>11312</v>
      </c>
    </row>
    <row r="740" customFormat="false" ht="12.75" hidden="false" customHeight="false" outlineLevel="0" collapsed="false">
      <c r="A740" s="0" t="s">
        <v>10</v>
      </c>
      <c r="B740" s="0" t="n">
        <v>73</v>
      </c>
      <c r="C740" s="0" t="n">
        <v>11243</v>
      </c>
    </row>
    <row r="741" customFormat="false" ht="12.75" hidden="false" customHeight="false" outlineLevel="0" collapsed="false">
      <c r="A741" s="0" t="s">
        <v>11</v>
      </c>
      <c r="B741" s="0" t="n">
        <v>17</v>
      </c>
      <c r="C741" s="0" t="n">
        <v>11278</v>
      </c>
    </row>
    <row r="742" customFormat="false" ht="12.75" hidden="false" customHeight="false" outlineLevel="0" collapsed="false">
      <c r="A742" s="0" t="s">
        <v>12</v>
      </c>
      <c r="B742" s="0" t="n">
        <v>1</v>
      </c>
      <c r="C742" s="0" t="n">
        <v>11286</v>
      </c>
    </row>
    <row r="743" customFormat="false" ht="12.75" hidden="false" customHeight="false" outlineLevel="0" collapsed="false">
      <c r="A743" s="0" t="s">
        <v>13</v>
      </c>
      <c r="B743" s="0" t="n">
        <v>16</v>
      </c>
      <c r="C743" s="0" t="n">
        <v>11271</v>
      </c>
    </row>
    <row r="744" customFormat="false" ht="12.75" hidden="false" customHeight="false" outlineLevel="0" collapsed="false">
      <c r="A744" s="0" t="s">
        <v>14</v>
      </c>
      <c r="B744" s="3" t="n">
        <v>1066</v>
      </c>
      <c r="C744" s="0" t="n">
        <v>10210</v>
      </c>
    </row>
    <row r="745" customFormat="false" ht="12.75" hidden="false" customHeight="false" outlineLevel="0" collapsed="false">
      <c r="A745" s="0" t="s">
        <v>15</v>
      </c>
      <c r="B745" s="0" t="n">
        <v>125</v>
      </c>
      <c r="C745" s="0" t="n">
        <v>10386</v>
      </c>
    </row>
    <row r="746" customFormat="false" ht="12.75" hidden="false" customHeight="false" outlineLevel="0" collapsed="false">
      <c r="A746" s="0" t="s">
        <v>17</v>
      </c>
      <c r="B746" s="0" t="n">
        <v>253</v>
      </c>
      <c r="C746" s="0" t="n">
        <v>10175</v>
      </c>
    </row>
    <row r="747" customFormat="false" ht="12.75" hidden="false" customHeight="false" outlineLevel="0" collapsed="false">
      <c r="A747" s="0" t="s">
        <v>18</v>
      </c>
      <c r="B747" s="0" t="n">
        <v>11</v>
      </c>
      <c r="C747" s="0" t="n">
        <v>10358</v>
      </c>
    </row>
    <row r="748" customFormat="false" ht="12.75" hidden="false" customHeight="false" outlineLevel="0" collapsed="false">
      <c r="A748" s="0" t="s">
        <v>19</v>
      </c>
      <c r="B748" s="0" t="n">
        <v>46</v>
      </c>
      <c r="C748" s="0" t="n">
        <v>10345</v>
      </c>
    </row>
    <row r="749" customFormat="false" ht="12.75" hidden="false" customHeight="false" outlineLevel="0" collapsed="false">
      <c r="A749" s="0" t="s">
        <v>20</v>
      </c>
      <c r="B749" s="0" t="n">
        <v>1</v>
      </c>
      <c r="C749" s="0" t="n">
        <v>10378</v>
      </c>
    </row>
    <row r="750" customFormat="false" ht="12.75" hidden="false" customHeight="false" outlineLevel="0" collapsed="false">
      <c r="A750" s="0" t="s">
        <v>21</v>
      </c>
      <c r="B750" s="0" t="n">
        <v>31</v>
      </c>
      <c r="C750" s="0" t="n">
        <v>10348</v>
      </c>
    </row>
    <row r="751" customFormat="false" ht="12.75" hidden="false" customHeight="false" outlineLevel="0" collapsed="false">
      <c r="A751" s="0" t="s">
        <v>22</v>
      </c>
      <c r="B751" s="0" t="n">
        <v>16</v>
      </c>
      <c r="C751" s="0" t="n">
        <v>10352</v>
      </c>
    </row>
    <row r="752" customFormat="false" ht="12.75" hidden="false" customHeight="false" outlineLevel="0" collapsed="false">
      <c r="A752" s="0" t="s">
        <v>23</v>
      </c>
      <c r="B752" s="0" t="n">
        <v>176</v>
      </c>
      <c r="C752" s="0" t="n">
        <v>10211</v>
      </c>
    </row>
    <row r="753" customFormat="false" ht="12.75" hidden="false" customHeight="false" outlineLevel="0" collapsed="false">
      <c r="A753" s="0" t="s">
        <v>24</v>
      </c>
      <c r="B753" s="0" t="n">
        <v>809</v>
      </c>
      <c r="C753" s="0" t="n">
        <v>9563</v>
      </c>
    </row>
    <row r="754" customFormat="false" ht="12.75" hidden="false" customHeight="false" outlineLevel="0" collapsed="false">
      <c r="A754" s="0" t="s">
        <v>25</v>
      </c>
      <c r="B754" s="0" t="n">
        <v>10</v>
      </c>
      <c r="C754" s="0" t="n">
        <v>9657</v>
      </c>
    </row>
    <row r="755" customFormat="false" ht="12.75" hidden="false" customHeight="false" outlineLevel="0" collapsed="false">
      <c r="A755" s="0" t="s">
        <v>26</v>
      </c>
      <c r="B755" s="0" t="n">
        <v>895</v>
      </c>
      <c r="C755" s="0" t="n">
        <v>8794</v>
      </c>
    </row>
    <row r="756" customFormat="false" ht="12.75" hidden="false" customHeight="false" outlineLevel="0" collapsed="false">
      <c r="A756" s="0" t="s">
        <v>27</v>
      </c>
      <c r="B756" s="0" t="n">
        <v>12</v>
      </c>
      <c r="C756" s="0" t="n">
        <v>10302</v>
      </c>
    </row>
    <row r="757" customFormat="false" ht="12.75" hidden="false" customHeight="false" outlineLevel="0" collapsed="false">
      <c r="A757" s="0" t="s">
        <v>28</v>
      </c>
      <c r="B757" s="0" t="n">
        <v>961</v>
      </c>
      <c r="C757" s="0" t="n">
        <v>9352</v>
      </c>
    </row>
    <row r="758" customFormat="false" ht="12.75" hidden="false" customHeight="false" outlineLevel="0" collapsed="false">
      <c r="A758" s="0" t="s">
        <v>29</v>
      </c>
      <c r="B758" s="0" t="n">
        <v>10</v>
      </c>
      <c r="C758" s="0" t="n">
        <v>9749</v>
      </c>
    </row>
    <row r="759" customFormat="false" ht="12.75" hidden="false" customHeight="false" outlineLevel="0" collapsed="false">
      <c r="A759" s="0" t="s">
        <v>30</v>
      </c>
      <c r="B759" s="0" t="n">
        <v>2</v>
      </c>
      <c r="C759" s="0" t="n">
        <v>9756</v>
      </c>
    </row>
    <row r="760" customFormat="false" ht="12.75" hidden="false" customHeight="false" outlineLevel="0" collapsed="false">
      <c r="A760" s="0" t="s">
        <v>31</v>
      </c>
      <c r="B760" s="0" t="s">
        <v>156</v>
      </c>
      <c r="C760" s="0" t="n">
        <v>9761</v>
      </c>
    </row>
    <row r="761" customFormat="false" ht="12.75" hidden="false" customHeight="false" outlineLevel="0" collapsed="false">
      <c r="A761" s="0" t="s">
        <v>32</v>
      </c>
      <c r="B761" s="0" t="n">
        <v>14</v>
      </c>
      <c r="C761" s="0" t="n">
        <v>9760</v>
      </c>
    </row>
    <row r="762" customFormat="false" ht="12.75" hidden="false" customHeight="false" outlineLevel="0" collapsed="false">
      <c r="A762" s="0" t="s">
        <v>33</v>
      </c>
      <c r="B762" s="0" t="n">
        <v>34</v>
      </c>
      <c r="C762" s="0" t="n">
        <v>9747</v>
      </c>
    </row>
    <row r="763" customFormat="false" ht="12.75" hidden="false" customHeight="false" outlineLevel="0" collapsed="false">
      <c r="A763" s="0" t="s">
        <v>34</v>
      </c>
      <c r="B763" s="0" t="n">
        <v>49</v>
      </c>
      <c r="C763" s="0" t="n">
        <v>9745</v>
      </c>
    </row>
    <row r="764" customFormat="false" ht="12.75" hidden="false" customHeight="false" outlineLevel="0" collapsed="false">
      <c r="A764" s="0" t="s">
        <v>35</v>
      </c>
      <c r="B764" s="0" t="n">
        <v>22</v>
      </c>
      <c r="C764" s="0" t="n">
        <v>9828</v>
      </c>
    </row>
    <row r="765" customFormat="false" ht="12.75" hidden="false" customHeight="false" outlineLevel="0" collapsed="false">
      <c r="A765" s="0" t="s">
        <v>36</v>
      </c>
      <c r="B765" s="0" t="n">
        <v>132</v>
      </c>
      <c r="C765" s="0" t="n">
        <v>9711</v>
      </c>
    </row>
    <row r="766" customFormat="false" ht="12.75" hidden="false" customHeight="false" outlineLevel="0" collapsed="false">
      <c r="A766" s="0" t="s">
        <v>37</v>
      </c>
      <c r="B766" s="0" t="n">
        <v>40</v>
      </c>
      <c r="C766" s="0" t="n">
        <v>9697</v>
      </c>
    </row>
    <row r="767" customFormat="false" ht="12.75" hidden="false" customHeight="false" outlineLevel="0" collapsed="false">
      <c r="A767" s="0" t="s">
        <v>38</v>
      </c>
      <c r="B767" s="0" t="n">
        <v>14</v>
      </c>
      <c r="C767" s="0" t="n">
        <v>10836</v>
      </c>
    </row>
    <row r="768" customFormat="false" ht="12.75" hidden="false" customHeight="false" outlineLevel="0" collapsed="false">
      <c r="A768" s="0" t="s">
        <v>39</v>
      </c>
      <c r="B768" s="0" t="n">
        <v>4</v>
      </c>
      <c r="C768" s="0" t="n">
        <v>10841</v>
      </c>
    </row>
    <row r="769" customFormat="false" ht="12.75" hidden="false" customHeight="false" outlineLevel="0" collapsed="false">
      <c r="A769" s="0" t="s">
        <v>40</v>
      </c>
      <c r="B769" s="0" t="n">
        <v>2</v>
      </c>
      <c r="C769" s="0" t="n">
        <v>10881</v>
      </c>
    </row>
    <row r="770" customFormat="false" ht="12.75" hidden="false" customHeight="false" outlineLevel="0" collapsed="false">
      <c r="A770" s="0" t="s">
        <v>41</v>
      </c>
      <c r="B770" s="0" t="n">
        <v>7</v>
      </c>
      <c r="C770" s="0" t="n">
        <v>10878</v>
      </c>
    </row>
    <row r="771" customFormat="false" ht="12.75" hidden="false" customHeight="false" outlineLevel="0" collapsed="false">
      <c r="A771" s="0" t="s">
        <v>42</v>
      </c>
      <c r="B771" s="0" t="n">
        <v>231</v>
      </c>
      <c r="C771" s="0" t="n">
        <v>10649</v>
      </c>
    </row>
    <row r="772" customFormat="false" ht="12.75" hidden="false" customHeight="false" outlineLevel="0" collapsed="false">
      <c r="A772" s="0" t="s">
        <v>43</v>
      </c>
      <c r="B772" s="0" t="n">
        <v>33</v>
      </c>
      <c r="C772" s="0" t="n">
        <v>10650</v>
      </c>
    </row>
    <row r="773" customFormat="false" ht="12.75" hidden="false" customHeight="false" outlineLevel="0" collapsed="false">
      <c r="A773" s="0" t="s">
        <v>44</v>
      </c>
      <c r="B773" s="0" t="n">
        <v>142</v>
      </c>
      <c r="C773" s="0" t="n">
        <v>10516</v>
      </c>
    </row>
    <row r="774" customFormat="false" ht="12.75" hidden="false" customHeight="false" outlineLevel="0" collapsed="false">
      <c r="A774" s="0" t="s">
        <v>45</v>
      </c>
      <c r="B774" s="0" t="n">
        <v>5</v>
      </c>
      <c r="C774" s="0" t="n">
        <v>11074</v>
      </c>
    </row>
    <row r="775" customFormat="false" ht="12.75" hidden="false" customHeight="false" outlineLevel="0" collapsed="false">
      <c r="A775" s="0" t="s">
        <v>46</v>
      </c>
      <c r="B775" s="0" t="n">
        <v>2</v>
      </c>
      <c r="C775" s="0" t="n">
        <v>11087</v>
      </c>
    </row>
    <row r="776" customFormat="false" ht="12.75" hidden="false" customHeight="false" outlineLevel="0" collapsed="false">
      <c r="A776" s="0" t="s">
        <v>47</v>
      </c>
      <c r="B776" s="0" t="n">
        <v>55</v>
      </c>
      <c r="C776" s="0" t="n">
        <v>11033</v>
      </c>
    </row>
    <row r="777" customFormat="false" ht="12.75" hidden="false" customHeight="false" outlineLevel="0" collapsed="false">
      <c r="A777" s="0" t="s">
        <v>48</v>
      </c>
      <c r="B777" s="0" t="n">
        <v>68</v>
      </c>
      <c r="C777" s="0" t="n">
        <v>11000</v>
      </c>
    </row>
    <row r="778" customFormat="false" ht="12.75" hidden="false" customHeight="false" outlineLevel="0" collapsed="false">
      <c r="A778" s="0" t="s">
        <v>49</v>
      </c>
      <c r="B778" s="0" t="n">
        <v>5</v>
      </c>
      <c r="C778" s="0" t="n">
        <v>11011</v>
      </c>
    </row>
    <row r="779" customFormat="false" ht="12.75" hidden="false" customHeight="false" outlineLevel="0" collapsed="false">
      <c r="A779" s="0" t="s">
        <v>50</v>
      </c>
      <c r="B779" s="0" t="n">
        <v>642</v>
      </c>
      <c r="C779" s="0" t="n">
        <v>10371</v>
      </c>
    </row>
    <row r="780" customFormat="false" ht="12.75" hidden="false" customHeight="false" outlineLevel="0" collapsed="false">
      <c r="A780" s="0" t="s">
        <v>51</v>
      </c>
      <c r="B780" s="0" t="n">
        <v>17</v>
      </c>
      <c r="C780" s="0" t="n">
        <v>10421</v>
      </c>
    </row>
    <row r="781" customFormat="false" ht="12.75" hidden="false" customHeight="false" outlineLevel="0" collapsed="false">
      <c r="A781" s="0" t="s">
        <v>132</v>
      </c>
      <c r="B781" s="3" t="n">
        <v>4560</v>
      </c>
      <c r="C781" s="0" t="n">
        <v>5889</v>
      </c>
    </row>
    <row r="782" customFormat="false" ht="12.75" hidden="false" customHeight="false" outlineLevel="0" collapsed="false">
      <c r="A782" s="0" t="s">
        <v>1</v>
      </c>
      <c r="B782" s="0" t="n">
        <v>17</v>
      </c>
      <c r="C782" s="0" t="n">
        <v>5872</v>
      </c>
    </row>
    <row r="783" customFormat="false" ht="12.75" hidden="false" customHeight="false" outlineLevel="0" collapsed="false">
      <c r="A783" s="0" t="s">
        <v>2</v>
      </c>
      <c r="B783" s="0" t="n">
        <v>3</v>
      </c>
      <c r="C783" s="0" t="n">
        <v>11443</v>
      </c>
    </row>
    <row r="784" customFormat="false" ht="12.75" hidden="false" customHeight="false" outlineLevel="0" collapsed="false">
      <c r="A784" s="0" t="s">
        <v>3</v>
      </c>
      <c r="B784" s="0" t="n">
        <v>74</v>
      </c>
      <c r="C784" s="0" t="n">
        <v>11476</v>
      </c>
    </row>
    <row r="785" customFormat="false" ht="12.75" hidden="false" customHeight="false" outlineLevel="0" collapsed="false">
      <c r="A785" s="0" t="s">
        <v>4</v>
      </c>
      <c r="B785" s="0" t="n">
        <v>131</v>
      </c>
      <c r="C785" s="0" t="n">
        <v>11346</v>
      </c>
    </row>
    <row r="786" customFormat="false" ht="12.75" hidden="false" customHeight="false" outlineLevel="0" collapsed="false">
      <c r="A786" s="0" t="s">
        <v>5</v>
      </c>
      <c r="B786" s="0" t="n">
        <v>141</v>
      </c>
      <c r="C786" s="0" t="n">
        <v>11217</v>
      </c>
    </row>
    <row r="787" customFormat="false" ht="12.75" hidden="false" customHeight="false" outlineLevel="0" collapsed="false">
      <c r="A787" s="0" t="s">
        <v>6</v>
      </c>
      <c r="B787" s="0" t="n">
        <v>333</v>
      </c>
      <c r="C787" s="0" t="n">
        <v>10949</v>
      </c>
    </row>
    <row r="788" customFormat="false" ht="12.75" hidden="false" customHeight="false" outlineLevel="0" collapsed="false">
      <c r="A788" s="0" t="s">
        <v>7</v>
      </c>
      <c r="B788" s="0" t="n">
        <v>3</v>
      </c>
      <c r="C788" s="0" t="n">
        <v>10991</v>
      </c>
    </row>
    <row r="789" customFormat="false" ht="12.75" hidden="false" customHeight="false" outlineLevel="0" collapsed="false">
      <c r="A789" s="0" t="s">
        <v>8</v>
      </c>
      <c r="B789" s="0" t="n">
        <v>1</v>
      </c>
      <c r="C789" s="0" t="n">
        <v>10997</v>
      </c>
    </row>
    <row r="790" customFormat="false" ht="12.75" hidden="false" customHeight="false" outlineLevel="0" collapsed="false">
      <c r="A790" s="0" t="s">
        <v>9</v>
      </c>
      <c r="B790" s="0" t="n">
        <v>4</v>
      </c>
      <c r="C790" s="0" t="n">
        <v>11004</v>
      </c>
    </row>
    <row r="791" customFormat="false" ht="12.75" hidden="false" customHeight="false" outlineLevel="0" collapsed="false">
      <c r="A791" s="0" t="s">
        <v>10</v>
      </c>
      <c r="B791" s="0" t="n">
        <v>52</v>
      </c>
      <c r="C791" s="0" t="n">
        <v>10957</v>
      </c>
    </row>
    <row r="792" customFormat="false" ht="12.75" hidden="false" customHeight="false" outlineLevel="0" collapsed="false">
      <c r="A792" s="0" t="s">
        <v>11</v>
      </c>
      <c r="B792" s="0" t="n">
        <v>9</v>
      </c>
      <c r="C792" s="0" t="n">
        <v>10957</v>
      </c>
    </row>
    <row r="793" customFormat="false" ht="12.75" hidden="false" customHeight="false" outlineLevel="0" collapsed="false">
      <c r="A793" s="0" t="s">
        <v>12</v>
      </c>
      <c r="B793" s="0" t="n">
        <v>1</v>
      </c>
      <c r="C793" s="0" t="n">
        <v>11277</v>
      </c>
    </row>
    <row r="794" customFormat="false" ht="12.75" hidden="false" customHeight="false" outlineLevel="0" collapsed="false">
      <c r="A794" s="0" t="s">
        <v>13</v>
      </c>
      <c r="B794" s="0" t="n">
        <v>5</v>
      </c>
      <c r="C794" s="0" t="n">
        <v>11544</v>
      </c>
    </row>
    <row r="795" customFormat="false" ht="12.75" hidden="false" customHeight="false" outlineLevel="0" collapsed="false">
      <c r="A795" s="0" t="s">
        <v>14</v>
      </c>
      <c r="B795" s="0" t="n">
        <v>301</v>
      </c>
      <c r="C795" s="0" t="n">
        <v>11245</v>
      </c>
    </row>
    <row r="796" customFormat="false" ht="12.75" hidden="false" customHeight="false" outlineLevel="0" collapsed="false">
      <c r="A796" s="0" t="s">
        <v>15</v>
      </c>
      <c r="B796" s="0" t="n">
        <v>42</v>
      </c>
      <c r="C796" s="0" t="n">
        <v>11205</v>
      </c>
    </row>
    <row r="797" customFormat="false" ht="12.75" hidden="false" customHeight="false" outlineLevel="0" collapsed="false">
      <c r="A797" s="0" t="s">
        <v>16</v>
      </c>
      <c r="B797" s="0" t="n">
        <v>194</v>
      </c>
      <c r="C797" s="0" t="n">
        <v>11673</v>
      </c>
    </row>
    <row r="798" customFormat="false" ht="12.75" hidden="false" customHeight="false" outlineLevel="0" collapsed="false">
      <c r="A798" s="0" t="s">
        <v>18</v>
      </c>
      <c r="B798" s="0" t="n">
        <v>33</v>
      </c>
      <c r="C798" s="0" t="n">
        <v>13349</v>
      </c>
    </row>
    <row r="799" customFormat="false" ht="12.75" hidden="false" customHeight="false" outlineLevel="0" collapsed="false">
      <c r="A799" s="0" t="s">
        <v>19</v>
      </c>
      <c r="B799" s="0" t="n">
        <v>34</v>
      </c>
      <c r="C799" s="0" t="n">
        <v>13341</v>
      </c>
    </row>
    <row r="800" customFormat="false" ht="12.75" hidden="false" customHeight="false" outlineLevel="0" collapsed="false">
      <c r="A800" s="0" t="s">
        <v>20</v>
      </c>
      <c r="B800" s="0" t="n">
        <v>1</v>
      </c>
      <c r="C800" s="0" t="n">
        <v>13378</v>
      </c>
    </row>
    <row r="801" customFormat="false" ht="12.75" hidden="false" customHeight="false" outlineLevel="0" collapsed="false">
      <c r="A801" s="0" t="s">
        <v>21</v>
      </c>
      <c r="B801" s="0" t="n">
        <v>20</v>
      </c>
      <c r="C801" s="0" t="n">
        <v>13392</v>
      </c>
    </row>
    <row r="802" customFormat="false" ht="12.75" hidden="false" customHeight="false" outlineLevel="0" collapsed="false">
      <c r="A802" s="0" t="s">
        <v>22</v>
      </c>
      <c r="B802" s="0" t="n">
        <v>35</v>
      </c>
      <c r="C802" s="0" t="n">
        <v>13363</v>
      </c>
    </row>
    <row r="803" customFormat="false" ht="12.75" hidden="false" customHeight="false" outlineLevel="0" collapsed="false">
      <c r="A803" s="0" t="s">
        <v>23</v>
      </c>
      <c r="B803" s="0" t="n">
        <v>161</v>
      </c>
      <c r="C803" s="0" t="n">
        <v>13250</v>
      </c>
    </row>
    <row r="804" customFormat="false" ht="12.75" hidden="false" customHeight="false" outlineLevel="0" collapsed="false">
      <c r="A804" s="0" t="s">
        <v>24</v>
      </c>
      <c r="B804" s="0" t="n">
        <v>104</v>
      </c>
      <c r="C804" s="0" t="n">
        <v>13158</v>
      </c>
    </row>
    <row r="805" customFormat="false" ht="12.75" hidden="false" customHeight="false" outlineLevel="0" collapsed="false">
      <c r="A805" s="0" t="s">
        <v>25</v>
      </c>
      <c r="B805" s="0" t="n">
        <v>32</v>
      </c>
      <c r="C805" s="0" t="n">
        <v>13646</v>
      </c>
    </row>
    <row r="806" customFormat="false" ht="12.75" hidden="false" customHeight="false" outlineLevel="0" collapsed="false">
      <c r="A806" s="0" t="s">
        <v>26</v>
      </c>
      <c r="B806" s="3" t="n">
        <v>1520</v>
      </c>
      <c r="C806" s="0" t="n">
        <v>12156</v>
      </c>
    </row>
    <row r="807" customFormat="false" ht="12.75" hidden="false" customHeight="false" outlineLevel="0" collapsed="false">
      <c r="A807" s="0" t="s">
        <v>27</v>
      </c>
      <c r="B807" s="0" t="n">
        <v>11</v>
      </c>
      <c r="C807" s="0" t="n">
        <v>12184</v>
      </c>
    </row>
    <row r="808" customFormat="false" ht="12.75" hidden="false" customHeight="false" outlineLevel="0" collapsed="false">
      <c r="A808" s="0" t="s">
        <v>28</v>
      </c>
      <c r="B808" s="0" t="n">
        <v>407</v>
      </c>
      <c r="C808" s="0" t="n">
        <v>11980</v>
      </c>
    </row>
    <row r="809" customFormat="false" ht="12.75" hidden="false" customHeight="false" outlineLevel="0" collapsed="false">
      <c r="A809" s="0" t="s">
        <v>29</v>
      </c>
      <c r="B809" s="0" t="n">
        <v>9</v>
      </c>
      <c r="C809" s="0" t="n">
        <v>11975</v>
      </c>
    </row>
    <row r="810" customFormat="false" ht="12.75" hidden="false" customHeight="false" outlineLevel="0" collapsed="false">
      <c r="A810" s="0" t="s">
        <v>30</v>
      </c>
      <c r="B810" s="0" t="n">
        <v>5</v>
      </c>
      <c r="C810" s="0" t="n">
        <v>11986</v>
      </c>
    </row>
    <row r="811" customFormat="false" ht="12.75" hidden="false" customHeight="false" outlineLevel="0" collapsed="false">
      <c r="A811" s="0" t="s">
        <v>31</v>
      </c>
      <c r="B811" s="0" t="n">
        <v>13</v>
      </c>
      <c r="C811" s="0" t="n">
        <v>11987</v>
      </c>
    </row>
    <row r="812" customFormat="false" ht="12.75" hidden="false" customHeight="false" outlineLevel="0" collapsed="false">
      <c r="A812" s="0" t="s">
        <v>32</v>
      </c>
      <c r="B812" s="0" t="n">
        <v>21</v>
      </c>
      <c r="C812" s="0" t="n">
        <v>11971</v>
      </c>
    </row>
    <row r="813" customFormat="false" ht="12.75" hidden="false" customHeight="false" outlineLevel="0" collapsed="false">
      <c r="A813" s="0" t="s">
        <v>33</v>
      </c>
      <c r="B813" s="0" t="n">
        <v>47</v>
      </c>
      <c r="C813" s="0" t="n">
        <v>11955</v>
      </c>
    </row>
    <row r="814" customFormat="false" ht="12.75" hidden="false" customHeight="false" outlineLevel="0" collapsed="false">
      <c r="A814" s="0" t="s">
        <v>34</v>
      </c>
      <c r="B814" s="0" t="n">
        <v>105</v>
      </c>
      <c r="C814" s="0" t="n">
        <v>11897</v>
      </c>
    </row>
    <row r="815" customFormat="false" ht="12.75" hidden="false" customHeight="false" outlineLevel="0" collapsed="false">
      <c r="A815" s="0" t="s">
        <v>35</v>
      </c>
      <c r="B815" s="0" t="n">
        <v>15</v>
      </c>
      <c r="C815" s="0" t="n">
        <v>11934</v>
      </c>
    </row>
    <row r="816" customFormat="false" ht="12.75" hidden="false" customHeight="false" outlineLevel="0" collapsed="false">
      <c r="A816" s="0" t="s">
        <v>36</v>
      </c>
      <c r="B816" s="0" t="n">
        <v>26</v>
      </c>
      <c r="C816" s="0" t="n">
        <v>12210</v>
      </c>
    </row>
    <row r="817" customFormat="false" ht="12.75" hidden="false" customHeight="false" outlineLevel="0" collapsed="false">
      <c r="A817" s="0" t="s">
        <v>37</v>
      </c>
      <c r="B817" s="3" t="n">
        <v>1153</v>
      </c>
      <c r="C817" s="0" t="n">
        <v>11059</v>
      </c>
    </row>
    <row r="818" customFormat="false" ht="12.75" hidden="false" customHeight="false" outlineLevel="0" collapsed="false">
      <c r="A818" s="0" t="s">
        <v>38</v>
      </c>
      <c r="B818" s="0" t="n">
        <v>9</v>
      </c>
      <c r="C818" s="0" t="n">
        <v>13164</v>
      </c>
    </row>
    <row r="819" customFormat="false" ht="12.75" hidden="false" customHeight="false" outlineLevel="0" collapsed="false">
      <c r="A819" s="0" t="s">
        <v>39</v>
      </c>
      <c r="B819" s="0" t="n">
        <v>42</v>
      </c>
      <c r="C819" s="0" t="n">
        <v>13214</v>
      </c>
    </row>
    <row r="820" customFormat="false" ht="12.75" hidden="false" customHeight="false" outlineLevel="0" collapsed="false">
      <c r="A820" s="0" t="s">
        <v>40</v>
      </c>
      <c r="B820" s="0" t="n">
        <v>4</v>
      </c>
      <c r="C820" s="0" t="n">
        <v>13213</v>
      </c>
    </row>
    <row r="821" customFormat="false" ht="12.75" hidden="false" customHeight="false" outlineLevel="0" collapsed="false">
      <c r="A821" s="0" t="s">
        <v>41</v>
      </c>
      <c r="B821" s="0" t="n">
        <v>2</v>
      </c>
      <c r="C821" s="0" t="n">
        <v>13366</v>
      </c>
    </row>
    <row r="822" customFormat="false" ht="12.75" hidden="false" customHeight="false" outlineLevel="0" collapsed="false">
      <c r="A822" s="0" t="s">
        <v>42</v>
      </c>
      <c r="B822" s="0" t="n">
        <v>34</v>
      </c>
      <c r="C822" s="0" t="n">
        <v>13338</v>
      </c>
    </row>
    <row r="823" customFormat="false" ht="12.75" hidden="false" customHeight="false" outlineLevel="0" collapsed="false">
      <c r="A823" s="0" t="s">
        <v>43</v>
      </c>
      <c r="B823" s="0" t="n">
        <v>8</v>
      </c>
      <c r="C823" s="0" t="n">
        <v>13376</v>
      </c>
    </row>
    <row r="824" customFormat="false" ht="12.75" hidden="false" customHeight="false" outlineLevel="0" collapsed="false">
      <c r="A824" s="0" t="s">
        <v>44</v>
      </c>
      <c r="B824" s="0" t="n">
        <v>563</v>
      </c>
      <c r="C824" s="0" t="n">
        <v>12816</v>
      </c>
    </row>
    <row r="825" customFormat="false" ht="12.75" hidden="false" customHeight="false" outlineLevel="0" collapsed="false">
      <c r="A825" s="0" t="s">
        <v>45</v>
      </c>
      <c r="B825" s="0" t="n">
        <v>15</v>
      </c>
      <c r="C825" s="0" t="n">
        <v>13731</v>
      </c>
    </row>
    <row r="826" customFormat="false" ht="12.75" hidden="false" customHeight="false" outlineLevel="0" collapsed="false">
      <c r="A826" s="0" t="s">
        <v>46</v>
      </c>
      <c r="B826" s="0" t="n">
        <v>1</v>
      </c>
      <c r="C826" s="0" t="n">
        <v>13839</v>
      </c>
    </row>
    <row r="827" customFormat="false" ht="12.75" hidden="false" customHeight="false" outlineLevel="0" collapsed="false">
      <c r="A827" s="0" t="s">
        <v>47</v>
      </c>
      <c r="B827" s="0" t="n">
        <v>35</v>
      </c>
      <c r="C827" s="0" t="n">
        <v>13816</v>
      </c>
    </row>
    <row r="828" customFormat="false" ht="12.75" hidden="false" customHeight="false" outlineLevel="0" collapsed="false">
      <c r="A828" s="0" t="s">
        <v>48</v>
      </c>
      <c r="B828" s="0" t="n">
        <v>16</v>
      </c>
      <c r="C828" s="0" t="n">
        <v>13809</v>
      </c>
    </row>
    <row r="829" customFormat="false" ht="12.75" hidden="false" customHeight="false" outlineLevel="0" collapsed="false">
      <c r="A829" s="0" t="s">
        <v>49</v>
      </c>
      <c r="B829" s="0" t="n">
        <v>2</v>
      </c>
      <c r="C829" s="0" t="n">
        <v>13966</v>
      </c>
    </row>
    <row r="830" customFormat="false" ht="12.75" hidden="false" customHeight="false" outlineLevel="0" collapsed="false">
      <c r="A830" s="0" t="s">
        <v>50</v>
      </c>
      <c r="B830" s="0" t="n">
        <v>67</v>
      </c>
      <c r="C830" s="0" t="n">
        <v>13913</v>
      </c>
    </row>
    <row r="831" customFormat="false" ht="12.75" hidden="false" customHeight="false" outlineLevel="0" collapsed="false">
      <c r="A831" s="0" t="s">
        <v>51</v>
      </c>
      <c r="B831" s="0" t="n">
        <v>28</v>
      </c>
      <c r="C831" s="0" t="n">
        <v>14038</v>
      </c>
    </row>
    <row r="832" customFormat="false" ht="12.75" hidden="false" customHeight="false" outlineLevel="0" collapsed="false">
      <c r="C832" s="0" t="n">
        <v>14088</v>
      </c>
    </row>
    <row r="833" customFormat="false" ht="12.75" hidden="false" customHeight="false" outlineLevel="0" collapsed="false">
      <c r="A833" s="0" t="s">
        <v>133</v>
      </c>
      <c r="B833" s="3" t="n">
        <v>5574</v>
      </c>
      <c r="C833" s="0" t="n">
        <v>8515</v>
      </c>
    </row>
    <row r="834" customFormat="false" ht="12.75" hidden="false" customHeight="false" outlineLevel="0" collapsed="false">
      <c r="A834" s="0" t="s">
        <v>1</v>
      </c>
      <c r="B834" s="0" t="n">
        <v>107</v>
      </c>
      <c r="C834" s="0" t="n">
        <v>14460</v>
      </c>
    </row>
    <row r="835" customFormat="false" ht="12.75" hidden="false" customHeight="false" outlineLevel="0" collapsed="false">
      <c r="A835" s="0" t="s">
        <v>2</v>
      </c>
      <c r="B835" s="0" t="n">
        <v>1</v>
      </c>
      <c r="C835" s="0" t="n">
        <v>14969</v>
      </c>
    </row>
    <row r="836" customFormat="false" ht="12.75" hidden="false" customHeight="false" outlineLevel="0" collapsed="false">
      <c r="A836" s="0" t="s">
        <v>3</v>
      </c>
      <c r="B836" s="0" t="n">
        <v>12</v>
      </c>
      <c r="C836" s="0" t="n">
        <v>14963</v>
      </c>
    </row>
    <row r="837" customFormat="false" ht="12.75" hidden="false" customHeight="false" outlineLevel="0" collapsed="false">
      <c r="A837" s="0" t="s">
        <v>4</v>
      </c>
      <c r="B837" s="0" t="n">
        <v>65</v>
      </c>
      <c r="C837" s="0" t="n">
        <v>14927</v>
      </c>
    </row>
    <row r="838" customFormat="false" ht="12.75" hidden="false" customHeight="false" outlineLevel="0" collapsed="false">
      <c r="A838" s="0" t="s">
        <v>5</v>
      </c>
      <c r="B838" s="0" t="n">
        <v>45</v>
      </c>
      <c r="C838" s="0" t="n">
        <v>15401</v>
      </c>
    </row>
    <row r="839" customFormat="false" ht="12.75" hidden="false" customHeight="false" outlineLevel="0" collapsed="false">
      <c r="A839" s="0" t="s">
        <v>6</v>
      </c>
      <c r="B839" s="0" t="n">
        <v>7</v>
      </c>
      <c r="C839" s="0" t="n">
        <v>15533</v>
      </c>
    </row>
    <row r="840" customFormat="false" ht="12.75" hidden="false" customHeight="false" outlineLevel="0" collapsed="false">
      <c r="A840" s="0" t="s">
        <v>7</v>
      </c>
      <c r="B840" s="0" t="n">
        <v>11</v>
      </c>
      <c r="C840" s="0" t="n">
        <v>15555</v>
      </c>
    </row>
    <row r="841" customFormat="false" ht="12.75" hidden="false" customHeight="false" outlineLevel="0" collapsed="false">
      <c r="A841" s="0" t="s">
        <v>8</v>
      </c>
      <c r="B841" s="0" t="n">
        <v>5</v>
      </c>
      <c r="C841" s="0" t="n">
        <v>15601</v>
      </c>
    </row>
    <row r="842" customFormat="false" ht="12.75" hidden="false" customHeight="false" outlineLevel="0" collapsed="false">
      <c r="A842" s="0" t="s">
        <v>9</v>
      </c>
      <c r="B842" s="0" t="n">
        <v>9</v>
      </c>
      <c r="C842" s="0" t="n">
        <v>15600</v>
      </c>
    </row>
    <row r="843" customFormat="false" ht="12.75" hidden="false" customHeight="false" outlineLevel="0" collapsed="false">
      <c r="A843" s="0" t="s">
        <v>10</v>
      </c>
      <c r="B843" s="0" t="n">
        <v>321</v>
      </c>
      <c r="C843" s="0" t="n">
        <v>15296</v>
      </c>
    </row>
    <row r="844" customFormat="false" ht="12.75" hidden="false" customHeight="false" outlineLevel="0" collapsed="false">
      <c r="A844" s="0" t="s">
        <v>11</v>
      </c>
      <c r="B844" s="0" t="n">
        <v>272</v>
      </c>
      <c r="C844" s="0" t="n">
        <v>15734</v>
      </c>
    </row>
    <row r="845" customFormat="false" ht="12.75" hidden="false" customHeight="false" outlineLevel="0" collapsed="false">
      <c r="A845" s="0" t="s">
        <v>12</v>
      </c>
      <c r="B845" s="0" t="n">
        <v>2</v>
      </c>
      <c r="C845" s="0" t="n">
        <v>16015</v>
      </c>
    </row>
    <row r="846" customFormat="false" ht="12.75" hidden="false" customHeight="false" outlineLevel="0" collapsed="false">
      <c r="A846" s="0" t="s">
        <v>13</v>
      </c>
      <c r="B846" s="0" t="n">
        <v>2</v>
      </c>
      <c r="C846" s="0" t="n">
        <v>16017</v>
      </c>
    </row>
    <row r="847" customFormat="false" ht="12.75" hidden="false" customHeight="false" outlineLevel="0" collapsed="false">
      <c r="A847" s="0" t="s">
        <v>14</v>
      </c>
      <c r="B847" s="0" t="n">
        <v>662</v>
      </c>
      <c r="C847" s="0" t="n">
        <v>15363</v>
      </c>
    </row>
    <row r="848" customFormat="false" ht="12.75" hidden="false" customHeight="false" outlineLevel="0" collapsed="false">
      <c r="A848" s="0" t="s">
        <v>15</v>
      </c>
      <c r="B848" s="3" t="n">
        <v>1709</v>
      </c>
      <c r="C848" s="0" t="n">
        <v>13771</v>
      </c>
    </row>
    <row r="849" customFormat="false" ht="12.75" hidden="false" customHeight="false" outlineLevel="0" collapsed="false">
      <c r="A849" s="0" t="s">
        <v>16</v>
      </c>
      <c r="B849" s="0" t="n">
        <v>26</v>
      </c>
      <c r="C849" s="0" t="n">
        <v>13794</v>
      </c>
    </row>
    <row r="850" customFormat="false" ht="12.75" hidden="false" customHeight="false" outlineLevel="0" collapsed="false">
      <c r="A850" s="0" t="s">
        <v>17</v>
      </c>
      <c r="B850" s="0" t="n">
        <v>38</v>
      </c>
      <c r="C850" s="0" t="n">
        <v>13781</v>
      </c>
    </row>
    <row r="851" customFormat="false" ht="12.75" hidden="false" customHeight="false" outlineLevel="0" collapsed="false">
      <c r="A851" s="0" t="s">
        <v>19</v>
      </c>
      <c r="B851" s="0" t="n">
        <v>34</v>
      </c>
      <c r="C851" s="0" t="n">
        <v>13786</v>
      </c>
    </row>
    <row r="852" customFormat="false" ht="12.75" hidden="false" customHeight="false" outlineLevel="0" collapsed="false">
      <c r="A852" s="0" t="s">
        <v>20</v>
      </c>
      <c r="B852" s="0" t="n">
        <v>6</v>
      </c>
      <c r="C852" s="0" t="n">
        <v>13835</v>
      </c>
    </row>
    <row r="853" customFormat="false" ht="12.75" hidden="false" customHeight="false" outlineLevel="0" collapsed="false">
      <c r="A853" s="0" t="s">
        <v>21</v>
      </c>
      <c r="B853" s="0" t="n">
        <v>48</v>
      </c>
      <c r="C853" s="0" t="n">
        <v>13794</v>
      </c>
    </row>
    <row r="854" customFormat="false" ht="12.75" hidden="false" customHeight="false" outlineLevel="0" collapsed="false">
      <c r="A854" s="0" t="s">
        <v>22</v>
      </c>
      <c r="B854" s="0" t="n">
        <v>12</v>
      </c>
      <c r="C854" s="0" t="n">
        <v>13839</v>
      </c>
    </row>
    <row r="855" customFormat="false" ht="12.75" hidden="false" customHeight="false" outlineLevel="0" collapsed="false">
      <c r="A855" s="0" t="s">
        <v>23</v>
      </c>
      <c r="B855" s="0" t="n">
        <v>520</v>
      </c>
      <c r="C855" s="0" t="n">
        <v>13369</v>
      </c>
    </row>
    <row r="856" customFormat="false" ht="12.75" hidden="false" customHeight="false" outlineLevel="0" collapsed="false">
      <c r="A856" s="0" t="s">
        <v>24</v>
      </c>
      <c r="B856" s="0" t="n">
        <v>30</v>
      </c>
      <c r="C856" s="0" t="n">
        <v>13448</v>
      </c>
    </row>
    <row r="857" customFormat="false" ht="12.75" hidden="false" customHeight="false" outlineLevel="0" collapsed="false">
      <c r="A857" s="0" t="s">
        <v>25</v>
      </c>
      <c r="B857" s="0" t="n">
        <v>39</v>
      </c>
      <c r="C857" s="0" t="n">
        <v>13463</v>
      </c>
    </row>
    <row r="858" customFormat="false" ht="12.75" hidden="false" customHeight="false" outlineLevel="0" collapsed="false">
      <c r="A858" s="0" t="s">
        <v>26</v>
      </c>
      <c r="B858" s="0" t="n">
        <v>203</v>
      </c>
      <c r="C858" s="0" t="n">
        <v>14953</v>
      </c>
    </row>
    <row r="859" customFormat="false" ht="12.75" hidden="false" customHeight="false" outlineLevel="0" collapsed="false">
      <c r="A859" s="0" t="s">
        <v>27</v>
      </c>
      <c r="B859" s="0" t="n">
        <v>4</v>
      </c>
      <c r="C859" s="0" t="n">
        <v>15239</v>
      </c>
    </row>
    <row r="860" customFormat="false" ht="12.75" hidden="false" customHeight="false" outlineLevel="0" collapsed="false">
      <c r="A860" s="0" t="s">
        <v>28</v>
      </c>
      <c r="B860" s="0" t="n">
        <v>16</v>
      </c>
      <c r="C860" s="0" t="n">
        <v>15230</v>
      </c>
    </row>
    <row r="861" customFormat="false" ht="12.75" hidden="false" customHeight="false" outlineLevel="0" collapsed="false">
      <c r="A861" s="0" t="s">
        <v>29</v>
      </c>
      <c r="B861" s="0" t="n">
        <v>14</v>
      </c>
      <c r="C861" s="0" t="n">
        <v>15227</v>
      </c>
    </row>
    <row r="862" customFormat="false" ht="12.75" hidden="false" customHeight="false" outlineLevel="0" collapsed="false">
      <c r="A862" s="0" t="s">
        <v>30</v>
      </c>
      <c r="B862" s="0" t="n">
        <v>5</v>
      </c>
      <c r="C862" s="0" t="n">
        <v>15256</v>
      </c>
    </row>
    <row r="863" customFormat="false" ht="12.75" hidden="false" customHeight="false" outlineLevel="0" collapsed="false">
      <c r="A863" s="0" t="s">
        <v>31</v>
      </c>
      <c r="B863" s="0" t="n">
        <v>31</v>
      </c>
      <c r="C863" s="0" t="n">
        <v>15228</v>
      </c>
    </row>
    <row r="864" customFormat="false" ht="12.75" hidden="false" customHeight="false" outlineLevel="0" collapsed="false">
      <c r="A864" s="0" t="s">
        <v>32</v>
      </c>
      <c r="B864" s="0" t="n">
        <v>47</v>
      </c>
      <c r="C864" s="0" t="n">
        <v>15288</v>
      </c>
    </row>
    <row r="865" customFormat="false" ht="12.75" hidden="false" customHeight="false" outlineLevel="0" collapsed="false">
      <c r="A865" s="0" t="s">
        <v>33</v>
      </c>
      <c r="B865" s="0" t="n">
        <v>52</v>
      </c>
      <c r="C865" s="0" t="n">
        <v>15265</v>
      </c>
    </row>
    <row r="866" customFormat="false" ht="12.75" hidden="false" customHeight="false" outlineLevel="0" collapsed="false">
      <c r="A866" s="0" t="s">
        <v>34</v>
      </c>
      <c r="B866" s="0" t="n">
        <v>302</v>
      </c>
      <c r="C866" s="0" t="n">
        <v>15136</v>
      </c>
    </row>
    <row r="867" customFormat="false" ht="12.75" hidden="false" customHeight="false" outlineLevel="0" collapsed="false">
      <c r="A867" s="0" t="s">
        <v>35</v>
      </c>
      <c r="B867" s="0" t="n">
        <v>2</v>
      </c>
      <c r="C867" s="0" t="n">
        <v>15225</v>
      </c>
    </row>
    <row r="868" customFormat="false" ht="12.75" hidden="false" customHeight="false" outlineLevel="0" collapsed="false">
      <c r="A868" s="0" t="s">
        <v>36</v>
      </c>
      <c r="B868" s="3" t="n">
        <v>2114</v>
      </c>
      <c r="C868" s="0" t="n">
        <v>13115</v>
      </c>
    </row>
    <row r="869" customFormat="false" ht="12.75" hidden="false" customHeight="false" outlineLevel="0" collapsed="false">
      <c r="A869" s="0" t="s">
        <v>37</v>
      </c>
      <c r="B869" s="0" t="n">
        <v>92</v>
      </c>
      <c r="C869" s="0" t="n">
        <v>13256</v>
      </c>
    </row>
    <row r="870" customFormat="false" ht="12.75" hidden="false" customHeight="false" outlineLevel="0" collapsed="false">
      <c r="A870" s="0" t="s">
        <v>38</v>
      </c>
      <c r="B870" s="0" t="n">
        <v>3</v>
      </c>
      <c r="C870" s="0" t="n">
        <v>13464</v>
      </c>
    </row>
    <row r="871" customFormat="false" ht="12.75" hidden="false" customHeight="false" outlineLevel="0" collapsed="false">
      <c r="A871" s="0" t="s">
        <v>39</v>
      </c>
      <c r="B871" s="0" t="n">
        <v>155</v>
      </c>
      <c r="C871" s="0" t="n">
        <v>13323</v>
      </c>
    </row>
    <row r="872" customFormat="false" ht="12.75" hidden="false" customHeight="false" outlineLevel="0" collapsed="false">
      <c r="A872" s="0" t="s">
        <v>40</v>
      </c>
      <c r="B872" s="0" t="n">
        <v>6</v>
      </c>
      <c r="C872" s="0" t="n">
        <v>13420</v>
      </c>
    </row>
    <row r="873" customFormat="false" ht="12.75" hidden="false" customHeight="false" outlineLevel="0" collapsed="false">
      <c r="A873" s="0" t="s">
        <v>41</v>
      </c>
      <c r="B873" s="0" t="n">
        <v>46</v>
      </c>
      <c r="C873" s="0" t="n">
        <v>13382</v>
      </c>
    </row>
    <row r="874" customFormat="false" ht="12.75" hidden="false" customHeight="false" outlineLevel="0" collapsed="false">
      <c r="A874" s="0" t="s">
        <v>42</v>
      </c>
      <c r="B874" s="0" t="n">
        <v>3</v>
      </c>
      <c r="C874" s="0" t="n">
        <v>13552</v>
      </c>
    </row>
    <row r="875" customFormat="false" ht="12.75" hidden="false" customHeight="false" outlineLevel="0" collapsed="false">
      <c r="A875" s="0" t="s">
        <v>43</v>
      </c>
      <c r="B875" s="0" t="n">
        <v>930</v>
      </c>
      <c r="C875" s="0" t="n">
        <v>12626</v>
      </c>
    </row>
    <row r="876" customFormat="false" ht="12.75" hidden="false" customHeight="false" outlineLevel="0" collapsed="false">
      <c r="A876" s="0" t="s">
        <v>44</v>
      </c>
      <c r="B876" s="0" t="n">
        <v>109</v>
      </c>
      <c r="C876" s="0" t="n">
        <v>12811</v>
      </c>
    </row>
    <row r="877" customFormat="false" ht="12.75" hidden="false" customHeight="false" outlineLevel="0" collapsed="false">
      <c r="A877" s="0" t="s">
        <v>45</v>
      </c>
      <c r="B877" s="0" t="n">
        <v>12</v>
      </c>
      <c r="C877" s="0" t="n">
        <v>16464</v>
      </c>
    </row>
    <row r="878" customFormat="false" ht="12.75" hidden="false" customHeight="false" outlineLevel="0" collapsed="false">
      <c r="A878" s="0" t="s">
        <v>46</v>
      </c>
      <c r="B878" s="0" t="n">
        <v>9</v>
      </c>
      <c r="C878" s="0" t="n">
        <v>16469</v>
      </c>
    </row>
    <row r="879" customFormat="false" ht="12.75" hidden="false" customHeight="false" outlineLevel="0" collapsed="false">
      <c r="A879" s="0" t="s">
        <v>47</v>
      </c>
      <c r="B879" s="0" t="n">
        <v>159</v>
      </c>
      <c r="C879" s="0" t="n">
        <v>16313</v>
      </c>
    </row>
    <row r="880" customFormat="false" ht="12.75" hidden="false" customHeight="false" outlineLevel="0" collapsed="false">
      <c r="A880" s="0" t="s">
        <v>48</v>
      </c>
      <c r="B880" s="0" t="n">
        <v>14</v>
      </c>
      <c r="C880" s="0" t="n">
        <v>16441</v>
      </c>
    </row>
    <row r="881" customFormat="false" ht="12.75" hidden="false" customHeight="false" outlineLevel="0" collapsed="false">
      <c r="A881" s="0" t="s">
        <v>49</v>
      </c>
      <c r="B881" s="0" t="n">
        <v>153</v>
      </c>
      <c r="C881" s="0" t="n">
        <v>16335</v>
      </c>
    </row>
    <row r="882" customFormat="false" ht="12.75" hidden="false" customHeight="false" outlineLevel="0" collapsed="false">
      <c r="A882" s="0" t="s">
        <v>50</v>
      </c>
      <c r="B882" s="0" t="n">
        <v>50</v>
      </c>
      <c r="C882" s="0" t="n">
        <v>16299</v>
      </c>
    </row>
    <row r="883" customFormat="false" ht="12.75" hidden="false" customHeight="false" outlineLevel="0" collapsed="false">
      <c r="A883" s="0" t="s">
        <v>51</v>
      </c>
      <c r="B883" s="0" t="n">
        <v>1</v>
      </c>
      <c r="C883" s="0" t="n">
        <v>16362</v>
      </c>
    </row>
    <row r="884" customFormat="false" ht="12.75" hidden="false" customHeight="false" outlineLevel="0" collapsed="false">
      <c r="A884" s="0" t="s">
        <v>134</v>
      </c>
      <c r="B884" s="3" t="n">
        <v>6052</v>
      </c>
      <c r="C884" s="0" t="n">
        <v>10317</v>
      </c>
    </row>
    <row r="885" customFormat="false" ht="12.75" hidden="false" customHeight="false" outlineLevel="0" collapsed="false">
      <c r="A885" s="0" t="s">
        <v>1</v>
      </c>
      <c r="B885" s="0" t="n">
        <v>510</v>
      </c>
      <c r="C885" s="0" t="n">
        <v>11951</v>
      </c>
    </row>
    <row r="886" customFormat="false" ht="12.75" hidden="false" customHeight="false" outlineLevel="0" collapsed="false">
      <c r="A886" s="0" t="s">
        <v>2</v>
      </c>
      <c r="B886" s="0" t="n">
        <v>6</v>
      </c>
      <c r="C886" s="0" t="n">
        <v>11948</v>
      </c>
    </row>
    <row r="887" customFormat="false" ht="12.75" hidden="false" customHeight="false" outlineLevel="0" collapsed="false">
      <c r="A887" s="0" t="s">
        <v>3</v>
      </c>
      <c r="B887" s="0" t="n">
        <v>29</v>
      </c>
      <c r="C887" s="0" t="n">
        <v>11920</v>
      </c>
    </row>
    <row r="888" customFormat="false" ht="12.75" hidden="false" customHeight="false" outlineLevel="0" collapsed="false">
      <c r="A888" s="0" t="s">
        <v>4</v>
      </c>
      <c r="B888" s="0" t="n">
        <v>519</v>
      </c>
      <c r="C888" s="0" t="n">
        <v>11401</v>
      </c>
    </row>
    <row r="889" customFormat="false" ht="12.75" hidden="false" customHeight="false" outlineLevel="0" collapsed="false">
      <c r="A889" s="0" t="s">
        <v>5</v>
      </c>
      <c r="B889" s="0" t="n">
        <v>139</v>
      </c>
      <c r="C889" s="0" t="n">
        <v>11265</v>
      </c>
    </row>
    <row r="890" customFormat="false" ht="12.75" hidden="false" customHeight="false" outlineLevel="0" collapsed="false">
      <c r="A890" s="0" t="s">
        <v>6</v>
      </c>
      <c r="B890" s="0" t="n">
        <v>33</v>
      </c>
      <c r="C890" s="0" t="n">
        <v>11516</v>
      </c>
    </row>
    <row r="891" customFormat="false" ht="12.75" hidden="false" customHeight="false" outlineLevel="0" collapsed="false">
      <c r="A891" s="0" t="s">
        <v>7</v>
      </c>
      <c r="B891" s="0" t="n">
        <v>51</v>
      </c>
      <c r="C891" s="0" t="n">
        <v>11477</v>
      </c>
    </row>
    <row r="892" customFormat="false" ht="12.75" hidden="false" customHeight="false" outlineLevel="0" collapsed="false">
      <c r="A892" s="0" t="s">
        <v>8</v>
      </c>
      <c r="B892" s="0" t="n">
        <v>8</v>
      </c>
      <c r="C892" s="0" t="n">
        <v>12301</v>
      </c>
    </row>
    <row r="893" customFormat="false" ht="12.75" hidden="false" customHeight="false" outlineLevel="0" collapsed="false">
      <c r="A893" s="0" t="s">
        <v>9</v>
      </c>
      <c r="B893" s="0" t="n">
        <v>17</v>
      </c>
      <c r="C893" s="0" t="n">
        <v>12300</v>
      </c>
    </row>
    <row r="894" customFormat="false" ht="12.75" hidden="false" customHeight="false" outlineLevel="0" collapsed="false">
      <c r="A894" s="0" t="s">
        <v>10</v>
      </c>
      <c r="B894" s="0" t="n">
        <v>710</v>
      </c>
      <c r="C894" s="0" t="n">
        <v>11607</v>
      </c>
    </row>
    <row r="895" customFormat="false" ht="12.75" hidden="false" customHeight="false" outlineLevel="0" collapsed="false">
      <c r="A895" s="0" t="s">
        <v>11</v>
      </c>
      <c r="B895" s="0" t="n">
        <v>283</v>
      </c>
      <c r="C895" s="0" t="n">
        <v>11392</v>
      </c>
    </row>
    <row r="896" customFormat="false" ht="12.75" hidden="false" customHeight="false" outlineLevel="0" collapsed="false">
      <c r="A896" s="0" t="s">
        <v>12</v>
      </c>
      <c r="B896" s="0" t="n">
        <v>4</v>
      </c>
      <c r="C896" s="0" t="n">
        <v>11430</v>
      </c>
    </row>
    <row r="897" customFormat="false" ht="12.75" hidden="false" customHeight="false" outlineLevel="0" collapsed="false">
      <c r="A897" s="0" t="s">
        <v>13</v>
      </c>
      <c r="B897" s="0" t="n">
        <v>8</v>
      </c>
      <c r="C897" s="0" t="n">
        <v>11425</v>
      </c>
    </row>
    <row r="898" customFormat="false" ht="12.75" hidden="false" customHeight="false" outlineLevel="0" collapsed="false">
      <c r="A898" s="0" t="s">
        <v>14</v>
      </c>
      <c r="B898" s="0" t="n">
        <v>117</v>
      </c>
      <c r="C898" s="0" t="n">
        <v>11308</v>
      </c>
    </row>
    <row r="899" customFormat="false" ht="12.75" hidden="false" customHeight="false" outlineLevel="0" collapsed="false">
      <c r="A899" s="0" t="s">
        <v>15</v>
      </c>
      <c r="B899" s="0" t="n">
        <v>49</v>
      </c>
      <c r="C899" s="0" t="n">
        <v>11373</v>
      </c>
    </row>
    <row r="900" customFormat="false" ht="12.75" hidden="false" customHeight="false" outlineLevel="0" collapsed="false">
      <c r="A900" s="0" t="s">
        <v>16</v>
      </c>
      <c r="B900" s="0" t="n">
        <v>25</v>
      </c>
      <c r="C900" s="0" t="n">
        <v>11361</v>
      </c>
    </row>
    <row r="901" customFormat="false" ht="12.75" hidden="false" customHeight="false" outlineLevel="0" collapsed="false">
      <c r="A901" s="0" t="s">
        <v>17</v>
      </c>
      <c r="B901" s="0" t="n">
        <v>39</v>
      </c>
      <c r="C901" s="0" t="n">
        <v>11323</v>
      </c>
    </row>
    <row r="902" customFormat="false" ht="12.75" hidden="false" customHeight="false" outlineLevel="0" collapsed="false">
      <c r="A902" s="0" t="s">
        <v>18</v>
      </c>
      <c r="B902" s="0" t="n">
        <v>55</v>
      </c>
      <c r="C902" s="0" t="n">
        <v>11273</v>
      </c>
    </row>
    <row r="903" customFormat="false" ht="12.75" hidden="false" customHeight="false" outlineLevel="0" collapsed="false">
      <c r="A903" s="0" t="s">
        <v>20</v>
      </c>
      <c r="B903" s="0" t="n">
        <v>7</v>
      </c>
      <c r="C903" s="0" t="n">
        <v>11280</v>
      </c>
    </row>
    <row r="904" customFormat="false" ht="12.75" hidden="false" customHeight="false" outlineLevel="0" collapsed="false">
      <c r="A904" s="0" t="s">
        <v>21</v>
      </c>
      <c r="B904" s="0" t="n">
        <v>57</v>
      </c>
      <c r="C904" s="0" t="n">
        <v>11232</v>
      </c>
    </row>
    <row r="905" customFormat="false" ht="12.75" hidden="false" customHeight="false" outlineLevel="0" collapsed="false">
      <c r="A905" s="0" t="s">
        <v>22</v>
      </c>
      <c r="B905" s="0" t="n">
        <v>50</v>
      </c>
      <c r="C905" s="0" t="n">
        <v>11258</v>
      </c>
    </row>
    <row r="906" customFormat="false" ht="12.75" hidden="false" customHeight="false" outlineLevel="0" collapsed="false">
      <c r="A906" s="0" t="s">
        <v>23</v>
      </c>
      <c r="B906" s="0" t="n">
        <v>109</v>
      </c>
      <c r="C906" s="0" t="n">
        <v>14015</v>
      </c>
    </row>
    <row r="907" customFormat="false" ht="12.75" hidden="false" customHeight="false" outlineLevel="0" collapsed="false">
      <c r="A907" s="0" t="s">
        <v>24</v>
      </c>
      <c r="B907" s="0" t="n">
        <v>54</v>
      </c>
      <c r="C907" s="0" t="n">
        <v>14000</v>
      </c>
    </row>
    <row r="908" customFormat="false" ht="12.75" hidden="false" customHeight="false" outlineLevel="0" collapsed="false">
      <c r="A908" s="0" t="s">
        <v>25</v>
      </c>
      <c r="B908" s="3" t="n">
        <v>1693</v>
      </c>
      <c r="C908" s="0" t="n">
        <v>12311</v>
      </c>
    </row>
    <row r="909" customFormat="false" ht="12.75" hidden="false" customHeight="false" outlineLevel="0" collapsed="false">
      <c r="A909" s="0" t="s">
        <v>26</v>
      </c>
      <c r="B909" s="0" t="n">
        <v>290</v>
      </c>
      <c r="C909" s="0" t="n">
        <v>12021</v>
      </c>
    </row>
    <row r="910" customFormat="false" ht="12.75" hidden="false" customHeight="false" outlineLevel="0" collapsed="false">
      <c r="A910" s="0" t="s">
        <v>27</v>
      </c>
      <c r="B910" s="0" t="n">
        <v>7</v>
      </c>
      <c r="C910" s="0" t="n">
        <v>12017</v>
      </c>
    </row>
    <row r="911" customFormat="false" ht="12.75" hidden="false" customHeight="false" outlineLevel="0" collapsed="false">
      <c r="A911" s="0" t="s">
        <v>28</v>
      </c>
      <c r="B911" s="0" t="n">
        <v>11</v>
      </c>
      <c r="C911" s="0" t="n">
        <v>12008</v>
      </c>
    </row>
    <row r="912" customFormat="false" ht="12.75" hidden="false" customHeight="false" outlineLevel="0" collapsed="false">
      <c r="A912" s="0" t="s">
        <v>29</v>
      </c>
      <c r="B912" s="0" t="n">
        <v>34</v>
      </c>
      <c r="C912" s="0" t="n">
        <v>11975</v>
      </c>
    </row>
    <row r="913" customFormat="false" ht="12.75" hidden="false" customHeight="false" outlineLevel="0" collapsed="false">
      <c r="A913" s="0" t="s">
        <v>30</v>
      </c>
      <c r="B913" s="0" t="n">
        <v>3</v>
      </c>
      <c r="C913" s="0" t="n">
        <v>11973</v>
      </c>
    </row>
    <row r="914" customFormat="false" ht="12.75" hidden="false" customHeight="false" outlineLevel="0" collapsed="false">
      <c r="A914" s="0" t="s">
        <v>31</v>
      </c>
      <c r="B914" s="0" t="n">
        <v>107</v>
      </c>
      <c r="C914" s="0" t="n">
        <v>12520</v>
      </c>
    </row>
    <row r="915" customFormat="false" ht="12.75" hidden="false" customHeight="false" outlineLevel="0" collapsed="false">
      <c r="A915" s="0" t="s">
        <v>32</v>
      </c>
      <c r="B915" s="0" t="n">
        <v>29</v>
      </c>
      <c r="C915" s="0" t="n">
        <v>12739</v>
      </c>
    </row>
    <row r="916" customFormat="false" ht="12.75" hidden="false" customHeight="false" outlineLevel="0" collapsed="false">
      <c r="A916" s="0" t="s">
        <v>33</v>
      </c>
      <c r="B916" s="0" t="n">
        <v>173</v>
      </c>
      <c r="C916" s="0" t="n">
        <v>12572</v>
      </c>
    </row>
    <row r="917" customFormat="false" ht="12.75" hidden="false" customHeight="false" outlineLevel="0" collapsed="false">
      <c r="A917" s="0" t="s">
        <v>34</v>
      </c>
      <c r="B917" s="0" t="n">
        <v>91</v>
      </c>
      <c r="C917" s="0" t="n">
        <v>13124</v>
      </c>
    </row>
    <row r="918" customFormat="false" ht="12.75" hidden="false" customHeight="false" outlineLevel="0" collapsed="false">
      <c r="A918" s="0" t="s">
        <v>35</v>
      </c>
      <c r="B918" s="0" t="n">
        <v>4</v>
      </c>
      <c r="C918" s="0" t="n">
        <v>13137</v>
      </c>
    </row>
    <row r="919" customFormat="false" ht="12.75" hidden="false" customHeight="false" outlineLevel="0" collapsed="false">
      <c r="A919" s="0" t="s">
        <v>36</v>
      </c>
      <c r="B919" s="0" t="n">
        <v>233</v>
      </c>
      <c r="C919" s="0" t="n">
        <v>12908</v>
      </c>
    </row>
    <row r="920" customFormat="false" ht="12.75" hidden="false" customHeight="false" outlineLevel="0" collapsed="false">
      <c r="A920" s="0" t="s">
        <v>37</v>
      </c>
      <c r="B920" s="0" t="n">
        <v>211</v>
      </c>
      <c r="C920" s="0" t="n">
        <v>12747</v>
      </c>
    </row>
    <row r="921" customFormat="false" ht="12.75" hidden="false" customHeight="false" outlineLevel="0" collapsed="false">
      <c r="A921" s="0" t="s">
        <v>38</v>
      </c>
      <c r="B921" s="0" t="n">
        <v>14</v>
      </c>
      <c r="C921" s="0" t="n">
        <v>12739</v>
      </c>
    </row>
    <row r="922" customFormat="false" ht="12.75" hidden="false" customHeight="false" outlineLevel="0" collapsed="false">
      <c r="A922" s="0" t="s">
        <v>39</v>
      </c>
      <c r="B922" s="0" t="n">
        <v>103</v>
      </c>
      <c r="C922" s="0" t="n">
        <v>12648</v>
      </c>
    </row>
    <row r="923" customFormat="false" ht="12.75" hidden="false" customHeight="false" outlineLevel="0" collapsed="false">
      <c r="A923" s="0" t="s">
        <v>40</v>
      </c>
      <c r="B923" s="0" t="n">
        <v>8</v>
      </c>
      <c r="C923" s="0" t="n">
        <v>12904</v>
      </c>
    </row>
    <row r="924" customFormat="false" ht="12.75" hidden="false" customHeight="false" outlineLevel="0" collapsed="false">
      <c r="A924" s="0" t="s">
        <v>41</v>
      </c>
      <c r="B924" s="0" t="n">
        <v>173</v>
      </c>
      <c r="C924" s="0" t="n">
        <v>12966</v>
      </c>
    </row>
    <row r="925" customFormat="false" ht="12.75" hidden="false" customHeight="false" outlineLevel="0" collapsed="false">
      <c r="A925" s="0" t="s">
        <v>42</v>
      </c>
      <c r="B925" s="0" t="n">
        <v>4</v>
      </c>
      <c r="C925" s="0" t="n">
        <v>12976</v>
      </c>
    </row>
    <row r="926" customFormat="false" ht="12.75" hidden="false" customHeight="false" outlineLevel="0" collapsed="false">
      <c r="A926" s="0" t="s">
        <v>43</v>
      </c>
      <c r="B926" s="0" t="n">
        <v>294</v>
      </c>
      <c r="C926" s="0" t="n">
        <v>12684</v>
      </c>
    </row>
    <row r="927" customFormat="false" ht="12.75" hidden="false" customHeight="false" outlineLevel="0" collapsed="false">
      <c r="A927" s="0" t="s">
        <v>44</v>
      </c>
      <c r="B927" s="3" t="n">
        <v>3665</v>
      </c>
      <c r="C927" s="0" t="n">
        <v>9036</v>
      </c>
    </row>
    <row r="928" customFormat="false" ht="12.75" hidden="false" customHeight="false" outlineLevel="0" collapsed="false">
      <c r="A928" s="0" t="s">
        <v>45</v>
      </c>
      <c r="B928" s="0" t="n">
        <v>14</v>
      </c>
      <c r="C928" s="0" t="n">
        <v>9048</v>
      </c>
    </row>
    <row r="929" customFormat="false" ht="12.75" hidden="false" customHeight="false" outlineLevel="0" collapsed="false">
      <c r="A929" s="0" t="s">
        <v>46</v>
      </c>
      <c r="B929" s="0" t="n">
        <v>3</v>
      </c>
      <c r="C929" s="0" t="n">
        <v>9048</v>
      </c>
    </row>
    <row r="930" customFormat="false" ht="12.75" hidden="false" customHeight="false" outlineLevel="0" collapsed="false">
      <c r="A930" s="0" t="s">
        <v>47</v>
      </c>
      <c r="B930" s="0" t="n">
        <v>142</v>
      </c>
      <c r="C930" s="0" t="n">
        <v>9156</v>
      </c>
    </row>
    <row r="931" customFormat="false" ht="12.75" hidden="false" customHeight="false" outlineLevel="0" collapsed="false">
      <c r="A931" s="0" t="s">
        <v>48</v>
      </c>
      <c r="B931" s="0" t="n">
        <v>47</v>
      </c>
      <c r="C931" s="0" t="n">
        <v>9198</v>
      </c>
    </row>
    <row r="932" customFormat="false" ht="12.75" hidden="false" customHeight="false" outlineLevel="0" collapsed="false">
      <c r="A932" s="0" t="s">
        <v>49</v>
      </c>
      <c r="B932" s="0" t="n">
        <v>14</v>
      </c>
      <c r="C932" s="0" t="n">
        <v>9191</v>
      </c>
    </row>
    <row r="933" customFormat="false" ht="12.75" hidden="false" customHeight="false" outlineLevel="0" collapsed="false">
      <c r="A933" s="0" t="s">
        <v>50</v>
      </c>
      <c r="B933" s="0" t="n">
        <v>64</v>
      </c>
      <c r="C933" s="0" t="n">
        <v>9135</v>
      </c>
    </row>
    <row r="934" customFormat="false" ht="12.75" hidden="false" customHeight="false" outlineLevel="0" collapsed="false">
      <c r="A934" s="0" t="s">
        <v>51</v>
      </c>
      <c r="B934" s="0" t="n">
        <v>7</v>
      </c>
      <c r="C934" s="0" t="n">
        <v>9155</v>
      </c>
    </row>
    <row r="935" customFormat="false" ht="12.75" hidden="false" customHeight="false" outlineLevel="0" collapsed="false">
      <c r="A935" s="0" t="s">
        <v>135</v>
      </c>
      <c r="B935" s="3" t="n">
        <v>2144</v>
      </c>
      <c r="C935" s="0" t="n">
        <v>7012</v>
      </c>
    </row>
    <row r="936" customFormat="false" ht="12.75" hidden="false" customHeight="false" outlineLevel="0" collapsed="false">
      <c r="A936" s="0" t="s">
        <v>1</v>
      </c>
      <c r="B936" s="0" t="n">
        <v>3</v>
      </c>
      <c r="C936" s="0" t="n">
        <v>10471</v>
      </c>
    </row>
    <row r="937" customFormat="false" ht="12.75" hidden="false" customHeight="false" outlineLevel="0" collapsed="false">
      <c r="A937" s="0" t="s">
        <v>2</v>
      </c>
      <c r="B937" s="0" t="n">
        <v>1</v>
      </c>
      <c r="C937" s="0" t="n">
        <v>10502</v>
      </c>
    </row>
    <row r="938" customFormat="false" ht="12.75" hidden="false" customHeight="false" outlineLevel="0" collapsed="false">
      <c r="A938" s="0" t="s">
        <v>3</v>
      </c>
      <c r="B938" s="0" t="s">
        <v>156</v>
      </c>
      <c r="C938" s="0" t="n">
        <v>10505</v>
      </c>
    </row>
    <row r="939" customFormat="false" ht="12.75" hidden="false" customHeight="false" outlineLevel="0" collapsed="false">
      <c r="A939" s="0" t="s">
        <v>4</v>
      </c>
      <c r="B939" s="0" t="n">
        <v>3</v>
      </c>
      <c r="C939" s="0" t="n">
        <v>10538</v>
      </c>
    </row>
    <row r="940" customFormat="false" ht="12.75" hidden="false" customHeight="false" outlineLevel="0" collapsed="false">
      <c r="A940" s="0" t="s">
        <v>5</v>
      </c>
      <c r="B940" s="0" t="n">
        <v>284</v>
      </c>
      <c r="C940" s="0" t="n">
        <v>10265</v>
      </c>
    </row>
    <row r="941" customFormat="false" ht="12.75" hidden="false" customHeight="false" outlineLevel="0" collapsed="false">
      <c r="A941" s="0" t="s">
        <v>6</v>
      </c>
      <c r="B941" s="0" t="n">
        <v>12</v>
      </c>
      <c r="C941" s="0" t="n">
        <v>10386</v>
      </c>
    </row>
    <row r="942" customFormat="false" ht="12.75" hidden="false" customHeight="false" outlineLevel="0" collapsed="false">
      <c r="A942" s="0" t="s">
        <v>7</v>
      </c>
      <c r="B942" s="0" t="n">
        <v>832</v>
      </c>
      <c r="C942" s="0" t="n">
        <v>9597</v>
      </c>
    </row>
    <row r="943" customFormat="false" ht="12.75" hidden="false" customHeight="false" outlineLevel="0" collapsed="false">
      <c r="A943" s="0" t="s">
        <v>8</v>
      </c>
      <c r="B943" s="0" t="n">
        <v>16</v>
      </c>
      <c r="C943" s="0" t="n">
        <v>9747</v>
      </c>
    </row>
    <row r="944" customFormat="false" ht="12.75" hidden="false" customHeight="false" outlineLevel="0" collapsed="false">
      <c r="A944" s="0" t="s">
        <v>9</v>
      </c>
      <c r="B944" s="0" t="n">
        <v>17</v>
      </c>
      <c r="C944" s="0" t="n">
        <v>9955</v>
      </c>
    </row>
    <row r="945" customFormat="false" ht="12.75" hidden="false" customHeight="false" outlineLevel="0" collapsed="false">
      <c r="A945" s="0" t="s">
        <v>10</v>
      </c>
      <c r="B945" s="0" t="n">
        <v>68</v>
      </c>
      <c r="C945" s="0" t="n">
        <v>9932</v>
      </c>
    </row>
    <row r="946" customFormat="false" ht="12.75" hidden="false" customHeight="false" outlineLevel="0" collapsed="false">
      <c r="A946" s="0" t="s">
        <v>11</v>
      </c>
      <c r="B946" s="0" t="n">
        <v>42</v>
      </c>
      <c r="C946" s="0" t="n">
        <v>10080</v>
      </c>
    </row>
    <row r="947" customFormat="false" ht="12.75" hidden="false" customHeight="false" outlineLevel="0" collapsed="false">
      <c r="A947" s="0" t="s">
        <v>12</v>
      </c>
      <c r="B947" s="0" t="n">
        <v>3</v>
      </c>
      <c r="C947" s="0" t="n">
        <v>10188</v>
      </c>
    </row>
    <row r="948" customFormat="false" ht="12.75" hidden="false" customHeight="false" outlineLevel="0" collapsed="false">
      <c r="A948" s="0" t="s">
        <v>13</v>
      </c>
      <c r="B948" s="0" t="s">
        <v>156</v>
      </c>
      <c r="C948" s="0" t="n">
        <v>10195</v>
      </c>
    </row>
    <row r="949" customFormat="false" ht="12.75" hidden="false" customHeight="false" outlineLevel="0" collapsed="false">
      <c r="A949" s="0" t="s">
        <v>14</v>
      </c>
      <c r="B949" s="0" t="n">
        <v>114</v>
      </c>
      <c r="C949" s="0" t="n">
        <v>10084</v>
      </c>
    </row>
    <row r="950" customFormat="false" ht="12.75" hidden="false" customHeight="false" outlineLevel="0" collapsed="false">
      <c r="A950" s="0" t="s">
        <v>15</v>
      </c>
      <c r="B950" s="0" t="n">
        <v>13</v>
      </c>
      <c r="C950" s="0" t="n">
        <v>10140</v>
      </c>
    </row>
    <row r="951" customFormat="false" ht="12.75" hidden="false" customHeight="false" outlineLevel="0" collapsed="false">
      <c r="A951" s="0" t="s">
        <v>16</v>
      </c>
      <c r="B951" s="0" t="n">
        <v>1</v>
      </c>
      <c r="C951" s="0" t="n">
        <v>10180</v>
      </c>
    </row>
    <row r="952" customFormat="false" ht="12.75" hidden="false" customHeight="false" outlineLevel="0" collapsed="false">
      <c r="A952" s="0" t="s">
        <v>17</v>
      </c>
      <c r="B952" s="0" t="n">
        <v>5</v>
      </c>
      <c r="C952" s="0" t="n">
        <v>10185</v>
      </c>
    </row>
    <row r="953" customFormat="false" ht="12.75" hidden="false" customHeight="false" outlineLevel="0" collapsed="false">
      <c r="A953" s="0" t="s">
        <v>18</v>
      </c>
      <c r="B953" s="0" t="n">
        <v>14</v>
      </c>
      <c r="C953" s="0" t="n">
        <v>10187</v>
      </c>
    </row>
    <row r="954" customFormat="false" ht="12.75" hidden="false" customHeight="false" outlineLevel="0" collapsed="false">
      <c r="A954" s="0" t="s">
        <v>19</v>
      </c>
      <c r="B954" s="0" t="n">
        <v>9</v>
      </c>
      <c r="C954" s="0" t="n">
        <v>10239</v>
      </c>
    </row>
    <row r="955" customFormat="false" ht="12.75" hidden="false" customHeight="false" outlineLevel="0" collapsed="false">
      <c r="A955" s="0" t="s">
        <v>21</v>
      </c>
      <c r="B955" s="0" t="n">
        <v>76</v>
      </c>
      <c r="C955" s="0" t="n">
        <v>10197</v>
      </c>
    </row>
    <row r="956" customFormat="false" ht="12.75" hidden="false" customHeight="false" outlineLevel="0" collapsed="false">
      <c r="A956" s="0" t="s">
        <v>22</v>
      </c>
      <c r="B956" s="3" t="n">
        <v>2866</v>
      </c>
      <c r="C956" s="0" t="n">
        <v>7361</v>
      </c>
    </row>
    <row r="957" customFormat="false" ht="12.75" hidden="false" customHeight="false" outlineLevel="0" collapsed="false">
      <c r="A957" s="0" t="s">
        <v>23</v>
      </c>
      <c r="B957" s="0" t="n">
        <v>39</v>
      </c>
      <c r="C957" s="0" t="n">
        <v>7434</v>
      </c>
    </row>
    <row r="958" customFormat="false" ht="12.75" hidden="false" customHeight="false" outlineLevel="0" collapsed="false">
      <c r="A958" s="0" t="s">
        <v>24</v>
      </c>
      <c r="B958" s="0" t="n">
        <v>4</v>
      </c>
      <c r="C958" s="0" t="n">
        <v>7513</v>
      </c>
    </row>
    <row r="959" customFormat="false" ht="12.75" hidden="false" customHeight="false" outlineLevel="0" collapsed="false">
      <c r="A959" s="0" t="s">
        <v>25</v>
      </c>
      <c r="B959" s="0" t="s">
        <v>156</v>
      </c>
      <c r="C959" s="0" t="n">
        <v>7527</v>
      </c>
    </row>
    <row r="960" customFormat="false" ht="12.75" hidden="false" customHeight="false" outlineLevel="0" collapsed="false">
      <c r="A960" s="0" t="s">
        <v>26</v>
      </c>
      <c r="B960" s="0" t="n">
        <v>3</v>
      </c>
      <c r="C960" s="0" t="n">
        <v>7530</v>
      </c>
    </row>
    <row r="961" customFormat="false" ht="12.75" hidden="false" customHeight="false" outlineLevel="0" collapsed="false">
      <c r="A961" s="0" t="s">
        <v>27</v>
      </c>
      <c r="B961" s="0" t="n">
        <v>2</v>
      </c>
      <c r="C961" s="0" t="n">
        <v>7564</v>
      </c>
    </row>
    <row r="962" customFormat="false" ht="12.75" hidden="false" customHeight="false" outlineLevel="0" collapsed="false">
      <c r="A962" s="0" t="s">
        <v>28</v>
      </c>
      <c r="B962" s="0" t="n">
        <v>1</v>
      </c>
      <c r="C962" s="0" t="n">
        <v>7565</v>
      </c>
    </row>
    <row r="963" customFormat="false" ht="12.75" hidden="false" customHeight="false" outlineLevel="0" collapsed="false">
      <c r="A963" s="0" t="s">
        <v>29</v>
      </c>
      <c r="B963" s="0" t="n">
        <v>1</v>
      </c>
      <c r="C963" s="0" t="n">
        <v>7574</v>
      </c>
    </row>
    <row r="964" customFormat="false" ht="12.75" hidden="false" customHeight="false" outlineLevel="0" collapsed="false">
      <c r="A964" s="0" t="s">
        <v>30</v>
      </c>
      <c r="B964" s="0" t="n">
        <v>654</v>
      </c>
      <c r="C964" s="0" t="n">
        <v>6921</v>
      </c>
    </row>
    <row r="965" customFormat="false" ht="12.75" hidden="false" customHeight="false" outlineLevel="0" collapsed="false">
      <c r="A965" s="0" t="s">
        <v>31</v>
      </c>
      <c r="B965" s="0" t="n">
        <v>248</v>
      </c>
      <c r="C965" s="0" t="n">
        <v>6704</v>
      </c>
    </row>
    <row r="966" customFormat="false" ht="12.75" hidden="false" customHeight="false" outlineLevel="0" collapsed="false">
      <c r="A966" s="0" t="s">
        <v>32</v>
      </c>
      <c r="B966" s="0" t="n">
        <v>6</v>
      </c>
      <c r="C966" s="0" t="n">
        <v>8335</v>
      </c>
    </row>
    <row r="967" customFormat="false" ht="12.75" hidden="false" customHeight="false" outlineLevel="0" collapsed="false">
      <c r="A967" s="0" t="s">
        <v>33</v>
      </c>
      <c r="B967" s="0" t="n">
        <v>643</v>
      </c>
      <c r="C967" s="0" t="n">
        <v>7708</v>
      </c>
    </row>
    <row r="968" customFormat="false" ht="12.75" hidden="false" customHeight="false" outlineLevel="0" collapsed="false">
      <c r="A968" s="0" t="s">
        <v>34</v>
      </c>
      <c r="B968" s="0" t="n">
        <v>17</v>
      </c>
      <c r="C968" s="0" t="n">
        <v>8794</v>
      </c>
    </row>
    <row r="969" customFormat="false" ht="12.75" hidden="false" customHeight="false" outlineLevel="0" collapsed="false">
      <c r="A969" s="0" t="s">
        <v>35</v>
      </c>
      <c r="B969" s="0" t="n">
        <v>4</v>
      </c>
      <c r="C969" s="0" t="n">
        <v>9342</v>
      </c>
    </row>
    <row r="970" customFormat="false" ht="12.75" hidden="false" customHeight="false" outlineLevel="0" collapsed="false">
      <c r="A970" s="0" t="s">
        <v>36</v>
      </c>
      <c r="B970" s="0" t="n">
        <v>50</v>
      </c>
      <c r="C970" s="0" t="n">
        <v>9295</v>
      </c>
    </row>
    <row r="971" customFormat="false" ht="12.75" hidden="false" customHeight="false" outlineLevel="0" collapsed="false">
      <c r="A971" s="0" t="s">
        <v>37</v>
      </c>
      <c r="B971" s="0" t="n">
        <v>6</v>
      </c>
      <c r="C971" s="0" t="n">
        <v>9474</v>
      </c>
    </row>
    <row r="972" customFormat="false" ht="12.75" hidden="false" customHeight="false" outlineLevel="0" collapsed="false">
      <c r="A972" s="0" t="s">
        <v>38</v>
      </c>
      <c r="B972" s="0" t="n">
        <v>12</v>
      </c>
      <c r="C972" s="0" t="n">
        <v>9479</v>
      </c>
    </row>
    <row r="973" customFormat="false" ht="12.75" hidden="false" customHeight="false" outlineLevel="0" collapsed="false">
      <c r="A973" s="0" t="s">
        <v>39</v>
      </c>
      <c r="B973" s="0" t="n">
        <v>264</v>
      </c>
      <c r="C973" s="0" t="n">
        <v>9221</v>
      </c>
    </row>
    <row r="974" customFormat="false" ht="12.75" hidden="false" customHeight="false" outlineLevel="0" collapsed="false">
      <c r="A974" s="0" t="s">
        <v>40</v>
      </c>
      <c r="B974" s="0" t="n">
        <v>235</v>
      </c>
      <c r="C974" s="0" t="n">
        <v>11445</v>
      </c>
    </row>
    <row r="975" customFormat="false" ht="12.75" hidden="false" customHeight="false" outlineLevel="0" collapsed="false">
      <c r="A975" s="0" t="s">
        <v>41</v>
      </c>
      <c r="B975" s="0" t="n">
        <v>14</v>
      </c>
      <c r="C975" s="0" t="n">
        <v>11453</v>
      </c>
    </row>
    <row r="976" customFormat="false" ht="12.75" hidden="false" customHeight="false" outlineLevel="0" collapsed="false">
      <c r="A976" s="0" t="s">
        <v>42</v>
      </c>
      <c r="B976" s="0" t="n">
        <v>2</v>
      </c>
      <c r="C976" s="0" t="n">
        <v>11644</v>
      </c>
    </row>
    <row r="977" customFormat="false" ht="12.75" hidden="false" customHeight="false" outlineLevel="0" collapsed="false">
      <c r="A977" s="0" t="s">
        <v>43</v>
      </c>
      <c r="B977" s="0" t="n">
        <v>17</v>
      </c>
      <c r="C977" s="0" t="n">
        <v>11629</v>
      </c>
    </row>
    <row r="978" customFormat="false" ht="12.75" hidden="false" customHeight="false" outlineLevel="0" collapsed="false">
      <c r="A978" s="0" t="s">
        <v>44</v>
      </c>
      <c r="B978" s="0" t="n">
        <v>26</v>
      </c>
      <c r="C978" s="0" t="n">
        <v>11733</v>
      </c>
    </row>
    <row r="979" customFormat="false" ht="12.75" hidden="false" customHeight="false" outlineLevel="0" collapsed="false">
      <c r="A979" s="0" t="s">
        <v>45</v>
      </c>
      <c r="B979" s="0" t="n">
        <v>3</v>
      </c>
      <c r="C979" s="0" t="n">
        <v>11859</v>
      </c>
    </row>
    <row r="980" customFormat="false" ht="12.75" hidden="false" customHeight="false" outlineLevel="0" collapsed="false">
      <c r="A980" s="0" t="s">
        <v>46</v>
      </c>
      <c r="B980" s="0" t="n">
        <v>250</v>
      </c>
      <c r="C980" s="0" t="n">
        <v>11620</v>
      </c>
    </row>
    <row r="981" customFormat="false" ht="12.75" hidden="false" customHeight="false" outlineLevel="0" collapsed="false">
      <c r="A981" s="0" t="s">
        <v>47</v>
      </c>
      <c r="B981" s="0" t="n">
        <v>89</v>
      </c>
      <c r="C981" s="0" t="n">
        <v>11548</v>
      </c>
    </row>
    <row r="982" customFormat="false" ht="12.75" hidden="false" customHeight="false" outlineLevel="0" collapsed="false">
      <c r="A982" s="0" t="s">
        <v>48</v>
      </c>
      <c r="B982" s="0" t="n">
        <v>7</v>
      </c>
      <c r="C982" s="0" t="n">
        <v>12641</v>
      </c>
    </row>
    <row r="983" customFormat="false" ht="12.75" hidden="false" customHeight="false" outlineLevel="0" collapsed="false">
      <c r="A983" s="0" t="s">
        <v>49</v>
      </c>
      <c r="B983" s="0" t="n">
        <v>8</v>
      </c>
      <c r="C983" s="0" t="n">
        <v>12673</v>
      </c>
    </row>
    <row r="984" customFormat="false" ht="12.75" hidden="false" customHeight="false" outlineLevel="0" collapsed="false">
      <c r="A984" s="0" t="s">
        <v>50</v>
      </c>
      <c r="B984" s="0" t="n">
        <v>27</v>
      </c>
      <c r="C984" s="0" t="n">
        <v>12843</v>
      </c>
    </row>
    <row r="985" customFormat="false" ht="12.75" hidden="false" customHeight="false" outlineLevel="0" collapsed="false">
      <c r="A985" s="0" t="s">
        <v>51</v>
      </c>
      <c r="B985" s="0" t="n">
        <v>1</v>
      </c>
      <c r="C985" s="0" t="n">
        <v>12868</v>
      </c>
    </row>
    <row r="986" customFormat="false" ht="12.75" hidden="false" customHeight="false" outlineLevel="0" collapsed="false">
      <c r="A986" s="0" t="s">
        <v>136</v>
      </c>
      <c r="B986" s="3" t="n">
        <v>3462</v>
      </c>
      <c r="C986" s="0" t="n">
        <v>9407</v>
      </c>
    </row>
    <row r="987" customFormat="false" ht="12.75" hidden="false" customHeight="false" outlineLevel="0" collapsed="false">
      <c r="A987" s="0" t="s">
        <v>1</v>
      </c>
      <c r="B987" s="0" t="n">
        <v>32</v>
      </c>
      <c r="C987" s="0" t="n">
        <v>12097</v>
      </c>
    </row>
    <row r="988" customFormat="false" ht="12.75" hidden="false" customHeight="false" outlineLevel="0" collapsed="false">
      <c r="A988" s="0" t="s">
        <v>2</v>
      </c>
      <c r="B988" s="0" t="n">
        <v>3</v>
      </c>
      <c r="C988" s="0" t="n">
        <v>12163</v>
      </c>
    </row>
    <row r="989" customFormat="false" ht="12.75" hidden="false" customHeight="false" outlineLevel="0" collapsed="false">
      <c r="A989" s="0" t="s">
        <v>3</v>
      </c>
      <c r="B989" s="0" t="n">
        <v>36</v>
      </c>
      <c r="C989" s="0" t="n">
        <v>12134</v>
      </c>
    </row>
    <row r="990" customFormat="false" ht="12.75" hidden="false" customHeight="false" outlineLevel="0" collapsed="false">
      <c r="A990" s="0" t="s">
        <v>4</v>
      </c>
      <c r="B990" s="0" t="n">
        <v>11</v>
      </c>
      <c r="C990" s="0" t="n">
        <v>12164</v>
      </c>
    </row>
    <row r="991" customFormat="false" ht="12.75" hidden="false" customHeight="false" outlineLevel="0" collapsed="false">
      <c r="A991" s="0" t="s">
        <v>5</v>
      </c>
      <c r="B991" s="0" t="n">
        <v>133</v>
      </c>
      <c r="C991" s="0" t="n">
        <v>12042</v>
      </c>
    </row>
    <row r="992" customFormat="false" ht="12.75" hidden="false" customHeight="false" outlineLevel="0" collapsed="false">
      <c r="A992" s="0" t="s">
        <v>6</v>
      </c>
      <c r="B992" s="0" t="n">
        <v>43</v>
      </c>
      <c r="C992" s="0" t="n">
        <v>12376</v>
      </c>
    </row>
    <row r="993" customFormat="false" ht="12.75" hidden="false" customHeight="false" outlineLevel="0" collapsed="false">
      <c r="A993" s="0" t="s">
        <v>7</v>
      </c>
      <c r="B993" s="0" t="n">
        <v>166</v>
      </c>
      <c r="C993" s="0" t="n">
        <v>12287</v>
      </c>
    </row>
    <row r="994" customFormat="false" ht="12.75" hidden="false" customHeight="false" outlineLevel="0" collapsed="false">
      <c r="A994" s="0" t="s">
        <v>8</v>
      </c>
      <c r="B994" s="0" t="n">
        <v>225</v>
      </c>
      <c r="C994" s="0" t="n">
        <v>14675</v>
      </c>
    </row>
    <row r="995" customFormat="false" ht="12.75" hidden="false" customHeight="false" outlineLevel="0" collapsed="false">
      <c r="A995" s="0" t="s">
        <v>9</v>
      </c>
      <c r="B995" s="0" t="n">
        <v>45</v>
      </c>
      <c r="C995" s="0" t="n">
        <v>14704</v>
      </c>
    </row>
    <row r="996" customFormat="false" ht="12.75" hidden="false" customHeight="false" outlineLevel="0" collapsed="false">
      <c r="A996" s="0" t="s">
        <v>10</v>
      </c>
      <c r="B996" s="0" t="n">
        <v>190</v>
      </c>
      <c r="C996" s="0" t="n">
        <v>14606</v>
      </c>
    </row>
    <row r="997" customFormat="false" ht="12.75" hidden="false" customHeight="false" outlineLevel="0" collapsed="false">
      <c r="A997" s="0" t="s">
        <v>11</v>
      </c>
      <c r="B997" s="0" t="n">
        <v>111</v>
      </c>
      <c r="C997" s="0" t="n">
        <v>14831</v>
      </c>
    </row>
    <row r="998" customFormat="false" ht="12.75" hidden="false" customHeight="false" outlineLevel="0" collapsed="false">
      <c r="A998" s="0" t="s">
        <v>12</v>
      </c>
      <c r="B998" s="0" t="n">
        <v>7</v>
      </c>
      <c r="C998" s="0" t="n">
        <v>14917</v>
      </c>
    </row>
    <row r="999" customFormat="false" ht="12.75" hidden="false" customHeight="false" outlineLevel="0" collapsed="false">
      <c r="A999" s="0" t="s">
        <v>13</v>
      </c>
      <c r="B999" s="0" t="n">
        <v>3</v>
      </c>
      <c r="C999" s="0" t="n">
        <v>14920</v>
      </c>
    </row>
    <row r="1000" customFormat="false" ht="12.75" hidden="false" customHeight="false" outlineLevel="0" collapsed="false">
      <c r="A1000" s="0" t="s">
        <v>14</v>
      </c>
      <c r="B1000" s="0" t="n">
        <v>69</v>
      </c>
      <c r="C1000" s="0" t="n">
        <v>14859</v>
      </c>
    </row>
    <row r="1001" customFormat="false" ht="12.75" hidden="false" customHeight="false" outlineLevel="0" collapsed="false">
      <c r="A1001" s="0" t="s">
        <v>15</v>
      </c>
      <c r="B1001" s="0" t="n">
        <v>41</v>
      </c>
      <c r="C1001" s="0" t="n">
        <v>14920</v>
      </c>
    </row>
    <row r="1002" customFormat="false" ht="12.75" hidden="false" customHeight="false" outlineLevel="0" collapsed="false">
      <c r="A1002" s="0" t="s">
        <v>16</v>
      </c>
      <c r="B1002" s="0" t="n">
        <v>10</v>
      </c>
      <c r="C1002" s="0" t="n">
        <v>14980</v>
      </c>
    </row>
    <row r="1003" customFormat="false" ht="12.75" hidden="false" customHeight="false" outlineLevel="0" collapsed="false">
      <c r="A1003" s="0" t="s">
        <v>17</v>
      </c>
      <c r="B1003" s="0" t="n">
        <v>16</v>
      </c>
      <c r="C1003" s="0" t="n">
        <v>14975</v>
      </c>
    </row>
    <row r="1004" customFormat="false" ht="12.75" hidden="false" customHeight="false" outlineLevel="0" collapsed="false">
      <c r="A1004" s="0" t="s">
        <v>18</v>
      </c>
      <c r="B1004" s="0" t="n">
        <v>61</v>
      </c>
      <c r="C1004" s="0" t="n">
        <v>14936</v>
      </c>
    </row>
    <row r="1005" customFormat="false" ht="12.75" hidden="false" customHeight="false" outlineLevel="0" collapsed="false">
      <c r="A1005" s="0" t="s">
        <v>19</v>
      </c>
      <c r="B1005" s="0" t="n">
        <v>34</v>
      </c>
      <c r="C1005" s="0" t="n">
        <v>14927</v>
      </c>
    </row>
    <row r="1006" customFormat="false" ht="12.75" hidden="false" customHeight="false" outlineLevel="0" collapsed="false">
      <c r="A1006" s="0" t="s">
        <v>20</v>
      </c>
      <c r="B1006" s="0" t="n">
        <v>30</v>
      </c>
      <c r="C1006" s="0" t="n">
        <v>14917</v>
      </c>
    </row>
    <row r="1007" customFormat="false" ht="12.75" hidden="false" customHeight="false" outlineLevel="0" collapsed="false">
      <c r="A1007" s="0" t="s">
        <v>22</v>
      </c>
      <c r="B1007" s="0" t="n">
        <v>112</v>
      </c>
      <c r="C1007" s="0" t="n">
        <v>15794</v>
      </c>
    </row>
    <row r="1008" customFormat="false" ht="12.75" hidden="false" customHeight="false" outlineLevel="0" collapsed="false">
      <c r="A1008" s="0" t="s">
        <v>23</v>
      </c>
      <c r="B1008" s="0" t="n">
        <v>83</v>
      </c>
      <c r="C1008" s="0" t="n">
        <v>16119</v>
      </c>
    </row>
    <row r="1009" customFormat="false" ht="12.75" hidden="false" customHeight="false" outlineLevel="0" collapsed="false">
      <c r="A1009" s="0" t="s">
        <v>24</v>
      </c>
      <c r="B1009" s="0" t="n">
        <v>14</v>
      </c>
      <c r="C1009" s="0" t="n">
        <v>16384</v>
      </c>
    </row>
    <row r="1010" customFormat="false" ht="12.75" hidden="false" customHeight="false" outlineLevel="0" collapsed="false">
      <c r="A1010" s="0" t="s">
        <v>25</v>
      </c>
      <c r="B1010" s="0" t="n">
        <v>6</v>
      </c>
      <c r="C1010" s="0" t="n">
        <v>16428</v>
      </c>
    </row>
    <row r="1011" customFormat="false" ht="12.75" hidden="false" customHeight="false" outlineLevel="0" collapsed="false">
      <c r="A1011" s="0" t="s">
        <v>26</v>
      </c>
      <c r="B1011" s="0" t="n">
        <v>36</v>
      </c>
      <c r="C1011" s="0" t="n">
        <v>16407</v>
      </c>
    </row>
    <row r="1012" customFormat="false" ht="12.75" hidden="false" customHeight="false" outlineLevel="0" collapsed="false">
      <c r="A1012" s="0" t="s">
        <v>27</v>
      </c>
      <c r="B1012" s="0" t="n">
        <v>2</v>
      </c>
      <c r="C1012" s="0" t="n">
        <v>16468</v>
      </c>
    </row>
    <row r="1013" customFormat="false" ht="12.75" hidden="false" customHeight="false" outlineLevel="0" collapsed="false">
      <c r="A1013" s="0" t="s">
        <v>28</v>
      </c>
      <c r="B1013" s="0" t="n">
        <v>10</v>
      </c>
      <c r="C1013" s="0" t="n">
        <v>16465</v>
      </c>
    </row>
    <row r="1014" customFormat="false" ht="12.75" hidden="false" customHeight="false" outlineLevel="0" collapsed="false">
      <c r="A1014" s="0" t="s">
        <v>29</v>
      </c>
      <c r="B1014" s="0" t="n">
        <v>1</v>
      </c>
      <c r="C1014" s="0" t="n">
        <v>16472</v>
      </c>
    </row>
    <row r="1015" customFormat="false" ht="12.75" hidden="false" customHeight="false" outlineLevel="0" collapsed="false">
      <c r="A1015" s="0" t="s">
        <v>30</v>
      </c>
      <c r="B1015" s="0" t="n">
        <v>31</v>
      </c>
      <c r="C1015" s="0" t="n">
        <v>16451</v>
      </c>
    </row>
    <row r="1016" customFormat="false" ht="12.75" hidden="false" customHeight="false" outlineLevel="0" collapsed="false">
      <c r="A1016" s="0" t="s">
        <v>31</v>
      </c>
      <c r="B1016" s="3" t="n">
        <v>1637</v>
      </c>
      <c r="C1016" s="0" t="n">
        <v>15618</v>
      </c>
    </row>
    <row r="1017" customFormat="false" ht="12.75" hidden="false" customHeight="false" outlineLevel="0" collapsed="false">
      <c r="A1017" s="0" t="s">
        <v>32</v>
      </c>
      <c r="B1017" s="0" t="n">
        <v>16</v>
      </c>
      <c r="C1017" s="0" t="n">
        <v>16460</v>
      </c>
    </row>
    <row r="1018" customFormat="false" ht="12.75" hidden="false" customHeight="false" outlineLevel="0" collapsed="false">
      <c r="A1018" s="0" t="s">
        <v>33</v>
      </c>
      <c r="B1018" s="3" t="n">
        <v>1103</v>
      </c>
      <c r="C1018" s="0" t="n">
        <v>15378</v>
      </c>
    </row>
    <row r="1019" customFormat="false" ht="12.75" hidden="false" customHeight="false" outlineLevel="0" collapsed="false">
      <c r="A1019" s="0" t="s">
        <v>34</v>
      </c>
      <c r="B1019" s="0" t="n">
        <v>552</v>
      </c>
      <c r="C1019" s="0" t="n">
        <v>18244</v>
      </c>
    </row>
    <row r="1020" customFormat="false" ht="12.75" hidden="false" customHeight="false" outlineLevel="0" collapsed="false">
      <c r="A1020" s="0" t="s">
        <v>35</v>
      </c>
      <c r="B1020" s="0" t="n">
        <v>3</v>
      </c>
      <c r="C1020" s="0" t="n">
        <v>18491</v>
      </c>
    </row>
    <row r="1021" customFormat="false" ht="12.75" hidden="false" customHeight="false" outlineLevel="0" collapsed="false">
      <c r="A1021" s="0" t="s">
        <v>36</v>
      </c>
      <c r="B1021" s="0" t="n">
        <v>185</v>
      </c>
      <c r="C1021" s="0" t="n">
        <v>18308</v>
      </c>
    </row>
    <row r="1022" customFormat="false" ht="12.75" hidden="false" customHeight="false" outlineLevel="0" collapsed="false">
      <c r="A1022" s="0" t="s">
        <v>37</v>
      </c>
      <c r="B1022" s="0" t="n">
        <v>17</v>
      </c>
      <c r="C1022" s="0" t="n">
        <v>18482</v>
      </c>
    </row>
    <row r="1023" customFormat="false" ht="12.75" hidden="false" customHeight="false" outlineLevel="0" collapsed="false">
      <c r="A1023" s="0" t="s">
        <v>38</v>
      </c>
      <c r="B1023" s="0" t="n">
        <v>6</v>
      </c>
      <c r="C1023" s="0" t="n">
        <v>18517</v>
      </c>
    </row>
    <row r="1024" customFormat="false" ht="12.75" hidden="false" customHeight="false" outlineLevel="0" collapsed="false">
      <c r="A1024" s="0" t="s">
        <v>39</v>
      </c>
      <c r="B1024" s="3" t="n">
        <v>2459</v>
      </c>
      <c r="C1024" s="0" t="n">
        <v>16108</v>
      </c>
    </row>
    <row r="1025" customFormat="false" ht="12.75" hidden="false" customHeight="false" outlineLevel="0" collapsed="false">
      <c r="A1025" s="0" t="s">
        <v>40</v>
      </c>
      <c r="B1025" s="0" t="n">
        <v>22</v>
      </c>
      <c r="C1025" s="0" t="n">
        <v>16928</v>
      </c>
    </row>
    <row r="1026" customFormat="false" ht="12.75" hidden="false" customHeight="false" outlineLevel="0" collapsed="false">
      <c r="A1026" s="0" t="s">
        <v>41</v>
      </c>
      <c r="B1026" s="0" t="n">
        <v>193</v>
      </c>
      <c r="C1026" s="0" t="n">
        <v>16864</v>
      </c>
    </row>
    <row r="1027" customFormat="false" ht="12.75" hidden="false" customHeight="false" outlineLevel="0" collapsed="false">
      <c r="A1027" s="0" t="s">
        <v>42</v>
      </c>
      <c r="B1027" s="0" t="n">
        <v>2</v>
      </c>
      <c r="C1027" s="0" t="n">
        <v>16888</v>
      </c>
    </row>
    <row r="1028" customFormat="false" ht="12.75" hidden="false" customHeight="false" outlineLevel="0" collapsed="false">
      <c r="A1028" s="0" t="s">
        <v>43</v>
      </c>
      <c r="B1028" s="0" t="n">
        <v>130</v>
      </c>
      <c r="C1028" s="0" t="n">
        <v>16760</v>
      </c>
    </row>
    <row r="1029" customFormat="false" ht="12.75" hidden="false" customHeight="false" outlineLevel="0" collapsed="false">
      <c r="A1029" s="0" t="s">
        <v>44</v>
      </c>
      <c r="B1029" s="0" t="n">
        <v>129</v>
      </c>
      <c r="C1029" s="0" t="n">
        <v>16689</v>
      </c>
    </row>
    <row r="1030" customFormat="false" ht="12.75" hidden="false" customHeight="false" outlineLevel="0" collapsed="false">
      <c r="A1030" s="0" t="s">
        <v>45</v>
      </c>
      <c r="B1030" s="0" t="n">
        <v>11</v>
      </c>
      <c r="C1030" s="0" t="n">
        <v>16796</v>
      </c>
    </row>
    <row r="1031" customFormat="false" ht="12.75" hidden="false" customHeight="false" outlineLevel="0" collapsed="false">
      <c r="A1031" s="0" t="s">
        <v>46</v>
      </c>
      <c r="B1031" s="0" t="n">
        <v>17</v>
      </c>
      <c r="C1031" s="0" t="n">
        <v>16798</v>
      </c>
    </row>
    <row r="1032" customFormat="false" ht="12.75" hidden="false" customHeight="false" outlineLevel="0" collapsed="false">
      <c r="A1032" s="0" t="s">
        <v>47</v>
      </c>
      <c r="B1032" s="3" t="n">
        <v>1100</v>
      </c>
      <c r="C1032" s="0" t="n">
        <v>16275</v>
      </c>
    </row>
    <row r="1033" customFormat="false" ht="12.75" hidden="false" customHeight="false" outlineLevel="0" collapsed="false">
      <c r="A1033" s="0" t="s">
        <v>48</v>
      </c>
      <c r="B1033" s="0" t="n">
        <v>40</v>
      </c>
      <c r="C1033" s="0" t="n">
        <v>16592</v>
      </c>
    </row>
    <row r="1034" customFormat="false" ht="12.75" hidden="false" customHeight="false" outlineLevel="0" collapsed="false">
      <c r="A1034" s="0" t="s">
        <v>49</v>
      </c>
      <c r="B1034" s="0" t="n">
        <v>197</v>
      </c>
      <c r="C1034" s="0" t="n">
        <v>16519</v>
      </c>
    </row>
    <row r="1035" customFormat="false" ht="12.75" hidden="false" customHeight="false" outlineLevel="0" collapsed="false">
      <c r="A1035" s="0" t="s">
        <v>50</v>
      </c>
      <c r="B1035" s="0" t="n">
        <v>26</v>
      </c>
      <c r="C1035" s="0" t="n">
        <v>16518</v>
      </c>
    </row>
    <row r="1036" customFormat="false" ht="12.75" hidden="false" customHeight="false" outlineLevel="0" collapsed="false">
      <c r="A1036" s="0" t="s">
        <v>51</v>
      </c>
      <c r="B1036" s="0" t="n">
        <v>1</v>
      </c>
      <c r="C1036" s="0" t="n">
        <v>16621</v>
      </c>
    </row>
    <row r="1037" customFormat="false" ht="12.75" hidden="false" customHeight="false" outlineLevel="0" collapsed="false">
      <c r="A1037" s="0" t="s">
        <v>137</v>
      </c>
      <c r="B1037" s="3" t="n">
        <v>2722</v>
      </c>
      <c r="C1037" s="0" t="n">
        <v>13901</v>
      </c>
    </row>
    <row r="1038" customFormat="false" ht="12.75" hidden="false" customHeight="false" outlineLevel="0" collapsed="false">
      <c r="A1038" s="0" t="s">
        <v>1</v>
      </c>
      <c r="B1038" s="0" t="n">
        <v>69</v>
      </c>
      <c r="C1038" s="0" t="n">
        <v>35832</v>
      </c>
    </row>
    <row r="1039" customFormat="false" ht="12.75" hidden="false" customHeight="false" outlineLevel="0" collapsed="false">
      <c r="A1039" s="0" t="s">
        <v>2</v>
      </c>
      <c r="B1039" s="0" t="n">
        <v>7</v>
      </c>
      <c r="C1039" s="0" t="n">
        <v>35881</v>
      </c>
    </row>
    <row r="1040" customFormat="false" ht="12.75" hidden="false" customHeight="false" outlineLevel="0" collapsed="false">
      <c r="A1040" s="0" t="s">
        <v>3</v>
      </c>
      <c r="B1040" s="0" t="n">
        <v>41</v>
      </c>
      <c r="C1040" s="0" t="n">
        <v>35848</v>
      </c>
    </row>
    <row r="1041" customFormat="false" ht="12.75" hidden="false" customHeight="false" outlineLevel="0" collapsed="false">
      <c r="A1041" s="0" t="s">
        <v>4</v>
      </c>
      <c r="B1041" s="0" t="n">
        <v>11</v>
      </c>
      <c r="C1041" s="0" t="n">
        <v>35905</v>
      </c>
    </row>
    <row r="1042" customFormat="false" ht="12.75" hidden="false" customHeight="false" outlineLevel="0" collapsed="false">
      <c r="A1042" s="0" t="s">
        <v>5</v>
      </c>
      <c r="B1042" s="0" t="n">
        <v>377</v>
      </c>
      <c r="C1042" s="0" t="n">
        <v>35576</v>
      </c>
    </row>
    <row r="1043" customFormat="false" ht="12.75" hidden="false" customHeight="false" outlineLevel="0" collapsed="false">
      <c r="A1043" s="0" t="s">
        <v>6</v>
      </c>
      <c r="B1043" s="0" t="n">
        <v>77</v>
      </c>
      <c r="C1043" s="0" t="n">
        <v>35951</v>
      </c>
    </row>
    <row r="1044" customFormat="false" ht="12.75" hidden="false" customHeight="false" outlineLevel="0" collapsed="false">
      <c r="A1044" s="0" t="s">
        <v>7</v>
      </c>
      <c r="B1044" s="3" t="n">
        <v>2613</v>
      </c>
      <c r="C1044" s="0" t="n">
        <v>33444</v>
      </c>
    </row>
    <row r="1045" customFormat="false" ht="12.75" hidden="false" customHeight="false" outlineLevel="0" collapsed="false">
      <c r="A1045" s="0" t="s">
        <v>8</v>
      </c>
      <c r="B1045" s="0" t="n">
        <v>74</v>
      </c>
      <c r="C1045" s="0" t="n">
        <v>33458</v>
      </c>
    </row>
    <row r="1046" customFormat="false" ht="12.75" hidden="false" customHeight="false" outlineLevel="0" collapsed="false">
      <c r="A1046" s="0" t="s">
        <v>9</v>
      </c>
      <c r="B1046" s="0" t="n">
        <v>92</v>
      </c>
      <c r="C1046" s="0" t="n">
        <v>33383</v>
      </c>
    </row>
    <row r="1047" customFormat="false" ht="12.75" hidden="false" customHeight="false" outlineLevel="0" collapsed="false">
      <c r="A1047" s="0" t="s">
        <v>10</v>
      </c>
      <c r="B1047" s="0" t="n">
        <v>336</v>
      </c>
      <c r="C1047" s="0" t="n">
        <v>33062</v>
      </c>
    </row>
    <row r="1048" customFormat="false" ht="12.75" hidden="false" customHeight="false" outlineLevel="0" collapsed="false">
      <c r="A1048" s="0" t="s">
        <v>11</v>
      </c>
      <c r="B1048" s="0" t="n">
        <v>93</v>
      </c>
      <c r="C1048" s="0" t="n">
        <v>33525</v>
      </c>
    </row>
    <row r="1049" customFormat="false" ht="12.75" hidden="false" customHeight="false" outlineLevel="0" collapsed="false">
      <c r="A1049" s="0" t="s">
        <v>12</v>
      </c>
      <c r="B1049" s="0" t="n">
        <v>6</v>
      </c>
      <c r="C1049" s="0" t="n">
        <v>33778</v>
      </c>
    </row>
    <row r="1050" customFormat="false" ht="12.75" hidden="false" customHeight="false" outlineLevel="0" collapsed="false">
      <c r="A1050" s="0" t="s">
        <v>13</v>
      </c>
      <c r="B1050" s="0" t="n">
        <v>8</v>
      </c>
      <c r="C1050" s="0" t="n">
        <v>33773</v>
      </c>
    </row>
    <row r="1051" customFormat="false" ht="12.75" hidden="false" customHeight="false" outlineLevel="0" collapsed="false">
      <c r="A1051" s="0" t="s">
        <v>14</v>
      </c>
      <c r="B1051" s="0" t="n">
        <v>102</v>
      </c>
      <c r="C1051" s="0" t="n">
        <v>33680</v>
      </c>
    </row>
    <row r="1052" customFormat="false" ht="12.75" hidden="false" customHeight="false" outlineLevel="0" collapsed="false">
      <c r="A1052" s="0" t="s">
        <v>15</v>
      </c>
      <c r="B1052" s="0" t="n">
        <v>70</v>
      </c>
      <c r="C1052" s="0" t="n">
        <v>35651</v>
      </c>
    </row>
    <row r="1053" customFormat="false" ht="12.75" hidden="false" customHeight="false" outlineLevel="0" collapsed="false">
      <c r="A1053" s="0" t="s">
        <v>16</v>
      </c>
      <c r="B1053" s="0" t="n">
        <v>11</v>
      </c>
      <c r="C1053" s="0" t="n">
        <v>37689</v>
      </c>
    </row>
    <row r="1054" customFormat="false" ht="12.75" hidden="false" customHeight="false" outlineLevel="0" collapsed="false">
      <c r="A1054" s="0" t="s">
        <v>17</v>
      </c>
      <c r="B1054" s="0" t="n">
        <v>22</v>
      </c>
      <c r="C1054" s="0" t="n">
        <v>37754</v>
      </c>
    </row>
    <row r="1055" customFormat="false" ht="12.75" hidden="false" customHeight="false" outlineLevel="0" collapsed="false">
      <c r="A1055" s="0" t="s">
        <v>18</v>
      </c>
      <c r="B1055" s="0" t="n">
        <v>25</v>
      </c>
      <c r="C1055" s="0" t="n">
        <v>37796</v>
      </c>
    </row>
    <row r="1056" customFormat="false" ht="12.75" hidden="false" customHeight="false" outlineLevel="0" collapsed="false">
      <c r="A1056" s="0" t="s">
        <v>19</v>
      </c>
      <c r="B1056" s="0" t="n">
        <v>20</v>
      </c>
      <c r="C1056" s="0" t="n">
        <v>38121</v>
      </c>
    </row>
    <row r="1057" customFormat="false" ht="12.75" hidden="false" customHeight="false" outlineLevel="0" collapsed="false">
      <c r="A1057" s="0" t="s">
        <v>20</v>
      </c>
      <c r="B1057" s="0" t="n">
        <v>989</v>
      </c>
      <c r="C1057" s="0" t="n">
        <v>37175</v>
      </c>
    </row>
    <row r="1058" customFormat="false" ht="12.75" hidden="false" customHeight="false" outlineLevel="0" collapsed="false">
      <c r="A1058" s="0" t="s">
        <v>21</v>
      </c>
      <c r="B1058" s="0" t="n">
        <v>408</v>
      </c>
      <c r="C1058" s="0" t="n">
        <v>36786</v>
      </c>
    </row>
    <row r="1059" customFormat="false" ht="12.75" hidden="false" customHeight="false" outlineLevel="0" collapsed="false">
      <c r="A1059" s="0" t="s">
        <v>23</v>
      </c>
      <c r="B1059" s="0" t="n">
        <v>279</v>
      </c>
      <c r="C1059" s="0" t="n">
        <v>36636</v>
      </c>
    </row>
    <row r="1060" customFormat="false" ht="12.75" hidden="false" customHeight="false" outlineLevel="0" collapsed="false">
      <c r="A1060" s="0" t="s">
        <v>24</v>
      </c>
      <c r="B1060" s="0" t="n">
        <v>50</v>
      </c>
      <c r="C1060" s="0" t="n">
        <v>36640</v>
      </c>
    </row>
    <row r="1061" customFormat="false" ht="12.75" hidden="false" customHeight="false" outlineLevel="0" collapsed="false">
      <c r="A1061" s="0" t="s">
        <v>25</v>
      </c>
      <c r="B1061" s="0" t="n">
        <v>15</v>
      </c>
      <c r="C1061" s="0" t="n">
        <v>36956</v>
      </c>
    </row>
    <row r="1062" customFormat="false" ht="12.75" hidden="false" customHeight="false" outlineLevel="0" collapsed="false">
      <c r="A1062" s="0" t="s">
        <v>26</v>
      </c>
      <c r="B1062" s="0" t="n">
        <v>63</v>
      </c>
      <c r="C1062" s="0" t="n">
        <v>36956</v>
      </c>
    </row>
    <row r="1063" customFormat="false" ht="12.75" hidden="false" customHeight="false" outlineLevel="0" collapsed="false">
      <c r="A1063" s="0" t="s">
        <v>27</v>
      </c>
      <c r="B1063" s="0" t="n">
        <v>7</v>
      </c>
      <c r="C1063" s="0" t="n">
        <v>37190</v>
      </c>
    </row>
    <row r="1064" customFormat="false" ht="12.75" hidden="false" customHeight="false" outlineLevel="0" collapsed="false">
      <c r="A1064" s="0" t="s">
        <v>28</v>
      </c>
      <c r="B1064" s="0" t="n">
        <v>8</v>
      </c>
      <c r="C1064" s="0" t="n">
        <v>37208</v>
      </c>
    </row>
    <row r="1065" customFormat="false" ht="12.75" hidden="false" customHeight="false" outlineLevel="0" collapsed="false">
      <c r="A1065" s="0" t="s">
        <v>29</v>
      </c>
      <c r="B1065" s="0" t="n">
        <v>10</v>
      </c>
      <c r="C1065" s="0" t="n">
        <v>37226</v>
      </c>
    </row>
    <row r="1066" customFormat="false" ht="12.75" hidden="false" customHeight="false" outlineLevel="0" collapsed="false">
      <c r="A1066" s="0" t="s">
        <v>30</v>
      </c>
      <c r="B1066" s="0" t="n">
        <v>804</v>
      </c>
      <c r="C1066" s="0" t="n">
        <v>36446</v>
      </c>
    </row>
    <row r="1067" customFormat="false" ht="12.75" hidden="false" customHeight="false" outlineLevel="0" collapsed="false">
      <c r="A1067" s="0" t="s">
        <v>31</v>
      </c>
      <c r="B1067" s="0" t="n">
        <v>858</v>
      </c>
      <c r="C1067" s="0" t="n">
        <v>35602</v>
      </c>
    </row>
    <row r="1068" customFormat="false" ht="12.75" hidden="false" customHeight="false" outlineLevel="0" collapsed="false">
      <c r="A1068" s="0" t="s">
        <v>32</v>
      </c>
      <c r="B1068" s="0" t="n">
        <v>21</v>
      </c>
      <c r="C1068" s="0" t="n">
        <v>35787</v>
      </c>
    </row>
    <row r="1069" customFormat="false" ht="12.75" hidden="false" customHeight="false" outlineLevel="0" collapsed="false">
      <c r="A1069" s="0" t="s">
        <v>33</v>
      </c>
      <c r="B1069" s="3" t="n">
        <v>3418</v>
      </c>
      <c r="C1069" s="0" t="n">
        <v>32403</v>
      </c>
    </row>
    <row r="1070" customFormat="false" ht="12.75" hidden="false" customHeight="false" outlineLevel="0" collapsed="false">
      <c r="A1070" s="0" t="s">
        <v>34</v>
      </c>
      <c r="B1070" s="0" t="n">
        <v>250</v>
      </c>
      <c r="C1070" s="0" t="n">
        <v>32463</v>
      </c>
    </row>
    <row r="1071" customFormat="false" ht="12.75" hidden="false" customHeight="false" outlineLevel="0" collapsed="false">
      <c r="A1071" s="0" t="s">
        <v>35</v>
      </c>
      <c r="B1071" s="0" t="n">
        <v>2</v>
      </c>
      <c r="C1071" s="0" t="n">
        <v>32656</v>
      </c>
    </row>
    <row r="1072" customFormat="false" ht="12.75" hidden="false" customHeight="false" outlineLevel="0" collapsed="false">
      <c r="A1072" s="0" t="s">
        <v>36</v>
      </c>
      <c r="B1072" s="0" t="n">
        <v>191</v>
      </c>
      <c r="C1072" s="0" t="n">
        <v>32480</v>
      </c>
    </row>
    <row r="1073" customFormat="false" ht="12.75" hidden="false" customHeight="false" outlineLevel="0" collapsed="false">
      <c r="A1073" s="0" t="s">
        <v>37</v>
      </c>
      <c r="B1073" s="0" t="n">
        <v>41</v>
      </c>
      <c r="C1073" s="0" t="n">
        <v>34397</v>
      </c>
    </row>
    <row r="1074" customFormat="false" ht="12.75" hidden="false" customHeight="false" outlineLevel="0" collapsed="false">
      <c r="A1074" s="0" t="s">
        <v>38</v>
      </c>
      <c r="B1074" s="0" t="n">
        <v>50</v>
      </c>
      <c r="C1074" s="0" t="n">
        <v>34402</v>
      </c>
    </row>
    <row r="1075" customFormat="false" ht="12.75" hidden="false" customHeight="false" outlineLevel="0" collapsed="false">
      <c r="A1075" s="0" t="s">
        <v>39</v>
      </c>
      <c r="B1075" s="0" t="n">
        <v>842</v>
      </c>
      <c r="C1075" s="0" t="n">
        <v>33613</v>
      </c>
    </row>
    <row r="1076" customFormat="false" ht="12.75" hidden="false" customHeight="false" outlineLevel="0" collapsed="false">
      <c r="A1076" s="0" t="s">
        <v>40</v>
      </c>
      <c r="B1076" s="0" t="n">
        <v>129</v>
      </c>
      <c r="C1076" s="0" t="n">
        <v>33779</v>
      </c>
    </row>
    <row r="1077" customFormat="false" ht="12.75" hidden="false" customHeight="false" outlineLevel="0" collapsed="false">
      <c r="A1077" s="0" t="s">
        <v>41</v>
      </c>
      <c r="B1077" s="0" t="n">
        <v>26</v>
      </c>
      <c r="C1077" s="0" t="n">
        <v>33766</v>
      </c>
    </row>
    <row r="1078" customFormat="false" ht="12.75" hidden="false" customHeight="false" outlineLevel="0" collapsed="false">
      <c r="A1078" s="0" t="s">
        <v>42</v>
      </c>
      <c r="B1078" s="0" t="n">
        <v>2</v>
      </c>
      <c r="C1078" s="0" t="n">
        <v>33843</v>
      </c>
    </row>
    <row r="1079" customFormat="false" ht="12.75" hidden="false" customHeight="false" outlineLevel="0" collapsed="false">
      <c r="A1079" s="0" t="s">
        <v>43</v>
      </c>
      <c r="B1079" s="0" t="n">
        <v>58</v>
      </c>
      <c r="C1079" s="0" t="n">
        <v>33799</v>
      </c>
    </row>
    <row r="1080" customFormat="false" ht="12.75" hidden="false" customHeight="false" outlineLevel="0" collapsed="false">
      <c r="A1080" s="0" t="s">
        <v>44</v>
      </c>
      <c r="B1080" s="0" t="n">
        <v>118</v>
      </c>
      <c r="C1080" s="0" t="n">
        <v>33927</v>
      </c>
    </row>
    <row r="1081" customFormat="false" ht="12.75" hidden="false" customHeight="false" outlineLevel="0" collapsed="false">
      <c r="A1081" s="0" t="s">
        <v>45</v>
      </c>
      <c r="B1081" s="0" t="n">
        <v>19</v>
      </c>
      <c r="C1081" s="0" t="n">
        <v>34154</v>
      </c>
    </row>
    <row r="1082" customFormat="false" ht="12.75" hidden="false" customHeight="false" outlineLevel="0" collapsed="false">
      <c r="A1082" s="0" t="s">
        <v>46</v>
      </c>
      <c r="B1082" s="0" t="n">
        <v>577</v>
      </c>
      <c r="C1082" s="0" t="n">
        <v>33590</v>
      </c>
    </row>
    <row r="1083" customFormat="false" ht="12.75" hidden="false" customHeight="false" outlineLevel="0" collapsed="false">
      <c r="A1083" s="0" t="s">
        <v>47</v>
      </c>
      <c r="B1083" s="0" t="n">
        <v>357</v>
      </c>
      <c r="C1083" s="0" t="n">
        <v>33243</v>
      </c>
    </row>
    <row r="1084" customFormat="false" ht="12.75" hidden="false" customHeight="false" outlineLevel="0" collapsed="false">
      <c r="A1084" s="0" t="s">
        <v>48</v>
      </c>
      <c r="B1084" s="0" t="n">
        <v>124</v>
      </c>
      <c r="C1084" s="0" t="n">
        <v>33277</v>
      </c>
    </row>
    <row r="1085" customFormat="false" ht="12.75" hidden="false" customHeight="false" outlineLevel="0" collapsed="false">
      <c r="A1085" s="0" t="s">
        <v>49</v>
      </c>
      <c r="B1085" s="0" t="n">
        <v>25</v>
      </c>
      <c r="C1085" s="0" t="n">
        <v>33315</v>
      </c>
    </row>
    <row r="1086" customFormat="false" ht="12.75" hidden="false" customHeight="false" outlineLevel="0" collapsed="false">
      <c r="A1086" s="0" t="s">
        <v>50</v>
      </c>
      <c r="B1086" s="0" t="n">
        <v>104</v>
      </c>
      <c r="C1086" s="0" t="n">
        <v>33245</v>
      </c>
    </row>
    <row r="1087" customFormat="false" ht="12.75" hidden="false" customHeight="false" outlineLevel="0" collapsed="false">
      <c r="A1087" s="0" t="s">
        <v>51</v>
      </c>
      <c r="B1087" s="0" t="n">
        <v>2</v>
      </c>
      <c r="C1087" s="0" t="n">
        <v>34520</v>
      </c>
    </row>
    <row r="1088" customFormat="false" ht="12.75" hidden="false" customHeight="false" outlineLevel="0" collapsed="false">
      <c r="A1088" s="0" t="s">
        <v>138</v>
      </c>
      <c r="B1088" s="3" t="n">
        <v>22000</v>
      </c>
      <c r="C1088" s="0" t="n">
        <v>12525</v>
      </c>
    </row>
    <row r="1089" customFormat="false" ht="12.75" hidden="false" customHeight="false" outlineLevel="0" collapsed="false">
      <c r="A1089" s="0" t="s">
        <v>1</v>
      </c>
      <c r="B1089" s="0" t="n">
        <v>56</v>
      </c>
      <c r="C1089" s="0" t="n">
        <v>12469</v>
      </c>
    </row>
    <row r="1090" customFormat="false" ht="12.75" hidden="false" customHeight="false" outlineLevel="0" collapsed="false">
      <c r="A1090" s="0" t="s">
        <v>2</v>
      </c>
      <c r="B1090" s="0" t="n">
        <v>8</v>
      </c>
      <c r="C1090" s="0" t="n">
        <v>27840</v>
      </c>
    </row>
    <row r="1091" customFormat="false" ht="12.75" hidden="false" customHeight="false" outlineLevel="0" collapsed="false">
      <c r="A1091" s="0" t="s">
        <v>3</v>
      </c>
      <c r="B1091" s="0" t="n">
        <v>68</v>
      </c>
      <c r="C1091" s="0" t="n">
        <v>27790</v>
      </c>
    </row>
    <row r="1092" customFormat="false" ht="12.75" hidden="false" customHeight="false" outlineLevel="0" collapsed="false">
      <c r="A1092" s="0" t="s">
        <v>4</v>
      </c>
      <c r="B1092" s="0" t="n">
        <v>48</v>
      </c>
      <c r="C1092" s="0" t="n">
        <v>27753</v>
      </c>
    </row>
    <row r="1093" customFormat="false" ht="12.75" hidden="false" customHeight="false" outlineLevel="0" collapsed="false">
      <c r="A1093" s="0" t="s">
        <v>5</v>
      </c>
      <c r="B1093" s="0" t="n">
        <v>452</v>
      </c>
      <c r="C1093" s="0" t="n">
        <v>27412</v>
      </c>
    </row>
    <row r="1094" customFormat="false" ht="12.75" hidden="false" customHeight="false" outlineLevel="0" collapsed="false">
      <c r="A1094" s="0" t="s">
        <v>6</v>
      </c>
      <c r="B1094" s="0" t="n">
        <v>106</v>
      </c>
      <c r="C1094" s="0" t="n">
        <v>27322</v>
      </c>
    </row>
    <row r="1095" customFormat="false" ht="12.75" hidden="false" customHeight="false" outlineLevel="0" collapsed="false">
      <c r="A1095" s="0" t="s">
        <v>7</v>
      </c>
      <c r="B1095" s="0" t="n">
        <v>88</v>
      </c>
      <c r="C1095" s="0" t="n">
        <v>27727</v>
      </c>
    </row>
    <row r="1096" customFormat="false" ht="12.75" hidden="false" customHeight="false" outlineLevel="0" collapsed="false">
      <c r="A1096" s="0" t="s">
        <v>8</v>
      </c>
      <c r="B1096" s="0" t="n">
        <v>17</v>
      </c>
      <c r="C1096" s="0" t="n">
        <v>27936</v>
      </c>
    </row>
    <row r="1097" customFormat="false" ht="12.75" hidden="false" customHeight="false" outlineLevel="0" collapsed="false">
      <c r="A1097" s="0" t="s">
        <v>9</v>
      </c>
      <c r="B1097" s="0" t="n">
        <v>15</v>
      </c>
      <c r="C1097" s="0" t="n">
        <v>27963</v>
      </c>
    </row>
    <row r="1098" customFormat="false" ht="12.75" hidden="false" customHeight="false" outlineLevel="0" collapsed="false">
      <c r="A1098" s="0" t="s">
        <v>10</v>
      </c>
      <c r="B1098" s="0" t="n">
        <v>556</v>
      </c>
      <c r="C1098" s="0" t="n">
        <v>27417</v>
      </c>
    </row>
    <row r="1099" customFormat="false" ht="12.75" hidden="false" customHeight="false" outlineLevel="0" collapsed="false">
      <c r="A1099" s="0" t="s">
        <v>11</v>
      </c>
      <c r="B1099" s="0" t="n">
        <v>259</v>
      </c>
      <c r="C1099" s="0" t="n">
        <v>27170</v>
      </c>
    </row>
    <row r="1100" customFormat="false" ht="12.75" hidden="false" customHeight="false" outlineLevel="0" collapsed="false">
      <c r="A1100" s="0" t="s">
        <v>12</v>
      </c>
      <c r="B1100" s="0" t="n">
        <v>3</v>
      </c>
      <c r="C1100" s="0" t="n">
        <v>27209</v>
      </c>
    </row>
    <row r="1101" customFormat="false" ht="12.75" hidden="false" customHeight="false" outlineLevel="0" collapsed="false">
      <c r="A1101" s="0" t="s">
        <v>13</v>
      </c>
      <c r="B1101" s="0" t="n">
        <v>9</v>
      </c>
      <c r="C1101" s="0" t="n">
        <v>27228</v>
      </c>
    </row>
    <row r="1102" customFormat="false" ht="12.75" hidden="false" customHeight="false" outlineLevel="0" collapsed="false">
      <c r="A1102" s="0" t="s">
        <v>14</v>
      </c>
      <c r="B1102" s="3" t="n">
        <v>2041</v>
      </c>
      <c r="C1102" s="0" t="n">
        <v>25200</v>
      </c>
    </row>
    <row r="1103" customFormat="false" ht="12.75" hidden="false" customHeight="false" outlineLevel="0" collapsed="false">
      <c r="A1103" s="0" t="s">
        <v>15</v>
      </c>
      <c r="B1103" s="3" t="n">
        <v>2049</v>
      </c>
      <c r="C1103" s="0" t="n">
        <v>23167</v>
      </c>
    </row>
    <row r="1104" customFormat="false" ht="12.75" hidden="false" customHeight="false" outlineLevel="0" collapsed="false">
      <c r="A1104" s="0" t="s">
        <v>16</v>
      </c>
      <c r="B1104" s="0" t="n">
        <v>87</v>
      </c>
      <c r="C1104" s="0" t="n">
        <v>23950</v>
      </c>
    </row>
    <row r="1105" customFormat="false" ht="12.75" hidden="false" customHeight="false" outlineLevel="0" collapsed="false">
      <c r="A1105" s="0" t="s">
        <v>17</v>
      </c>
      <c r="B1105" s="0" t="n">
        <v>67</v>
      </c>
      <c r="C1105" s="0" t="n">
        <v>23982</v>
      </c>
    </row>
    <row r="1106" customFormat="false" ht="12.75" hidden="false" customHeight="false" outlineLevel="0" collapsed="false">
      <c r="A1106" s="0" t="s">
        <v>18</v>
      </c>
      <c r="B1106" s="0" t="n">
        <v>345</v>
      </c>
      <c r="C1106" s="0" t="n">
        <v>24653</v>
      </c>
    </row>
    <row r="1107" customFormat="false" ht="12.75" hidden="false" customHeight="false" outlineLevel="0" collapsed="false">
      <c r="A1107" s="0" t="s">
        <v>19</v>
      </c>
      <c r="B1107" s="0" t="n">
        <v>43</v>
      </c>
      <c r="C1107" s="0" t="n">
        <v>24717</v>
      </c>
    </row>
    <row r="1108" customFormat="false" ht="12.75" hidden="false" customHeight="false" outlineLevel="0" collapsed="false">
      <c r="A1108" s="0" t="s">
        <v>20</v>
      </c>
      <c r="B1108" s="0" t="n">
        <v>19</v>
      </c>
      <c r="C1108" s="0" t="n">
        <v>24735</v>
      </c>
    </row>
    <row r="1109" customFormat="false" ht="12.75" hidden="false" customHeight="false" outlineLevel="0" collapsed="false">
      <c r="A1109" s="0" t="s">
        <v>21</v>
      </c>
      <c r="B1109" s="0" t="n">
        <v>129</v>
      </c>
      <c r="C1109" s="0" t="n">
        <v>24631</v>
      </c>
    </row>
    <row r="1110" customFormat="false" ht="12.75" hidden="false" customHeight="false" outlineLevel="0" collapsed="false">
      <c r="A1110" s="0" t="s">
        <v>22</v>
      </c>
      <c r="B1110" s="0" t="n">
        <v>54</v>
      </c>
      <c r="C1110" s="0" t="n">
        <v>24582</v>
      </c>
    </row>
    <row r="1111" customFormat="false" ht="12.75" hidden="false" customHeight="false" outlineLevel="0" collapsed="false">
      <c r="A1111" s="0" t="s">
        <v>24</v>
      </c>
      <c r="B1111" s="0" t="n">
        <v>331</v>
      </c>
      <c r="C1111" s="0" t="n">
        <v>24293</v>
      </c>
    </row>
    <row r="1112" customFormat="false" ht="12.75" hidden="false" customHeight="false" outlineLevel="0" collapsed="false">
      <c r="A1112" s="0" t="s">
        <v>25</v>
      </c>
      <c r="B1112" s="0" t="n">
        <v>63</v>
      </c>
      <c r="C1112" s="0" t="n">
        <v>24293</v>
      </c>
    </row>
    <row r="1113" customFormat="false" ht="12.75" hidden="false" customHeight="false" outlineLevel="0" collapsed="false">
      <c r="A1113" s="0" t="s">
        <v>26</v>
      </c>
      <c r="B1113" s="0" t="n">
        <v>241</v>
      </c>
      <c r="C1113" s="0" t="n">
        <v>24336</v>
      </c>
    </row>
    <row r="1114" customFormat="false" ht="12.75" hidden="false" customHeight="false" outlineLevel="0" collapsed="false">
      <c r="A1114" s="0" t="s">
        <v>27</v>
      </c>
      <c r="B1114" s="0" t="n">
        <v>26</v>
      </c>
      <c r="C1114" s="0" t="n">
        <v>24317</v>
      </c>
    </row>
    <row r="1115" customFormat="false" ht="12.75" hidden="false" customHeight="false" outlineLevel="0" collapsed="false">
      <c r="A1115" s="0" t="s">
        <v>28</v>
      </c>
      <c r="B1115" s="0" t="n">
        <v>28</v>
      </c>
      <c r="C1115" s="0" t="n">
        <v>24436</v>
      </c>
    </row>
    <row r="1116" customFormat="false" ht="12.75" hidden="false" customHeight="false" outlineLevel="0" collapsed="false">
      <c r="A1116" s="0" t="s">
        <v>29</v>
      </c>
      <c r="B1116" s="0" t="n">
        <v>24</v>
      </c>
      <c r="C1116" s="0" t="n">
        <v>24468</v>
      </c>
    </row>
    <row r="1117" customFormat="false" ht="12.75" hidden="false" customHeight="false" outlineLevel="0" collapsed="false">
      <c r="A1117" s="0" t="s">
        <v>30</v>
      </c>
      <c r="B1117" s="0" t="n">
        <v>14</v>
      </c>
      <c r="C1117" s="0" t="n">
        <v>24750</v>
      </c>
    </row>
    <row r="1118" customFormat="false" ht="12.75" hidden="false" customHeight="false" outlineLevel="0" collapsed="false">
      <c r="A1118" s="0" t="s">
        <v>31</v>
      </c>
      <c r="B1118" s="0" t="n">
        <v>206</v>
      </c>
      <c r="C1118" s="0" t="n">
        <v>24563</v>
      </c>
    </row>
    <row r="1119" customFormat="false" ht="12.75" hidden="false" customHeight="false" outlineLevel="0" collapsed="false">
      <c r="A1119" s="0" t="s">
        <v>32</v>
      </c>
      <c r="B1119" s="0" t="n">
        <v>34</v>
      </c>
      <c r="C1119" s="0" t="n">
        <v>24538</v>
      </c>
    </row>
    <row r="1120" customFormat="false" ht="12.75" hidden="false" customHeight="false" outlineLevel="0" collapsed="false">
      <c r="A1120" s="0" t="s">
        <v>33</v>
      </c>
      <c r="B1120" s="0" t="n">
        <v>310</v>
      </c>
      <c r="C1120" s="0" t="n">
        <v>24350</v>
      </c>
    </row>
    <row r="1121" customFormat="false" ht="12.75" hidden="false" customHeight="false" outlineLevel="0" collapsed="false">
      <c r="A1121" s="0" t="s">
        <v>34</v>
      </c>
      <c r="B1121" s="0" t="n">
        <v>195</v>
      </c>
      <c r="C1121" s="0" t="n">
        <v>24171</v>
      </c>
    </row>
    <row r="1122" customFormat="false" ht="12.75" hidden="false" customHeight="false" outlineLevel="0" collapsed="false">
      <c r="A1122" s="0" t="s">
        <v>35</v>
      </c>
      <c r="B1122" s="0" t="n">
        <v>15</v>
      </c>
      <c r="C1122" s="0" t="n">
        <v>24264</v>
      </c>
    </row>
    <row r="1123" customFormat="false" ht="12.75" hidden="false" customHeight="false" outlineLevel="0" collapsed="false">
      <c r="A1123" s="0" t="s">
        <v>36</v>
      </c>
      <c r="B1123" s="3" t="n">
        <v>1958</v>
      </c>
      <c r="C1123" s="0" t="n">
        <v>22426</v>
      </c>
    </row>
    <row r="1124" customFormat="false" ht="12.75" hidden="false" customHeight="false" outlineLevel="0" collapsed="false">
      <c r="A1124" s="0" t="s">
        <v>37</v>
      </c>
      <c r="B1124" s="0" t="n">
        <v>55</v>
      </c>
      <c r="C1124" s="0" t="n">
        <v>23295</v>
      </c>
    </row>
    <row r="1125" customFormat="false" ht="12.75" hidden="false" customHeight="false" outlineLevel="0" collapsed="false">
      <c r="A1125" s="0" t="s">
        <v>38</v>
      </c>
      <c r="B1125" s="0" t="n">
        <v>53</v>
      </c>
      <c r="C1125" s="0" t="n">
        <v>23424</v>
      </c>
    </row>
    <row r="1126" customFormat="false" ht="12.75" hidden="false" customHeight="false" outlineLevel="0" collapsed="false">
      <c r="A1126" s="0" t="s">
        <v>39</v>
      </c>
      <c r="B1126" s="0" t="n">
        <v>295</v>
      </c>
      <c r="C1126" s="0" t="n">
        <v>23191</v>
      </c>
    </row>
    <row r="1127" customFormat="false" ht="12.75" hidden="false" customHeight="false" outlineLevel="0" collapsed="false">
      <c r="A1127" s="0" t="s">
        <v>40</v>
      </c>
      <c r="B1127" s="0" t="n">
        <v>13</v>
      </c>
      <c r="C1127" s="0" t="n">
        <v>23220</v>
      </c>
    </row>
    <row r="1128" customFormat="false" ht="12.75" hidden="false" customHeight="false" outlineLevel="0" collapsed="false">
      <c r="A1128" s="0" t="s">
        <v>41</v>
      </c>
      <c r="B1128" s="0" t="n">
        <v>79</v>
      </c>
      <c r="C1128" s="0" t="n">
        <v>23222</v>
      </c>
    </row>
    <row r="1129" customFormat="false" ht="12.75" hidden="false" customHeight="false" outlineLevel="0" collapsed="false">
      <c r="A1129" s="0" t="s">
        <v>42</v>
      </c>
      <c r="B1129" s="0" t="n">
        <v>14</v>
      </c>
      <c r="C1129" s="0" t="n">
        <v>23217</v>
      </c>
    </row>
    <row r="1130" customFormat="false" ht="12.75" hidden="false" customHeight="false" outlineLevel="0" collapsed="false">
      <c r="A1130" s="0" t="s">
        <v>43</v>
      </c>
      <c r="B1130" s="0" t="n">
        <v>246</v>
      </c>
      <c r="C1130" s="0" t="n">
        <v>23001</v>
      </c>
    </row>
    <row r="1131" customFormat="false" ht="12.75" hidden="false" customHeight="false" outlineLevel="0" collapsed="false">
      <c r="A1131" s="0" t="s">
        <v>44</v>
      </c>
      <c r="B1131" s="0" t="n">
        <v>246</v>
      </c>
      <c r="C1131" s="0" t="n">
        <v>23316</v>
      </c>
    </row>
    <row r="1132" customFormat="false" ht="12.75" hidden="false" customHeight="false" outlineLevel="0" collapsed="false">
      <c r="A1132" s="0" t="s">
        <v>45</v>
      </c>
      <c r="B1132" s="0" t="n">
        <v>13</v>
      </c>
      <c r="C1132" s="0" t="n">
        <v>23386</v>
      </c>
    </row>
    <row r="1133" customFormat="false" ht="12.75" hidden="false" customHeight="false" outlineLevel="0" collapsed="false">
      <c r="A1133" s="0" t="s">
        <v>46</v>
      </c>
      <c r="B1133" s="0" t="n">
        <v>10</v>
      </c>
      <c r="C1133" s="0" t="n">
        <v>23513</v>
      </c>
    </row>
    <row r="1134" customFormat="false" ht="12.75" hidden="false" customHeight="false" outlineLevel="0" collapsed="false">
      <c r="A1134" s="0" t="s">
        <v>47</v>
      </c>
      <c r="B1134" s="0" t="n">
        <v>158</v>
      </c>
      <c r="C1134" s="0" t="n">
        <v>23379</v>
      </c>
    </row>
    <row r="1135" customFormat="false" ht="12.75" hidden="false" customHeight="false" outlineLevel="0" collapsed="false">
      <c r="A1135" s="0" t="s">
        <v>48</v>
      </c>
      <c r="B1135" s="0" t="n">
        <v>63</v>
      </c>
      <c r="C1135" s="0" t="n">
        <v>23325</v>
      </c>
    </row>
    <row r="1136" customFormat="false" ht="12.75" hidden="false" customHeight="false" outlineLevel="0" collapsed="false">
      <c r="A1136" s="0" t="s">
        <v>49</v>
      </c>
      <c r="B1136" s="0" t="n">
        <v>34</v>
      </c>
      <c r="C1136" s="0" t="n">
        <v>23347</v>
      </c>
    </row>
    <row r="1137" customFormat="false" ht="12.75" hidden="false" customHeight="false" outlineLevel="0" collapsed="false">
      <c r="A1137" s="0" t="s">
        <v>50</v>
      </c>
      <c r="B1137" s="3" t="n">
        <v>1277</v>
      </c>
      <c r="C1137" s="0" t="n">
        <v>22146</v>
      </c>
    </row>
    <row r="1138" customFormat="false" ht="12.75" hidden="false" customHeight="false" outlineLevel="0" collapsed="false">
      <c r="A1138" s="0" t="s">
        <v>51</v>
      </c>
      <c r="B1138" s="0" t="n">
        <v>5</v>
      </c>
      <c r="C1138" s="0" t="n">
        <v>22142</v>
      </c>
    </row>
    <row r="1139" customFormat="false" ht="12.75" hidden="false" customHeight="false" outlineLevel="0" collapsed="false">
      <c r="C1139" s="0" t="n">
        <v>24774</v>
      </c>
    </row>
    <row r="1140" customFormat="false" ht="12.75" hidden="false" customHeight="false" outlineLevel="0" collapsed="false">
      <c r="A1140" s="0" t="s">
        <v>139</v>
      </c>
      <c r="B1140" s="3" t="n">
        <v>15379</v>
      </c>
      <c r="C1140" s="0" t="n">
        <v>9420</v>
      </c>
    </row>
    <row r="1141" customFormat="false" ht="12.75" hidden="false" customHeight="false" outlineLevel="0" collapsed="false">
      <c r="A1141" s="0" t="s">
        <v>1</v>
      </c>
      <c r="B1141" s="0" t="n">
        <v>18</v>
      </c>
      <c r="C1141" s="0" t="n">
        <v>14015</v>
      </c>
    </row>
    <row r="1142" customFormat="false" ht="12.75" hidden="false" customHeight="false" outlineLevel="0" collapsed="false">
      <c r="A1142" s="0" t="s">
        <v>2</v>
      </c>
      <c r="B1142" s="0" t="n">
        <v>11</v>
      </c>
      <c r="C1142" s="0" t="n">
        <v>14989</v>
      </c>
    </row>
    <row r="1143" customFormat="false" ht="12.75" hidden="false" customHeight="false" outlineLevel="0" collapsed="false">
      <c r="A1143" s="0" t="s">
        <v>3</v>
      </c>
      <c r="B1143" s="0" t="n">
        <v>111</v>
      </c>
      <c r="C1143" s="0" t="n">
        <v>14879</v>
      </c>
    </row>
    <row r="1144" customFormat="false" ht="12.75" hidden="false" customHeight="false" outlineLevel="0" collapsed="false">
      <c r="A1144" s="0" t="s">
        <v>4</v>
      </c>
      <c r="B1144" s="0" t="n">
        <v>16</v>
      </c>
      <c r="C1144" s="0" t="n">
        <v>14864</v>
      </c>
    </row>
    <row r="1145" customFormat="false" ht="12.75" hidden="false" customHeight="false" outlineLevel="0" collapsed="false">
      <c r="A1145" s="0" t="s">
        <v>5</v>
      </c>
      <c r="B1145" s="0" t="n">
        <v>493</v>
      </c>
      <c r="C1145" s="0" t="n">
        <v>14846</v>
      </c>
    </row>
    <row r="1146" customFormat="false" ht="12.75" hidden="false" customHeight="false" outlineLevel="0" collapsed="false">
      <c r="A1146" s="0" t="s">
        <v>6</v>
      </c>
      <c r="B1146" s="0" t="n">
        <v>226</v>
      </c>
      <c r="C1146" s="0" t="n">
        <v>14726</v>
      </c>
    </row>
    <row r="1147" customFormat="false" ht="12.75" hidden="false" customHeight="false" outlineLevel="0" collapsed="false">
      <c r="A1147" s="0" t="s">
        <v>7</v>
      </c>
      <c r="B1147" s="0" t="n">
        <v>42</v>
      </c>
      <c r="C1147" s="0" t="n">
        <v>14698</v>
      </c>
    </row>
    <row r="1148" customFormat="false" ht="12.75" hidden="false" customHeight="false" outlineLevel="0" collapsed="false">
      <c r="A1148" s="0" t="s">
        <v>8</v>
      </c>
      <c r="B1148" s="0" t="n">
        <v>10</v>
      </c>
      <c r="C1148" s="0" t="n">
        <v>14706</v>
      </c>
    </row>
    <row r="1149" customFormat="false" ht="12.75" hidden="false" customHeight="false" outlineLevel="0" collapsed="false">
      <c r="A1149" s="0" t="s">
        <v>9</v>
      </c>
      <c r="B1149" s="0" t="n">
        <v>12</v>
      </c>
      <c r="C1149" s="0" t="n">
        <v>14695</v>
      </c>
    </row>
    <row r="1150" customFormat="false" ht="12.75" hidden="false" customHeight="false" outlineLevel="0" collapsed="false">
      <c r="A1150" s="0" t="s">
        <v>10</v>
      </c>
      <c r="B1150" s="0" t="n">
        <v>42</v>
      </c>
      <c r="C1150" s="0" t="n">
        <v>14659</v>
      </c>
    </row>
    <row r="1151" customFormat="false" ht="12.75" hidden="false" customHeight="false" outlineLevel="0" collapsed="false">
      <c r="A1151" s="0" t="s">
        <v>11</v>
      </c>
      <c r="B1151" s="0" t="n">
        <v>28</v>
      </c>
      <c r="C1151" s="0" t="n">
        <v>15793</v>
      </c>
    </row>
    <row r="1152" customFormat="false" ht="12.75" hidden="false" customHeight="false" outlineLevel="0" collapsed="false">
      <c r="A1152" s="0" t="s">
        <v>12</v>
      </c>
      <c r="B1152" s="0" t="n">
        <v>13</v>
      </c>
      <c r="C1152" s="0" t="n">
        <v>16294</v>
      </c>
    </row>
    <row r="1153" customFormat="false" ht="12.75" hidden="false" customHeight="false" outlineLevel="0" collapsed="false">
      <c r="A1153" s="0" t="s">
        <v>13</v>
      </c>
      <c r="B1153" s="0" t="n">
        <v>16</v>
      </c>
      <c r="C1153" s="0" t="n">
        <v>16278</v>
      </c>
    </row>
    <row r="1154" customFormat="false" ht="12.75" hidden="false" customHeight="false" outlineLevel="0" collapsed="false">
      <c r="A1154" s="0" t="s">
        <v>14</v>
      </c>
      <c r="B1154" s="0" t="n">
        <v>870</v>
      </c>
      <c r="C1154" s="0" t="n">
        <v>15414</v>
      </c>
    </row>
    <row r="1155" customFormat="false" ht="12.75" hidden="false" customHeight="false" outlineLevel="0" collapsed="false">
      <c r="A1155" s="0" t="s">
        <v>15</v>
      </c>
      <c r="B1155" s="0" t="n">
        <v>99</v>
      </c>
      <c r="C1155" s="0" t="n">
        <v>15455</v>
      </c>
    </row>
    <row r="1156" customFormat="false" ht="12.75" hidden="false" customHeight="false" outlineLevel="0" collapsed="false">
      <c r="A1156" s="0" t="s">
        <v>16</v>
      </c>
      <c r="B1156" s="3" t="n">
        <v>1016</v>
      </c>
      <c r="C1156" s="0" t="n">
        <v>14473</v>
      </c>
    </row>
    <row r="1157" customFormat="false" ht="12.75" hidden="false" customHeight="false" outlineLevel="0" collapsed="false">
      <c r="A1157" s="0" t="s">
        <v>17</v>
      </c>
      <c r="B1157" s="0" t="n">
        <v>107</v>
      </c>
      <c r="C1157" s="0" t="n">
        <v>14382</v>
      </c>
    </row>
    <row r="1158" customFormat="false" ht="12.75" hidden="false" customHeight="false" outlineLevel="0" collapsed="false">
      <c r="A1158" s="0" t="s">
        <v>18</v>
      </c>
      <c r="B1158" s="0" t="n">
        <v>37</v>
      </c>
      <c r="C1158" s="0" t="n">
        <v>14366</v>
      </c>
    </row>
    <row r="1159" customFormat="false" ht="12.75" hidden="false" customHeight="false" outlineLevel="0" collapsed="false">
      <c r="A1159" s="0" t="s">
        <v>19</v>
      </c>
      <c r="B1159" s="0" t="n">
        <v>25</v>
      </c>
      <c r="C1159" s="0" t="n">
        <v>14423</v>
      </c>
    </row>
    <row r="1160" customFormat="false" ht="12.75" hidden="false" customHeight="false" outlineLevel="0" collapsed="false">
      <c r="A1160" s="0" t="s">
        <v>20</v>
      </c>
      <c r="B1160" s="0" t="n">
        <v>5</v>
      </c>
      <c r="C1160" s="0" t="n">
        <v>15730</v>
      </c>
    </row>
    <row r="1161" customFormat="false" ht="12.75" hidden="false" customHeight="false" outlineLevel="0" collapsed="false">
      <c r="A1161" s="0" t="s">
        <v>21</v>
      </c>
      <c r="B1161" s="0" t="n">
        <v>42</v>
      </c>
      <c r="C1161" s="0" t="n">
        <v>15690</v>
      </c>
    </row>
    <row r="1162" customFormat="false" ht="12.75" hidden="false" customHeight="false" outlineLevel="0" collapsed="false">
      <c r="A1162" s="0" t="s">
        <v>22</v>
      </c>
      <c r="B1162" s="0" t="n">
        <v>63</v>
      </c>
      <c r="C1162" s="0" t="n">
        <v>15649</v>
      </c>
    </row>
    <row r="1163" customFormat="false" ht="12.75" hidden="false" customHeight="false" outlineLevel="0" collapsed="false">
      <c r="A1163" s="0" t="s">
        <v>23</v>
      </c>
      <c r="B1163" s="0" t="n">
        <v>284</v>
      </c>
      <c r="C1163" s="0" t="n">
        <v>15372</v>
      </c>
    </row>
    <row r="1164" customFormat="false" ht="12.75" hidden="false" customHeight="false" outlineLevel="0" collapsed="false">
      <c r="A1164" s="0" t="s">
        <v>25</v>
      </c>
      <c r="B1164" s="0" t="n">
        <v>7</v>
      </c>
      <c r="C1164" s="0" t="n">
        <v>15457</v>
      </c>
    </row>
    <row r="1165" customFormat="false" ht="12.75" hidden="false" customHeight="false" outlineLevel="0" collapsed="false">
      <c r="A1165" s="0" t="s">
        <v>26</v>
      </c>
      <c r="B1165" s="0" t="n">
        <v>147</v>
      </c>
      <c r="C1165" s="0" t="n">
        <v>15358</v>
      </c>
    </row>
    <row r="1166" customFormat="false" ht="12.75" hidden="false" customHeight="false" outlineLevel="0" collapsed="false">
      <c r="A1166" s="0" t="s">
        <v>27</v>
      </c>
      <c r="B1166" s="0" t="n">
        <v>56</v>
      </c>
      <c r="C1166" s="0" t="n">
        <v>15464</v>
      </c>
    </row>
    <row r="1167" customFormat="false" ht="12.75" hidden="false" customHeight="false" outlineLevel="0" collapsed="false">
      <c r="A1167" s="0" t="s">
        <v>28</v>
      </c>
      <c r="B1167" s="0" t="n">
        <v>296</v>
      </c>
      <c r="C1167" s="0" t="n">
        <v>15169</v>
      </c>
    </row>
    <row r="1168" customFormat="false" ht="12.75" hidden="false" customHeight="false" outlineLevel="0" collapsed="false">
      <c r="A1168" s="0" t="s">
        <v>29</v>
      </c>
      <c r="B1168" s="0" t="n">
        <v>19</v>
      </c>
      <c r="C1168" s="0" t="n">
        <v>15155</v>
      </c>
    </row>
    <row r="1169" customFormat="false" ht="12.75" hidden="false" customHeight="false" outlineLevel="0" collapsed="false">
      <c r="A1169" s="0" t="s">
        <v>30</v>
      </c>
      <c r="B1169" s="0" t="n">
        <v>9</v>
      </c>
      <c r="C1169" s="0" t="n">
        <v>15148</v>
      </c>
    </row>
    <row r="1170" customFormat="false" ht="12.75" hidden="false" customHeight="false" outlineLevel="0" collapsed="false">
      <c r="A1170" s="0" t="s">
        <v>31</v>
      </c>
      <c r="B1170" s="0" t="n">
        <v>122</v>
      </c>
      <c r="C1170" s="0" t="n">
        <v>15029</v>
      </c>
    </row>
    <row r="1171" customFormat="false" ht="12.75" hidden="false" customHeight="false" outlineLevel="0" collapsed="false">
      <c r="A1171" s="0" t="s">
        <v>32</v>
      </c>
      <c r="B1171" s="0" t="n">
        <v>16</v>
      </c>
      <c r="C1171" s="0" t="n">
        <v>15033</v>
      </c>
    </row>
    <row r="1172" customFormat="false" ht="12.75" hidden="false" customHeight="false" outlineLevel="0" collapsed="false">
      <c r="A1172" s="0" t="s">
        <v>33</v>
      </c>
      <c r="B1172" s="0" t="n">
        <v>108</v>
      </c>
      <c r="C1172" s="0" t="n">
        <v>14928</v>
      </c>
    </row>
    <row r="1173" customFormat="false" ht="12.75" hidden="false" customHeight="false" outlineLevel="0" collapsed="false">
      <c r="A1173" s="0" t="s">
        <v>34</v>
      </c>
      <c r="B1173" s="0" t="n">
        <v>120</v>
      </c>
      <c r="C1173" s="0" t="n">
        <v>14843</v>
      </c>
    </row>
    <row r="1174" customFormat="false" ht="12.75" hidden="false" customHeight="false" outlineLevel="0" collapsed="false">
      <c r="A1174" s="0" t="s">
        <v>35</v>
      </c>
      <c r="B1174" s="0" t="n">
        <v>924</v>
      </c>
      <c r="C1174" s="0" t="n">
        <v>14013</v>
      </c>
    </row>
    <row r="1175" customFormat="false" ht="12.75" hidden="false" customHeight="false" outlineLevel="0" collapsed="false">
      <c r="A1175" s="0" t="s">
        <v>36</v>
      </c>
      <c r="B1175" s="0" t="n">
        <v>182</v>
      </c>
      <c r="C1175" s="0" t="n">
        <v>13832</v>
      </c>
    </row>
    <row r="1176" customFormat="false" ht="12.75" hidden="false" customHeight="false" outlineLevel="0" collapsed="false">
      <c r="A1176" s="0" t="s">
        <v>37</v>
      </c>
      <c r="B1176" s="0" t="n">
        <v>62</v>
      </c>
      <c r="C1176" s="0" t="n">
        <v>13951</v>
      </c>
    </row>
    <row r="1177" customFormat="false" ht="12.75" hidden="false" customHeight="false" outlineLevel="0" collapsed="false">
      <c r="A1177" s="0" t="s">
        <v>38</v>
      </c>
      <c r="B1177" s="0" t="n">
        <v>42</v>
      </c>
      <c r="C1177" s="0" t="n">
        <v>13976</v>
      </c>
    </row>
    <row r="1178" customFormat="false" ht="12.75" hidden="false" customHeight="false" outlineLevel="0" collapsed="false">
      <c r="A1178" s="0" t="s">
        <v>39</v>
      </c>
      <c r="B1178" s="0" t="n">
        <v>81</v>
      </c>
      <c r="C1178" s="0" t="n">
        <v>13896</v>
      </c>
    </row>
    <row r="1179" customFormat="false" ht="12.75" hidden="false" customHeight="false" outlineLevel="0" collapsed="false">
      <c r="A1179" s="0" t="s">
        <v>40</v>
      </c>
      <c r="B1179" s="0" t="n">
        <v>9</v>
      </c>
      <c r="C1179" s="0" t="n">
        <v>13903</v>
      </c>
    </row>
    <row r="1180" customFormat="false" ht="12.75" hidden="false" customHeight="false" outlineLevel="0" collapsed="false">
      <c r="A1180" s="0" t="s">
        <v>41</v>
      </c>
      <c r="B1180" s="0" t="n">
        <v>30</v>
      </c>
      <c r="C1180" s="0" t="n">
        <v>13875</v>
      </c>
    </row>
    <row r="1181" customFormat="false" ht="12.75" hidden="false" customHeight="false" outlineLevel="0" collapsed="false">
      <c r="A1181" s="0" t="s">
        <v>42</v>
      </c>
      <c r="B1181" s="0" t="n">
        <v>561</v>
      </c>
      <c r="C1181" s="0" t="n">
        <v>13358</v>
      </c>
    </row>
    <row r="1182" customFormat="false" ht="12.75" hidden="false" customHeight="false" outlineLevel="0" collapsed="false">
      <c r="A1182" s="0" t="s">
        <v>43</v>
      </c>
      <c r="B1182" s="0" t="n">
        <v>83</v>
      </c>
      <c r="C1182" s="0" t="n">
        <v>13276</v>
      </c>
    </row>
    <row r="1183" customFormat="false" ht="12.75" hidden="false" customHeight="false" outlineLevel="0" collapsed="false">
      <c r="A1183" s="0" t="s">
        <v>44</v>
      </c>
      <c r="B1183" s="0" t="n">
        <v>137</v>
      </c>
      <c r="C1183" s="0" t="n">
        <v>14243</v>
      </c>
    </row>
    <row r="1184" customFormat="false" ht="12.75" hidden="false" customHeight="false" outlineLevel="0" collapsed="false">
      <c r="A1184" s="0" t="s">
        <v>45</v>
      </c>
      <c r="B1184" s="0" t="n">
        <v>24</v>
      </c>
      <c r="C1184" s="0" t="n">
        <v>14342</v>
      </c>
    </row>
    <row r="1185" customFormat="false" ht="12.75" hidden="false" customHeight="false" outlineLevel="0" collapsed="false">
      <c r="A1185" s="0" t="s">
        <v>46</v>
      </c>
      <c r="B1185" s="0" t="n">
        <v>9</v>
      </c>
      <c r="C1185" s="0" t="n">
        <v>14334</v>
      </c>
    </row>
    <row r="1186" customFormat="false" ht="12.75" hidden="false" customHeight="false" outlineLevel="0" collapsed="false">
      <c r="A1186" s="0" t="s">
        <v>47</v>
      </c>
      <c r="B1186" s="0" t="n">
        <v>56</v>
      </c>
      <c r="C1186" s="0" t="n">
        <v>14279</v>
      </c>
    </row>
    <row r="1187" customFormat="false" ht="12.75" hidden="false" customHeight="false" outlineLevel="0" collapsed="false">
      <c r="A1187" s="0" t="s">
        <v>48</v>
      </c>
      <c r="B1187" s="0" t="n">
        <v>76</v>
      </c>
      <c r="C1187" s="0" t="n">
        <v>14323</v>
      </c>
    </row>
    <row r="1188" customFormat="false" ht="12.75" hidden="false" customHeight="false" outlineLevel="0" collapsed="false">
      <c r="A1188" s="0" t="s">
        <v>49</v>
      </c>
      <c r="B1188" s="0" t="n">
        <v>1</v>
      </c>
      <c r="C1188" s="0" t="n">
        <v>14344</v>
      </c>
    </row>
    <row r="1189" customFormat="false" ht="12.75" hidden="false" customHeight="false" outlineLevel="0" collapsed="false">
      <c r="A1189" s="0" t="s">
        <v>50</v>
      </c>
      <c r="B1189" s="3" t="n">
        <v>2632</v>
      </c>
      <c r="C1189" s="0" t="n">
        <v>11718</v>
      </c>
    </row>
    <row r="1190" customFormat="false" ht="12.75" hidden="false" customHeight="false" outlineLevel="0" collapsed="false">
      <c r="A1190" s="0" t="s">
        <v>51</v>
      </c>
      <c r="B1190" s="0" t="n">
        <v>25</v>
      </c>
      <c r="C1190" s="0" t="n">
        <v>11724</v>
      </c>
    </row>
    <row r="1191" customFormat="false" ht="12.75" hidden="false" customHeight="false" outlineLevel="0" collapsed="false">
      <c r="A1191" s="0" t="s">
        <v>140</v>
      </c>
      <c r="B1191" s="3" t="n">
        <v>4613</v>
      </c>
      <c r="C1191" s="0" t="n">
        <v>7112</v>
      </c>
    </row>
    <row r="1192" customFormat="false" ht="12.75" hidden="false" customHeight="false" outlineLevel="0" collapsed="false">
      <c r="A1192" s="0" t="s">
        <v>1</v>
      </c>
      <c r="B1192" s="0" t="n">
        <v>985</v>
      </c>
      <c r="C1192" s="0" t="n">
        <v>18402</v>
      </c>
    </row>
    <row r="1193" customFormat="false" ht="12.75" hidden="false" customHeight="false" outlineLevel="0" collapsed="false">
      <c r="A1193" s="0" t="s">
        <v>2</v>
      </c>
      <c r="B1193" s="0" t="n">
        <v>1</v>
      </c>
      <c r="C1193" s="0" t="n">
        <v>18598</v>
      </c>
    </row>
    <row r="1194" customFormat="false" ht="12.75" hidden="false" customHeight="false" outlineLevel="0" collapsed="false">
      <c r="A1194" s="0" t="s">
        <v>3</v>
      </c>
      <c r="B1194" s="0" t="n">
        <v>1</v>
      </c>
      <c r="C1194" s="0" t="n">
        <v>18607</v>
      </c>
    </row>
    <row r="1195" customFormat="false" ht="12.75" hidden="false" customHeight="false" outlineLevel="0" collapsed="false">
      <c r="A1195" s="0" t="s">
        <v>4</v>
      </c>
      <c r="B1195" s="0" t="n">
        <v>475</v>
      </c>
      <c r="C1195" s="0" t="n">
        <v>18196</v>
      </c>
    </row>
    <row r="1196" customFormat="false" ht="12.75" hidden="false" customHeight="false" outlineLevel="0" collapsed="false">
      <c r="A1196" s="0" t="s">
        <v>5</v>
      </c>
      <c r="B1196" s="0" t="n">
        <v>106</v>
      </c>
      <c r="C1196" s="0" t="n">
        <v>19013</v>
      </c>
    </row>
    <row r="1197" customFormat="false" ht="12.75" hidden="false" customHeight="false" outlineLevel="0" collapsed="false">
      <c r="A1197" s="0" t="s">
        <v>6</v>
      </c>
      <c r="B1197" s="0" t="n">
        <v>14</v>
      </c>
      <c r="C1197" s="0" t="n">
        <v>19476</v>
      </c>
    </row>
    <row r="1198" customFormat="false" ht="12.75" hidden="false" customHeight="false" outlineLevel="0" collapsed="false">
      <c r="A1198" s="0" t="s">
        <v>7</v>
      </c>
      <c r="B1198" s="0" t="n">
        <v>18</v>
      </c>
      <c r="C1198" s="0" t="n">
        <v>19663</v>
      </c>
    </row>
    <row r="1199" customFormat="false" ht="12.75" hidden="false" customHeight="false" outlineLevel="0" collapsed="false">
      <c r="A1199" s="0" t="s">
        <v>8</v>
      </c>
      <c r="B1199" s="0" t="n">
        <v>1</v>
      </c>
      <c r="C1199" s="0" t="n">
        <v>19706</v>
      </c>
    </row>
    <row r="1200" customFormat="false" ht="12.75" hidden="false" customHeight="false" outlineLevel="0" collapsed="false">
      <c r="A1200" s="0" t="s">
        <v>9</v>
      </c>
      <c r="B1200" s="0" t="n">
        <v>6</v>
      </c>
      <c r="C1200" s="0" t="n">
        <v>19707</v>
      </c>
    </row>
    <row r="1201" customFormat="false" ht="12.75" hidden="false" customHeight="false" outlineLevel="0" collapsed="false">
      <c r="A1201" s="0" t="s">
        <v>10</v>
      </c>
      <c r="B1201" s="3" t="n">
        <v>1162</v>
      </c>
      <c r="C1201" s="0" t="n">
        <v>18556</v>
      </c>
    </row>
    <row r="1202" customFormat="false" ht="12.75" hidden="false" customHeight="false" outlineLevel="0" collapsed="false">
      <c r="A1202" s="0" t="s">
        <v>11</v>
      </c>
      <c r="B1202" s="0" t="n">
        <v>514</v>
      </c>
      <c r="C1202" s="0" t="n">
        <v>18258</v>
      </c>
    </row>
    <row r="1203" customFormat="false" ht="12.75" hidden="false" customHeight="false" outlineLevel="0" collapsed="false">
      <c r="A1203" s="0" t="s">
        <v>12</v>
      </c>
      <c r="B1203" s="0" t="s">
        <v>156</v>
      </c>
      <c r="C1203" s="0" t="n">
        <v>18481</v>
      </c>
    </row>
    <row r="1204" customFormat="false" ht="12.75" hidden="false" customHeight="false" outlineLevel="0" collapsed="false">
      <c r="A1204" s="0" t="s">
        <v>13</v>
      </c>
      <c r="B1204" s="0" t="n">
        <v>6</v>
      </c>
      <c r="C1204" s="0" t="n">
        <v>18477</v>
      </c>
    </row>
    <row r="1205" customFormat="false" ht="12.75" hidden="false" customHeight="false" outlineLevel="0" collapsed="false">
      <c r="A1205" s="0" t="s">
        <v>14</v>
      </c>
      <c r="B1205" s="0" t="n">
        <v>140</v>
      </c>
      <c r="C1205" s="0" t="n">
        <v>18353</v>
      </c>
    </row>
    <row r="1206" customFormat="false" ht="12.75" hidden="false" customHeight="false" outlineLevel="0" collapsed="false">
      <c r="A1206" s="0" t="s">
        <v>15</v>
      </c>
      <c r="B1206" s="0" t="n">
        <v>34</v>
      </c>
      <c r="C1206" s="0" t="n">
        <v>21834</v>
      </c>
    </row>
    <row r="1207" customFormat="false" ht="12.75" hidden="false" customHeight="false" outlineLevel="0" collapsed="false">
      <c r="A1207" s="0" t="s">
        <v>16</v>
      </c>
      <c r="B1207" s="0" t="n">
        <v>16</v>
      </c>
      <c r="C1207" s="0" t="n">
        <v>22405</v>
      </c>
    </row>
    <row r="1208" customFormat="false" ht="12.75" hidden="false" customHeight="false" outlineLevel="0" collapsed="false">
      <c r="A1208" s="0" t="s">
        <v>17</v>
      </c>
      <c r="B1208" s="0" t="n">
        <v>21</v>
      </c>
      <c r="C1208" s="0" t="n">
        <v>23088</v>
      </c>
    </row>
    <row r="1209" customFormat="false" ht="12.75" hidden="false" customHeight="false" outlineLevel="0" collapsed="false">
      <c r="A1209" s="0" t="s">
        <v>18</v>
      </c>
      <c r="B1209" s="0" t="n">
        <v>82</v>
      </c>
      <c r="C1209" s="0" t="n">
        <v>25092</v>
      </c>
    </row>
    <row r="1210" customFormat="false" ht="12.75" hidden="false" customHeight="false" outlineLevel="0" collapsed="false">
      <c r="A1210" s="0" t="s">
        <v>19</v>
      </c>
      <c r="B1210" s="3" t="n">
        <v>1312</v>
      </c>
      <c r="C1210" s="0" t="n">
        <v>24186</v>
      </c>
    </row>
    <row r="1211" customFormat="false" ht="12.75" hidden="false" customHeight="false" outlineLevel="0" collapsed="false">
      <c r="A1211" s="0" t="s">
        <v>20</v>
      </c>
      <c r="B1211" s="0" t="n">
        <v>2</v>
      </c>
      <c r="C1211" s="0" t="n">
        <v>24382</v>
      </c>
    </row>
    <row r="1212" customFormat="false" ht="12.75" hidden="false" customHeight="false" outlineLevel="0" collapsed="false">
      <c r="A1212" s="0" t="s">
        <v>21</v>
      </c>
      <c r="B1212" s="0" t="n">
        <v>22</v>
      </c>
      <c r="C1212" s="0" t="n">
        <v>24372</v>
      </c>
    </row>
    <row r="1213" customFormat="false" ht="12.75" hidden="false" customHeight="false" outlineLevel="0" collapsed="false">
      <c r="A1213" s="0" t="s">
        <v>22</v>
      </c>
      <c r="B1213" s="0" t="n">
        <v>7</v>
      </c>
      <c r="C1213" s="0" t="n">
        <v>24422</v>
      </c>
    </row>
    <row r="1214" customFormat="false" ht="12.75" hidden="false" customHeight="false" outlineLevel="0" collapsed="false">
      <c r="A1214" s="0" t="s">
        <v>23</v>
      </c>
      <c r="B1214" s="0" t="n">
        <v>92</v>
      </c>
      <c r="C1214" s="0" t="n">
        <v>24363</v>
      </c>
    </row>
    <row r="1215" customFormat="false" ht="12.75" hidden="false" customHeight="false" outlineLevel="0" collapsed="false">
      <c r="A1215" s="0" t="s">
        <v>24</v>
      </c>
      <c r="B1215" s="0" t="n">
        <v>48</v>
      </c>
      <c r="C1215" s="0" t="n">
        <v>24677</v>
      </c>
    </row>
    <row r="1216" customFormat="false" ht="12.75" hidden="false" customHeight="false" outlineLevel="0" collapsed="false">
      <c r="A1216" s="0" t="s">
        <v>26</v>
      </c>
      <c r="B1216" s="0" t="n">
        <v>162</v>
      </c>
      <c r="C1216" s="0" t="n">
        <v>24793</v>
      </c>
    </row>
    <row r="1217" customFormat="false" ht="12.75" hidden="false" customHeight="false" outlineLevel="0" collapsed="false">
      <c r="A1217" s="0" t="s">
        <v>27</v>
      </c>
      <c r="B1217" s="0" t="n">
        <v>1</v>
      </c>
      <c r="C1217" s="0" t="n">
        <v>24945</v>
      </c>
    </row>
    <row r="1218" customFormat="false" ht="12.75" hidden="false" customHeight="false" outlineLevel="0" collapsed="false">
      <c r="A1218" s="0" t="s">
        <v>28</v>
      </c>
      <c r="B1218" s="0" t="n">
        <v>5</v>
      </c>
      <c r="C1218" s="0" t="n">
        <v>24965</v>
      </c>
    </row>
    <row r="1219" customFormat="false" ht="12.75" hidden="false" customHeight="false" outlineLevel="0" collapsed="false">
      <c r="A1219" s="0" t="s">
        <v>29</v>
      </c>
      <c r="B1219" s="0" t="n">
        <v>2</v>
      </c>
      <c r="C1219" s="0" t="n">
        <v>25546</v>
      </c>
    </row>
    <row r="1220" customFormat="false" ht="12.75" hidden="false" customHeight="false" outlineLevel="0" collapsed="false">
      <c r="A1220" s="0" t="s">
        <v>30</v>
      </c>
      <c r="B1220" s="0" t="n">
        <v>3</v>
      </c>
      <c r="C1220" s="0" t="n">
        <v>25570</v>
      </c>
    </row>
    <row r="1221" customFormat="false" ht="12.75" hidden="false" customHeight="false" outlineLevel="0" collapsed="false">
      <c r="A1221" s="0" t="s">
        <v>31</v>
      </c>
      <c r="B1221" s="0" t="n">
        <v>20</v>
      </c>
      <c r="C1221" s="0" t="n">
        <v>25577</v>
      </c>
    </row>
    <row r="1222" customFormat="false" ht="12.75" hidden="false" customHeight="false" outlineLevel="0" collapsed="false">
      <c r="A1222" s="0" t="s">
        <v>32</v>
      </c>
      <c r="B1222" s="0" t="n">
        <v>3</v>
      </c>
      <c r="C1222" s="0" t="n">
        <v>25664</v>
      </c>
    </row>
    <row r="1223" customFormat="false" ht="12.75" hidden="false" customHeight="false" outlineLevel="0" collapsed="false">
      <c r="A1223" s="0" t="s">
        <v>33</v>
      </c>
      <c r="B1223" s="0" t="n">
        <v>35</v>
      </c>
      <c r="C1223" s="0" t="n">
        <v>25685</v>
      </c>
    </row>
    <row r="1224" customFormat="false" ht="12.75" hidden="false" customHeight="false" outlineLevel="0" collapsed="false">
      <c r="A1224" s="0" t="s">
        <v>34</v>
      </c>
      <c r="B1224" s="0" t="n">
        <v>94</v>
      </c>
      <c r="C1224" s="0" t="n">
        <v>25774</v>
      </c>
    </row>
    <row r="1225" customFormat="false" ht="12.75" hidden="false" customHeight="false" outlineLevel="0" collapsed="false">
      <c r="A1225" s="0" t="s">
        <v>35</v>
      </c>
      <c r="B1225" s="0" t="n">
        <v>1</v>
      </c>
      <c r="C1225" s="0" t="n">
        <v>25894</v>
      </c>
    </row>
    <row r="1226" customFormat="false" ht="12.75" hidden="false" customHeight="false" outlineLevel="0" collapsed="false">
      <c r="A1226" s="0" t="s">
        <v>36</v>
      </c>
      <c r="B1226" s="0" t="n">
        <v>181</v>
      </c>
      <c r="C1226" s="0" t="n">
        <v>25728</v>
      </c>
    </row>
    <row r="1227" customFormat="false" ht="12.75" hidden="false" customHeight="false" outlineLevel="0" collapsed="false">
      <c r="A1227" s="0" t="s">
        <v>37</v>
      </c>
      <c r="B1227" s="0" t="n">
        <v>67</v>
      </c>
      <c r="C1227" s="0" t="n">
        <v>26073</v>
      </c>
    </row>
    <row r="1228" customFormat="false" ht="12.75" hidden="false" customHeight="false" outlineLevel="0" collapsed="false">
      <c r="A1228" s="0" t="s">
        <v>38</v>
      </c>
      <c r="B1228" s="0" t="n">
        <v>1</v>
      </c>
      <c r="C1228" s="0" t="n">
        <v>27118</v>
      </c>
    </row>
    <row r="1229" customFormat="false" ht="12.75" hidden="false" customHeight="false" outlineLevel="0" collapsed="false">
      <c r="A1229" s="0" t="s">
        <v>39</v>
      </c>
      <c r="B1229" s="0" t="n">
        <v>16</v>
      </c>
      <c r="C1229" s="0" t="n">
        <v>27131</v>
      </c>
    </row>
    <row r="1230" customFormat="false" ht="12.75" hidden="false" customHeight="false" outlineLevel="0" collapsed="false">
      <c r="A1230" s="0" t="s">
        <v>40</v>
      </c>
      <c r="B1230" s="0" t="n">
        <v>2</v>
      </c>
      <c r="C1230" s="0" t="n">
        <v>27266</v>
      </c>
    </row>
    <row r="1231" customFormat="false" ht="12.75" hidden="false" customHeight="false" outlineLevel="0" collapsed="false">
      <c r="A1231" s="0" t="s">
        <v>41</v>
      </c>
      <c r="B1231" s="0" t="n">
        <v>44</v>
      </c>
      <c r="C1231" s="0" t="n">
        <v>27234</v>
      </c>
    </row>
    <row r="1232" customFormat="false" ht="12.75" hidden="false" customHeight="false" outlineLevel="0" collapsed="false">
      <c r="A1232" s="0" t="s">
        <v>42</v>
      </c>
      <c r="B1232" s="0" t="n">
        <v>1</v>
      </c>
      <c r="C1232" s="0" t="n">
        <v>27258</v>
      </c>
    </row>
    <row r="1233" customFormat="false" ht="12.75" hidden="false" customHeight="false" outlineLevel="0" collapsed="false">
      <c r="A1233" s="0" t="s">
        <v>43</v>
      </c>
      <c r="B1233" s="3" t="n">
        <v>1104</v>
      </c>
      <c r="C1233" s="0" t="n">
        <v>26182</v>
      </c>
    </row>
    <row r="1234" customFormat="false" ht="12.75" hidden="false" customHeight="false" outlineLevel="0" collapsed="false">
      <c r="A1234" s="0" t="s">
        <v>44</v>
      </c>
      <c r="B1234" s="0" t="n">
        <v>123</v>
      </c>
      <c r="C1234" s="0" t="n">
        <v>26466</v>
      </c>
    </row>
    <row r="1235" customFormat="false" ht="12.75" hidden="false" customHeight="false" outlineLevel="0" collapsed="false">
      <c r="A1235" s="0" t="s">
        <v>45</v>
      </c>
      <c r="B1235" s="0" t="n">
        <v>1</v>
      </c>
      <c r="C1235" s="0" t="n">
        <v>27551</v>
      </c>
    </row>
    <row r="1236" customFormat="false" ht="12.75" hidden="false" customHeight="false" outlineLevel="0" collapsed="false">
      <c r="A1236" s="0" t="s">
        <v>46</v>
      </c>
      <c r="B1236" s="0" t="n">
        <v>1</v>
      </c>
      <c r="C1236" s="0" t="n">
        <v>27608</v>
      </c>
    </row>
    <row r="1237" customFormat="false" ht="12.75" hidden="false" customHeight="false" outlineLevel="0" collapsed="false">
      <c r="A1237" s="0" t="s">
        <v>47</v>
      </c>
      <c r="B1237" s="0" t="n">
        <v>120</v>
      </c>
      <c r="C1237" s="0" t="n">
        <v>27492</v>
      </c>
    </row>
    <row r="1238" customFormat="false" ht="12.75" hidden="false" customHeight="false" outlineLevel="0" collapsed="false">
      <c r="A1238" s="0" t="s">
        <v>48</v>
      </c>
      <c r="B1238" s="0" t="n">
        <v>22</v>
      </c>
      <c r="C1238" s="0" t="n">
        <v>27692</v>
      </c>
    </row>
    <row r="1239" customFormat="false" ht="12.75" hidden="false" customHeight="false" outlineLevel="0" collapsed="false">
      <c r="A1239" s="0" t="s">
        <v>49</v>
      </c>
      <c r="B1239" s="0" t="n">
        <v>6</v>
      </c>
      <c r="C1239" s="0" t="n">
        <v>27793</v>
      </c>
    </row>
    <row r="1240" customFormat="false" ht="12.75" hidden="false" customHeight="false" outlineLevel="0" collapsed="false">
      <c r="A1240" s="0" t="s">
        <v>50</v>
      </c>
      <c r="B1240" s="0" t="n">
        <v>31</v>
      </c>
      <c r="C1240" s="0" t="n">
        <v>27788</v>
      </c>
    </row>
    <row r="1241" customFormat="false" ht="12.75" hidden="false" customHeight="false" outlineLevel="0" collapsed="false">
      <c r="A1241" s="0" t="s">
        <v>51</v>
      </c>
      <c r="B1241" s="0" t="n">
        <v>1</v>
      </c>
      <c r="C1241" s="0" t="n">
        <v>28036</v>
      </c>
    </row>
    <row r="1242" customFormat="false" ht="12.75" hidden="false" customHeight="false" outlineLevel="0" collapsed="false">
      <c r="A1242" s="0" t="s">
        <v>141</v>
      </c>
      <c r="B1242" s="3" t="n">
        <v>12275</v>
      </c>
      <c r="C1242" s="0" t="n">
        <v>15797</v>
      </c>
    </row>
    <row r="1243" customFormat="false" ht="12.75" hidden="false" customHeight="false" outlineLevel="0" collapsed="false">
      <c r="A1243" s="0" t="s">
        <v>1</v>
      </c>
      <c r="B1243" s="0" t="n">
        <v>197</v>
      </c>
      <c r="C1243" s="0" t="n">
        <v>19717</v>
      </c>
    </row>
    <row r="1244" customFormat="false" ht="12.75" hidden="false" customHeight="false" outlineLevel="0" collapsed="false">
      <c r="A1244" s="0" t="s">
        <v>2</v>
      </c>
      <c r="B1244" s="0" t="n">
        <v>10</v>
      </c>
      <c r="C1244" s="0" t="n">
        <v>19717</v>
      </c>
    </row>
    <row r="1245" customFormat="false" ht="12.75" hidden="false" customHeight="false" outlineLevel="0" collapsed="false">
      <c r="A1245" s="0" t="s">
        <v>3</v>
      </c>
      <c r="B1245" s="0" t="n">
        <v>64</v>
      </c>
      <c r="C1245" s="0" t="n">
        <v>19663</v>
      </c>
    </row>
    <row r="1246" customFormat="false" ht="12.75" hidden="false" customHeight="false" outlineLevel="0" collapsed="false">
      <c r="A1246" s="0" t="s">
        <v>4</v>
      </c>
      <c r="B1246" s="0" t="n">
        <v>923</v>
      </c>
      <c r="C1246" s="0" t="n">
        <v>18776</v>
      </c>
    </row>
    <row r="1247" customFormat="false" ht="12.75" hidden="false" customHeight="false" outlineLevel="0" collapsed="false">
      <c r="A1247" s="0" t="s">
        <v>5</v>
      </c>
      <c r="B1247" s="0" t="n">
        <v>477</v>
      </c>
      <c r="C1247" s="0" t="n">
        <v>18304</v>
      </c>
    </row>
    <row r="1248" customFormat="false" ht="12.75" hidden="false" customHeight="false" outlineLevel="0" collapsed="false">
      <c r="A1248" s="0" t="s">
        <v>6</v>
      </c>
      <c r="B1248" s="0" t="n">
        <v>205</v>
      </c>
      <c r="C1248" s="0" t="n">
        <v>18632</v>
      </c>
    </row>
    <row r="1249" customFormat="false" ht="12.75" hidden="false" customHeight="false" outlineLevel="0" collapsed="false">
      <c r="A1249" s="0" t="s">
        <v>7</v>
      </c>
      <c r="B1249" s="0" t="n">
        <v>44</v>
      </c>
      <c r="C1249" s="0" t="n">
        <v>18693</v>
      </c>
    </row>
    <row r="1250" customFormat="false" ht="12.75" hidden="false" customHeight="false" outlineLevel="0" collapsed="false">
      <c r="A1250" s="0" t="s">
        <v>8</v>
      </c>
      <c r="B1250" s="0" t="n">
        <v>7</v>
      </c>
      <c r="C1250" s="0" t="n">
        <v>18697</v>
      </c>
    </row>
    <row r="1251" customFormat="false" ht="12.75" hidden="false" customHeight="false" outlineLevel="0" collapsed="false">
      <c r="A1251" s="0" t="s">
        <v>9</v>
      </c>
      <c r="B1251" s="0" t="n">
        <v>11</v>
      </c>
      <c r="C1251" s="0" t="n">
        <v>18686</v>
      </c>
    </row>
    <row r="1252" customFormat="false" ht="12.75" hidden="false" customHeight="false" outlineLevel="0" collapsed="false">
      <c r="A1252" s="0" t="s">
        <v>10</v>
      </c>
      <c r="B1252" s="0" t="n">
        <v>216</v>
      </c>
      <c r="C1252" s="0" t="n">
        <v>18474</v>
      </c>
    </row>
    <row r="1253" customFormat="false" ht="12.75" hidden="false" customHeight="false" outlineLevel="0" collapsed="false">
      <c r="A1253" s="0" t="s">
        <v>11</v>
      </c>
      <c r="B1253" s="0" t="n">
        <v>223</v>
      </c>
      <c r="C1253" s="0" t="n">
        <v>18289</v>
      </c>
    </row>
    <row r="1254" customFormat="false" ht="12.75" hidden="false" customHeight="false" outlineLevel="0" collapsed="false">
      <c r="A1254" s="0" t="s">
        <v>12</v>
      </c>
      <c r="B1254" s="0" t="n">
        <v>2</v>
      </c>
      <c r="C1254" s="0" t="n">
        <v>18302</v>
      </c>
    </row>
    <row r="1255" customFormat="false" ht="12.75" hidden="false" customHeight="false" outlineLevel="0" collapsed="false">
      <c r="A1255" s="0" t="s">
        <v>13</v>
      </c>
      <c r="B1255" s="0" t="n">
        <v>16</v>
      </c>
      <c r="C1255" s="0" t="n">
        <v>18288</v>
      </c>
    </row>
    <row r="1256" customFormat="false" ht="12.75" hidden="false" customHeight="false" outlineLevel="0" collapsed="false">
      <c r="A1256" s="0" t="s">
        <v>14</v>
      </c>
      <c r="B1256" s="3" t="n">
        <v>3515</v>
      </c>
      <c r="C1256" s="0" t="n">
        <v>15070</v>
      </c>
    </row>
    <row r="1257" customFormat="false" ht="12.75" hidden="false" customHeight="false" outlineLevel="0" collapsed="false">
      <c r="A1257" s="0" t="s">
        <v>15</v>
      </c>
      <c r="B1257" s="0" t="n">
        <v>587</v>
      </c>
      <c r="C1257" s="0" t="n">
        <v>14499</v>
      </c>
    </row>
    <row r="1258" customFormat="false" ht="12.75" hidden="false" customHeight="false" outlineLevel="0" collapsed="false">
      <c r="A1258" s="0" t="s">
        <v>16</v>
      </c>
      <c r="B1258" s="0" t="n">
        <v>704</v>
      </c>
      <c r="C1258" s="0" t="n">
        <v>13803</v>
      </c>
    </row>
    <row r="1259" customFormat="false" ht="12.75" hidden="false" customHeight="false" outlineLevel="0" collapsed="false">
      <c r="A1259" s="0" t="s">
        <v>17</v>
      </c>
      <c r="B1259" s="3" t="n">
        <v>2086</v>
      </c>
      <c r="C1259" s="0" t="n">
        <v>11729</v>
      </c>
    </row>
    <row r="1260" customFormat="false" ht="12.75" hidden="false" customHeight="false" outlineLevel="0" collapsed="false">
      <c r="A1260" s="0" t="s">
        <v>18</v>
      </c>
      <c r="B1260" s="0" t="n">
        <v>406</v>
      </c>
      <c r="C1260" s="0" t="n">
        <v>11350</v>
      </c>
    </row>
    <row r="1261" customFormat="false" ht="12.75" hidden="false" customHeight="false" outlineLevel="0" collapsed="false">
      <c r="A1261" s="0" t="s">
        <v>19</v>
      </c>
      <c r="B1261" s="0" t="n">
        <v>198</v>
      </c>
      <c r="C1261" s="0" t="n">
        <v>11160</v>
      </c>
    </row>
    <row r="1262" customFormat="false" ht="12.75" hidden="false" customHeight="false" outlineLevel="0" collapsed="false">
      <c r="A1262" s="0" t="s">
        <v>20</v>
      </c>
      <c r="B1262" s="0" t="n">
        <v>12</v>
      </c>
      <c r="C1262" s="0" t="n">
        <v>11159</v>
      </c>
    </row>
    <row r="1263" customFormat="false" ht="12.75" hidden="false" customHeight="false" outlineLevel="0" collapsed="false">
      <c r="A1263" s="0" t="s">
        <v>21</v>
      </c>
      <c r="B1263" s="0" t="n">
        <v>57</v>
      </c>
      <c r="C1263" s="0" t="n">
        <v>11103</v>
      </c>
    </row>
    <row r="1264" customFormat="false" ht="12.75" hidden="false" customHeight="false" outlineLevel="0" collapsed="false">
      <c r="A1264" s="0" t="s">
        <v>22</v>
      </c>
      <c r="B1264" s="0" t="n">
        <v>33</v>
      </c>
      <c r="C1264" s="0" t="n">
        <v>11090</v>
      </c>
    </row>
    <row r="1265" customFormat="false" ht="12.75" hidden="false" customHeight="false" outlineLevel="0" collapsed="false">
      <c r="A1265" s="0" t="s">
        <v>23</v>
      </c>
      <c r="B1265" s="0" t="n">
        <v>362</v>
      </c>
      <c r="C1265" s="0" t="n">
        <v>10733</v>
      </c>
    </row>
    <row r="1266" customFormat="false" ht="12.75" hidden="false" customHeight="false" outlineLevel="0" collapsed="false">
      <c r="A1266" s="0" t="s">
        <v>24</v>
      </c>
      <c r="B1266" s="0" t="n">
        <v>278</v>
      </c>
      <c r="C1266" s="0" t="n">
        <v>10470</v>
      </c>
    </row>
    <row r="1267" customFormat="false" ht="12.75" hidden="false" customHeight="false" outlineLevel="0" collapsed="false">
      <c r="A1267" s="0" t="s">
        <v>25</v>
      </c>
      <c r="B1267" s="0" t="n">
        <v>153</v>
      </c>
      <c r="C1267" s="0" t="n">
        <v>10424</v>
      </c>
    </row>
    <row r="1268" customFormat="false" ht="12.75" hidden="false" customHeight="false" outlineLevel="0" collapsed="false">
      <c r="A1268" s="0" t="s">
        <v>27</v>
      </c>
      <c r="B1268" s="0" t="n">
        <v>25</v>
      </c>
      <c r="C1268" s="0" t="n">
        <v>10400</v>
      </c>
    </row>
    <row r="1269" customFormat="false" ht="12.75" hidden="false" customHeight="false" outlineLevel="0" collapsed="false">
      <c r="A1269" s="0" t="s">
        <v>28</v>
      </c>
      <c r="B1269" s="0" t="n">
        <v>583</v>
      </c>
      <c r="C1269" s="0" t="n">
        <v>9828</v>
      </c>
    </row>
    <row r="1270" customFormat="false" ht="12.75" hidden="false" customHeight="false" outlineLevel="0" collapsed="false">
      <c r="A1270" s="0" t="s">
        <v>29</v>
      </c>
      <c r="B1270" s="0" t="n">
        <v>27</v>
      </c>
      <c r="C1270" s="0" t="n">
        <v>9818</v>
      </c>
    </row>
    <row r="1271" customFormat="false" ht="12.75" hidden="false" customHeight="false" outlineLevel="0" collapsed="false">
      <c r="A1271" s="0" t="s">
        <v>30</v>
      </c>
      <c r="B1271" s="0" t="n">
        <v>27</v>
      </c>
      <c r="C1271" s="0" t="n">
        <v>9824</v>
      </c>
    </row>
    <row r="1272" customFormat="false" ht="12.75" hidden="false" customHeight="false" outlineLevel="0" collapsed="false">
      <c r="A1272" s="0" t="s">
        <v>31</v>
      </c>
      <c r="B1272" s="0" t="n">
        <v>90</v>
      </c>
      <c r="C1272" s="0" t="n">
        <v>9736</v>
      </c>
    </row>
    <row r="1273" customFormat="false" ht="12.75" hidden="false" customHeight="false" outlineLevel="0" collapsed="false">
      <c r="A1273" s="0" t="s">
        <v>32</v>
      </c>
      <c r="B1273" s="0" t="n">
        <v>56</v>
      </c>
      <c r="C1273" s="0" t="n">
        <v>9707</v>
      </c>
    </row>
    <row r="1274" customFormat="false" ht="12.75" hidden="false" customHeight="false" outlineLevel="0" collapsed="false">
      <c r="A1274" s="0" t="s">
        <v>33</v>
      </c>
      <c r="B1274" s="0" t="n">
        <v>183</v>
      </c>
      <c r="C1274" s="0" t="n">
        <v>9553</v>
      </c>
    </row>
    <row r="1275" customFormat="false" ht="12.75" hidden="false" customHeight="false" outlineLevel="0" collapsed="false">
      <c r="A1275" s="0" t="s">
        <v>34</v>
      </c>
      <c r="B1275" s="0" t="n">
        <v>121</v>
      </c>
      <c r="C1275" s="0" t="n">
        <v>9432</v>
      </c>
    </row>
    <row r="1276" customFormat="false" ht="12.75" hidden="false" customHeight="false" outlineLevel="0" collapsed="false">
      <c r="A1276" s="0" t="s">
        <v>35</v>
      </c>
      <c r="B1276" s="0" t="n">
        <v>15</v>
      </c>
      <c r="C1276" s="0" t="n">
        <v>9430</v>
      </c>
    </row>
    <row r="1277" customFormat="false" ht="12.75" hidden="false" customHeight="false" outlineLevel="0" collapsed="false">
      <c r="A1277" s="0" t="s">
        <v>36</v>
      </c>
      <c r="B1277" s="0" t="n">
        <v>412</v>
      </c>
      <c r="C1277" s="0" t="n">
        <v>9122</v>
      </c>
    </row>
    <row r="1278" customFormat="false" ht="12.75" hidden="false" customHeight="false" outlineLevel="0" collapsed="false">
      <c r="A1278" s="0" t="s">
        <v>37</v>
      </c>
      <c r="B1278" s="3" t="n">
        <v>1046</v>
      </c>
      <c r="C1278" s="0" t="n">
        <v>8083</v>
      </c>
    </row>
    <row r="1279" customFormat="false" ht="12.75" hidden="false" customHeight="false" outlineLevel="0" collapsed="false">
      <c r="A1279" s="0" t="s">
        <v>38</v>
      </c>
      <c r="B1279" s="0" t="n">
        <v>29</v>
      </c>
      <c r="C1279" s="0" t="n">
        <v>8067</v>
      </c>
    </row>
    <row r="1280" customFormat="false" ht="12.75" hidden="false" customHeight="false" outlineLevel="0" collapsed="false">
      <c r="A1280" s="0" t="s">
        <v>39</v>
      </c>
      <c r="B1280" s="0" t="n">
        <v>137</v>
      </c>
      <c r="C1280" s="0" t="n">
        <v>8031</v>
      </c>
    </row>
    <row r="1281" customFormat="false" ht="12.75" hidden="false" customHeight="false" outlineLevel="0" collapsed="false">
      <c r="A1281" s="0" t="s">
        <v>40</v>
      </c>
      <c r="B1281" s="0" t="n">
        <v>12</v>
      </c>
      <c r="C1281" s="0" t="n">
        <v>8061</v>
      </c>
    </row>
    <row r="1282" customFormat="false" ht="12.75" hidden="false" customHeight="false" outlineLevel="0" collapsed="false">
      <c r="A1282" s="0" t="s">
        <v>41</v>
      </c>
      <c r="B1282" s="0" t="n">
        <v>25</v>
      </c>
      <c r="C1282" s="0" t="n">
        <v>8039</v>
      </c>
    </row>
    <row r="1283" customFormat="false" ht="12.75" hidden="false" customHeight="false" outlineLevel="0" collapsed="false">
      <c r="A1283" s="0" t="s">
        <v>42</v>
      </c>
      <c r="B1283" s="0" t="n">
        <v>28</v>
      </c>
      <c r="C1283" s="0" t="n">
        <v>8017</v>
      </c>
    </row>
    <row r="1284" customFormat="false" ht="12.75" hidden="false" customHeight="false" outlineLevel="0" collapsed="false">
      <c r="A1284" s="0" t="s">
        <v>43</v>
      </c>
      <c r="B1284" s="0" t="n">
        <v>407</v>
      </c>
      <c r="C1284" s="0" t="n">
        <v>7663</v>
      </c>
    </row>
    <row r="1285" customFormat="false" ht="12.75" hidden="false" customHeight="false" outlineLevel="0" collapsed="false">
      <c r="A1285" s="0" t="s">
        <v>44</v>
      </c>
      <c r="B1285" s="3" t="n">
        <v>1086</v>
      </c>
      <c r="C1285" s="0" t="n">
        <v>6588</v>
      </c>
    </row>
    <row r="1286" customFormat="false" ht="12.75" hidden="false" customHeight="false" outlineLevel="0" collapsed="false">
      <c r="A1286" s="0" t="s">
        <v>45</v>
      </c>
      <c r="B1286" s="0" t="n">
        <v>58</v>
      </c>
      <c r="C1286" s="0" t="n">
        <v>6545</v>
      </c>
    </row>
    <row r="1287" customFormat="false" ht="12.75" hidden="false" customHeight="false" outlineLevel="0" collapsed="false">
      <c r="A1287" s="0" t="s">
        <v>46</v>
      </c>
      <c r="B1287" s="0" t="n">
        <v>4</v>
      </c>
      <c r="C1287" s="0" t="n">
        <v>6750</v>
      </c>
    </row>
    <row r="1288" customFormat="false" ht="12.75" hidden="false" customHeight="false" outlineLevel="0" collapsed="false">
      <c r="A1288" s="0" t="s">
        <v>47</v>
      </c>
      <c r="B1288" s="0" t="n">
        <v>222</v>
      </c>
      <c r="C1288" s="0" t="n">
        <v>6530</v>
      </c>
    </row>
    <row r="1289" customFormat="false" ht="12.75" hidden="false" customHeight="false" outlineLevel="0" collapsed="false">
      <c r="A1289" s="0" t="s">
        <v>48</v>
      </c>
      <c r="B1289" s="0" t="n">
        <v>107</v>
      </c>
      <c r="C1289" s="0" t="n">
        <v>6450</v>
      </c>
    </row>
    <row r="1290" customFormat="false" ht="12.75" hidden="false" customHeight="false" outlineLevel="0" collapsed="false">
      <c r="A1290" s="0" t="s">
        <v>49</v>
      </c>
      <c r="B1290" s="0" t="n">
        <v>26</v>
      </c>
      <c r="C1290" s="0" t="n">
        <v>6826</v>
      </c>
    </row>
    <row r="1291" customFormat="false" ht="12.75" hidden="false" customHeight="false" outlineLevel="0" collapsed="false">
      <c r="A1291" s="0" t="s">
        <v>50</v>
      </c>
      <c r="B1291" s="0" t="n">
        <v>249</v>
      </c>
      <c r="C1291" s="0" t="n">
        <v>6579</v>
      </c>
    </row>
    <row r="1292" customFormat="false" ht="12.75" hidden="false" customHeight="false" outlineLevel="0" collapsed="false">
      <c r="A1292" s="0" t="s">
        <v>51</v>
      </c>
      <c r="B1292" s="0" t="n">
        <v>36</v>
      </c>
      <c r="C1292" s="0" t="n">
        <v>6591</v>
      </c>
    </row>
    <row r="1293" customFormat="false" ht="12.75" hidden="false" customHeight="false" outlineLevel="0" collapsed="false">
      <c r="A1293" s="0" t="s">
        <v>142</v>
      </c>
      <c r="B1293" s="3" t="n">
        <v>4117</v>
      </c>
      <c r="C1293" s="0" t="n">
        <v>3131</v>
      </c>
    </row>
    <row r="1294" customFormat="false" ht="12.75" hidden="false" customHeight="false" outlineLevel="0" collapsed="false">
      <c r="A1294" s="0" t="s">
        <v>1</v>
      </c>
      <c r="B1294" s="0" t="n">
        <v>10</v>
      </c>
      <c r="C1294" s="0" t="n">
        <v>6774</v>
      </c>
    </row>
    <row r="1295" customFormat="false" ht="12.75" hidden="false" customHeight="false" outlineLevel="0" collapsed="false">
      <c r="A1295" s="0" t="s">
        <v>2</v>
      </c>
      <c r="B1295" s="0" t="n">
        <v>10</v>
      </c>
      <c r="C1295" s="0" t="n">
        <v>6767</v>
      </c>
    </row>
    <row r="1296" customFormat="false" ht="12.75" hidden="false" customHeight="false" outlineLevel="0" collapsed="false">
      <c r="A1296" s="0" t="s">
        <v>3</v>
      </c>
      <c r="B1296" s="0" t="n">
        <v>36</v>
      </c>
      <c r="C1296" s="0" t="n">
        <v>6734</v>
      </c>
    </row>
    <row r="1297" customFormat="false" ht="12.75" hidden="false" customHeight="false" outlineLevel="0" collapsed="false">
      <c r="A1297" s="0" t="s">
        <v>4</v>
      </c>
      <c r="B1297" s="0" t="n">
        <v>5</v>
      </c>
      <c r="C1297" s="0" t="n">
        <v>6790</v>
      </c>
    </row>
    <row r="1298" customFormat="false" ht="12.75" hidden="false" customHeight="false" outlineLevel="0" collapsed="false">
      <c r="A1298" s="0" t="s">
        <v>5</v>
      </c>
      <c r="B1298" s="0" t="n">
        <v>533</v>
      </c>
      <c r="C1298" s="0" t="n">
        <v>6288</v>
      </c>
    </row>
    <row r="1299" customFormat="false" ht="12.75" hidden="false" customHeight="false" outlineLevel="0" collapsed="false">
      <c r="A1299" s="0" t="s">
        <v>6</v>
      </c>
      <c r="B1299" s="0" t="n">
        <v>105</v>
      </c>
      <c r="C1299" s="0" t="n">
        <v>6200</v>
      </c>
    </row>
    <row r="1300" customFormat="false" ht="12.75" hidden="false" customHeight="false" outlineLevel="0" collapsed="false">
      <c r="A1300" s="0" t="s">
        <v>7</v>
      </c>
      <c r="B1300" s="0" t="n">
        <v>11</v>
      </c>
      <c r="C1300" s="0" t="n">
        <v>6628</v>
      </c>
    </row>
    <row r="1301" customFormat="false" ht="12.75" hidden="false" customHeight="false" outlineLevel="0" collapsed="false">
      <c r="A1301" s="0" t="s">
        <v>8</v>
      </c>
      <c r="B1301" s="0" t="s">
        <v>156</v>
      </c>
      <c r="C1301" s="0" t="n">
        <v>6634</v>
      </c>
    </row>
    <row r="1302" customFormat="false" ht="12.75" hidden="false" customHeight="false" outlineLevel="0" collapsed="false">
      <c r="A1302" s="0" t="s">
        <v>9</v>
      </c>
      <c r="B1302" s="0" t="n">
        <v>4</v>
      </c>
      <c r="C1302" s="0" t="n">
        <v>6630</v>
      </c>
    </row>
    <row r="1303" customFormat="false" ht="12.75" hidden="false" customHeight="false" outlineLevel="0" collapsed="false">
      <c r="A1303" s="0" t="s">
        <v>10</v>
      </c>
      <c r="B1303" s="0" t="n">
        <v>38</v>
      </c>
      <c r="C1303" s="0" t="n">
        <v>6594</v>
      </c>
    </row>
    <row r="1304" customFormat="false" ht="12.75" hidden="false" customHeight="false" outlineLevel="0" collapsed="false">
      <c r="A1304" s="0" t="s">
        <v>11</v>
      </c>
      <c r="B1304" s="0" t="n">
        <v>15</v>
      </c>
      <c r="C1304" s="0" t="n">
        <v>6613</v>
      </c>
    </row>
    <row r="1305" customFormat="false" ht="12.75" hidden="false" customHeight="false" outlineLevel="0" collapsed="false">
      <c r="A1305" s="0" t="s">
        <v>12</v>
      </c>
      <c r="B1305" s="0" t="n">
        <v>2</v>
      </c>
      <c r="C1305" s="0" t="n">
        <v>6662</v>
      </c>
    </row>
    <row r="1306" customFormat="false" ht="12.75" hidden="false" customHeight="false" outlineLevel="0" collapsed="false">
      <c r="A1306" s="0" t="s">
        <v>13</v>
      </c>
      <c r="B1306" s="0" t="n">
        <v>297</v>
      </c>
      <c r="C1306" s="0" t="n">
        <v>6366</v>
      </c>
    </row>
    <row r="1307" customFormat="false" ht="12.75" hidden="false" customHeight="false" outlineLevel="0" collapsed="false">
      <c r="A1307" s="0" t="s">
        <v>14</v>
      </c>
      <c r="B1307" s="0" t="n">
        <v>16</v>
      </c>
      <c r="C1307" s="0" t="n">
        <v>6367</v>
      </c>
    </row>
    <row r="1308" customFormat="false" ht="12.75" hidden="false" customHeight="false" outlineLevel="0" collapsed="false">
      <c r="A1308" s="0" t="s">
        <v>15</v>
      </c>
      <c r="B1308" s="0" t="n">
        <v>8</v>
      </c>
      <c r="C1308" s="0" t="n">
        <v>6624</v>
      </c>
    </row>
    <row r="1309" customFormat="false" ht="12.75" hidden="false" customHeight="false" outlineLevel="0" collapsed="false">
      <c r="A1309" s="0" t="s">
        <v>16</v>
      </c>
      <c r="B1309" s="0" t="n">
        <v>12</v>
      </c>
      <c r="C1309" s="0" t="n">
        <v>6632</v>
      </c>
    </row>
    <row r="1310" customFormat="false" ht="12.75" hidden="false" customHeight="false" outlineLevel="0" collapsed="false">
      <c r="A1310" s="0" t="s">
        <v>17</v>
      </c>
      <c r="B1310" s="0" t="n">
        <v>27</v>
      </c>
      <c r="C1310" s="0" t="n">
        <v>7246</v>
      </c>
    </row>
    <row r="1311" customFormat="false" ht="12.75" hidden="false" customHeight="false" outlineLevel="0" collapsed="false">
      <c r="A1311" s="0" t="s">
        <v>18</v>
      </c>
      <c r="B1311" s="0" t="n">
        <v>8</v>
      </c>
      <c r="C1311" s="0" t="n">
        <v>7926</v>
      </c>
    </row>
    <row r="1312" customFormat="false" ht="12.75" hidden="false" customHeight="false" outlineLevel="0" collapsed="false">
      <c r="A1312" s="0" t="s">
        <v>19</v>
      </c>
      <c r="B1312" s="0" t="n">
        <v>11</v>
      </c>
      <c r="C1312" s="0" t="n">
        <v>7924</v>
      </c>
    </row>
    <row r="1313" customFormat="false" ht="12.75" hidden="false" customHeight="false" outlineLevel="0" collapsed="false">
      <c r="A1313" s="0" t="s">
        <v>20</v>
      </c>
      <c r="B1313" s="0" t="n">
        <v>1</v>
      </c>
      <c r="C1313" s="0" t="n">
        <v>7933</v>
      </c>
    </row>
    <row r="1314" customFormat="false" ht="12.75" hidden="false" customHeight="false" outlineLevel="0" collapsed="false">
      <c r="A1314" s="0" t="s">
        <v>21</v>
      </c>
      <c r="B1314" s="0" t="n">
        <v>20</v>
      </c>
      <c r="C1314" s="0" t="n">
        <v>7913</v>
      </c>
    </row>
    <row r="1315" customFormat="false" ht="12.75" hidden="false" customHeight="false" outlineLevel="0" collapsed="false">
      <c r="A1315" s="0" t="s">
        <v>22</v>
      </c>
      <c r="B1315" s="0" t="n">
        <v>5</v>
      </c>
      <c r="C1315" s="0" t="n">
        <v>7915</v>
      </c>
    </row>
    <row r="1316" customFormat="false" ht="12.75" hidden="false" customHeight="false" outlineLevel="0" collapsed="false">
      <c r="A1316" s="0" t="s">
        <v>23</v>
      </c>
      <c r="B1316" s="0" t="n">
        <v>15</v>
      </c>
      <c r="C1316" s="0" t="n">
        <v>7909</v>
      </c>
    </row>
    <row r="1317" customFormat="false" ht="12.75" hidden="false" customHeight="false" outlineLevel="0" collapsed="false">
      <c r="A1317" s="0" t="s">
        <v>24</v>
      </c>
      <c r="B1317" s="0" t="n">
        <v>107</v>
      </c>
      <c r="C1317" s="0" t="n">
        <v>7830</v>
      </c>
    </row>
    <row r="1318" customFormat="false" ht="12.75" hidden="false" customHeight="false" outlineLevel="0" collapsed="false">
      <c r="A1318" s="0" t="s">
        <v>25</v>
      </c>
      <c r="B1318" s="0" t="n">
        <v>1</v>
      </c>
      <c r="C1318" s="0" t="n">
        <v>7998</v>
      </c>
    </row>
    <row r="1319" customFormat="false" ht="12.75" hidden="false" customHeight="false" outlineLevel="0" collapsed="false">
      <c r="A1319" s="0" t="s">
        <v>26</v>
      </c>
      <c r="B1319" s="0" t="n">
        <v>11</v>
      </c>
      <c r="C1319" s="0" t="n">
        <v>7988</v>
      </c>
    </row>
    <row r="1320" customFormat="false" ht="12.75" hidden="false" customHeight="false" outlineLevel="0" collapsed="false">
      <c r="A1320" s="0" t="s">
        <v>28</v>
      </c>
      <c r="B1320" s="0" t="n">
        <v>17</v>
      </c>
      <c r="C1320" s="0" t="n">
        <v>8306</v>
      </c>
    </row>
    <row r="1321" customFormat="false" ht="12.75" hidden="false" customHeight="false" outlineLevel="0" collapsed="false">
      <c r="A1321" s="0" t="s">
        <v>29</v>
      </c>
      <c r="B1321" s="0" t="n">
        <v>33</v>
      </c>
      <c r="C1321" s="0" t="n">
        <v>8285</v>
      </c>
    </row>
    <row r="1322" customFormat="false" ht="12.75" hidden="false" customHeight="false" outlineLevel="0" collapsed="false">
      <c r="A1322" s="0" t="s">
        <v>30</v>
      </c>
      <c r="B1322" s="0" t="n">
        <v>2</v>
      </c>
      <c r="C1322" s="0" t="n">
        <v>8294</v>
      </c>
    </row>
    <row r="1323" customFormat="false" ht="12.75" hidden="false" customHeight="false" outlineLevel="0" collapsed="false">
      <c r="A1323" s="0" t="s">
        <v>31</v>
      </c>
      <c r="B1323" s="0" t="n">
        <v>27</v>
      </c>
      <c r="C1323" s="0" t="n">
        <v>8268</v>
      </c>
    </row>
    <row r="1324" customFormat="false" ht="12.75" hidden="false" customHeight="false" outlineLevel="0" collapsed="false">
      <c r="A1324" s="0" t="s">
        <v>32</v>
      </c>
      <c r="B1324" s="0" t="n">
        <v>29</v>
      </c>
      <c r="C1324" s="0" t="n">
        <v>8244</v>
      </c>
    </row>
    <row r="1325" customFormat="false" ht="12.75" hidden="false" customHeight="false" outlineLevel="0" collapsed="false">
      <c r="A1325" s="0" t="s">
        <v>33</v>
      </c>
      <c r="B1325" s="0" t="s">
        <v>156</v>
      </c>
      <c r="C1325" s="0" t="n">
        <v>8254</v>
      </c>
    </row>
    <row r="1326" customFormat="false" ht="12.75" hidden="false" customHeight="false" outlineLevel="0" collapsed="false">
      <c r="A1326" s="0" t="s">
        <v>34</v>
      </c>
      <c r="B1326" s="0" t="n">
        <v>13</v>
      </c>
      <c r="C1326" s="0" t="n">
        <v>8265</v>
      </c>
    </row>
    <row r="1327" customFormat="false" ht="12.75" hidden="false" customHeight="false" outlineLevel="0" collapsed="false">
      <c r="A1327" s="0" t="s">
        <v>35</v>
      </c>
      <c r="B1327" s="0" t="n">
        <v>104</v>
      </c>
      <c r="C1327" s="0" t="n">
        <v>8199</v>
      </c>
    </row>
    <row r="1328" customFormat="false" ht="12.75" hidden="false" customHeight="false" outlineLevel="0" collapsed="false">
      <c r="A1328" s="0" t="s">
        <v>36</v>
      </c>
      <c r="B1328" s="0" t="n">
        <v>7</v>
      </c>
      <c r="C1328" s="0" t="n">
        <v>8217</v>
      </c>
    </row>
    <row r="1329" customFormat="false" ht="12.75" hidden="false" customHeight="false" outlineLevel="0" collapsed="false">
      <c r="A1329" s="0" t="s">
        <v>37</v>
      </c>
      <c r="B1329" s="0" t="n">
        <v>13</v>
      </c>
      <c r="C1329" s="0" t="n">
        <v>8265</v>
      </c>
    </row>
    <row r="1330" customFormat="false" ht="12.75" hidden="false" customHeight="false" outlineLevel="0" collapsed="false">
      <c r="A1330" s="0" t="s">
        <v>38</v>
      </c>
      <c r="B1330" s="0" t="n">
        <v>101</v>
      </c>
      <c r="C1330" s="0" t="n">
        <v>8256</v>
      </c>
    </row>
    <row r="1331" customFormat="false" ht="12.75" hidden="false" customHeight="false" outlineLevel="0" collapsed="false">
      <c r="A1331" s="0" t="s">
        <v>39</v>
      </c>
      <c r="B1331" s="0" t="n">
        <v>42</v>
      </c>
      <c r="C1331" s="0" t="n">
        <v>8219</v>
      </c>
    </row>
    <row r="1332" customFormat="false" ht="12.75" hidden="false" customHeight="false" outlineLevel="0" collapsed="false">
      <c r="A1332" s="0" t="s">
        <v>40</v>
      </c>
      <c r="B1332" s="0" t="n">
        <v>3</v>
      </c>
      <c r="C1332" s="0" t="n">
        <v>8246</v>
      </c>
    </row>
    <row r="1333" customFormat="false" ht="12.75" hidden="false" customHeight="false" outlineLevel="0" collapsed="false">
      <c r="A1333" s="0" t="s">
        <v>41</v>
      </c>
      <c r="B1333" s="0" t="n">
        <v>6</v>
      </c>
      <c r="C1333" s="0" t="n">
        <v>8242</v>
      </c>
    </row>
    <row r="1334" customFormat="false" ht="12.75" hidden="false" customHeight="false" outlineLevel="0" collapsed="false">
      <c r="A1334" s="0" t="s">
        <v>42</v>
      </c>
      <c r="B1334" s="0" t="n">
        <v>53</v>
      </c>
      <c r="C1334" s="0" t="n">
        <v>8193</v>
      </c>
    </row>
    <row r="1335" customFormat="false" ht="12.75" hidden="false" customHeight="false" outlineLevel="0" collapsed="false">
      <c r="A1335" s="0" t="s">
        <v>43</v>
      </c>
      <c r="B1335" s="0" t="n">
        <v>11</v>
      </c>
      <c r="C1335" s="0" t="n">
        <v>8456</v>
      </c>
    </row>
    <row r="1336" customFormat="false" ht="12.75" hidden="false" customHeight="false" outlineLevel="0" collapsed="false">
      <c r="A1336" s="0" t="s">
        <v>44</v>
      </c>
      <c r="B1336" s="0" t="n">
        <v>15</v>
      </c>
      <c r="C1336" s="0" t="n">
        <v>8455</v>
      </c>
    </row>
    <row r="1337" customFormat="false" ht="12.75" hidden="false" customHeight="false" outlineLevel="0" collapsed="false">
      <c r="A1337" s="0" t="s">
        <v>45</v>
      </c>
      <c r="B1337" s="0" t="n">
        <v>209</v>
      </c>
      <c r="C1337" s="0" t="n">
        <v>8314</v>
      </c>
    </row>
    <row r="1338" customFormat="false" ht="12.75" hidden="false" customHeight="false" outlineLevel="0" collapsed="false">
      <c r="A1338" s="0" t="s">
        <v>46</v>
      </c>
      <c r="B1338" s="0" t="n">
        <v>2</v>
      </c>
      <c r="C1338" s="0" t="n">
        <v>8349</v>
      </c>
    </row>
    <row r="1339" customFormat="false" ht="12.75" hidden="false" customHeight="false" outlineLevel="0" collapsed="false">
      <c r="A1339" s="0" t="s">
        <v>47</v>
      </c>
      <c r="B1339" s="0" t="n">
        <v>27</v>
      </c>
      <c r="C1339" s="0" t="n">
        <v>8322</v>
      </c>
    </row>
    <row r="1340" customFormat="false" ht="12.75" hidden="false" customHeight="false" outlineLevel="0" collapsed="false">
      <c r="A1340" s="0" t="s">
        <v>48</v>
      </c>
      <c r="B1340" s="0" t="n">
        <v>402</v>
      </c>
      <c r="C1340" s="0" t="n">
        <v>7933</v>
      </c>
    </row>
    <row r="1341" customFormat="false" ht="12.75" hidden="false" customHeight="false" outlineLevel="0" collapsed="false">
      <c r="A1341" s="0" t="s">
        <v>49</v>
      </c>
      <c r="B1341" s="0" t="n">
        <v>2</v>
      </c>
      <c r="C1341" s="0" t="n">
        <v>7951</v>
      </c>
    </row>
    <row r="1342" customFormat="false" ht="12.75" hidden="false" customHeight="false" outlineLevel="0" collapsed="false">
      <c r="A1342" s="0" t="s">
        <v>50</v>
      </c>
      <c r="B1342" s="0" t="n">
        <v>48</v>
      </c>
      <c r="C1342" s="0" t="n">
        <v>7904</v>
      </c>
    </row>
    <row r="1343" customFormat="false" ht="12.75" hidden="false" customHeight="false" outlineLevel="0" collapsed="false">
      <c r="A1343" s="0" t="s">
        <v>51</v>
      </c>
      <c r="B1343" s="0" t="n">
        <v>657</v>
      </c>
      <c r="C1343" s="0" t="n">
        <v>7328</v>
      </c>
    </row>
    <row r="1344" customFormat="false" ht="12.75" hidden="false" customHeight="false" outlineLevel="0" collapsed="false">
      <c r="A1344" s="0" t="s">
        <v>143</v>
      </c>
      <c r="B1344" s="3" t="n">
        <v>3653</v>
      </c>
      <c r="C1344" s="0" t="n">
        <v>3766</v>
      </c>
    </row>
    <row r="1345" customFormat="false" ht="12.75" hidden="false" customHeight="false" outlineLevel="0" collapsed="false">
      <c r="A1345" s="0" t="s">
        <v>1</v>
      </c>
      <c r="B1345" s="0" t="n">
        <v>3</v>
      </c>
      <c r="C1345" s="0" t="n">
        <v>4936</v>
      </c>
    </row>
    <row r="1346" customFormat="false" ht="12.75" hidden="false" customHeight="false" outlineLevel="0" collapsed="false">
      <c r="A1346" s="0" t="s">
        <v>2</v>
      </c>
      <c r="B1346" s="0" t="n">
        <v>3</v>
      </c>
      <c r="C1346" s="0" t="n">
        <v>4958</v>
      </c>
    </row>
    <row r="1347" customFormat="false" ht="12.75" hidden="false" customHeight="false" outlineLevel="0" collapsed="false">
      <c r="A1347" s="0" t="s">
        <v>3</v>
      </c>
      <c r="B1347" s="0" t="n">
        <v>61</v>
      </c>
      <c r="C1347" s="0" t="n">
        <v>4933</v>
      </c>
    </row>
    <row r="1348" customFormat="false" ht="12.75" hidden="false" customHeight="false" outlineLevel="0" collapsed="false">
      <c r="A1348" s="0" t="s">
        <v>4</v>
      </c>
      <c r="B1348" s="0" t="n">
        <v>31</v>
      </c>
      <c r="C1348" s="0" t="n">
        <v>5948</v>
      </c>
    </row>
    <row r="1349" customFormat="false" ht="12.75" hidden="false" customHeight="false" outlineLevel="0" collapsed="false">
      <c r="A1349" s="0" t="s">
        <v>5</v>
      </c>
      <c r="B1349" s="0" t="n">
        <v>17</v>
      </c>
      <c r="C1349" s="0" t="n">
        <v>5987</v>
      </c>
    </row>
    <row r="1350" customFormat="false" ht="12.75" hidden="false" customHeight="false" outlineLevel="0" collapsed="false">
      <c r="A1350" s="0" t="s">
        <v>6</v>
      </c>
      <c r="B1350" s="0" t="n">
        <v>439</v>
      </c>
      <c r="C1350" s="0" t="n">
        <v>20723</v>
      </c>
    </row>
    <row r="1351" customFormat="false" ht="12.75" hidden="false" customHeight="false" outlineLevel="0" collapsed="false">
      <c r="A1351" s="0" t="s">
        <v>7</v>
      </c>
      <c r="B1351" s="0" t="n">
        <v>6</v>
      </c>
      <c r="C1351" s="0" t="n">
        <v>21180</v>
      </c>
    </row>
    <row r="1352" customFormat="false" ht="12.75" hidden="false" customHeight="false" outlineLevel="0" collapsed="false">
      <c r="A1352" s="0" t="s">
        <v>8</v>
      </c>
      <c r="B1352" s="0" t="s">
        <v>156</v>
      </c>
      <c r="C1352" s="0" t="n">
        <v>21240</v>
      </c>
    </row>
    <row r="1353" customFormat="false" ht="12.75" hidden="false" customHeight="false" outlineLevel="0" collapsed="false">
      <c r="A1353" s="0" t="s">
        <v>9</v>
      </c>
      <c r="B1353" s="0" t="n">
        <v>2</v>
      </c>
      <c r="C1353" s="0" t="n">
        <v>21248</v>
      </c>
    </row>
    <row r="1354" customFormat="false" ht="12.75" hidden="false" customHeight="false" outlineLevel="0" collapsed="false">
      <c r="A1354" s="0" t="s">
        <v>10</v>
      </c>
      <c r="B1354" s="0" t="n">
        <v>34</v>
      </c>
      <c r="C1354" s="0" t="n">
        <v>21226</v>
      </c>
    </row>
    <row r="1355" customFormat="false" ht="12.75" hidden="false" customHeight="false" outlineLevel="0" collapsed="false">
      <c r="A1355" s="0" t="s">
        <v>11</v>
      </c>
      <c r="B1355" s="0" t="n">
        <v>51</v>
      </c>
      <c r="C1355" s="0" t="n">
        <v>21449</v>
      </c>
    </row>
    <row r="1356" customFormat="false" ht="12.75" hidden="false" customHeight="false" outlineLevel="0" collapsed="false">
      <c r="A1356" s="0" t="s">
        <v>12</v>
      </c>
      <c r="B1356" s="0" t="n">
        <v>1</v>
      </c>
      <c r="C1356" s="0" t="n">
        <v>21505</v>
      </c>
    </row>
    <row r="1357" customFormat="false" ht="12.75" hidden="false" customHeight="false" outlineLevel="0" collapsed="false">
      <c r="A1357" s="0" t="s">
        <v>13</v>
      </c>
      <c r="B1357" s="0" t="n">
        <v>17</v>
      </c>
      <c r="C1357" s="0" t="n">
        <v>21706</v>
      </c>
    </row>
    <row r="1358" customFormat="false" ht="12.75" hidden="false" customHeight="false" outlineLevel="0" collapsed="false">
      <c r="A1358" s="0" t="s">
        <v>14</v>
      </c>
      <c r="B1358" s="0" t="n">
        <v>265</v>
      </c>
      <c r="C1358" s="0" t="n">
        <v>21673</v>
      </c>
    </row>
    <row r="1359" customFormat="false" ht="12.75" hidden="false" customHeight="false" outlineLevel="0" collapsed="false">
      <c r="A1359" s="0" t="s">
        <v>15</v>
      </c>
      <c r="B1359" s="0" t="n">
        <v>20</v>
      </c>
      <c r="C1359" s="0" t="n">
        <v>21964</v>
      </c>
    </row>
    <row r="1360" customFormat="false" ht="12.75" hidden="false" customHeight="false" outlineLevel="0" collapsed="false">
      <c r="A1360" s="0" t="s">
        <v>16</v>
      </c>
      <c r="B1360" s="0" t="n">
        <v>641</v>
      </c>
      <c r="C1360" s="0" t="n">
        <v>21500</v>
      </c>
    </row>
    <row r="1361" customFormat="false" ht="12.75" hidden="false" customHeight="false" outlineLevel="0" collapsed="false">
      <c r="A1361" s="0" t="s">
        <v>17</v>
      </c>
      <c r="B1361" s="0" t="n">
        <v>688</v>
      </c>
      <c r="C1361" s="0" t="n">
        <v>20902</v>
      </c>
    </row>
    <row r="1362" customFormat="false" ht="12.75" hidden="false" customHeight="false" outlineLevel="0" collapsed="false">
      <c r="A1362" s="0" t="s">
        <v>18</v>
      </c>
      <c r="B1362" s="0" t="n">
        <v>9</v>
      </c>
      <c r="C1362" s="0" t="n">
        <v>21043</v>
      </c>
    </row>
    <row r="1363" customFormat="false" ht="12.75" hidden="false" customHeight="false" outlineLevel="0" collapsed="false">
      <c r="A1363" s="0" t="s">
        <v>19</v>
      </c>
      <c r="B1363" s="0" t="n">
        <v>10</v>
      </c>
      <c r="C1363" s="0" t="n">
        <v>21097</v>
      </c>
    </row>
    <row r="1364" customFormat="false" ht="12.75" hidden="false" customHeight="false" outlineLevel="0" collapsed="false">
      <c r="A1364" s="0" t="s">
        <v>20</v>
      </c>
      <c r="B1364" s="0" t="s">
        <v>156</v>
      </c>
      <c r="C1364" s="0" t="n">
        <v>21168</v>
      </c>
    </row>
    <row r="1365" customFormat="false" ht="12.75" hidden="false" customHeight="false" outlineLevel="0" collapsed="false">
      <c r="A1365" s="0" t="s">
        <v>21</v>
      </c>
      <c r="B1365" s="0" t="n">
        <v>7</v>
      </c>
      <c r="C1365" s="0" t="n">
        <v>21178</v>
      </c>
    </row>
    <row r="1366" customFormat="false" ht="12.75" hidden="false" customHeight="false" outlineLevel="0" collapsed="false">
      <c r="A1366" s="0" t="s">
        <v>22</v>
      </c>
      <c r="B1366" s="0" t="n">
        <v>9</v>
      </c>
      <c r="C1366" s="0" t="n">
        <v>21251</v>
      </c>
    </row>
    <row r="1367" customFormat="false" ht="12.75" hidden="false" customHeight="false" outlineLevel="0" collapsed="false">
      <c r="A1367" s="0" t="s">
        <v>23</v>
      </c>
      <c r="B1367" s="0" t="n">
        <v>28</v>
      </c>
      <c r="C1367" s="0" t="n">
        <v>21342</v>
      </c>
    </row>
    <row r="1368" customFormat="false" ht="12.75" hidden="false" customHeight="false" outlineLevel="0" collapsed="false">
      <c r="A1368" s="0" t="s">
        <v>24</v>
      </c>
      <c r="B1368" s="0" t="n">
        <v>169</v>
      </c>
      <c r="C1368" s="0" t="n">
        <v>21545</v>
      </c>
    </row>
    <row r="1369" customFormat="false" ht="12.75" hidden="false" customHeight="false" outlineLevel="0" collapsed="false">
      <c r="A1369" s="0" t="s">
        <v>25</v>
      </c>
      <c r="B1369" s="0" t="n">
        <v>1</v>
      </c>
      <c r="C1369" s="0" t="n">
        <v>21755</v>
      </c>
    </row>
    <row r="1370" customFormat="false" ht="12.75" hidden="false" customHeight="false" outlineLevel="0" collapsed="false">
      <c r="A1370" s="0" t="s">
        <v>26</v>
      </c>
      <c r="B1370" s="0" t="n">
        <v>335</v>
      </c>
      <c r="C1370" s="0" t="n">
        <v>21431</v>
      </c>
    </row>
    <row r="1371" customFormat="false" ht="12.75" hidden="false" customHeight="false" outlineLevel="0" collapsed="false">
      <c r="A1371" s="0" t="s">
        <v>27</v>
      </c>
      <c r="B1371" s="0" t="n">
        <v>12</v>
      </c>
      <c r="C1371" s="0" t="n">
        <v>21567</v>
      </c>
    </row>
    <row r="1372" customFormat="false" ht="12.75" hidden="false" customHeight="false" outlineLevel="0" collapsed="false">
      <c r="A1372" s="0" t="s">
        <v>29</v>
      </c>
      <c r="B1372" s="0" t="n">
        <v>11</v>
      </c>
      <c r="C1372" s="0" t="n">
        <v>21615</v>
      </c>
    </row>
    <row r="1373" customFormat="false" ht="12.75" hidden="false" customHeight="false" outlineLevel="0" collapsed="false">
      <c r="A1373" s="0" t="s">
        <v>30</v>
      </c>
      <c r="B1373" s="0" t="n">
        <v>1</v>
      </c>
      <c r="C1373" s="0" t="n">
        <v>21710</v>
      </c>
    </row>
    <row r="1374" customFormat="false" ht="12.75" hidden="false" customHeight="false" outlineLevel="0" collapsed="false">
      <c r="A1374" s="0" t="s">
        <v>31</v>
      </c>
      <c r="B1374" s="0" t="n">
        <v>5</v>
      </c>
      <c r="C1374" s="0" t="n">
        <v>21721</v>
      </c>
    </row>
    <row r="1375" customFormat="false" ht="12.75" hidden="false" customHeight="false" outlineLevel="0" collapsed="false">
      <c r="A1375" s="0" t="s">
        <v>32</v>
      </c>
      <c r="B1375" s="0" t="n">
        <v>10</v>
      </c>
      <c r="C1375" s="0" t="n">
        <v>21863</v>
      </c>
    </row>
    <row r="1376" customFormat="false" ht="12.75" hidden="false" customHeight="false" outlineLevel="0" collapsed="false">
      <c r="A1376" s="0" t="s">
        <v>33</v>
      </c>
      <c r="B1376" s="0" t="n">
        <v>24</v>
      </c>
      <c r="C1376" s="0" t="n">
        <v>22058</v>
      </c>
    </row>
    <row r="1377" customFormat="false" ht="12.75" hidden="false" customHeight="false" outlineLevel="0" collapsed="false">
      <c r="A1377" s="0" t="s">
        <v>34</v>
      </c>
      <c r="B1377" s="0" t="n">
        <v>38</v>
      </c>
      <c r="C1377" s="0" t="n">
        <v>22469</v>
      </c>
    </row>
    <row r="1378" customFormat="false" ht="12.75" hidden="false" customHeight="false" outlineLevel="0" collapsed="false">
      <c r="A1378" s="0" t="s">
        <v>35</v>
      </c>
      <c r="B1378" s="0" t="n">
        <v>25</v>
      </c>
      <c r="C1378" s="0" t="n">
        <v>22511</v>
      </c>
    </row>
    <row r="1379" customFormat="false" ht="12.75" hidden="false" customHeight="false" outlineLevel="0" collapsed="false">
      <c r="A1379" s="0" t="s">
        <v>36</v>
      </c>
      <c r="B1379" s="0" t="n">
        <v>61</v>
      </c>
      <c r="C1379" s="0" t="n">
        <v>22466</v>
      </c>
    </row>
    <row r="1380" customFormat="false" ht="12.75" hidden="false" customHeight="false" outlineLevel="0" collapsed="false">
      <c r="A1380" s="0" t="s">
        <v>37</v>
      </c>
      <c r="B1380" s="0" t="n">
        <v>92</v>
      </c>
      <c r="C1380" s="0" t="n">
        <v>22627</v>
      </c>
    </row>
    <row r="1381" customFormat="false" ht="12.75" hidden="false" customHeight="false" outlineLevel="0" collapsed="false">
      <c r="A1381" s="0" t="s">
        <v>38</v>
      </c>
      <c r="B1381" s="0" t="n">
        <v>5</v>
      </c>
      <c r="C1381" s="0" t="n">
        <v>22779</v>
      </c>
    </row>
    <row r="1382" customFormat="false" ht="12.75" hidden="false" customHeight="false" outlineLevel="0" collapsed="false">
      <c r="A1382" s="0" t="s">
        <v>39</v>
      </c>
      <c r="B1382" s="0" t="n">
        <v>30</v>
      </c>
      <c r="C1382" s="0" t="n">
        <v>23197</v>
      </c>
    </row>
    <row r="1383" customFormat="false" ht="12.75" hidden="false" customHeight="false" outlineLevel="0" collapsed="false">
      <c r="A1383" s="0" t="s">
        <v>40</v>
      </c>
      <c r="B1383" s="0" t="n">
        <v>2</v>
      </c>
      <c r="C1383" s="0" t="n">
        <v>23431</v>
      </c>
    </row>
    <row r="1384" customFormat="false" ht="12.75" hidden="false" customHeight="false" outlineLevel="0" collapsed="false">
      <c r="A1384" s="0" t="s">
        <v>41</v>
      </c>
      <c r="B1384" s="0" t="n">
        <v>4</v>
      </c>
      <c r="C1384" s="0" t="n">
        <v>23440</v>
      </c>
    </row>
    <row r="1385" customFormat="false" ht="12.75" hidden="false" customHeight="false" outlineLevel="0" collapsed="false">
      <c r="A1385" s="0" t="s">
        <v>42</v>
      </c>
      <c r="B1385" s="0" t="n">
        <v>274</v>
      </c>
      <c r="C1385" s="0" t="n">
        <v>23181</v>
      </c>
    </row>
    <row r="1386" customFormat="false" ht="12.75" hidden="false" customHeight="false" outlineLevel="0" collapsed="false">
      <c r="A1386" s="0" t="s">
        <v>43</v>
      </c>
      <c r="B1386" s="0" t="n">
        <v>14</v>
      </c>
      <c r="C1386" s="0" t="n">
        <v>23201</v>
      </c>
    </row>
    <row r="1387" customFormat="false" ht="12.75" hidden="false" customHeight="false" outlineLevel="0" collapsed="false">
      <c r="A1387" s="0" t="s">
        <v>44</v>
      </c>
      <c r="B1387" s="0" t="n">
        <v>68</v>
      </c>
      <c r="C1387" s="0" t="n">
        <v>23209</v>
      </c>
    </row>
    <row r="1388" customFormat="false" ht="12.75" hidden="false" customHeight="false" outlineLevel="0" collapsed="false">
      <c r="A1388" s="0" t="s">
        <v>45</v>
      </c>
      <c r="B1388" s="0" t="n">
        <v>37</v>
      </c>
      <c r="C1388" s="0" t="n">
        <v>23967</v>
      </c>
    </row>
    <row r="1389" customFormat="false" ht="12.75" hidden="false" customHeight="false" outlineLevel="0" collapsed="false">
      <c r="A1389" s="0" t="s">
        <v>46</v>
      </c>
      <c r="B1389" s="0" t="s">
        <v>156</v>
      </c>
      <c r="C1389" s="0" t="n">
        <v>25473</v>
      </c>
    </row>
    <row r="1390" customFormat="false" ht="12.75" hidden="false" customHeight="false" outlineLevel="0" collapsed="false">
      <c r="A1390" s="0" t="s">
        <v>47</v>
      </c>
      <c r="B1390" s="0" t="n">
        <v>13</v>
      </c>
      <c r="C1390" s="0" t="n">
        <v>25464</v>
      </c>
    </row>
    <row r="1391" customFormat="false" ht="12.75" hidden="false" customHeight="false" outlineLevel="0" collapsed="false">
      <c r="A1391" s="0" t="s">
        <v>48</v>
      </c>
      <c r="B1391" s="0" t="n">
        <v>20</v>
      </c>
      <c r="C1391" s="0" t="n">
        <v>25483</v>
      </c>
    </row>
    <row r="1392" customFormat="false" ht="12.75" hidden="false" customHeight="false" outlineLevel="0" collapsed="false">
      <c r="A1392" s="0" t="s">
        <v>49</v>
      </c>
      <c r="B1392" s="0" t="n">
        <v>1</v>
      </c>
      <c r="C1392" s="0" t="n">
        <v>26224</v>
      </c>
    </row>
    <row r="1393" customFormat="false" ht="12.75" hidden="false" customHeight="false" outlineLevel="0" collapsed="false">
      <c r="A1393" s="0" t="s">
        <v>50</v>
      </c>
      <c r="B1393" s="0" t="n">
        <v>81</v>
      </c>
      <c r="C1393" s="0" t="n">
        <v>26156</v>
      </c>
    </row>
    <row r="1394" customFormat="false" ht="12.75" hidden="false" customHeight="false" outlineLevel="0" collapsed="false">
      <c r="A1394" s="0" t="s">
        <v>51</v>
      </c>
      <c r="B1394" s="0" t="n">
        <v>91</v>
      </c>
      <c r="C1394" s="0" t="n">
        <v>26294</v>
      </c>
    </row>
    <row r="1395" customFormat="false" ht="12.75" hidden="false" customHeight="false" outlineLevel="0" collapsed="false">
      <c r="A1395" s="0" t="s">
        <v>144</v>
      </c>
      <c r="B1395" s="3" t="n">
        <v>1173</v>
      </c>
      <c r="C1395" s="0" t="n">
        <v>25167</v>
      </c>
    </row>
    <row r="1396" customFormat="false" ht="12.75" hidden="false" customHeight="false" outlineLevel="0" collapsed="false">
      <c r="A1396" s="0" t="s">
        <v>1</v>
      </c>
      <c r="B1396" s="0" t="n">
        <v>25</v>
      </c>
      <c r="C1396" s="0" t="n">
        <v>25956</v>
      </c>
    </row>
    <row r="1397" customFormat="false" ht="12.75" hidden="false" customHeight="false" outlineLevel="0" collapsed="false">
      <c r="A1397" s="0" t="s">
        <v>2</v>
      </c>
      <c r="B1397" s="0" t="n">
        <v>36</v>
      </c>
      <c r="C1397" s="0" t="n">
        <v>25922</v>
      </c>
    </row>
    <row r="1398" customFormat="false" ht="12.75" hidden="false" customHeight="false" outlineLevel="0" collapsed="false">
      <c r="A1398" s="0" t="s">
        <v>3</v>
      </c>
      <c r="B1398" s="3" t="n">
        <v>1046</v>
      </c>
      <c r="C1398" s="0" t="n">
        <v>24876</v>
      </c>
    </row>
    <row r="1399" customFormat="false" ht="12.75" hidden="false" customHeight="false" outlineLevel="0" collapsed="false">
      <c r="A1399" s="0" t="s">
        <v>4</v>
      </c>
      <c r="B1399" s="0" t="n">
        <v>56</v>
      </c>
      <c r="C1399" s="0" t="n">
        <v>24860</v>
      </c>
    </row>
    <row r="1400" customFormat="false" ht="12.75" hidden="false" customHeight="false" outlineLevel="0" collapsed="false">
      <c r="A1400" s="0" t="s">
        <v>5</v>
      </c>
      <c r="B1400" s="3" t="n">
        <v>15175</v>
      </c>
      <c r="C1400" s="0" t="n">
        <v>9685</v>
      </c>
    </row>
    <row r="1401" customFormat="false" ht="12.75" hidden="false" customHeight="false" outlineLevel="0" collapsed="false">
      <c r="A1401" s="0" t="s">
        <v>6</v>
      </c>
      <c r="B1401" s="0" t="n">
        <v>463</v>
      </c>
      <c r="C1401" s="0" t="n">
        <v>9261</v>
      </c>
    </row>
    <row r="1402" customFormat="false" ht="12.75" hidden="false" customHeight="false" outlineLevel="0" collapsed="false">
      <c r="A1402" s="0" t="s">
        <v>7</v>
      </c>
      <c r="B1402" s="0" t="n">
        <v>60</v>
      </c>
      <c r="C1402" s="0" t="n">
        <v>9206</v>
      </c>
    </row>
    <row r="1403" customFormat="false" ht="12.75" hidden="false" customHeight="false" outlineLevel="0" collapsed="false">
      <c r="A1403" s="0" t="s">
        <v>8</v>
      </c>
      <c r="B1403" s="0" t="n">
        <v>10</v>
      </c>
      <c r="C1403" s="0" t="n">
        <v>9772</v>
      </c>
    </row>
    <row r="1404" customFormat="false" ht="12.75" hidden="false" customHeight="false" outlineLevel="0" collapsed="false">
      <c r="A1404" s="0" t="s">
        <v>9</v>
      </c>
      <c r="B1404" s="0" t="n">
        <v>12</v>
      </c>
      <c r="C1404" s="0" t="n">
        <v>9767</v>
      </c>
    </row>
    <row r="1405" customFormat="false" ht="12.75" hidden="false" customHeight="false" outlineLevel="0" collapsed="false">
      <c r="A1405" s="0" t="s">
        <v>10</v>
      </c>
      <c r="B1405" s="0" t="n">
        <v>274</v>
      </c>
      <c r="C1405" s="0" t="n">
        <v>9502</v>
      </c>
    </row>
    <row r="1406" customFormat="false" ht="12.75" hidden="false" customHeight="false" outlineLevel="0" collapsed="false">
      <c r="A1406" s="0" t="s">
        <v>11</v>
      </c>
      <c r="B1406" s="0" t="n">
        <v>57</v>
      </c>
      <c r="C1406" s="0" t="n">
        <v>9509</v>
      </c>
    </row>
    <row r="1407" customFormat="false" ht="12.75" hidden="false" customHeight="false" outlineLevel="0" collapsed="false">
      <c r="A1407" s="0" t="s">
        <v>12</v>
      </c>
      <c r="B1407" s="0" t="n">
        <v>218</v>
      </c>
      <c r="C1407" s="0" t="n">
        <v>9292</v>
      </c>
    </row>
    <row r="1408" customFormat="false" ht="12.75" hidden="false" customHeight="false" outlineLevel="0" collapsed="false">
      <c r="A1408" s="0" t="s">
        <v>13</v>
      </c>
      <c r="B1408" s="0" t="n">
        <v>232</v>
      </c>
      <c r="C1408" s="0" t="n">
        <v>9060</v>
      </c>
    </row>
    <row r="1409" customFormat="false" ht="12.75" hidden="false" customHeight="false" outlineLevel="0" collapsed="false">
      <c r="A1409" s="0" t="s">
        <v>14</v>
      </c>
      <c r="B1409" s="0" t="n">
        <v>311</v>
      </c>
      <c r="C1409" s="0" t="n">
        <v>8750</v>
      </c>
    </row>
    <row r="1410" customFormat="false" ht="12.75" hidden="false" customHeight="false" outlineLevel="0" collapsed="false">
      <c r="A1410" s="0" t="s">
        <v>15</v>
      </c>
      <c r="B1410" s="0" t="n">
        <v>177</v>
      </c>
      <c r="C1410" s="0" t="n">
        <v>8579</v>
      </c>
    </row>
    <row r="1411" customFormat="false" ht="12.75" hidden="false" customHeight="false" outlineLevel="0" collapsed="false">
      <c r="A1411" s="0" t="s">
        <v>16</v>
      </c>
      <c r="B1411" s="0" t="n">
        <v>90</v>
      </c>
      <c r="C1411" s="0" t="n">
        <v>8498</v>
      </c>
    </row>
    <row r="1412" customFormat="false" ht="12.75" hidden="false" customHeight="false" outlineLevel="0" collapsed="false">
      <c r="A1412" s="0" t="s">
        <v>17</v>
      </c>
      <c r="B1412" s="0" t="n">
        <v>150</v>
      </c>
      <c r="C1412" s="0" t="n">
        <v>8353</v>
      </c>
    </row>
    <row r="1413" customFormat="false" ht="12.75" hidden="false" customHeight="false" outlineLevel="0" collapsed="false">
      <c r="A1413" s="0" t="s">
        <v>18</v>
      </c>
      <c r="B1413" s="0" t="n">
        <v>64</v>
      </c>
      <c r="C1413" s="0" t="n">
        <v>8290</v>
      </c>
    </row>
    <row r="1414" customFormat="false" ht="12.75" hidden="false" customHeight="false" outlineLevel="0" collapsed="false">
      <c r="A1414" s="0" t="s">
        <v>19</v>
      </c>
      <c r="B1414" s="0" t="n">
        <v>71</v>
      </c>
      <c r="C1414" s="0" t="n">
        <v>8222</v>
      </c>
    </row>
    <row r="1415" customFormat="false" ht="12.75" hidden="false" customHeight="false" outlineLevel="0" collapsed="false">
      <c r="A1415" s="0" t="s">
        <v>20</v>
      </c>
      <c r="B1415" s="0" t="n">
        <v>17</v>
      </c>
      <c r="C1415" s="0" t="n">
        <v>8206</v>
      </c>
    </row>
    <row r="1416" customFormat="false" ht="12.75" hidden="false" customHeight="false" outlineLevel="0" collapsed="false">
      <c r="A1416" s="0" t="s">
        <v>21</v>
      </c>
      <c r="B1416" s="0" t="n">
        <v>82</v>
      </c>
      <c r="C1416" s="0" t="n">
        <v>8646</v>
      </c>
    </row>
    <row r="1417" customFormat="false" ht="12.75" hidden="false" customHeight="false" outlineLevel="0" collapsed="false">
      <c r="A1417" s="0" t="s">
        <v>22</v>
      </c>
      <c r="B1417" s="0" t="n">
        <v>119</v>
      </c>
      <c r="C1417" s="0" t="n">
        <v>8572</v>
      </c>
    </row>
    <row r="1418" customFormat="false" ht="12.75" hidden="false" customHeight="false" outlineLevel="0" collapsed="false">
      <c r="A1418" s="0" t="s">
        <v>23</v>
      </c>
      <c r="B1418" s="0" t="n">
        <v>372</v>
      </c>
      <c r="C1418" s="0" t="n">
        <v>11159</v>
      </c>
    </row>
    <row r="1419" customFormat="false" ht="12.75" hidden="false" customHeight="false" outlineLevel="0" collapsed="false">
      <c r="A1419" s="0" t="s">
        <v>24</v>
      </c>
      <c r="B1419" s="0" t="n">
        <v>211</v>
      </c>
      <c r="C1419" s="0" t="n">
        <v>10989</v>
      </c>
    </row>
    <row r="1420" customFormat="false" ht="12.75" hidden="false" customHeight="false" outlineLevel="0" collapsed="false">
      <c r="A1420" s="0" t="s">
        <v>25</v>
      </c>
      <c r="B1420" s="0" t="n">
        <v>11</v>
      </c>
      <c r="C1420" s="0" t="n">
        <v>10985</v>
      </c>
    </row>
    <row r="1421" customFormat="false" ht="12.75" hidden="false" customHeight="false" outlineLevel="0" collapsed="false">
      <c r="A1421" s="0" t="s">
        <v>26</v>
      </c>
      <c r="B1421" s="0" t="n">
        <v>148</v>
      </c>
      <c r="C1421" s="0" t="n">
        <v>10849</v>
      </c>
    </row>
    <row r="1422" customFormat="false" ht="12.75" hidden="false" customHeight="false" outlineLevel="0" collapsed="false">
      <c r="A1422" s="0" t="s">
        <v>27</v>
      </c>
      <c r="B1422" s="0" t="n">
        <v>59</v>
      </c>
      <c r="C1422" s="0" t="n">
        <v>10790</v>
      </c>
    </row>
    <row r="1423" customFormat="false" ht="12.75" hidden="false" customHeight="false" outlineLevel="0" collapsed="false">
      <c r="A1423" s="0" t="s">
        <v>28</v>
      </c>
      <c r="B1423" s="0" t="n">
        <v>96</v>
      </c>
      <c r="C1423" s="0" t="n">
        <v>10695</v>
      </c>
    </row>
    <row r="1424" customFormat="false" ht="12.75" hidden="false" customHeight="false" outlineLevel="0" collapsed="false">
      <c r="A1424" s="0" t="s">
        <v>30</v>
      </c>
      <c r="B1424" s="0" t="n">
        <v>16</v>
      </c>
      <c r="C1424" s="0" t="n">
        <v>10681</v>
      </c>
    </row>
    <row r="1425" customFormat="false" ht="12.75" hidden="false" customHeight="false" outlineLevel="0" collapsed="false">
      <c r="A1425" s="0" t="s">
        <v>31</v>
      </c>
      <c r="B1425" s="0" t="n">
        <v>152</v>
      </c>
      <c r="C1425" s="0" t="n">
        <v>10531</v>
      </c>
    </row>
    <row r="1426" customFormat="false" ht="12.75" hidden="false" customHeight="false" outlineLevel="0" collapsed="false">
      <c r="A1426" s="0" t="s">
        <v>32</v>
      </c>
      <c r="B1426" s="0" t="n">
        <v>219</v>
      </c>
      <c r="C1426" s="0" t="n">
        <v>10492</v>
      </c>
    </row>
    <row r="1427" customFormat="false" ht="12.75" hidden="false" customHeight="false" outlineLevel="0" collapsed="false">
      <c r="A1427" s="0" t="s">
        <v>33</v>
      </c>
      <c r="B1427" s="0" t="n">
        <v>449</v>
      </c>
      <c r="C1427" s="0" t="n">
        <v>10045</v>
      </c>
    </row>
    <row r="1428" customFormat="false" ht="12.75" hidden="false" customHeight="false" outlineLevel="0" collapsed="false">
      <c r="A1428" s="0" t="s">
        <v>34</v>
      </c>
      <c r="B1428" s="0" t="n">
        <v>67</v>
      </c>
      <c r="C1428" s="0" t="n">
        <v>10459</v>
      </c>
    </row>
    <row r="1429" customFormat="false" ht="12.75" hidden="false" customHeight="false" outlineLevel="0" collapsed="false">
      <c r="A1429" s="0" t="s">
        <v>35</v>
      </c>
      <c r="B1429" s="0" t="n">
        <v>16</v>
      </c>
      <c r="C1429" s="0" t="n">
        <v>10447</v>
      </c>
    </row>
    <row r="1430" customFormat="false" ht="12.75" hidden="false" customHeight="false" outlineLevel="0" collapsed="false">
      <c r="A1430" s="0" t="s">
        <v>36</v>
      </c>
      <c r="B1430" s="0" t="n">
        <v>253</v>
      </c>
      <c r="C1430" s="0" t="n">
        <v>10196</v>
      </c>
    </row>
    <row r="1431" customFormat="false" ht="12.75" hidden="false" customHeight="false" outlineLevel="0" collapsed="false">
      <c r="A1431" s="0" t="s">
        <v>37</v>
      </c>
      <c r="B1431" s="0" t="n">
        <v>157</v>
      </c>
      <c r="C1431" s="0" t="n">
        <v>10084</v>
      </c>
    </row>
    <row r="1432" customFormat="false" ht="12.75" hidden="false" customHeight="false" outlineLevel="0" collapsed="false">
      <c r="A1432" s="0" t="s">
        <v>38</v>
      </c>
      <c r="B1432" s="0" t="n">
        <v>448</v>
      </c>
      <c r="C1432" s="0" t="n">
        <v>9640</v>
      </c>
    </row>
    <row r="1433" customFormat="false" ht="12.75" hidden="false" customHeight="false" outlineLevel="0" collapsed="false">
      <c r="A1433" s="0" t="s">
        <v>39</v>
      </c>
      <c r="B1433" s="0" t="n">
        <v>236</v>
      </c>
      <c r="C1433" s="0" t="n">
        <v>9407</v>
      </c>
    </row>
    <row r="1434" customFormat="false" ht="12.75" hidden="false" customHeight="false" outlineLevel="0" collapsed="false">
      <c r="A1434" s="0" t="s">
        <v>40</v>
      </c>
      <c r="B1434" s="0" t="n">
        <v>13</v>
      </c>
      <c r="C1434" s="0" t="n">
        <v>9633</v>
      </c>
    </row>
    <row r="1435" customFormat="false" ht="12.75" hidden="false" customHeight="false" outlineLevel="0" collapsed="false">
      <c r="A1435" s="0" t="s">
        <v>41</v>
      </c>
      <c r="B1435" s="0" t="n">
        <v>15</v>
      </c>
      <c r="C1435" s="0" t="n">
        <v>9963</v>
      </c>
    </row>
    <row r="1436" customFormat="false" ht="12.75" hidden="false" customHeight="false" outlineLevel="0" collapsed="false">
      <c r="A1436" s="0" t="s">
        <v>42</v>
      </c>
      <c r="B1436" s="0" t="n">
        <v>34</v>
      </c>
      <c r="C1436" s="0" t="n">
        <v>9944</v>
      </c>
    </row>
    <row r="1437" customFormat="false" ht="12.75" hidden="false" customHeight="false" outlineLevel="0" collapsed="false">
      <c r="A1437" s="0" t="s">
        <v>43</v>
      </c>
      <c r="B1437" s="0" t="n">
        <v>76</v>
      </c>
      <c r="C1437" s="0" t="n">
        <v>9869</v>
      </c>
    </row>
    <row r="1438" customFormat="false" ht="12.75" hidden="false" customHeight="false" outlineLevel="0" collapsed="false">
      <c r="A1438" s="0" t="s">
        <v>44</v>
      </c>
      <c r="B1438" s="0" t="n">
        <v>795</v>
      </c>
      <c r="C1438" s="0" t="n">
        <v>9081</v>
      </c>
    </row>
    <row r="1439" customFormat="false" ht="12.75" hidden="false" customHeight="false" outlineLevel="0" collapsed="false">
      <c r="A1439" s="0" t="s">
        <v>45</v>
      </c>
      <c r="B1439" s="3" t="n">
        <v>1506</v>
      </c>
      <c r="C1439" s="0" t="n">
        <v>7582</v>
      </c>
    </row>
    <row r="1440" customFormat="false" ht="12.75" hidden="false" customHeight="false" outlineLevel="0" collapsed="false">
      <c r="A1440" s="0" t="s">
        <v>46</v>
      </c>
      <c r="B1440" s="0" t="n">
        <v>4</v>
      </c>
      <c r="C1440" s="0" t="n">
        <v>7590</v>
      </c>
    </row>
    <row r="1441" customFormat="false" ht="12.75" hidden="false" customHeight="false" outlineLevel="0" collapsed="false">
      <c r="A1441" s="0" t="s">
        <v>47</v>
      </c>
      <c r="B1441" s="0" t="n">
        <v>39</v>
      </c>
      <c r="C1441" s="0" t="n">
        <v>7885</v>
      </c>
    </row>
    <row r="1442" customFormat="false" ht="12.75" hidden="false" customHeight="false" outlineLevel="0" collapsed="false">
      <c r="A1442" s="0" t="s">
        <v>48</v>
      </c>
      <c r="B1442" s="0" t="n">
        <v>742</v>
      </c>
      <c r="C1442" s="0" t="n">
        <v>7208</v>
      </c>
    </row>
    <row r="1443" customFormat="false" ht="12.75" hidden="false" customHeight="false" outlineLevel="0" collapsed="false">
      <c r="A1443" s="0" t="s">
        <v>49</v>
      </c>
      <c r="B1443" s="0" t="n">
        <v>13</v>
      </c>
      <c r="C1443" s="0" t="n">
        <v>7200</v>
      </c>
    </row>
    <row r="1444" customFormat="false" ht="12.75" hidden="false" customHeight="false" outlineLevel="0" collapsed="false">
      <c r="A1444" s="0" t="s">
        <v>50</v>
      </c>
      <c r="B1444" s="0" t="n">
        <v>229</v>
      </c>
      <c r="C1444" s="0" t="n">
        <v>6973</v>
      </c>
    </row>
    <row r="1445" customFormat="false" ht="12.75" hidden="false" customHeight="false" outlineLevel="0" collapsed="false">
      <c r="A1445" s="0" t="s">
        <v>51</v>
      </c>
      <c r="B1445" s="0" t="n">
        <v>46</v>
      </c>
      <c r="C1445" s="0" t="n">
        <v>6933</v>
      </c>
    </row>
    <row r="1446" customFormat="false" ht="12.75" hidden="false" customHeight="false" outlineLevel="0" collapsed="false">
      <c r="A1446" s="0" t="s">
        <v>145</v>
      </c>
      <c r="B1446" s="0" t="n">
        <v>814</v>
      </c>
      <c r="C1446" s="0" t="n">
        <v>6119</v>
      </c>
    </row>
    <row r="1447" customFormat="false" ht="12.75" hidden="false" customHeight="false" outlineLevel="0" collapsed="false">
      <c r="A1447" s="0" t="s">
        <v>1</v>
      </c>
      <c r="B1447" s="0" t="n">
        <v>2</v>
      </c>
      <c r="C1447" s="0" t="n">
        <v>9548</v>
      </c>
    </row>
    <row r="1448" customFormat="false" ht="12.75" hidden="false" customHeight="false" outlineLevel="0" collapsed="false">
      <c r="A1448" s="0" t="s">
        <v>2</v>
      </c>
      <c r="B1448" s="0" t="s">
        <v>156</v>
      </c>
      <c r="C1448" s="0" t="n">
        <v>9588</v>
      </c>
    </row>
    <row r="1449" customFormat="false" ht="12.75" hidden="false" customHeight="false" outlineLevel="0" collapsed="false">
      <c r="A1449" s="0" t="s">
        <v>3</v>
      </c>
      <c r="B1449" s="0" t="n">
        <v>40</v>
      </c>
      <c r="C1449" s="0" t="n">
        <v>9550</v>
      </c>
    </row>
    <row r="1450" customFormat="false" ht="12.75" hidden="false" customHeight="false" outlineLevel="0" collapsed="false">
      <c r="A1450" s="0" t="s">
        <v>4</v>
      </c>
      <c r="B1450" s="0" t="s">
        <v>156</v>
      </c>
      <c r="C1450" s="0" t="n">
        <v>9573</v>
      </c>
    </row>
    <row r="1451" customFormat="false" ht="12.75" hidden="false" customHeight="false" outlineLevel="0" collapsed="false">
      <c r="A1451" s="0" t="s">
        <v>5</v>
      </c>
      <c r="B1451" s="0" t="n">
        <v>39</v>
      </c>
      <c r="C1451" s="0" t="n">
        <v>9544</v>
      </c>
    </row>
    <row r="1452" customFormat="false" ht="12.75" hidden="false" customHeight="false" outlineLevel="0" collapsed="false">
      <c r="A1452" s="0" t="s">
        <v>6</v>
      </c>
      <c r="B1452" s="0" t="n">
        <v>5</v>
      </c>
      <c r="C1452" s="0" t="n">
        <v>9853</v>
      </c>
    </row>
    <row r="1453" customFormat="false" ht="12.75" hidden="false" customHeight="false" outlineLevel="0" collapsed="false">
      <c r="A1453" s="0" t="s">
        <v>7</v>
      </c>
      <c r="B1453" s="0" t="n">
        <v>576</v>
      </c>
      <c r="C1453" s="0" t="n">
        <v>9355</v>
      </c>
    </row>
    <row r="1454" customFormat="false" ht="12.75" hidden="false" customHeight="false" outlineLevel="0" collapsed="false">
      <c r="A1454" s="0" t="s">
        <v>8</v>
      </c>
      <c r="B1454" s="0" t="n">
        <v>7</v>
      </c>
      <c r="C1454" s="0" t="n">
        <v>10025</v>
      </c>
    </row>
    <row r="1455" customFormat="false" ht="12.75" hidden="false" customHeight="false" outlineLevel="0" collapsed="false">
      <c r="A1455" s="0" t="s">
        <v>9</v>
      </c>
      <c r="B1455" s="0" t="n">
        <v>9</v>
      </c>
      <c r="C1455" s="0" t="n">
        <v>10273</v>
      </c>
    </row>
    <row r="1456" customFormat="false" ht="12.75" hidden="false" customHeight="false" outlineLevel="0" collapsed="false">
      <c r="A1456" s="0" t="s">
        <v>10</v>
      </c>
      <c r="B1456" s="0" t="n">
        <v>64</v>
      </c>
      <c r="C1456" s="0" t="n">
        <v>10340</v>
      </c>
    </row>
    <row r="1457" customFormat="false" ht="12.75" hidden="false" customHeight="false" outlineLevel="0" collapsed="false">
      <c r="A1457" s="0" t="s">
        <v>11</v>
      </c>
      <c r="B1457" s="0" t="n">
        <v>1</v>
      </c>
      <c r="C1457" s="0" t="n">
        <v>10998</v>
      </c>
    </row>
    <row r="1458" customFormat="false" ht="12.75" hidden="false" customHeight="false" outlineLevel="0" collapsed="false">
      <c r="A1458" s="0" t="s">
        <v>12</v>
      </c>
      <c r="B1458" s="0" t="s">
        <v>156</v>
      </c>
      <c r="C1458" s="0" t="n">
        <v>11174</v>
      </c>
    </row>
    <row r="1459" customFormat="false" ht="12.75" hidden="false" customHeight="false" outlineLevel="0" collapsed="false">
      <c r="A1459" s="0" t="s">
        <v>13</v>
      </c>
      <c r="B1459" s="0" t="n">
        <v>1</v>
      </c>
      <c r="C1459" s="0" t="n">
        <v>11179</v>
      </c>
    </row>
    <row r="1460" customFormat="false" ht="12.75" hidden="false" customHeight="false" outlineLevel="0" collapsed="false">
      <c r="A1460" s="0" t="s">
        <v>14</v>
      </c>
      <c r="B1460" s="0" t="n">
        <v>6</v>
      </c>
      <c r="C1460" s="0" t="n">
        <v>11176</v>
      </c>
    </row>
    <row r="1461" customFormat="false" ht="12.75" hidden="false" customHeight="false" outlineLevel="0" collapsed="false">
      <c r="A1461" s="0" t="s">
        <v>15</v>
      </c>
      <c r="B1461" s="0" t="n">
        <v>9</v>
      </c>
      <c r="C1461" s="0" t="n">
        <v>11397</v>
      </c>
    </row>
    <row r="1462" customFormat="false" ht="12.75" hidden="false" customHeight="false" outlineLevel="0" collapsed="false">
      <c r="A1462" s="0" t="s">
        <v>16</v>
      </c>
      <c r="B1462" s="0" t="n">
        <v>5</v>
      </c>
      <c r="C1462" s="0" t="n">
        <v>11427</v>
      </c>
    </row>
    <row r="1463" customFormat="false" ht="12.75" hidden="false" customHeight="false" outlineLevel="0" collapsed="false">
      <c r="A1463" s="0" t="s">
        <v>17</v>
      </c>
      <c r="B1463" s="0" t="n">
        <v>1</v>
      </c>
      <c r="C1463" s="0" t="n">
        <v>11439</v>
      </c>
    </row>
    <row r="1464" customFormat="false" ht="12.75" hidden="false" customHeight="false" outlineLevel="0" collapsed="false">
      <c r="A1464" s="0" t="s">
        <v>18</v>
      </c>
      <c r="B1464" s="0" t="n">
        <v>3</v>
      </c>
      <c r="C1464" s="0" t="n">
        <v>11457</v>
      </c>
    </row>
    <row r="1465" customFormat="false" ht="12.75" hidden="false" customHeight="false" outlineLevel="0" collapsed="false">
      <c r="A1465" s="0" t="s">
        <v>19</v>
      </c>
      <c r="B1465" s="0" t="n">
        <v>1</v>
      </c>
      <c r="C1465" s="0" t="n">
        <v>11561</v>
      </c>
    </row>
    <row r="1466" customFormat="false" ht="12.75" hidden="false" customHeight="false" outlineLevel="0" collapsed="false">
      <c r="A1466" s="0" t="s">
        <v>20</v>
      </c>
      <c r="B1466" s="0" t="n">
        <v>522</v>
      </c>
      <c r="C1466" s="0" t="n">
        <v>11063</v>
      </c>
    </row>
    <row r="1467" customFormat="false" ht="12.75" hidden="false" customHeight="false" outlineLevel="0" collapsed="false">
      <c r="A1467" s="0" t="s">
        <v>21</v>
      </c>
      <c r="B1467" s="0" t="n">
        <v>45</v>
      </c>
      <c r="C1467" s="0" t="n">
        <v>11080</v>
      </c>
    </row>
    <row r="1468" customFormat="false" ht="12.75" hidden="false" customHeight="false" outlineLevel="0" collapsed="false">
      <c r="A1468" s="0" t="s">
        <v>22</v>
      </c>
      <c r="B1468" s="3" t="n">
        <v>2959</v>
      </c>
      <c r="C1468" s="0" t="n">
        <v>11978</v>
      </c>
    </row>
    <row r="1469" customFormat="false" ht="12.75" hidden="false" customHeight="false" outlineLevel="0" collapsed="false">
      <c r="A1469" s="0" t="s">
        <v>23</v>
      </c>
      <c r="B1469" s="0" t="n">
        <v>41</v>
      </c>
      <c r="C1469" s="0" t="n">
        <v>12795</v>
      </c>
    </row>
    <row r="1470" customFormat="false" ht="12.75" hidden="false" customHeight="false" outlineLevel="0" collapsed="false">
      <c r="A1470" s="0" t="s">
        <v>24</v>
      </c>
      <c r="B1470" s="0" t="n">
        <v>7</v>
      </c>
      <c r="C1470" s="0" t="n">
        <v>12921</v>
      </c>
    </row>
    <row r="1471" customFormat="false" ht="12.75" hidden="false" customHeight="false" outlineLevel="0" collapsed="false">
      <c r="A1471" s="0" t="s">
        <v>25</v>
      </c>
      <c r="B1471" s="0" t="n">
        <v>12</v>
      </c>
      <c r="C1471" s="0" t="n">
        <v>12928</v>
      </c>
    </row>
    <row r="1472" customFormat="false" ht="12.75" hidden="false" customHeight="false" outlineLevel="0" collapsed="false">
      <c r="A1472" s="0" t="s">
        <v>26</v>
      </c>
      <c r="B1472" s="0" t="s">
        <v>156</v>
      </c>
      <c r="C1472" s="0" t="n">
        <v>12940</v>
      </c>
    </row>
    <row r="1473" customFormat="false" ht="12.75" hidden="false" customHeight="false" outlineLevel="0" collapsed="false">
      <c r="A1473" s="0" t="s">
        <v>27</v>
      </c>
      <c r="B1473" s="0" t="n">
        <v>1</v>
      </c>
      <c r="C1473" s="0" t="n">
        <v>12986</v>
      </c>
    </row>
    <row r="1474" customFormat="false" ht="12.75" hidden="false" customHeight="false" outlineLevel="0" collapsed="false">
      <c r="A1474" s="0" t="s">
        <v>28</v>
      </c>
      <c r="B1474" s="0" t="n">
        <v>2</v>
      </c>
      <c r="C1474" s="0" t="n">
        <v>12987</v>
      </c>
    </row>
    <row r="1475" customFormat="false" ht="12.75" hidden="false" customHeight="false" outlineLevel="0" collapsed="false">
      <c r="A1475" s="0" t="s">
        <v>29</v>
      </c>
      <c r="B1475" s="0" t="n">
        <v>2</v>
      </c>
      <c r="C1475" s="0" t="n">
        <v>12997</v>
      </c>
    </row>
    <row r="1476" customFormat="false" ht="12.75" hidden="false" customHeight="false" outlineLevel="0" collapsed="false">
      <c r="A1476" s="0" t="s">
        <v>31</v>
      </c>
      <c r="B1476" s="0" t="n">
        <v>180</v>
      </c>
      <c r="C1476" s="0" t="n">
        <v>12827</v>
      </c>
    </row>
    <row r="1477" customFormat="false" ht="12.75" hidden="false" customHeight="false" outlineLevel="0" collapsed="false">
      <c r="A1477" s="0" t="s">
        <v>32</v>
      </c>
      <c r="B1477" s="0" t="n">
        <v>2</v>
      </c>
      <c r="C1477" s="0" t="n">
        <v>12969</v>
      </c>
    </row>
    <row r="1478" customFormat="false" ht="12.75" hidden="false" customHeight="false" outlineLevel="0" collapsed="false">
      <c r="A1478" s="0" t="s">
        <v>33</v>
      </c>
      <c r="B1478" s="0" t="n">
        <v>481</v>
      </c>
      <c r="C1478" s="0" t="n">
        <v>12495</v>
      </c>
    </row>
    <row r="1479" customFormat="false" ht="12.75" hidden="false" customHeight="false" outlineLevel="0" collapsed="false">
      <c r="A1479" s="0" t="s">
        <v>34</v>
      </c>
      <c r="B1479" s="0" t="n">
        <v>4</v>
      </c>
      <c r="C1479" s="0" t="n">
        <v>15446</v>
      </c>
    </row>
    <row r="1480" customFormat="false" ht="12.75" hidden="false" customHeight="false" outlineLevel="0" collapsed="false">
      <c r="A1480" s="0" t="s">
        <v>35</v>
      </c>
      <c r="B1480" s="0" t="n">
        <v>2</v>
      </c>
      <c r="C1480" s="0" t="n">
        <v>15592</v>
      </c>
    </row>
    <row r="1481" customFormat="false" ht="12.75" hidden="false" customHeight="false" outlineLevel="0" collapsed="false">
      <c r="A1481" s="0" t="s">
        <v>36</v>
      </c>
      <c r="B1481" s="0" t="n">
        <v>45</v>
      </c>
      <c r="C1481" s="0" t="n">
        <v>15549</v>
      </c>
    </row>
    <row r="1482" customFormat="false" ht="12.75" hidden="false" customHeight="false" outlineLevel="0" collapsed="false">
      <c r="A1482" s="0" t="s">
        <v>37</v>
      </c>
      <c r="B1482" s="0" t="n">
        <v>4</v>
      </c>
      <c r="C1482" s="0" t="n">
        <v>15809</v>
      </c>
    </row>
    <row r="1483" customFormat="false" ht="12.75" hidden="false" customHeight="false" outlineLevel="0" collapsed="false">
      <c r="A1483" s="0" t="s">
        <v>38</v>
      </c>
      <c r="B1483" s="0" t="n">
        <v>3</v>
      </c>
      <c r="C1483" s="0" t="n">
        <v>15814</v>
      </c>
    </row>
    <row r="1484" customFormat="false" ht="12.75" hidden="false" customHeight="false" outlineLevel="0" collapsed="false">
      <c r="A1484" s="0" t="s">
        <v>39</v>
      </c>
      <c r="B1484" s="0" t="n">
        <v>239</v>
      </c>
      <c r="C1484" s="0" t="n">
        <v>15582</v>
      </c>
    </row>
    <row r="1485" customFormat="false" ht="12.75" hidden="false" customHeight="false" outlineLevel="0" collapsed="false">
      <c r="A1485" s="0" t="s">
        <v>40</v>
      </c>
      <c r="B1485" s="0" t="n">
        <v>345</v>
      </c>
      <c r="C1485" s="0" t="n">
        <v>19673</v>
      </c>
    </row>
    <row r="1486" customFormat="false" ht="12.75" hidden="false" customHeight="false" outlineLevel="0" collapsed="false">
      <c r="A1486" s="0" t="s">
        <v>41</v>
      </c>
      <c r="B1486" s="0" t="n">
        <v>15</v>
      </c>
      <c r="C1486" s="0" t="n">
        <v>19791</v>
      </c>
    </row>
    <row r="1487" customFormat="false" ht="12.75" hidden="false" customHeight="false" outlineLevel="0" collapsed="false">
      <c r="A1487" s="0" t="s">
        <v>42</v>
      </c>
      <c r="B1487" s="0" t="n">
        <v>1</v>
      </c>
      <c r="C1487" s="0" t="n">
        <v>19867</v>
      </c>
    </row>
    <row r="1488" customFormat="false" ht="12.75" hidden="false" customHeight="false" outlineLevel="0" collapsed="false">
      <c r="A1488" s="0" t="s">
        <v>43</v>
      </c>
      <c r="B1488" s="0" t="n">
        <v>7</v>
      </c>
      <c r="C1488" s="0" t="n">
        <v>19862</v>
      </c>
    </row>
    <row r="1489" customFormat="false" ht="12.75" hidden="false" customHeight="false" outlineLevel="0" collapsed="false">
      <c r="A1489" s="0" t="s">
        <v>44</v>
      </c>
      <c r="B1489" s="0" t="n">
        <v>7</v>
      </c>
      <c r="C1489" s="0" t="n">
        <v>19919</v>
      </c>
    </row>
    <row r="1490" customFormat="false" ht="12.75" hidden="false" customHeight="false" outlineLevel="0" collapsed="false">
      <c r="A1490" s="0" t="s">
        <v>45</v>
      </c>
      <c r="B1490" s="0" t="n">
        <v>12</v>
      </c>
      <c r="C1490" s="0" t="n">
        <v>19980</v>
      </c>
    </row>
    <row r="1491" customFormat="false" ht="12.75" hidden="false" customHeight="false" outlineLevel="0" collapsed="false">
      <c r="A1491" s="0" t="s">
        <v>46</v>
      </c>
      <c r="B1491" s="0" t="n">
        <v>334</v>
      </c>
      <c r="C1491" s="0" t="n">
        <v>19656</v>
      </c>
    </row>
    <row r="1492" customFormat="false" ht="12.75" hidden="false" customHeight="false" outlineLevel="0" collapsed="false">
      <c r="A1492" s="0" t="s">
        <v>47</v>
      </c>
      <c r="B1492" s="0" t="n">
        <v>65</v>
      </c>
      <c r="C1492" s="0" t="n">
        <v>19735</v>
      </c>
    </row>
    <row r="1493" customFormat="false" ht="12.75" hidden="false" customHeight="false" outlineLevel="0" collapsed="false">
      <c r="A1493" s="0" t="s">
        <v>48</v>
      </c>
      <c r="B1493" s="0" t="n">
        <v>5</v>
      </c>
      <c r="C1493" s="0" t="n">
        <v>20290</v>
      </c>
    </row>
    <row r="1494" customFormat="false" ht="12.75" hidden="false" customHeight="false" outlineLevel="0" collapsed="false">
      <c r="A1494" s="0" t="s">
        <v>49</v>
      </c>
      <c r="B1494" s="0" t="n">
        <v>2</v>
      </c>
      <c r="C1494" s="0" t="n">
        <v>20356</v>
      </c>
    </row>
    <row r="1495" customFormat="false" ht="12.75" hidden="false" customHeight="false" outlineLevel="0" collapsed="false">
      <c r="A1495" s="0" t="s">
        <v>50</v>
      </c>
      <c r="B1495" s="0" t="n">
        <v>6</v>
      </c>
      <c r="C1495" s="0" t="n">
        <v>20411</v>
      </c>
    </row>
    <row r="1496" customFormat="false" ht="12.75" hidden="false" customHeight="false" outlineLevel="0" collapsed="false">
      <c r="A1496" s="0" t="s">
        <v>51</v>
      </c>
      <c r="B1496" s="0" t="s">
        <v>156</v>
      </c>
      <c r="C1496" s="0" t="n">
        <v>20434</v>
      </c>
    </row>
    <row r="1497" customFormat="false" ht="12.75" hidden="false" customHeight="false" outlineLevel="0" collapsed="false">
      <c r="A1497" s="0" t="s">
        <v>146</v>
      </c>
      <c r="B1497" s="3" t="n">
        <v>3431</v>
      </c>
      <c r="C1497" s="0" t="n">
        <v>17008</v>
      </c>
    </row>
    <row r="1498" customFormat="false" ht="12.75" hidden="false" customHeight="false" outlineLevel="0" collapsed="false">
      <c r="A1498" s="0" t="s">
        <v>1</v>
      </c>
      <c r="B1498" s="0" t="n">
        <v>40</v>
      </c>
      <c r="C1498" s="0" t="n">
        <v>22405</v>
      </c>
    </row>
    <row r="1499" customFormat="false" ht="12.75" hidden="false" customHeight="false" outlineLevel="0" collapsed="false">
      <c r="A1499" s="0" t="s">
        <v>2</v>
      </c>
      <c r="B1499" s="0" t="n">
        <v>2</v>
      </c>
      <c r="C1499" s="0" t="n">
        <v>22413</v>
      </c>
    </row>
    <row r="1500" customFormat="false" ht="12.75" hidden="false" customHeight="false" outlineLevel="0" collapsed="false">
      <c r="A1500" s="0" t="s">
        <v>3</v>
      </c>
      <c r="B1500" s="0" t="n">
        <v>23</v>
      </c>
      <c r="C1500" s="0" t="n">
        <v>22395</v>
      </c>
    </row>
    <row r="1501" customFormat="false" ht="12.75" hidden="false" customHeight="false" outlineLevel="0" collapsed="false">
      <c r="A1501" s="0" t="s">
        <v>4</v>
      </c>
      <c r="B1501" s="0" t="n">
        <v>10</v>
      </c>
      <c r="C1501" s="0" t="n">
        <v>22724</v>
      </c>
    </row>
    <row r="1502" customFormat="false" ht="12.75" hidden="false" customHeight="false" outlineLevel="0" collapsed="false">
      <c r="A1502" s="0" t="s">
        <v>5</v>
      </c>
      <c r="B1502" s="0" t="n">
        <v>314</v>
      </c>
      <c r="C1502" s="0" t="n">
        <v>22438</v>
      </c>
    </row>
    <row r="1503" customFormat="false" ht="12.75" hidden="false" customHeight="false" outlineLevel="0" collapsed="false">
      <c r="A1503" s="0" t="s">
        <v>6</v>
      </c>
      <c r="B1503" s="0" t="n">
        <v>78</v>
      </c>
      <c r="C1503" s="0" t="n">
        <v>22886</v>
      </c>
    </row>
    <row r="1504" customFormat="false" ht="12.75" hidden="false" customHeight="false" outlineLevel="0" collapsed="false">
      <c r="A1504" s="0" t="s">
        <v>7</v>
      </c>
      <c r="B1504" s="0" t="n">
        <v>677</v>
      </c>
      <c r="C1504" s="0" t="n">
        <v>23178</v>
      </c>
    </row>
    <row r="1505" customFormat="false" ht="12.75" hidden="false" customHeight="false" outlineLevel="0" collapsed="false">
      <c r="A1505" s="0" t="s">
        <v>8</v>
      </c>
      <c r="B1505" s="0" t="n">
        <v>257</v>
      </c>
      <c r="C1505" s="0" t="n">
        <v>22925</v>
      </c>
    </row>
    <row r="1506" customFormat="false" ht="12.75" hidden="false" customHeight="false" outlineLevel="0" collapsed="false">
      <c r="A1506" s="0" t="s">
        <v>9</v>
      </c>
      <c r="B1506" s="0" t="n">
        <v>131</v>
      </c>
      <c r="C1506" s="0" t="n">
        <v>22797</v>
      </c>
    </row>
    <row r="1507" customFormat="false" ht="12.75" hidden="false" customHeight="false" outlineLevel="0" collapsed="false">
      <c r="A1507" s="0" t="s">
        <v>10</v>
      </c>
      <c r="B1507" s="0" t="n">
        <v>659</v>
      </c>
      <c r="C1507" s="0" t="n">
        <v>22142</v>
      </c>
    </row>
    <row r="1508" customFormat="false" ht="12.75" hidden="false" customHeight="false" outlineLevel="0" collapsed="false">
      <c r="A1508" s="0" t="s">
        <v>11</v>
      </c>
      <c r="B1508" s="0" t="n">
        <v>176</v>
      </c>
      <c r="C1508" s="0" t="n">
        <v>22052</v>
      </c>
    </row>
    <row r="1509" customFormat="false" ht="12.75" hidden="false" customHeight="false" outlineLevel="0" collapsed="false">
      <c r="A1509" s="0" t="s">
        <v>12</v>
      </c>
      <c r="B1509" s="0" t="n">
        <v>6</v>
      </c>
      <c r="C1509" s="0" t="n">
        <v>22052</v>
      </c>
    </row>
    <row r="1510" customFormat="false" ht="12.75" hidden="false" customHeight="false" outlineLevel="0" collapsed="false">
      <c r="A1510" s="0" t="s">
        <v>13</v>
      </c>
      <c r="B1510" s="0" t="n">
        <v>3</v>
      </c>
      <c r="C1510" s="0" t="n">
        <v>22052</v>
      </c>
    </row>
    <row r="1511" customFormat="false" ht="12.75" hidden="false" customHeight="false" outlineLevel="0" collapsed="false">
      <c r="A1511" s="0" t="s">
        <v>14</v>
      </c>
      <c r="B1511" s="0" t="n">
        <v>230</v>
      </c>
      <c r="C1511" s="0" t="n">
        <v>21840</v>
      </c>
    </row>
    <row r="1512" customFormat="false" ht="12.75" hidden="false" customHeight="false" outlineLevel="0" collapsed="false">
      <c r="A1512" s="0" t="s">
        <v>15</v>
      </c>
      <c r="B1512" s="0" t="n">
        <v>35</v>
      </c>
      <c r="C1512" s="0" t="n">
        <v>21832</v>
      </c>
    </row>
    <row r="1513" customFormat="false" ht="12.75" hidden="false" customHeight="false" outlineLevel="0" collapsed="false">
      <c r="A1513" s="0" t="s">
        <v>16</v>
      </c>
      <c r="B1513" s="0" t="n">
        <v>13</v>
      </c>
      <c r="C1513" s="0" t="n">
        <v>21836</v>
      </c>
    </row>
    <row r="1514" customFormat="false" ht="12.75" hidden="false" customHeight="false" outlineLevel="0" collapsed="false">
      <c r="A1514" s="0" t="s">
        <v>17</v>
      </c>
      <c r="B1514" s="0" t="n">
        <v>21</v>
      </c>
      <c r="C1514" s="0" t="n">
        <v>21843</v>
      </c>
    </row>
    <row r="1515" customFormat="false" ht="12.75" hidden="false" customHeight="false" outlineLevel="0" collapsed="false">
      <c r="A1515" s="0" t="s">
        <v>18</v>
      </c>
      <c r="B1515" s="0" t="n">
        <v>105</v>
      </c>
      <c r="C1515" s="0" t="n">
        <v>21809</v>
      </c>
    </row>
    <row r="1516" customFormat="false" ht="12.75" hidden="false" customHeight="false" outlineLevel="0" collapsed="false">
      <c r="A1516" s="0" t="s">
        <v>19</v>
      </c>
      <c r="B1516" s="0" t="n">
        <v>24</v>
      </c>
      <c r="C1516" s="0" t="n">
        <v>21798</v>
      </c>
    </row>
    <row r="1517" customFormat="false" ht="12.75" hidden="false" customHeight="false" outlineLevel="0" collapsed="false">
      <c r="A1517" s="0" t="s">
        <v>20</v>
      </c>
      <c r="B1517" s="0" t="n">
        <v>62</v>
      </c>
      <c r="C1517" s="0" t="n">
        <v>21787</v>
      </c>
    </row>
    <row r="1518" customFormat="false" ht="12.75" hidden="false" customHeight="false" outlineLevel="0" collapsed="false">
      <c r="A1518" s="0" t="s">
        <v>21</v>
      </c>
      <c r="B1518" s="3" t="n">
        <v>3857</v>
      </c>
      <c r="C1518" s="0" t="n">
        <v>17933</v>
      </c>
    </row>
    <row r="1519" customFormat="false" ht="12.75" hidden="false" customHeight="false" outlineLevel="0" collapsed="false">
      <c r="A1519" s="0" t="s">
        <v>22</v>
      </c>
      <c r="B1519" s="0" t="n">
        <v>858</v>
      </c>
      <c r="C1519" s="0" t="n">
        <v>17114</v>
      </c>
    </row>
    <row r="1520" customFormat="false" ht="12.75" hidden="false" customHeight="false" outlineLevel="0" collapsed="false">
      <c r="A1520" s="0" t="s">
        <v>23</v>
      </c>
      <c r="B1520" s="0" t="n">
        <v>133</v>
      </c>
      <c r="C1520" s="0" t="n">
        <v>17011</v>
      </c>
    </row>
    <row r="1521" customFormat="false" ht="12.75" hidden="false" customHeight="false" outlineLevel="0" collapsed="false">
      <c r="A1521" s="0" t="s">
        <v>24</v>
      </c>
      <c r="B1521" s="0" t="n">
        <v>19</v>
      </c>
      <c r="C1521" s="0" t="n">
        <v>17030</v>
      </c>
    </row>
    <row r="1522" customFormat="false" ht="12.75" hidden="false" customHeight="false" outlineLevel="0" collapsed="false">
      <c r="A1522" s="0" t="s">
        <v>25</v>
      </c>
      <c r="B1522" s="0" t="n">
        <v>12</v>
      </c>
      <c r="C1522" s="0" t="n">
        <v>17047</v>
      </c>
    </row>
    <row r="1523" customFormat="false" ht="12.75" hidden="false" customHeight="false" outlineLevel="0" collapsed="false">
      <c r="A1523" s="0" t="s">
        <v>26</v>
      </c>
      <c r="B1523" s="0" t="n">
        <v>47</v>
      </c>
      <c r="C1523" s="0" t="n">
        <v>17016</v>
      </c>
    </row>
    <row r="1524" customFormat="false" ht="12.75" hidden="false" customHeight="false" outlineLevel="0" collapsed="false">
      <c r="A1524" s="0" t="s">
        <v>27</v>
      </c>
      <c r="B1524" s="0" t="n">
        <v>3</v>
      </c>
      <c r="C1524" s="0" t="n">
        <v>17048</v>
      </c>
    </row>
    <row r="1525" customFormat="false" ht="12.75" hidden="false" customHeight="false" outlineLevel="0" collapsed="false">
      <c r="A1525" s="0" t="s">
        <v>28</v>
      </c>
      <c r="B1525" s="0" t="n">
        <v>12</v>
      </c>
      <c r="C1525" s="0" t="n">
        <v>17053</v>
      </c>
    </row>
    <row r="1526" customFormat="false" ht="12.75" hidden="false" customHeight="false" outlineLevel="0" collapsed="false">
      <c r="A1526" s="0" t="s">
        <v>29</v>
      </c>
      <c r="B1526" s="0" t="n">
        <v>10</v>
      </c>
      <c r="C1526" s="0" t="n">
        <v>17060</v>
      </c>
    </row>
    <row r="1527" customFormat="false" ht="12.75" hidden="false" customHeight="false" outlineLevel="0" collapsed="false">
      <c r="A1527" s="0" t="s">
        <v>30</v>
      </c>
      <c r="B1527" s="0" t="n">
        <v>144</v>
      </c>
      <c r="C1527" s="0" t="n">
        <v>16974</v>
      </c>
    </row>
    <row r="1528" customFormat="false" ht="12.75" hidden="false" customHeight="false" outlineLevel="0" collapsed="false">
      <c r="A1528" s="0" t="s">
        <v>32</v>
      </c>
      <c r="B1528" s="0" t="n">
        <v>7</v>
      </c>
      <c r="C1528" s="0" t="n">
        <v>16976</v>
      </c>
    </row>
    <row r="1529" customFormat="false" ht="12.75" hidden="false" customHeight="false" outlineLevel="0" collapsed="false">
      <c r="A1529" s="0" t="s">
        <v>33</v>
      </c>
      <c r="B1529" s="3" t="n">
        <v>2955</v>
      </c>
      <c r="C1529" s="0" t="n">
        <v>14056</v>
      </c>
    </row>
    <row r="1530" customFormat="false" ht="12.75" hidden="false" customHeight="false" outlineLevel="0" collapsed="false">
      <c r="A1530" s="0" t="s">
        <v>34</v>
      </c>
      <c r="B1530" s="0" t="n">
        <v>148</v>
      </c>
      <c r="C1530" s="0" t="n">
        <v>14040</v>
      </c>
    </row>
    <row r="1531" customFormat="false" ht="12.75" hidden="false" customHeight="false" outlineLevel="0" collapsed="false">
      <c r="A1531" s="0" t="s">
        <v>35</v>
      </c>
      <c r="B1531" s="0" t="n">
        <v>2</v>
      </c>
      <c r="C1531" s="0" t="n">
        <v>14041</v>
      </c>
    </row>
    <row r="1532" customFormat="false" ht="12.75" hidden="false" customHeight="false" outlineLevel="0" collapsed="false">
      <c r="A1532" s="0" t="s">
        <v>36</v>
      </c>
      <c r="B1532" s="0" t="n">
        <v>264</v>
      </c>
      <c r="C1532" s="0" t="n">
        <v>13778</v>
      </c>
    </row>
    <row r="1533" customFormat="false" ht="12.75" hidden="false" customHeight="false" outlineLevel="0" collapsed="false">
      <c r="A1533" s="0" t="s">
        <v>37</v>
      </c>
      <c r="B1533" s="0" t="n">
        <v>8</v>
      </c>
      <c r="C1533" s="0" t="n">
        <v>13842</v>
      </c>
    </row>
    <row r="1534" customFormat="false" ht="12.75" hidden="false" customHeight="false" outlineLevel="0" collapsed="false">
      <c r="A1534" s="0" t="s">
        <v>38</v>
      </c>
      <c r="B1534" s="0" t="n">
        <v>7</v>
      </c>
      <c r="C1534" s="0" t="n">
        <v>13961</v>
      </c>
    </row>
    <row r="1535" customFormat="false" ht="12.75" hidden="false" customHeight="false" outlineLevel="0" collapsed="false">
      <c r="A1535" s="0" t="s">
        <v>39</v>
      </c>
      <c r="B1535" s="3" t="n">
        <v>4436</v>
      </c>
      <c r="C1535" s="0" t="n">
        <v>9551</v>
      </c>
    </row>
    <row r="1536" customFormat="false" ht="12.75" hidden="false" customHeight="false" outlineLevel="0" collapsed="false">
      <c r="A1536" s="0" t="s">
        <v>40</v>
      </c>
      <c r="B1536" s="0" t="n">
        <v>133</v>
      </c>
      <c r="C1536" s="0" t="n">
        <v>9459</v>
      </c>
    </row>
    <row r="1537" customFormat="false" ht="12.75" hidden="false" customHeight="false" outlineLevel="0" collapsed="false">
      <c r="A1537" s="0" t="s">
        <v>41</v>
      </c>
      <c r="B1537" s="0" t="n">
        <v>77</v>
      </c>
      <c r="C1537" s="0" t="n">
        <v>9384</v>
      </c>
    </row>
    <row r="1538" customFormat="false" ht="12.75" hidden="false" customHeight="false" outlineLevel="0" collapsed="false">
      <c r="A1538" s="0" t="s">
        <v>42</v>
      </c>
      <c r="B1538" s="0" t="n">
        <v>2</v>
      </c>
      <c r="C1538" s="0" t="n">
        <v>9389</v>
      </c>
    </row>
    <row r="1539" customFormat="false" ht="12.75" hidden="false" customHeight="false" outlineLevel="0" collapsed="false">
      <c r="A1539" s="0" t="s">
        <v>43</v>
      </c>
      <c r="B1539" s="0" t="n">
        <v>64</v>
      </c>
      <c r="C1539" s="0" t="n">
        <v>9332</v>
      </c>
    </row>
    <row r="1540" customFormat="false" ht="12.75" hidden="false" customHeight="false" outlineLevel="0" collapsed="false">
      <c r="A1540" s="0" t="s">
        <v>44</v>
      </c>
      <c r="B1540" s="0" t="n">
        <v>73</v>
      </c>
      <c r="C1540" s="0" t="n">
        <v>9278</v>
      </c>
    </row>
    <row r="1541" customFormat="false" ht="12.75" hidden="false" customHeight="false" outlineLevel="0" collapsed="false">
      <c r="A1541" s="0" t="s">
        <v>45</v>
      </c>
      <c r="B1541" s="0" t="n">
        <v>10</v>
      </c>
      <c r="C1541" s="0" t="n">
        <v>10911</v>
      </c>
    </row>
    <row r="1542" customFormat="false" ht="12.75" hidden="false" customHeight="false" outlineLevel="0" collapsed="false">
      <c r="A1542" s="0" t="s">
        <v>46</v>
      </c>
      <c r="B1542" s="0" t="n">
        <v>144</v>
      </c>
      <c r="C1542" s="0" t="n">
        <v>10838</v>
      </c>
    </row>
    <row r="1543" customFormat="false" ht="12.75" hidden="false" customHeight="false" outlineLevel="0" collapsed="false">
      <c r="A1543" s="0" t="s">
        <v>47</v>
      </c>
      <c r="B1543" s="0" t="n">
        <v>560</v>
      </c>
      <c r="C1543" s="0" t="n">
        <v>10280</v>
      </c>
    </row>
    <row r="1544" customFormat="false" ht="12.75" hidden="false" customHeight="false" outlineLevel="0" collapsed="false">
      <c r="A1544" s="0" t="s">
        <v>48</v>
      </c>
      <c r="B1544" s="0" t="n">
        <v>68</v>
      </c>
      <c r="C1544" s="0" t="n">
        <v>10273</v>
      </c>
    </row>
    <row r="1545" customFormat="false" ht="12.75" hidden="false" customHeight="false" outlineLevel="0" collapsed="false">
      <c r="A1545" s="0" t="s">
        <v>49</v>
      </c>
      <c r="B1545" s="0" t="n">
        <v>61</v>
      </c>
      <c r="C1545" s="0" t="n">
        <v>10252</v>
      </c>
    </row>
    <row r="1546" customFormat="false" ht="12.75" hidden="false" customHeight="false" outlineLevel="0" collapsed="false">
      <c r="A1546" s="0" t="s">
        <v>50</v>
      </c>
      <c r="B1546" s="0" t="n">
        <v>23</v>
      </c>
      <c r="C1546" s="0" t="n">
        <v>10230</v>
      </c>
    </row>
    <row r="1547" customFormat="false" ht="12.75" hidden="false" customHeight="false" outlineLevel="0" collapsed="false">
      <c r="A1547" s="0" t="s">
        <v>51</v>
      </c>
      <c r="B1547" s="0" t="n">
        <v>5</v>
      </c>
      <c r="C1547" s="0" t="n">
        <v>10247</v>
      </c>
    </row>
    <row r="1548" customFormat="false" ht="12.75" hidden="false" customHeight="false" outlineLevel="0" collapsed="false">
      <c r="A1548" s="0" t="s">
        <v>147</v>
      </c>
      <c r="B1548" s="3" t="n">
        <v>5437</v>
      </c>
      <c r="C1548" s="0" t="n">
        <v>4831</v>
      </c>
    </row>
    <row r="1549" customFormat="false" ht="12.75" hidden="false" customHeight="false" outlineLevel="0" collapsed="false">
      <c r="A1549" s="0" t="s">
        <v>1</v>
      </c>
      <c r="B1549" s="0" t="n">
        <v>10</v>
      </c>
      <c r="C1549" s="0" t="n">
        <v>20804</v>
      </c>
    </row>
    <row r="1550" customFormat="false" ht="12.75" hidden="false" customHeight="false" outlineLevel="0" collapsed="false">
      <c r="A1550" s="0" t="s">
        <v>2</v>
      </c>
      <c r="B1550" s="0" t="n">
        <v>5</v>
      </c>
      <c r="C1550" s="0" t="n">
        <v>20836</v>
      </c>
    </row>
    <row r="1551" customFormat="false" ht="12.75" hidden="false" customHeight="false" outlineLevel="0" collapsed="false">
      <c r="A1551" s="0" t="s">
        <v>3</v>
      </c>
      <c r="B1551" s="0" t="n">
        <v>339</v>
      </c>
      <c r="C1551" s="0" t="n">
        <v>20509</v>
      </c>
    </row>
    <row r="1552" customFormat="false" ht="12.75" hidden="false" customHeight="false" outlineLevel="0" collapsed="false">
      <c r="A1552" s="0" t="s">
        <v>4</v>
      </c>
      <c r="B1552" s="0" t="n">
        <v>28</v>
      </c>
      <c r="C1552" s="0" t="n">
        <v>20577</v>
      </c>
    </row>
    <row r="1553" customFormat="false" ht="12.75" hidden="false" customHeight="false" outlineLevel="0" collapsed="false">
      <c r="A1553" s="0" t="s">
        <v>5</v>
      </c>
      <c r="B1553" s="0" t="n">
        <v>526</v>
      </c>
      <c r="C1553" s="0" t="n">
        <v>20089</v>
      </c>
    </row>
    <row r="1554" customFormat="false" ht="12.75" hidden="false" customHeight="false" outlineLevel="0" collapsed="false">
      <c r="A1554" s="0" t="s">
        <v>6</v>
      </c>
      <c r="B1554" s="0" t="n">
        <v>969</v>
      </c>
      <c r="C1554" s="0" t="n">
        <v>20561</v>
      </c>
    </row>
    <row r="1555" customFormat="false" ht="12.75" hidden="false" customHeight="false" outlineLevel="0" collapsed="false">
      <c r="A1555" s="0" t="s">
        <v>7</v>
      </c>
      <c r="B1555" s="0" t="n">
        <v>4</v>
      </c>
      <c r="C1555" s="0" t="n">
        <v>20773</v>
      </c>
    </row>
    <row r="1556" customFormat="false" ht="12.75" hidden="false" customHeight="false" outlineLevel="0" collapsed="false">
      <c r="A1556" s="0" t="s">
        <v>8</v>
      </c>
      <c r="B1556" s="0" t="n">
        <v>3</v>
      </c>
      <c r="C1556" s="0" t="n">
        <v>22751</v>
      </c>
    </row>
    <row r="1557" customFormat="false" ht="12.75" hidden="false" customHeight="false" outlineLevel="0" collapsed="false">
      <c r="A1557" s="0" t="s">
        <v>9</v>
      </c>
      <c r="B1557" s="0" t="n">
        <v>4</v>
      </c>
      <c r="C1557" s="0" t="n">
        <v>22984</v>
      </c>
    </row>
    <row r="1558" customFormat="false" ht="12.75" hidden="false" customHeight="false" outlineLevel="0" collapsed="false">
      <c r="A1558" s="0" t="s">
        <v>10</v>
      </c>
      <c r="B1558" s="0" t="n">
        <v>86</v>
      </c>
      <c r="C1558" s="0" t="n">
        <v>23266</v>
      </c>
    </row>
    <row r="1559" customFormat="false" ht="12.75" hidden="false" customHeight="false" outlineLevel="0" collapsed="false">
      <c r="A1559" s="0" t="s">
        <v>11</v>
      </c>
      <c r="B1559" s="0" t="n">
        <v>6</v>
      </c>
      <c r="C1559" s="0" t="n">
        <v>24744</v>
      </c>
    </row>
    <row r="1560" customFormat="false" ht="12.75" hidden="false" customHeight="false" outlineLevel="0" collapsed="false">
      <c r="A1560" s="0" t="s">
        <v>12</v>
      </c>
      <c r="B1560" s="0" t="n">
        <v>3</v>
      </c>
      <c r="C1560" s="0" t="n">
        <v>25013</v>
      </c>
    </row>
    <row r="1561" customFormat="false" ht="12.75" hidden="false" customHeight="false" outlineLevel="0" collapsed="false">
      <c r="A1561" s="0" t="s">
        <v>13</v>
      </c>
      <c r="B1561" s="0" t="n">
        <v>18</v>
      </c>
      <c r="C1561" s="0" t="n">
        <v>25011</v>
      </c>
    </row>
    <row r="1562" customFormat="false" ht="12.75" hidden="false" customHeight="false" outlineLevel="0" collapsed="false">
      <c r="A1562" s="0" t="s">
        <v>14</v>
      </c>
      <c r="B1562" s="0" t="n">
        <v>27</v>
      </c>
      <c r="C1562" s="0" t="n">
        <v>24993</v>
      </c>
    </row>
    <row r="1563" customFormat="false" ht="12.75" hidden="false" customHeight="false" outlineLevel="0" collapsed="false">
      <c r="A1563" s="0" t="s">
        <v>15</v>
      </c>
      <c r="B1563" s="0" t="n">
        <v>17</v>
      </c>
      <c r="C1563" s="0" t="n">
        <v>25631</v>
      </c>
    </row>
    <row r="1564" customFormat="false" ht="12.75" hidden="false" customHeight="false" outlineLevel="0" collapsed="false">
      <c r="A1564" s="0" t="s">
        <v>16</v>
      </c>
      <c r="B1564" s="0" t="n">
        <v>28</v>
      </c>
      <c r="C1564" s="0" t="n">
        <v>25693</v>
      </c>
    </row>
    <row r="1565" customFormat="false" ht="12.75" hidden="false" customHeight="false" outlineLevel="0" collapsed="false">
      <c r="A1565" s="0" t="s">
        <v>17</v>
      </c>
      <c r="B1565" s="0" t="n">
        <v>71</v>
      </c>
      <c r="C1565" s="0" t="n">
        <v>25676</v>
      </c>
    </row>
    <row r="1566" customFormat="false" ht="12.75" hidden="false" customHeight="false" outlineLevel="0" collapsed="false">
      <c r="A1566" s="0" t="s">
        <v>18</v>
      </c>
      <c r="B1566" s="0" t="n">
        <v>13</v>
      </c>
      <c r="C1566" s="0" t="n">
        <v>25725</v>
      </c>
    </row>
    <row r="1567" customFormat="false" ht="12.75" hidden="false" customHeight="false" outlineLevel="0" collapsed="false">
      <c r="A1567" s="0" t="s">
        <v>19</v>
      </c>
      <c r="B1567" s="0" t="n">
        <v>51</v>
      </c>
      <c r="C1567" s="0" t="n">
        <v>25782</v>
      </c>
    </row>
    <row r="1568" customFormat="false" ht="12.75" hidden="false" customHeight="false" outlineLevel="0" collapsed="false">
      <c r="A1568" s="0" t="s">
        <v>20</v>
      </c>
      <c r="B1568" s="0" t="n">
        <v>3</v>
      </c>
      <c r="C1568" s="0" t="n">
        <v>25859</v>
      </c>
    </row>
    <row r="1569" customFormat="false" ht="12.75" hidden="false" customHeight="false" outlineLevel="0" collapsed="false">
      <c r="A1569" s="0" t="s">
        <v>21</v>
      </c>
      <c r="B1569" s="0" t="n">
        <v>39</v>
      </c>
      <c r="C1569" s="0" t="n">
        <v>26020</v>
      </c>
    </row>
    <row r="1570" customFormat="false" ht="12.75" hidden="false" customHeight="false" outlineLevel="0" collapsed="false">
      <c r="A1570" s="0" t="s">
        <v>22</v>
      </c>
      <c r="B1570" s="0" t="n">
        <v>30</v>
      </c>
      <c r="C1570" s="0" t="n">
        <v>27264</v>
      </c>
    </row>
    <row r="1571" customFormat="false" ht="12.75" hidden="false" customHeight="false" outlineLevel="0" collapsed="false">
      <c r="A1571" s="0" t="s">
        <v>23</v>
      </c>
      <c r="B1571" s="0" t="n">
        <v>38</v>
      </c>
      <c r="C1571" s="0" t="n">
        <v>29610</v>
      </c>
    </row>
    <row r="1572" customFormat="false" ht="12.75" hidden="false" customHeight="false" outlineLevel="0" collapsed="false">
      <c r="A1572" s="0" t="s">
        <v>24</v>
      </c>
      <c r="B1572" s="0" t="n">
        <v>29</v>
      </c>
      <c r="C1572" s="0" t="n">
        <v>30131</v>
      </c>
    </row>
    <row r="1573" customFormat="false" ht="12.75" hidden="false" customHeight="false" outlineLevel="0" collapsed="false">
      <c r="A1573" s="0" t="s">
        <v>25</v>
      </c>
      <c r="B1573" s="0" t="n">
        <v>16</v>
      </c>
      <c r="C1573" s="0" t="n">
        <v>30342</v>
      </c>
    </row>
    <row r="1574" customFormat="false" ht="12.75" hidden="false" customHeight="false" outlineLevel="0" collapsed="false">
      <c r="A1574" s="0" t="s">
        <v>26</v>
      </c>
      <c r="B1574" s="0" t="n">
        <v>35</v>
      </c>
      <c r="C1574" s="0" t="n">
        <v>30344</v>
      </c>
    </row>
    <row r="1575" customFormat="false" ht="12.75" hidden="false" customHeight="false" outlineLevel="0" collapsed="false">
      <c r="A1575" s="0" t="s">
        <v>27</v>
      </c>
      <c r="B1575" s="0" t="n">
        <v>17</v>
      </c>
      <c r="C1575" s="0" t="n">
        <v>30424</v>
      </c>
    </row>
    <row r="1576" customFormat="false" ht="12.75" hidden="false" customHeight="false" outlineLevel="0" collapsed="false">
      <c r="A1576" s="0" t="s">
        <v>28</v>
      </c>
      <c r="B1576" s="0" t="n">
        <v>17</v>
      </c>
      <c r="C1576" s="0" t="n">
        <v>30420</v>
      </c>
    </row>
    <row r="1577" customFormat="false" ht="12.75" hidden="false" customHeight="false" outlineLevel="0" collapsed="false">
      <c r="A1577" s="0" t="s">
        <v>29</v>
      </c>
      <c r="B1577" s="0" t="n">
        <v>58</v>
      </c>
      <c r="C1577" s="0" t="n">
        <v>30386</v>
      </c>
    </row>
    <row r="1578" customFormat="false" ht="12.75" hidden="false" customHeight="false" outlineLevel="0" collapsed="false">
      <c r="A1578" s="0" t="s">
        <v>30</v>
      </c>
      <c r="B1578" s="0" t="n">
        <v>9</v>
      </c>
      <c r="C1578" s="0" t="n">
        <v>30393</v>
      </c>
    </row>
    <row r="1579" customFormat="false" ht="12.75" hidden="false" customHeight="false" outlineLevel="0" collapsed="false">
      <c r="A1579" s="0" t="s">
        <v>31</v>
      </c>
      <c r="B1579" s="0" t="n">
        <v>35</v>
      </c>
      <c r="C1579" s="0" t="n">
        <v>30818</v>
      </c>
    </row>
    <row r="1580" customFormat="false" ht="12.75" hidden="false" customHeight="false" outlineLevel="0" collapsed="false">
      <c r="A1580" s="0" t="s">
        <v>33</v>
      </c>
      <c r="B1580" s="0" t="n">
        <v>132</v>
      </c>
      <c r="C1580" s="0" t="n">
        <v>34044</v>
      </c>
    </row>
    <row r="1581" customFormat="false" ht="12.75" hidden="false" customHeight="false" outlineLevel="0" collapsed="false">
      <c r="A1581" s="0" t="s">
        <v>34</v>
      </c>
      <c r="B1581" s="0" t="n">
        <v>3</v>
      </c>
      <c r="C1581" s="0" t="n">
        <v>34082</v>
      </c>
    </row>
    <row r="1582" customFormat="false" ht="12.75" hidden="false" customHeight="false" outlineLevel="0" collapsed="false">
      <c r="A1582" s="0" t="s">
        <v>35</v>
      </c>
      <c r="B1582" s="0" t="n">
        <v>1</v>
      </c>
      <c r="C1582" s="0" t="n">
        <v>34600</v>
      </c>
    </row>
    <row r="1583" customFormat="false" ht="12.75" hidden="false" customHeight="false" outlineLevel="0" collapsed="false">
      <c r="A1583" s="0" t="s">
        <v>36</v>
      </c>
      <c r="B1583" s="0" t="n">
        <v>72</v>
      </c>
      <c r="C1583" s="0" t="n">
        <v>34530</v>
      </c>
    </row>
    <row r="1584" customFormat="false" ht="12.75" hidden="false" customHeight="false" outlineLevel="0" collapsed="false">
      <c r="A1584" s="0" t="s">
        <v>37</v>
      </c>
      <c r="B1584" s="0" t="n">
        <v>126</v>
      </c>
      <c r="C1584" s="0" t="n">
        <v>35459</v>
      </c>
    </row>
    <row r="1585" customFormat="false" ht="12.75" hidden="false" customHeight="false" outlineLevel="0" collapsed="false">
      <c r="A1585" s="0" t="s">
        <v>38</v>
      </c>
      <c r="B1585" s="0" t="n">
        <v>26</v>
      </c>
      <c r="C1585" s="0" t="n">
        <v>35458</v>
      </c>
    </row>
    <row r="1586" customFormat="false" ht="12.75" hidden="false" customHeight="false" outlineLevel="0" collapsed="false">
      <c r="A1586" s="0" t="s">
        <v>39</v>
      </c>
      <c r="B1586" s="0" t="n">
        <v>41</v>
      </c>
      <c r="C1586" s="0" t="n">
        <v>35460</v>
      </c>
    </row>
    <row r="1587" customFormat="false" ht="12.75" hidden="false" customHeight="false" outlineLevel="0" collapsed="false">
      <c r="A1587" s="0" t="s">
        <v>40</v>
      </c>
      <c r="B1587" s="0" t="n">
        <v>2</v>
      </c>
      <c r="C1587" s="0" t="n">
        <v>39476</v>
      </c>
    </row>
    <row r="1588" customFormat="false" ht="12.75" hidden="false" customHeight="false" outlineLevel="0" collapsed="false">
      <c r="A1588" s="0" t="s">
        <v>41</v>
      </c>
      <c r="B1588" s="0" t="n">
        <v>7</v>
      </c>
      <c r="C1588" s="0" t="n">
        <v>39846</v>
      </c>
    </row>
    <row r="1589" customFormat="false" ht="12.75" hidden="false" customHeight="false" outlineLevel="0" collapsed="false">
      <c r="A1589" s="0" t="s">
        <v>42</v>
      </c>
      <c r="B1589" s="0" t="n">
        <v>7</v>
      </c>
      <c r="C1589" s="0" t="n">
        <v>40073</v>
      </c>
    </row>
    <row r="1590" customFormat="false" ht="12.75" hidden="false" customHeight="false" outlineLevel="0" collapsed="false">
      <c r="A1590" s="0" t="s">
        <v>43</v>
      </c>
      <c r="B1590" s="0" t="n">
        <v>19</v>
      </c>
      <c r="C1590" s="0" t="n">
        <v>40061</v>
      </c>
    </row>
    <row r="1591" customFormat="false" ht="12.75" hidden="false" customHeight="false" outlineLevel="0" collapsed="false">
      <c r="A1591" s="0" t="s">
        <v>44</v>
      </c>
      <c r="B1591" s="3" t="n">
        <v>1643</v>
      </c>
      <c r="C1591" s="0" t="n">
        <v>38524</v>
      </c>
    </row>
    <row r="1592" customFormat="false" ht="12.75" hidden="false" customHeight="false" outlineLevel="0" collapsed="false">
      <c r="A1592" s="0" t="s">
        <v>45</v>
      </c>
      <c r="B1592" s="0" t="n">
        <v>71</v>
      </c>
      <c r="C1592" s="0" t="n">
        <v>38987</v>
      </c>
    </row>
    <row r="1593" customFormat="false" ht="12.75" hidden="false" customHeight="false" outlineLevel="0" collapsed="false">
      <c r="A1593" s="0" t="s">
        <v>46</v>
      </c>
      <c r="B1593" s="0" t="n">
        <v>2</v>
      </c>
      <c r="C1593" s="0" t="n">
        <v>39032</v>
      </c>
    </row>
    <row r="1594" customFormat="false" ht="12.75" hidden="false" customHeight="false" outlineLevel="0" collapsed="false">
      <c r="A1594" s="0" t="s">
        <v>47</v>
      </c>
      <c r="B1594" s="0" t="n">
        <v>61</v>
      </c>
      <c r="C1594" s="0" t="n">
        <v>39518</v>
      </c>
    </row>
    <row r="1595" customFormat="false" ht="12.75" hidden="false" customHeight="false" outlineLevel="0" collapsed="false">
      <c r="A1595" s="0" t="s">
        <v>48</v>
      </c>
      <c r="B1595" s="0" t="n">
        <v>40</v>
      </c>
      <c r="C1595" s="0" t="n">
        <v>40490</v>
      </c>
    </row>
    <row r="1596" customFormat="false" ht="12.75" hidden="false" customHeight="false" outlineLevel="0" collapsed="false">
      <c r="A1596" s="0" t="s">
        <v>49</v>
      </c>
      <c r="B1596" s="0" t="n">
        <v>1</v>
      </c>
      <c r="C1596" s="0" t="n">
        <v>40621</v>
      </c>
    </row>
    <row r="1597" customFormat="false" ht="12.75" hidden="false" customHeight="false" outlineLevel="0" collapsed="false">
      <c r="A1597" s="0" t="s">
        <v>50</v>
      </c>
      <c r="B1597" s="0" t="n">
        <v>22</v>
      </c>
      <c r="C1597" s="0" t="n">
        <v>40716</v>
      </c>
    </row>
    <row r="1598" customFormat="false" ht="12.75" hidden="false" customHeight="false" outlineLevel="0" collapsed="false">
      <c r="A1598" s="0" t="s">
        <v>51</v>
      </c>
      <c r="B1598" s="0" t="n">
        <v>21</v>
      </c>
      <c r="C1598" s="0" t="n">
        <v>40796</v>
      </c>
    </row>
    <row r="1599" customFormat="false" ht="12.75" hidden="false" customHeight="false" outlineLevel="0" collapsed="false">
      <c r="A1599" s="0" t="s">
        <v>148</v>
      </c>
      <c r="B1599" s="3" t="n">
        <v>15983</v>
      </c>
      <c r="C1599" s="0" t="n">
        <v>24822</v>
      </c>
    </row>
    <row r="1600" customFormat="false" ht="12.75" hidden="false" customHeight="false" outlineLevel="0" collapsed="false">
      <c r="A1600" s="0" t="s">
        <v>1</v>
      </c>
      <c r="B1600" s="0" t="n">
        <v>37</v>
      </c>
      <c r="C1600" s="0" t="n">
        <v>37450</v>
      </c>
    </row>
    <row r="1601" customFormat="false" ht="12.75" hidden="false" customHeight="false" outlineLevel="0" collapsed="false">
      <c r="A1601" s="0" t="s">
        <v>2</v>
      </c>
      <c r="B1601" s="0" t="n">
        <v>12</v>
      </c>
      <c r="C1601" s="0" t="n">
        <v>37722</v>
      </c>
    </row>
    <row r="1602" customFormat="false" ht="12.75" hidden="false" customHeight="false" outlineLevel="0" collapsed="false">
      <c r="A1602" s="0" t="s">
        <v>3</v>
      </c>
      <c r="B1602" s="0" t="n">
        <v>96</v>
      </c>
      <c r="C1602" s="0" t="n">
        <v>37629</v>
      </c>
    </row>
    <row r="1603" customFormat="false" ht="12.75" hidden="false" customHeight="false" outlineLevel="0" collapsed="false">
      <c r="A1603" s="0" t="s">
        <v>4</v>
      </c>
      <c r="B1603" s="0" t="n">
        <v>38</v>
      </c>
      <c r="C1603" s="0" t="n">
        <v>37642</v>
      </c>
    </row>
    <row r="1604" customFormat="false" ht="12.75" hidden="false" customHeight="false" outlineLevel="0" collapsed="false">
      <c r="A1604" s="0" t="s">
        <v>5</v>
      </c>
      <c r="B1604" s="3" t="n">
        <v>1441</v>
      </c>
      <c r="C1604" s="0" t="n">
        <v>36237</v>
      </c>
    </row>
    <row r="1605" customFormat="false" ht="12.75" hidden="false" customHeight="false" outlineLevel="0" collapsed="false">
      <c r="A1605" s="0" t="s">
        <v>6</v>
      </c>
      <c r="B1605" s="0" t="n">
        <v>216</v>
      </c>
      <c r="C1605" s="0" t="n">
        <v>36307</v>
      </c>
    </row>
    <row r="1606" customFormat="false" ht="12.75" hidden="false" customHeight="false" outlineLevel="0" collapsed="false">
      <c r="A1606" s="0" t="s">
        <v>7</v>
      </c>
      <c r="B1606" s="3" t="n">
        <v>1981</v>
      </c>
      <c r="C1606" s="0" t="n">
        <v>34440</v>
      </c>
    </row>
    <row r="1607" customFormat="false" ht="12.75" hidden="false" customHeight="false" outlineLevel="0" collapsed="false">
      <c r="A1607" s="0" t="s">
        <v>8</v>
      </c>
      <c r="B1607" s="0" t="n">
        <v>237</v>
      </c>
      <c r="C1607" s="0" t="n">
        <v>34363</v>
      </c>
    </row>
    <row r="1608" customFormat="false" ht="12.75" hidden="false" customHeight="false" outlineLevel="0" collapsed="false">
      <c r="A1608" s="0" t="s">
        <v>9</v>
      </c>
      <c r="B1608" s="0" t="n">
        <v>368</v>
      </c>
      <c r="C1608" s="0" t="n">
        <v>34083</v>
      </c>
    </row>
    <row r="1609" customFormat="false" ht="12.75" hidden="false" customHeight="false" outlineLevel="0" collapsed="false">
      <c r="A1609" s="0" t="s">
        <v>10</v>
      </c>
      <c r="B1609" s="3" t="n">
        <v>1484</v>
      </c>
      <c r="C1609" s="0" t="n">
        <v>32749</v>
      </c>
    </row>
    <row r="1610" customFormat="false" ht="12.75" hidden="false" customHeight="false" outlineLevel="0" collapsed="false">
      <c r="A1610" s="0" t="s">
        <v>11</v>
      </c>
      <c r="B1610" s="0" t="n">
        <v>272</v>
      </c>
      <c r="C1610" s="0" t="n">
        <v>33704</v>
      </c>
    </row>
    <row r="1611" customFormat="false" ht="12.75" hidden="false" customHeight="false" outlineLevel="0" collapsed="false">
      <c r="A1611" s="0" t="s">
        <v>12</v>
      </c>
      <c r="B1611" s="0" t="n">
        <v>16</v>
      </c>
      <c r="C1611" s="0" t="n">
        <v>35238</v>
      </c>
    </row>
    <row r="1612" customFormat="false" ht="12.75" hidden="false" customHeight="false" outlineLevel="0" collapsed="false">
      <c r="A1612" s="0" t="s">
        <v>13</v>
      </c>
      <c r="B1612" s="0" t="n">
        <v>9</v>
      </c>
      <c r="C1612" s="0" t="n">
        <v>35234</v>
      </c>
    </row>
    <row r="1613" customFormat="false" ht="12.75" hidden="false" customHeight="false" outlineLevel="0" collapsed="false">
      <c r="A1613" s="0" t="s">
        <v>14</v>
      </c>
      <c r="B1613" s="0" t="n">
        <v>655</v>
      </c>
      <c r="C1613" s="0" t="n">
        <v>34587</v>
      </c>
    </row>
    <row r="1614" customFormat="false" ht="12.75" hidden="false" customHeight="false" outlineLevel="0" collapsed="false">
      <c r="A1614" s="0" t="s">
        <v>15</v>
      </c>
      <c r="B1614" s="0" t="n">
        <v>90</v>
      </c>
      <c r="C1614" s="0" t="n">
        <v>34794</v>
      </c>
    </row>
    <row r="1615" customFormat="false" ht="12.75" hidden="false" customHeight="false" outlineLevel="0" collapsed="false">
      <c r="A1615" s="0" t="s">
        <v>16</v>
      </c>
      <c r="B1615" s="0" t="n">
        <v>54</v>
      </c>
      <c r="C1615" s="0" t="n">
        <v>34858</v>
      </c>
    </row>
    <row r="1616" customFormat="false" ht="12.75" hidden="false" customHeight="false" outlineLevel="0" collapsed="false">
      <c r="A1616" s="0" t="s">
        <v>17</v>
      </c>
      <c r="B1616" s="0" t="n">
        <v>62</v>
      </c>
      <c r="C1616" s="0" t="n">
        <v>34830</v>
      </c>
    </row>
    <row r="1617" customFormat="false" ht="12.75" hidden="false" customHeight="false" outlineLevel="0" collapsed="false">
      <c r="A1617" s="0" t="s">
        <v>18</v>
      </c>
      <c r="B1617" s="0" t="n">
        <v>108</v>
      </c>
      <c r="C1617" s="0" t="n">
        <v>34766</v>
      </c>
    </row>
    <row r="1618" customFormat="false" ht="12.75" hidden="false" customHeight="false" outlineLevel="0" collapsed="false">
      <c r="A1618" s="0" t="s">
        <v>19</v>
      </c>
      <c r="B1618" s="0" t="n">
        <v>80</v>
      </c>
      <c r="C1618" s="0" t="n">
        <v>34874</v>
      </c>
    </row>
    <row r="1619" customFormat="false" ht="12.75" hidden="false" customHeight="false" outlineLevel="0" collapsed="false">
      <c r="A1619" s="0" t="s">
        <v>20</v>
      </c>
      <c r="B1619" s="0" t="n">
        <v>200</v>
      </c>
      <c r="C1619" s="0" t="n">
        <v>34751</v>
      </c>
    </row>
    <row r="1620" customFormat="false" ht="12.75" hidden="false" customHeight="false" outlineLevel="0" collapsed="false">
      <c r="A1620" s="0" t="s">
        <v>21</v>
      </c>
      <c r="B1620" s="3" t="n">
        <v>1274</v>
      </c>
      <c r="C1620" s="0" t="n">
        <v>33493</v>
      </c>
    </row>
    <row r="1621" customFormat="false" ht="12.75" hidden="false" customHeight="false" outlineLevel="0" collapsed="false">
      <c r="A1621" s="0" t="s">
        <v>22</v>
      </c>
      <c r="B1621" s="3" t="n">
        <v>2384</v>
      </c>
      <c r="C1621" s="0" t="n">
        <v>31978</v>
      </c>
    </row>
    <row r="1622" customFormat="false" ht="12.75" hidden="false" customHeight="false" outlineLevel="0" collapsed="false">
      <c r="A1622" s="0" t="s">
        <v>23</v>
      </c>
      <c r="B1622" s="0" t="n">
        <v>550</v>
      </c>
      <c r="C1622" s="0" t="n">
        <v>31480</v>
      </c>
    </row>
    <row r="1623" customFormat="false" ht="12.75" hidden="false" customHeight="false" outlineLevel="0" collapsed="false">
      <c r="A1623" s="0" t="s">
        <v>24</v>
      </c>
      <c r="B1623" s="0" t="n">
        <v>227</v>
      </c>
      <c r="C1623" s="0" t="n">
        <v>31370</v>
      </c>
    </row>
    <row r="1624" customFormat="false" ht="12.75" hidden="false" customHeight="false" outlineLevel="0" collapsed="false">
      <c r="A1624" s="0" t="s">
        <v>25</v>
      </c>
      <c r="B1624" s="0" t="n">
        <v>37</v>
      </c>
      <c r="C1624" s="0" t="n">
        <v>31397</v>
      </c>
    </row>
    <row r="1625" customFormat="false" ht="12.75" hidden="false" customHeight="false" outlineLevel="0" collapsed="false">
      <c r="A1625" s="0" t="s">
        <v>26</v>
      </c>
      <c r="B1625" s="0" t="n">
        <v>97</v>
      </c>
      <c r="C1625" s="0" t="n">
        <v>31374</v>
      </c>
    </row>
    <row r="1626" customFormat="false" ht="12.75" hidden="false" customHeight="false" outlineLevel="0" collapsed="false">
      <c r="A1626" s="0" t="s">
        <v>27</v>
      </c>
      <c r="B1626" s="0" t="n">
        <v>13</v>
      </c>
      <c r="C1626" s="0" t="n">
        <v>31474</v>
      </c>
    </row>
    <row r="1627" customFormat="false" ht="12.75" hidden="false" customHeight="false" outlineLevel="0" collapsed="false">
      <c r="A1627" s="0" t="s">
        <v>28</v>
      </c>
      <c r="B1627" s="0" t="n">
        <v>24</v>
      </c>
      <c r="C1627" s="0" t="n">
        <v>31454</v>
      </c>
    </row>
    <row r="1628" customFormat="false" ht="12.75" hidden="false" customHeight="false" outlineLevel="0" collapsed="false">
      <c r="A1628" s="0" t="s">
        <v>29</v>
      </c>
      <c r="B1628" s="0" t="n">
        <v>16</v>
      </c>
      <c r="C1628" s="0" t="n">
        <v>31449</v>
      </c>
    </row>
    <row r="1629" customFormat="false" ht="12.75" hidden="false" customHeight="false" outlineLevel="0" collapsed="false">
      <c r="A1629" s="0" t="s">
        <v>30</v>
      </c>
      <c r="B1629" s="0" t="n">
        <v>460</v>
      </c>
      <c r="C1629" s="0" t="n">
        <v>30995</v>
      </c>
    </row>
    <row r="1630" customFormat="false" ht="12.75" hidden="false" customHeight="false" outlineLevel="0" collapsed="false">
      <c r="A1630" s="0" t="s">
        <v>31</v>
      </c>
      <c r="B1630" s="3" t="n">
        <v>3358</v>
      </c>
      <c r="C1630" s="0" t="n">
        <v>27665</v>
      </c>
    </row>
    <row r="1631" customFormat="false" ht="12.75" hidden="false" customHeight="false" outlineLevel="0" collapsed="false">
      <c r="A1631" s="0" t="s">
        <v>32</v>
      </c>
      <c r="B1631" s="0" t="n">
        <v>41</v>
      </c>
      <c r="C1631" s="0" t="n">
        <v>28334</v>
      </c>
    </row>
    <row r="1632" customFormat="false" ht="12.75" hidden="false" customHeight="false" outlineLevel="0" collapsed="false">
      <c r="A1632" s="0" t="s">
        <v>34</v>
      </c>
      <c r="B1632" s="0" t="n">
        <v>519</v>
      </c>
      <c r="C1632" s="0" t="n">
        <v>27825</v>
      </c>
    </row>
    <row r="1633" customFormat="false" ht="12.75" hidden="false" customHeight="false" outlineLevel="0" collapsed="false">
      <c r="A1633" s="0" t="s">
        <v>35</v>
      </c>
      <c r="B1633" s="0" t="n">
        <v>2</v>
      </c>
      <c r="C1633" s="0" t="n">
        <v>28663</v>
      </c>
    </row>
    <row r="1634" customFormat="false" ht="12.75" hidden="false" customHeight="false" outlineLevel="0" collapsed="false">
      <c r="A1634" s="0" t="s">
        <v>36</v>
      </c>
      <c r="B1634" s="3" t="n">
        <v>1055</v>
      </c>
      <c r="C1634" s="0" t="n">
        <v>27611</v>
      </c>
    </row>
    <row r="1635" customFormat="false" ht="12.75" hidden="false" customHeight="false" outlineLevel="0" collapsed="false">
      <c r="A1635" s="0" t="s">
        <v>37</v>
      </c>
      <c r="B1635" s="0" t="n">
        <v>25</v>
      </c>
      <c r="C1635" s="0" t="n">
        <v>28186</v>
      </c>
    </row>
    <row r="1636" customFormat="false" ht="12.75" hidden="false" customHeight="false" outlineLevel="0" collapsed="false">
      <c r="A1636" s="0" t="s">
        <v>38</v>
      </c>
      <c r="B1636" s="0" t="n">
        <v>43</v>
      </c>
      <c r="C1636" s="0" t="n">
        <v>28180</v>
      </c>
    </row>
    <row r="1637" customFormat="false" ht="12.75" hidden="false" customHeight="false" outlineLevel="0" collapsed="false">
      <c r="A1637" s="0" t="s">
        <v>39</v>
      </c>
      <c r="B1637" s="3" t="n">
        <v>4018</v>
      </c>
      <c r="C1637" s="0" t="n">
        <v>24177</v>
      </c>
    </row>
    <row r="1638" customFormat="false" ht="12.75" hidden="false" customHeight="false" outlineLevel="0" collapsed="false">
      <c r="A1638" s="0" t="s">
        <v>40</v>
      </c>
      <c r="B1638" s="0" t="n">
        <v>377</v>
      </c>
      <c r="C1638" s="0" t="n">
        <v>24926</v>
      </c>
    </row>
    <row r="1639" customFormat="false" ht="12.75" hidden="false" customHeight="false" outlineLevel="0" collapsed="false">
      <c r="A1639" s="0" t="s">
        <v>41</v>
      </c>
      <c r="B1639" s="0" t="n">
        <v>234</v>
      </c>
      <c r="C1639" s="0" t="n">
        <v>24717</v>
      </c>
    </row>
    <row r="1640" customFormat="false" ht="12.75" hidden="false" customHeight="false" outlineLevel="0" collapsed="false">
      <c r="A1640" s="0" t="s">
        <v>42</v>
      </c>
      <c r="B1640" s="0" t="n">
        <v>7</v>
      </c>
      <c r="C1640" s="0" t="n">
        <v>27515</v>
      </c>
    </row>
    <row r="1641" customFormat="false" ht="12.75" hidden="false" customHeight="false" outlineLevel="0" collapsed="false">
      <c r="A1641" s="0" t="s">
        <v>43</v>
      </c>
      <c r="B1641" s="0" t="n">
        <v>106</v>
      </c>
      <c r="C1641" s="0" t="n">
        <v>27414</v>
      </c>
    </row>
    <row r="1642" customFormat="false" ht="12.75" hidden="false" customHeight="false" outlineLevel="0" collapsed="false">
      <c r="A1642" s="0" t="s">
        <v>44</v>
      </c>
      <c r="B1642" s="0" t="n">
        <v>534</v>
      </c>
      <c r="C1642" s="0" t="n">
        <v>27495</v>
      </c>
    </row>
    <row r="1643" customFormat="false" ht="12.75" hidden="false" customHeight="false" outlineLevel="0" collapsed="false">
      <c r="A1643" s="0" t="s">
        <v>45</v>
      </c>
      <c r="B1643" s="0" t="n">
        <v>47</v>
      </c>
      <c r="C1643" s="0" t="n">
        <v>27685</v>
      </c>
    </row>
    <row r="1644" customFormat="false" ht="12.75" hidden="false" customHeight="false" outlineLevel="0" collapsed="false">
      <c r="A1644" s="0" t="s">
        <v>46</v>
      </c>
      <c r="B1644" s="0" t="n">
        <v>547</v>
      </c>
      <c r="C1644" s="0" t="n">
        <v>27149</v>
      </c>
    </row>
    <row r="1645" customFormat="false" ht="12.75" hidden="false" customHeight="false" outlineLevel="0" collapsed="false">
      <c r="A1645" s="0" t="s">
        <v>47</v>
      </c>
      <c r="B1645" s="3" t="n">
        <v>1012</v>
      </c>
      <c r="C1645" s="0" t="n">
        <v>26158</v>
      </c>
    </row>
    <row r="1646" customFormat="false" ht="12.75" hidden="false" customHeight="false" outlineLevel="0" collapsed="false">
      <c r="A1646" s="0" t="s">
        <v>48</v>
      </c>
      <c r="B1646" s="0" t="n">
        <v>132</v>
      </c>
      <c r="C1646" s="0" t="n">
        <v>29787</v>
      </c>
    </row>
    <row r="1647" customFormat="false" ht="12.75" hidden="false" customHeight="false" outlineLevel="0" collapsed="false">
      <c r="A1647" s="0" t="s">
        <v>49</v>
      </c>
      <c r="B1647" s="0" t="n">
        <v>117</v>
      </c>
      <c r="C1647" s="0" t="n">
        <v>29711</v>
      </c>
    </row>
    <row r="1648" customFormat="false" ht="12.75" hidden="false" customHeight="false" outlineLevel="0" collapsed="false">
      <c r="A1648" s="0" t="s">
        <v>50</v>
      </c>
      <c r="B1648" s="0" t="n">
        <v>101</v>
      </c>
      <c r="C1648" s="0" t="n">
        <v>29959</v>
      </c>
    </row>
    <row r="1649" customFormat="false" ht="12.75" hidden="false" customHeight="false" outlineLevel="0" collapsed="false">
      <c r="A1649" s="0" t="s">
        <v>51</v>
      </c>
      <c r="B1649" s="0" t="n">
        <v>9</v>
      </c>
      <c r="C1649" s="0" t="n">
        <v>30032</v>
      </c>
    </row>
    <row r="1650" customFormat="false" ht="12.75" hidden="false" customHeight="false" outlineLevel="0" collapsed="false">
      <c r="A1650" s="0" t="s">
        <v>149</v>
      </c>
      <c r="B1650" s="3" t="n">
        <v>12665</v>
      </c>
      <c r="C1650" s="0" t="n">
        <v>17369</v>
      </c>
    </row>
    <row r="1651" customFormat="false" ht="12.75" hidden="false" customHeight="false" outlineLevel="0" collapsed="false">
      <c r="A1651" s="0" t="s">
        <v>1</v>
      </c>
      <c r="B1651" s="0" t="n">
        <v>284</v>
      </c>
      <c r="C1651" s="0" t="n">
        <v>19474</v>
      </c>
    </row>
    <row r="1652" customFormat="false" ht="12.75" hidden="false" customHeight="false" outlineLevel="0" collapsed="false">
      <c r="A1652" s="0" t="s">
        <v>2</v>
      </c>
      <c r="B1652" s="0" t="n">
        <v>3</v>
      </c>
      <c r="C1652" s="0" t="n">
        <v>19473</v>
      </c>
    </row>
    <row r="1653" customFormat="false" ht="12.75" hidden="false" customHeight="false" outlineLevel="0" collapsed="false">
      <c r="A1653" s="0" t="s">
        <v>3</v>
      </c>
      <c r="B1653" s="0" t="n">
        <v>51</v>
      </c>
      <c r="C1653" s="0" t="n">
        <v>19423</v>
      </c>
    </row>
    <row r="1654" customFormat="false" ht="12.75" hidden="false" customHeight="false" outlineLevel="0" collapsed="false">
      <c r="A1654" s="0" t="s">
        <v>4</v>
      </c>
      <c r="B1654" s="0" t="n">
        <v>36</v>
      </c>
      <c r="C1654" s="0" t="n">
        <v>19396</v>
      </c>
    </row>
    <row r="1655" customFormat="false" ht="12.75" hidden="false" customHeight="false" outlineLevel="0" collapsed="false">
      <c r="A1655" s="0" t="s">
        <v>5</v>
      </c>
      <c r="B1655" s="0" t="n">
        <v>286</v>
      </c>
      <c r="C1655" s="0" t="n">
        <v>19115</v>
      </c>
    </row>
    <row r="1656" customFormat="false" ht="12.75" hidden="false" customHeight="false" outlineLevel="0" collapsed="false">
      <c r="A1656" s="0" t="s">
        <v>6</v>
      </c>
      <c r="B1656" s="0" t="n">
        <v>114</v>
      </c>
      <c r="C1656" s="0" t="n">
        <v>19023</v>
      </c>
    </row>
    <row r="1657" customFormat="false" ht="12.75" hidden="false" customHeight="false" outlineLevel="0" collapsed="false">
      <c r="A1657" s="0" t="s">
        <v>7</v>
      </c>
      <c r="B1657" s="0" t="n">
        <v>160</v>
      </c>
      <c r="C1657" s="0" t="n">
        <v>18918</v>
      </c>
    </row>
    <row r="1658" customFormat="false" ht="12.75" hidden="false" customHeight="false" outlineLevel="0" collapsed="false">
      <c r="A1658" s="0" t="s">
        <v>8</v>
      </c>
      <c r="B1658" s="0" t="n">
        <v>88</v>
      </c>
      <c r="C1658" s="0" t="n">
        <v>18840</v>
      </c>
    </row>
    <row r="1659" customFormat="false" ht="12.75" hidden="false" customHeight="false" outlineLevel="0" collapsed="false">
      <c r="A1659" s="0" t="s">
        <v>9</v>
      </c>
      <c r="B1659" s="0" t="n">
        <v>150</v>
      </c>
      <c r="C1659" s="0" t="n">
        <v>18690</v>
      </c>
    </row>
    <row r="1660" customFormat="false" ht="12.75" hidden="false" customHeight="false" outlineLevel="0" collapsed="false">
      <c r="A1660" s="0" t="s">
        <v>10</v>
      </c>
      <c r="B1660" s="3" t="n">
        <v>1227</v>
      </c>
      <c r="C1660" s="0" t="n">
        <v>17464</v>
      </c>
    </row>
    <row r="1661" customFormat="false" ht="12.75" hidden="false" customHeight="false" outlineLevel="0" collapsed="false">
      <c r="A1661" s="0" t="s">
        <v>11</v>
      </c>
      <c r="B1661" s="3" t="n">
        <v>1550</v>
      </c>
      <c r="C1661" s="0" t="n">
        <v>15924</v>
      </c>
    </row>
    <row r="1662" customFormat="false" ht="12.75" hidden="false" customHeight="false" outlineLevel="0" collapsed="false">
      <c r="A1662" s="0" t="s">
        <v>12</v>
      </c>
      <c r="B1662" s="0" t="n">
        <v>5</v>
      </c>
      <c r="C1662" s="0" t="n">
        <v>15929</v>
      </c>
    </row>
    <row r="1663" customFormat="false" ht="12.75" hidden="false" customHeight="false" outlineLevel="0" collapsed="false">
      <c r="A1663" s="0" t="s">
        <v>13</v>
      </c>
      <c r="B1663" s="0" t="n">
        <v>8</v>
      </c>
      <c r="C1663" s="0" t="n">
        <v>15921</v>
      </c>
    </row>
    <row r="1664" customFormat="false" ht="12.75" hidden="false" customHeight="false" outlineLevel="0" collapsed="false">
      <c r="A1664" s="0" t="s">
        <v>14</v>
      </c>
      <c r="B1664" s="0" t="n">
        <v>297</v>
      </c>
      <c r="C1664" s="0" t="n">
        <v>15629</v>
      </c>
    </row>
    <row r="1665" customFormat="false" ht="12.75" hidden="false" customHeight="false" outlineLevel="0" collapsed="false">
      <c r="A1665" s="0" t="s">
        <v>15</v>
      </c>
      <c r="B1665" s="0" t="n">
        <v>118</v>
      </c>
      <c r="C1665" s="0" t="n">
        <v>15540</v>
      </c>
    </row>
    <row r="1666" customFormat="false" ht="12.75" hidden="false" customHeight="false" outlineLevel="0" collapsed="false">
      <c r="A1666" s="0" t="s">
        <v>16</v>
      </c>
      <c r="B1666" s="0" t="n">
        <v>34</v>
      </c>
      <c r="C1666" s="0" t="n">
        <v>15514</v>
      </c>
    </row>
    <row r="1667" customFormat="false" ht="12.75" hidden="false" customHeight="false" outlineLevel="0" collapsed="false">
      <c r="A1667" s="0" t="s">
        <v>17</v>
      </c>
      <c r="B1667" s="0" t="n">
        <v>44</v>
      </c>
      <c r="C1667" s="0" t="n">
        <v>15490</v>
      </c>
    </row>
    <row r="1668" customFormat="false" ht="12.75" hidden="false" customHeight="false" outlineLevel="0" collapsed="false">
      <c r="A1668" s="0" t="s">
        <v>18</v>
      </c>
      <c r="B1668" s="0" t="n">
        <v>188</v>
      </c>
      <c r="C1668" s="0" t="n">
        <v>15333</v>
      </c>
    </row>
    <row r="1669" customFormat="false" ht="12.75" hidden="false" customHeight="false" outlineLevel="0" collapsed="false">
      <c r="A1669" s="0" t="s">
        <v>19</v>
      </c>
      <c r="B1669" s="0" t="n">
        <v>77</v>
      </c>
      <c r="C1669" s="0" t="n">
        <v>15256</v>
      </c>
    </row>
    <row r="1670" customFormat="false" ht="12.75" hidden="false" customHeight="false" outlineLevel="0" collapsed="false">
      <c r="A1670" s="0" t="s">
        <v>20</v>
      </c>
      <c r="B1670" s="0" t="n">
        <v>16</v>
      </c>
      <c r="C1670" s="0" t="n">
        <v>15245</v>
      </c>
    </row>
    <row r="1671" customFormat="false" ht="12.75" hidden="false" customHeight="false" outlineLevel="0" collapsed="false">
      <c r="A1671" s="0" t="s">
        <v>21</v>
      </c>
      <c r="B1671" s="0" t="n">
        <v>869</v>
      </c>
      <c r="C1671" s="0" t="n">
        <v>14376</v>
      </c>
    </row>
    <row r="1672" customFormat="false" ht="12.75" hidden="false" customHeight="false" outlineLevel="0" collapsed="false">
      <c r="A1672" s="0" t="s">
        <v>22</v>
      </c>
      <c r="B1672" s="0" t="n">
        <v>52</v>
      </c>
      <c r="C1672" s="0" t="n">
        <v>14324</v>
      </c>
    </row>
    <row r="1673" customFormat="false" ht="12.75" hidden="false" customHeight="false" outlineLevel="0" collapsed="false">
      <c r="A1673" s="0" t="s">
        <v>23</v>
      </c>
      <c r="B1673" s="0" t="n">
        <v>117</v>
      </c>
      <c r="C1673" s="0" t="n">
        <v>14207</v>
      </c>
    </row>
    <row r="1674" customFormat="false" ht="12.75" hidden="false" customHeight="false" outlineLevel="0" collapsed="false">
      <c r="A1674" s="0" t="s">
        <v>24</v>
      </c>
      <c r="B1674" s="0" t="n">
        <v>64</v>
      </c>
      <c r="C1674" s="0" t="n">
        <v>14185</v>
      </c>
    </row>
    <row r="1675" customFormat="false" ht="12.75" hidden="false" customHeight="false" outlineLevel="0" collapsed="false">
      <c r="A1675" s="0" t="s">
        <v>25</v>
      </c>
      <c r="B1675" s="0" t="n">
        <v>74</v>
      </c>
      <c r="C1675" s="0" t="n">
        <v>15338</v>
      </c>
    </row>
    <row r="1676" customFormat="false" ht="12.75" hidden="false" customHeight="false" outlineLevel="0" collapsed="false">
      <c r="A1676" s="0" t="s">
        <v>26</v>
      </c>
      <c r="B1676" s="0" t="n">
        <v>113</v>
      </c>
      <c r="C1676" s="0" t="n">
        <v>15231</v>
      </c>
    </row>
    <row r="1677" customFormat="false" ht="12.75" hidden="false" customHeight="false" outlineLevel="0" collapsed="false">
      <c r="A1677" s="0" t="s">
        <v>27</v>
      </c>
      <c r="B1677" s="0" t="n">
        <v>4</v>
      </c>
      <c r="C1677" s="0" t="n">
        <v>15230</v>
      </c>
    </row>
    <row r="1678" customFormat="false" ht="12.75" hidden="false" customHeight="false" outlineLevel="0" collapsed="false">
      <c r="A1678" s="0" t="s">
        <v>28</v>
      </c>
      <c r="B1678" s="0" t="n">
        <v>11</v>
      </c>
      <c r="C1678" s="0" t="n">
        <v>15405</v>
      </c>
    </row>
    <row r="1679" customFormat="false" ht="12.75" hidden="false" customHeight="false" outlineLevel="0" collapsed="false">
      <c r="A1679" s="0" t="s">
        <v>29</v>
      </c>
      <c r="B1679" s="0" t="n">
        <v>6</v>
      </c>
      <c r="C1679" s="0" t="n">
        <v>15432</v>
      </c>
    </row>
    <row r="1680" customFormat="false" ht="12.75" hidden="false" customHeight="false" outlineLevel="0" collapsed="false">
      <c r="A1680" s="0" t="s">
        <v>30</v>
      </c>
      <c r="B1680" s="0" t="n">
        <v>28</v>
      </c>
      <c r="C1680" s="0" t="n">
        <v>15406</v>
      </c>
    </row>
    <row r="1681" customFormat="false" ht="12.75" hidden="false" customHeight="false" outlineLevel="0" collapsed="false">
      <c r="A1681" s="0" t="s">
        <v>31</v>
      </c>
      <c r="B1681" s="0" t="n">
        <v>710</v>
      </c>
      <c r="C1681" s="0" t="n">
        <v>14696</v>
      </c>
    </row>
    <row r="1682" customFormat="false" ht="12.75" hidden="false" customHeight="false" outlineLevel="0" collapsed="false">
      <c r="A1682" s="0" t="s">
        <v>32</v>
      </c>
      <c r="B1682" s="0" t="n">
        <v>10</v>
      </c>
      <c r="C1682" s="0" t="n">
        <v>14697</v>
      </c>
    </row>
    <row r="1683" customFormat="false" ht="12.75" hidden="false" customHeight="false" outlineLevel="0" collapsed="false">
      <c r="A1683" s="0" t="s">
        <v>33</v>
      </c>
      <c r="B1683" s="0" t="n">
        <v>840</v>
      </c>
      <c r="C1683" s="0" t="n">
        <v>13860</v>
      </c>
    </row>
    <row r="1684" customFormat="false" ht="12.75" hidden="false" customHeight="false" outlineLevel="0" collapsed="false">
      <c r="A1684" s="0" t="s">
        <v>35</v>
      </c>
      <c r="B1684" s="0" t="n">
        <v>3</v>
      </c>
      <c r="C1684" s="0" t="n">
        <v>13857</v>
      </c>
    </row>
    <row r="1685" customFormat="false" ht="12.75" hidden="false" customHeight="false" outlineLevel="0" collapsed="false">
      <c r="A1685" s="0" t="s">
        <v>36</v>
      </c>
      <c r="B1685" s="0" t="n">
        <v>600</v>
      </c>
      <c r="C1685" s="0" t="n">
        <v>13257</v>
      </c>
    </row>
    <row r="1686" customFormat="false" ht="12.75" hidden="false" customHeight="false" outlineLevel="0" collapsed="false">
      <c r="A1686" s="0" t="s">
        <v>37</v>
      </c>
      <c r="B1686" s="0" t="n">
        <v>37</v>
      </c>
      <c r="C1686" s="0" t="n">
        <v>13220</v>
      </c>
    </row>
    <row r="1687" customFormat="false" ht="12.75" hidden="false" customHeight="false" outlineLevel="0" collapsed="false">
      <c r="A1687" s="0" t="s">
        <v>38</v>
      </c>
      <c r="B1687" s="0" t="n">
        <v>15</v>
      </c>
      <c r="C1687" s="0" t="n">
        <v>13210</v>
      </c>
    </row>
    <row r="1688" customFormat="false" ht="12.75" hidden="false" customHeight="false" outlineLevel="0" collapsed="false">
      <c r="A1688" s="0" t="s">
        <v>39</v>
      </c>
      <c r="B1688" s="3" t="n">
        <v>1126</v>
      </c>
      <c r="C1688" s="0" t="n">
        <v>12087</v>
      </c>
    </row>
    <row r="1689" customFormat="false" ht="12.75" hidden="false" customHeight="false" outlineLevel="0" collapsed="false">
      <c r="A1689" s="0" t="s">
        <v>40</v>
      </c>
      <c r="B1689" s="0" t="n">
        <v>25</v>
      </c>
      <c r="C1689" s="0" t="n">
        <v>12072</v>
      </c>
    </row>
    <row r="1690" customFormat="false" ht="12.75" hidden="false" customHeight="false" outlineLevel="0" collapsed="false">
      <c r="A1690" s="0" t="s">
        <v>41</v>
      </c>
      <c r="B1690" s="3" t="n">
        <v>2805</v>
      </c>
      <c r="C1690" s="0" t="n">
        <v>9267</v>
      </c>
    </row>
    <row r="1691" customFormat="false" ht="12.75" hidden="false" customHeight="false" outlineLevel="0" collapsed="false">
      <c r="A1691" s="0" t="s">
        <v>42</v>
      </c>
      <c r="B1691" s="0" t="n">
        <v>5</v>
      </c>
      <c r="C1691" s="0" t="n">
        <v>9264</v>
      </c>
    </row>
    <row r="1692" customFormat="false" ht="12.75" hidden="false" customHeight="false" outlineLevel="0" collapsed="false">
      <c r="A1692" s="0" t="s">
        <v>43</v>
      </c>
      <c r="B1692" s="0" t="n">
        <v>615</v>
      </c>
      <c r="C1692" s="0" t="n">
        <v>8939</v>
      </c>
    </row>
    <row r="1693" customFormat="false" ht="12.75" hidden="false" customHeight="false" outlineLevel="0" collapsed="false">
      <c r="A1693" s="0" t="s">
        <v>44</v>
      </c>
      <c r="B1693" s="0" t="n">
        <v>237</v>
      </c>
      <c r="C1693" s="0" t="n">
        <v>8707</v>
      </c>
    </row>
    <row r="1694" customFormat="false" ht="12.75" hidden="false" customHeight="false" outlineLevel="0" collapsed="false">
      <c r="A1694" s="0" t="s">
        <v>45</v>
      </c>
      <c r="B1694" s="0" t="n">
        <v>11</v>
      </c>
      <c r="C1694" s="0" t="n">
        <v>8751</v>
      </c>
    </row>
    <row r="1695" customFormat="false" ht="12.75" hidden="false" customHeight="false" outlineLevel="0" collapsed="false">
      <c r="A1695" s="0" t="s">
        <v>46</v>
      </c>
      <c r="B1695" s="0" t="n">
        <v>21</v>
      </c>
      <c r="C1695" s="0" t="n">
        <v>8732</v>
      </c>
    </row>
    <row r="1696" customFormat="false" ht="12.75" hidden="false" customHeight="false" outlineLevel="0" collapsed="false">
      <c r="A1696" s="0" t="s">
        <v>47</v>
      </c>
      <c r="B1696" s="3" t="n">
        <v>3761</v>
      </c>
      <c r="C1696" s="0" t="n">
        <v>4972</v>
      </c>
    </row>
    <row r="1697" customFormat="false" ht="12.75" hidden="false" customHeight="false" outlineLevel="0" collapsed="false">
      <c r="A1697" s="0" t="s">
        <v>48</v>
      </c>
      <c r="B1697" s="0" t="n">
        <v>41</v>
      </c>
      <c r="C1697" s="0" t="n">
        <v>4931</v>
      </c>
    </row>
    <row r="1698" customFormat="false" ht="12.75" hidden="false" customHeight="false" outlineLevel="0" collapsed="false">
      <c r="A1698" s="0" t="s">
        <v>49</v>
      </c>
      <c r="B1698" s="0" t="n">
        <v>349</v>
      </c>
      <c r="C1698" s="0" t="n">
        <v>4624</v>
      </c>
    </row>
    <row r="1699" customFormat="false" ht="12.75" hidden="false" customHeight="false" outlineLevel="0" collapsed="false">
      <c r="A1699" s="0" t="s">
        <v>50</v>
      </c>
      <c r="B1699" s="0" t="n">
        <v>82</v>
      </c>
      <c r="C1699" s="0" t="n">
        <v>4542</v>
      </c>
    </row>
    <row r="1700" customFormat="false" ht="12.75" hidden="false" customHeight="false" outlineLevel="0" collapsed="false">
      <c r="A1700" s="0" t="s">
        <v>51</v>
      </c>
      <c r="B1700" s="0" t="n">
        <v>2</v>
      </c>
      <c r="C1700" s="0" t="n">
        <v>4582</v>
      </c>
    </row>
    <row r="1701" customFormat="false" ht="12.75" hidden="false" customHeight="false" outlineLevel="0" collapsed="false">
      <c r="A1701" s="0" t="s">
        <v>150</v>
      </c>
      <c r="B1701" s="3" t="n">
        <v>2389</v>
      </c>
      <c r="C1701" s="0" t="n">
        <v>2214</v>
      </c>
    </row>
    <row r="1702" customFormat="false" ht="12.75" hidden="false" customHeight="false" outlineLevel="0" collapsed="false">
      <c r="A1702" s="0" t="s">
        <v>1</v>
      </c>
      <c r="B1702" s="0" t="n">
        <v>2</v>
      </c>
      <c r="C1702" s="0" t="n">
        <v>18209</v>
      </c>
    </row>
    <row r="1703" customFormat="false" ht="12.75" hidden="false" customHeight="false" outlineLevel="0" collapsed="false">
      <c r="A1703" s="0" t="s">
        <v>2</v>
      </c>
      <c r="B1703" s="0" t="n">
        <v>1</v>
      </c>
      <c r="C1703" s="0" t="n">
        <v>18304</v>
      </c>
    </row>
    <row r="1704" customFormat="false" ht="12.75" hidden="false" customHeight="false" outlineLevel="0" collapsed="false">
      <c r="A1704" s="0" t="s">
        <v>3</v>
      </c>
      <c r="B1704" s="0" t="n">
        <v>9</v>
      </c>
      <c r="C1704" s="0" t="n">
        <v>18303</v>
      </c>
    </row>
    <row r="1705" customFormat="false" ht="12.75" hidden="false" customHeight="false" outlineLevel="0" collapsed="false">
      <c r="A1705" s="0" t="s">
        <v>4</v>
      </c>
      <c r="B1705" s="0" t="n">
        <v>5</v>
      </c>
      <c r="C1705" s="0" t="n">
        <v>18362</v>
      </c>
    </row>
    <row r="1706" customFormat="false" ht="12.75" hidden="false" customHeight="false" outlineLevel="0" collapsed="false">
      <c r="A1706" s="0" t="s">
        <v>5</v>
      </c>
      <c r="B1706" s="0" t="n">
        <v>22</v>
      </c>
      <c r="C1706" s="0" t="n">
        <v>18397</v>
      </c>
    </row>
    <row r="1707" customFormat="false" ht="12.75" hidden="false" customHeight="false" outlineLevel="0" collapsed="false">
      <c r="A1707" s="0" t="s">
        <v>6</v>
      </c>
      <c r="B1707" s="0" t="n">
        <v>55</v>
      </c>
      <c r="C1707" s="0" t="n">
        <v>18993</v>
      </c>
    </row>
    <row r="1708" customFormat="false" ht="12.75" hidden="false" customHeight="false" outlineLevel="0" collapsed="false">
      <c r="A1708" s="0" t="s">
        <v>7</v>
      </c>
      <c r="B1708" s="0" t="n">
        <v>10</v>
      </c>
      <c r="C1708" s="0" t="n">
        <v>19102</v>
      </c>
    </row>
    <row r="1709" customFormat="false" ht="12.75" hidden="false" customHeight="false" outlineLevel="0" collapsed="false">
      <c r="A1709" s="0" t="s">
        <v>8</v>
      </c>
      <c r="B1709" s="0" t="s">
        <v>156</v>
      </c>
      <c r="C1709" s="0" t="n">
        <v>19225</v>
      </c>
    </row>
    <row r="1710" customFormat="false" ht="12.75" hidden="false" customHeight="false" outlineLevel="0" collapsed="false">
      <c r="A1710" s="0" t="s">
        <v>9</v>
      </c>
      <c r="B1710" s="0" t="n">
        <v>1</v>
      </c>
      <c r="C1710" s="0" t="n">
        <v>19259</v>
      </c>
    </row>
    <row r="1711" customFormat="false" ht="12.75" hidden="false" customHeight="false" outlineLevel="0" collapsed="false">
      <c r="A1711" s="0" t="s">
        <v>10</v>
      </c>
      <c r="B1711" s="0" t="n">
        <v>10</v>
      </c>
      <c r="C1711" s="0" t="n">
        <v>19288</v>
      </c>
    </row>
    <row r="1712" customFormat="false" ht="12.75" hidden="false" customHeight="false" outlineLevel="0" collapsed="false">
      <c r="A1712" s="0" t="s">
        <v>11</v>
      </c>
      <c r="B1712" s="0" t="n">
        <v>10</v>
      </c>
      <c r="C1712" s="0" t="n">
        <v>19931</v>
      </c>
    </row>
    <row r="1713" customFormat="false" ht="12.75" hidden="false" customHeight="false" outlineLevel="0" collapsed="false">
      <c r="A1713" s="0" t="s">
        <v>12</v>
      </c>
      <c r="B1713" s="0" t="s">
        <v>156</v>
      </c>
      <c r="C1713" s="0" t="n">
        <v>20297</v>
      </c>
    </row>
    <row r="1714" customFormat="false" ht="12.75" hidden="false" customHeight="false" outlineLevel="0" collapsed="false">
      <c r="A1714" s="0" t="s">
        <v>13</v>
      </c>
      <c r="B1714" s="0" t="n">
        <v>5</v>
      </c>
      <c r="C1714" s="0" t="n">
        <v>20301</v>
      </c>
    </row>
    <row r="1715" customFormat="false" ht="12.75" hidden="false" customHeight="false" outlineLevel="0" collapsed="false">
      <c r="A1715" s="0" t="s">
        <v>14</v>
      </c>
      <c r="B1715" s="0" t="n">
        <v>29</v>
      </c>
      <c r="C1715" s="0" t="n">
        <v>20280</v>
      </c>
    </row>
    <row r="1716" customFormat="false" ht="12.75" hidden="false" customHeight="false" outlineLevel="0" collapsed="false">
      <c r="A1716" s="0" t="s">
        <v>15</v>
      </c>
      <c r="B1716" s="0" t="n">
        <v>8</v>
      </c>
      <c r="C1716" s="0" t="n">
        <v>21074</v>
      </c>
    </row>
    <row r="1717" customFormat="false" ht="12.75" hidden="false" customHeight="false" outlineLevel="0" collapsed="false">
      <c r="A1717" s="0" t="s">
        <v>16</v>
      </c>
      <c r="B1717" s="0" t="n">
        <v>20</v>
      </c>
      <c r="C1717" s="0" t="n">
        <v>23031</v>
      </c>
    </row>
    <row r="1718" customFormat="false" ht="12.75" hidden="false" customHeight="false" outlineLevel="0" collapsed="false">
      <c r="A1718" s="0" t="s">
        <v>17</v>
      </c>
      <c r="B1718" s="0" t="n">
        <v>31</v>
      </c>
      <c r="C1718" s="0" t="n">
        <v>23106</v>
      </c>
    </row>
    <row r="1719" customFormat="false" ht="12.75" hidden="false" customHeight="false" outlineLevel="0" collapsed="false">
      <c r="A1719" s="0" t="s">
        <v>18</v>
      </c>
      <c r="B1719" s="0" t="s">
        <v>156</v>
      </c>
      <c r="C1719" s="0" t="n">
        <v>23213</v>
      </c>
    </row>
    <row r="1720" customFormat="false" ht="12.75" hidden="false" customHeight="false" outlineLevel="0" collapsed="false">
      <c r="A1720" s="0" t="s">
        <v>19</v>
      </c>
      <c r="B1720" s="0" t="n">
        <v>5</v>
      </c>
      <c r="C1720" s="0" t="n">
        <v>24989</v>
      </c>
    </row>
    <row r="1721" customFormat="false" ht="12.75" hidden="false" customHeight="false" outlineLevel="0" collapsed="false">
      <c r="A1721" s="0" t="s">
        <v>20</v>
      </c>
      <c r="B1721" s="0" t="s">
        <v>156</v>
      </c>
      <c r="C1721" s="0" t="n">
        <v>25036</v>
      </c>
    </row>
    <row r="1722" customFormat="false" ht="12.75" hidden="false" customHeight="false" outlineLevel="0" collapsed="false">
      <c r="A1722" s="0" t="s">
        <v>21</v>
      </c>
      <c r="B1722" s="0" t="s">
        <v>156</v>
      </c>
      <c r="C1722" s="0" t="n">
        <v>25059</v>
      </c>
    </row>
    <row r="1723" customFormat="false" ht="12.75" hidden="false" customHeight="false" outlineLevel="0" collapsed="false">
      <c r="A1723" s="0" t="s">
        <v>22</v>
      </c>
      <c r="B1723" s="0" t="s">
        <v>156</v>
      </c>
      <c r="C1723" s="0" t="n">
        <v>25386</v>
      </c>
    </row>
    <row r="1724" customFormat="false" ht="12.75" hidden="false" customHeight="false" outlineLevel="0" collapsed="false">
      <c r="A1724" s="0" t="s">
        <v>23</v>
      </c>
      <c r="B1724" s="0" t="n">
        <v>42</v>
      </c>
      <c r="C1724" s="0" t="n">
        <v>25501</v>
      </c>
    </row>
    <row r="1725" customFormat="false" ht="12.75" hidden="false" customHeight="false" outlineLevel="0" collapsed="false">
      <c r="A1725" s="0" t="s">
        <v>24</v>
      </c>
      <c r="B1725" s="3" t="n">
        <v>1227</v>
      </c>
      <c r="C1725" s="0" t="n">
        <v>27962</v>
      </c>
    </row>
    <row r="1726" customFormat="false" ht="12.75" hidden="false" customHeight="false" outlineLevel="0" collapsed="false">
      <c r="A1726" s="0" t="s">
        <v>25</v>
      </c>
      <c r="B1726" s="0" t="n">
        <v>6</v>
      </c>
      <c r="C1726" s="0" t="n">
        <v>28014</v>
      </c>
    </row>
    <row r="1727" customFormat="false" ht="12.75" hidden="false" customHeight="false" outlineLevel="0" collapsed="false">
      <c r="A1727" s="0" t="s">
        <v>26</v>
      </c>
      <c r="B1727" s="0" t="n">
        <v>3</v>
      </c>
      <c r="C1727" s="0" t="n">
        <v>28048</v>
      </c>
    </row>
    <row r="1728" customFormat="false" ht="12.75" hidden="false" customHeight="false" outlineLevel="0" collapsed="false">
      <c r="A1728" s="0" t="s">
        <v>27</v>
      </c>
      <c r="B1728" s="0" t="n">
        <v>186</v>
      </c>
      <c r="C1728" s="0" t="n">
        <v>28008</v>
      </c>
    </row>
    <row r="1729" customFormat="false" ht="12.75" hidden="false" customHeight="false" outlineLevel="0" collapsed="false">
      <c r="A1729" s="0" t="s">
        <v>28</v>
      </c>
      <c r="B1729" s="0" t="n">
        <v>33</v>
      </c>
      <c r="C1729" s="0" t="n">
        <v>27983</v>
      </c>
    </row>
    <row r="1730" customFormat="false" ht="12.75" hidden="false" customHeight="false" outlineLevel="0" collapsed="false">
      <c r="A1730" s="0" t="s">
        <v>29</v>
      </c>
      <c r="B1730" s="0" t="n">
        <v>2</v>
      </c>
      <c r="C1730" s="0" t="n">
        <v>28005</v>
      </c>
    </row>
    <row r="1731" customFormat="false" ht="12.75" hidden="false" customHeight="false" outlineLevel="0" collapsed="false">
      <c r="A1731" s="0" t="s">
        <v>30</v>
      </c>
      <c r="B1731" s="0" t="s">
        <v>156</v>
      </c>
      <c r="C1731" s="0" t="n">
        <v>28045</v>
      </c>
    </row>
    <row r="1732" customFormat="false" ht="12.75" hidden="false" customHeight="false" outlineLevel="0" collapsed="false">
      <c r="A1732" s="0" t="s">
        <v>31</v>
      </c>
      <c r="B1732" s="0" t="n">
        <v>11</v>
      </c>
      <c r="C1732" s="0" t="n">
        <v>28066</v>
      </c>
    </row>
    <row r="1733" customFormat="false" ht="12.75" hidden="false" customHeight="false" outlineLevel="0" collapsed="false">
      <c r="A1733" s="0" t="s">
        <v>32</v>
      </c>
      <c r="B1733" s="0" t="n">
        <v>3</v>
      </c>
      <c r="C1733" s="0" t="n">
        <v>28646</v>
      </c>
    </row>
    <row r="1734" customFormat="false" ht="12.75" hidden="false" customHeight="false" outlineLevel="0" collapsed="false">
      <c r="A1734" s="0" t="s">
        <v>33</v>
      </c>
      <c r="B1734" s="0" t="s">
        <v>156</v>
      </c>
      <c r="C1734" s="0" t="n">
        <v>28673</v>
      </c>
    </row>
    <row r="1735" customFormat="false" ht="12.75" hidden="false" customHeight="false" outlineLevel="0" collapsed="false">
      <c r="A1735" s="0" t="s">
        <v>34</v>
      </c>
      <c r="B1735" s="0" t="s">
        <v>156</v>
      </c>
      <c r="C1735" s="0" t="n">
        <v>29656</v>
      </c>
    </row>
    <row r="1736" customFormat="false" ht="12.75" hidden="false" customHeight="false" outlineLevel="0" collapsed="false">
      <c r="A1736" s="0" t="s">
        <v>36</v>
      </c>
      <c r="B1736" s="0" t="s">
        <v>156</v>
      </c>
      <c r="C1736" s="0" t="n">
        <v>29862</v>
      </c>
    </row>
    <row r="1737" customFormat="false" ht="12.75" hidden="false" customHeight="false" outlineLevel="0" collapsed="false">
      <c r="A1737" s="0" t="s">
        <v>37</v>
      </c>
      <c r="B1737" s="0" t="n">
        <v>5</v>
      </c>
      <c r="C1737" s="0" t="n">
        <v>29862</v>
      </c>
    </row>
    <row r="1738" customFormat="false" ht="12.75" hidden="false" customHeight="false" outlineLevel="0" collapsed="false">
      <c r="A1738" s="0" t="s">
        <v>38</v>
      </c>
      <c r="B1738" s="0" t="n">
        <v>3</v>
      </c>
      <c r="C1738" s="0" t="n">
        <v>29953</v>
      </c>
    </row>
    <row r="1739" customFormat="false" ht="12.75" hidden="false" customHeight="false" outlineLevel="0" collapsed="false">
      <c r="A1739" s="0" t="s">
        <v>39</v>
      </c>
      <c r="B1739" s="0" t="n">
        <v>10</v>
      </c>
      <c r="C1739" s="0" t="n">
        <v>29959</v>
      </c>
    </row>
    <row r="1740" customFormat="false" ht="12.75" hidden="false" customHeight="false" outlineLevel="0" collapsed="false">
      <c r="A1740" s="0" t="s">
        <v>40</v>
      </c>
      <c r="B1740" s="0" t="s">
        <v>156</v>
      </c>
      <c r="C1740" s="0" t="n">
        <v>32008</v>
      </c>
    </row>
    <row r="1741" customFormat="false" ht="12.75" hidden="false" customHeight="false" outlineLevel="0" collapsed="false">
      <c r="A1741" s="0" t="s">
        <v>41</v>
      </c>
      <c r="B1741" s="0" t="n">
        <v>2</v>
      </c>
      <c r="C1741" s="0" t="n">
        <v>32042</v>
      </c>
    </row>
    <row r="1742" customFormat="false" ht="12.75" hidden="false" customHeight="false" outlineLevel="0" collapsed="false">
      <c r="A1742" s="0" t="s">
        <v>42</v>
      </c>
      <c r="B1742" s="0" t="n">
        <v>290</v>
      </c>
      <c r="C1742" s="0" t="n">
        <v>31752.4166666667</v>
      </c>
    </row>
    <row r="1743" customFormat="false" ht="12.75" hidden="false" customHeight="false" outlineLevel="0" collapsed="false">
      <c r="A1743" s="0" t="s">
        <v>43</v>
      </c>
      <c r="B1743" s="0" t="n">
        <v>5</v>
      </c>
      <c r="C1743" s="0" t="n">
        <v>31754.4166666667</v>
      </c>
    </row>
    <row r="1744" customFormat="false" ht="12.75" hidden="false" customHeight="false" outlineLevel="0" collapsed="false">
      <c r="A1744" s="0" t="s">
        <v>44</v>
      </c>
      <c r="B1744" s="0" t="n">
        <v>55</v>
      </c>
      <c r="C1744" s="0" t="n">
        <v>32025.4166666667</v>
      </c>
    </row>
    <row r="1745" customFormat="false" ht="12.75" hidden="false" customHeight="false" outlineLevel="0" collapsed="false">
      <c r="A1745" s="0" t="s">
        <v>45</v>
      </c>
      <c r="B1745" s="0" t="n">
        <v>2</v>
      </c>
      <c r="C1745" s="0" t="n">
        <v>32498.4166666667</v>
      </c>
    </row>
    <row r="1746" customFormat="false" ht="12.75" hidden="false" customHeight="false" outlineLevel="0" collapsed="false">
      <c r="A1746" s="0" t="s">
        <v>46</v>
      </c>
      <c r="B1746" s="0" t="n">
        <v>1</v>
      </c>
      <c r="C1746" s="0" t="n">
        <v>32517.4166666667</v>
      </c>
    </row>
    <row r="1747" customFormat="false" ht="12.75" hidden="false" customHeight="false" outlineLevel="0" collapsed="false">
      <c r="A1747" s="0" t="s">
        <v>47</v>
      </c>
      <c r="B1747" s="0" t="s">
        <v>156</v>
      </c>
      <c r="C1747" s="0" t="n">
        <v>32539.4166666667</v>
      </c>
    </row>
    <row r="1748" customFormat="false" ht="12.75" hidden="false" customHeight="false" outlineLevel="0" collapsed="false">
      <c r="A1748" s="0" t="s">
        <v>48</v>
      </c>
      <c r="B1748" s="0" t="n">
        <v>42</v>
      </c>
      <c r="C1748" s="0" t="n">
        <v>33029.4166666667</v>
      </c>
    </row>
    <row r="1749" customFormat="false" ht="12.75" hidden="false" customHeight="false" outlineLevel="0" collapsed="false">
      <c r="A1749" s="0" t="s">
        <v>49</v>
      </c>
      <c r="B1749" s="0" t="s">
        <v>156</v>
      </c>
      <c r="C1749" s="0" t="n">
        <v>33064.4166666667</v>
      </c>
    </row>
    <row r="1750" customFormat="false" ht="12.75" hidden="false" customHeight="false" outlineLevel="0" collapsed="false">
      <c r="A1750" s="0" t="s">
        <v>50</v>
      </c>
      <c r="B1750" s="0" t="n">
        <v>42</v>
      </c>
      <c r="C1750" s="0" t="n">
        <v>34197.4166666667</v>
      </c>
    </row>
    <row r="1751" customFormat="false" ht="12.75" hidden="false" customHeight="false" outlineLevel="0" collapsed="false">
      <c r="A1751" s="0" t="s">
        <v>51</v>
      </c>
      <c r="B1751" s="0" t="n">
        <v>21</v>
      </c>
      <c r="C1751" s="0" t="n">
        <v>34397.4166666667</v>
      </c>
    </row>
    <row r="1752" customFormat="false" ht="12.75" hidden="false" customHeight="false" outlineLevel="0" collapsed="false">
      <c r="A1752" s="0" t="s">
        <v>151</v>
      </c>
      <c r="B1752" s="3" t="n">
        <v>15997</v>
      </c>
      <c r="C1752" s="0" t="n">
        <v>18407.4166666667</v>
      </c>
    </row>
    <row r="1753" customFormat="false" ht="12.75" hidden="false" customHeight="false" outlineLevel="0" collapsed="false">
      <c r="A1753" s="0" t="s">
        <v>1</v>
      </c>
      <c r="B1753" s="0" t="n">
        <v>96</v>
      </c>
      <c r="C1753" s="0" t="n">
        <v>25689.4166666667</v>
      </c>
    </row>
    <row r="1754" customFormat="false" ht="12.75" hidden="false" customHeight="false" outlineLevel="0" collapsed="false">
      <c r="A1754" s="0" t="s">
        <v>2</v>
      </c>
      <c r="B1754" s="0" t="n">
        <v>8</v>
      </c>
      <c r="C1754" s="0" t="n">
        <v>25701.4166666667</v>
      </c>
    </row>
    <row r="1755" customFormat="false" ht="12.75" hidden="false" customHeight="false" outlineLevel="0" collapsed="false">
      <c r="A1755" s="0" t="s">
        <v>3</v>
      </c>
      <c r="B1755" s="0" t="n">
        <v>64</v>
      </c>
      <c r="C1755" s="0" t="n">
        <v>25642.4166666667</v>
      </c>
    </row>
    <row r="1756" customFormat="false" ht="12.75" hidden="false" customHeight="false" outlineLevel="0" collapsed="false">
      <c r="A1756" s="0" t="s">
        <v>4</v>
      </c>
      <c r="B1756" s="0" t="n">
        <v>57</v>
      </c>
      <c r="C1756" s="0" t="n">
        <v>25650.4166666667</v>
      </c>
    </row>
    <row r="1757" customFormat="false" ht="12.75" hidden="false" customHeight="false" outlineLevel="0" collapsed="false">
      <c r="A1757" s="0" t="s">
        <v>5</v>
      </c>
      <c r="B1757" s="0" t="n">
        <v>651</v>
      </c>
      <c r="C1757" s="0" t="n">
        <v>25783.4166666667</v>
      </c>
    </row>
    <row r="1758" customFormat="false" ht="12.75" hidden="false" customHeight="false" outlineLevel="0" collapsed="false">
      <c r="A1758" s="0" t="s">
        <v>6</v>
      </c>
      <c r="B1758" s="0" t="n">
        <v>119</v>
      </c>
      <c r="C1758" s="0" t="n">
        <v>25778.4166666667</v>
      </c>
    </row>
    <row r="1759" customFormat="false" ht="12.75" hidden="false" customHeight="false" outlineLevel="0" collapsed="false">
      <c r="A1759" s="0" t="s">
        <v>7</v>
      </c>
      <c r="B1759" s="0" t="n">
        <v>123</v>
      </c>
      <c r="C1759" s="0" t="n">
        <v>25823.4166666667</v>
      </c>
    </row>
    <row r="1760" customFormat="false" ht="12.75" hidden="false" customHeight="false" outlineLevel="0" collapsed="false">
      <c r="A1760" s="0" t="s">
        <v>8</v>
      </c>
      <c r="B1760" s="0" t="n">
        <v>35</v>
      </c>
      <c r="C1760" s="0" t="n">
        <v>25795.4166666667</v>
      </c>
    </row>
    <row r="1761" customFormat="false" ht="12.75" hidden="false" customHeight="false" outlineLevel="0" collapsed="false">
      <c r="A1761" s="0" t="s">
        <v>9</v>
      </c>
      <c r="B1761" s="0" t="n">
        <v>39</v>
      </c>
      <c r="C1761" s="0" t="n">
        <v>25757.4166666667</v>
      </c>
    </row>
    <row r="1762" customFormat="false" ht="12.75" hidden="false" customHeight="false" outlineLevel="0" collapsed="false">
      <c r="A1762" s="0" t="s">
        <v>10</v>
      </c>
      <c r="B1762" s="0" t="n">
        <v>653</v>
      </c>
      <c r="C1762" s="0" t="n">
        <v>25105.4166666667</v>
      </c>
    </row>
    <row r="1763" customFormat="false" ht="12.75" hidden="false" customHeight="false" outlineLevel="0" collapsed="false">
      <c r="A1763" s="0" t="s">
        <v>11</v>
      </c>
      <c r="B1763" s="0" t="n">
        <v>366</v>
      </c>
      <c r="C1763" s="0" t="n">
        <v>24760.4166666667</v>
      </c>
    </row>
    <row r="1764" customFormat="false" ht="12.75" hidden="false" customHeight="false" outlineLevel="0" collapsed="false">
      <c r="A1764" s="0" t="s">
        <v>12</v>
      </c>
      <c r="B1764" s="0" t="n">
        <v>9</v>
      </c>
      <c r="C1764" s="0" t="n">
        <v>24767.4166666667</v>
      </c>
    </row>
    <row r="1765" customFormat="false" ht="12.75" hidden="false" customHeight="false" outlineLevel="0" collapsed="false">
      <c r="A1765" s="0" t="s">
        <v>13</v>
      </c>
      <c r="B1765" s="0" t="n">
        <v>8</v>
      </c>
      <c r="C1765" s="0" t="n">
        <v>24759.4166666667</v>
      </c>
    </row>
    <row r="1766" customFormat="false" ht="12.75" hidden="false" customHeight="false" outlineLevel="0" collapsed="false">
      <c r="A1766" s="0" t="s">
        <v>14</v>
      </c>
      <c r="B1766" s="0" t="n">
        <v>802</v>
      </c>
      <c r="C1766" s="0" t="n">
        <v>23964.4166666667</v>
      </c>
    </row>
    <row r="1767" customFormat="false" ht="12.75" hidden="false" customHeight="false" outlineLevel="0" collapsed="false">
      <c r="A1767" s="0" t="s">
        <v>15</v>
      </c>
      <c r="B1767" s="3" t="n">
        <v>1977</v>
      </c>
      <c r="C1767" s="0" t="n">
        <v>22238.4166666667</v>
      </c>
    </row>
    <row r="1768" customFormat="false" ht="12.75" hidden="false" customHeight="false" outlineLevel="0" collapsed="false">
      <c r="A1768" s="0" t="s">
        <v>16</v>
      </c>
      <c r="B1768" s="0" t="n">
        <v>106</v>
      </c>
      <c r="C1768" s="0" t="n">
        <v>22187.4166666667</v>
      </c>
    </row>
    <row r="1769" customFormat="false" ht="12.75" hidden="false" customHeight="false" outlineLevel="0" collapsed="false">
      <c r="A1769" s="0" t="s">
        <v>17</v>
      </c>
      <c r="B1769" s="0" t="n">
        <v>107</v>
      </c>
      <c r="C1769" s="0" t="n">
        <v>22140.4166666667</v>
      </c>
    </row>
    <row r="1770" customFormat="false" ht="12.75" hidden="false" customHeight="false" outlineLevel="0" collapsed="false">
      <c r="A1770" s="0" t="s">
        <v>18</v>
      </c>
      <c r="B1770" s="3" t="n">
        <v>1781</v>
      </c>
      <c r="C1770" s="0" t="n">
        <v>21285.4166666667</v>
      </c>
    </row>
    <row r="1771" customFormat="false" ht="12.75" hidden="false" customHeight="false" outlineLevel="0" collapsed="false">
      <c r="A1771" s="0" t="s">
        <v>19</v>
      </c>
      <c r="B1771" s="0" t="n">
        <v>47</v>
      </c>
      <c r="C1771" s="0" t="n">
        <v>21264.4166666667</v>
      </c>
    </row>
    <row r="1772" customFormat="false" ht="12.75" hidden="false" customHeight="false" outlineLevel="0" collapsed="false">
      <c r="A1772" s="0" t="s">
        <v>20</v>
      </c>
      <c r="B1772" s="0" t="n">
        <v>23</v>
      </c>
      <c r="C1772" s="0" t="n">
        <v>21337.4166666667</v>
      </c>
    </row>
    <row r="1773" customFormat="false" ht="12.75" hidden="false" customHeight="false" outlineLevel="0" collapsed="false">
      <c r="A1773" s="0" t="s">
        <v>21</v>
      </c>
      <c r="B1773" s="0" t="n">
        <v>327</v>
      </c>
      <c r="C1773" s="0" t="n">
        <v>21013.4166666667</v>
      </c>
    </row>
    <row r="1774" customFormat="false" ht="12.75" hidden="false" customHeight="false" outlineLevel="0" collapsed="false">
      <c r="A1774" s="0" t="s">
        <v>22</v>
      </c>
      <c r="B1774" s="0" t="n">
        <v>157</v>
      </c>
      <c r="C1774" s="0" t="n">
        <v>20876.4166666667</v>
      </c>
    </row>
    <row r="1775" customFormat="false" ht="12.75" hidden="false" customHeight="false" outlineLevel="0" collapsed="false">
      <c r="A1775" s="0" t="s">
        <v>23</v>
      </c>
      <c r="B1775" s="3" t="n">
        <v>3688</v>
      </c>
      <c r="C1775" s="0" t="n">
        <v>17209.4166666667</v>
      </c>
    </row>
    <row r="1776" customFormat="false" ht="12.75" hidden="false" customHeight="false" outlineLevel="0" collapsed="false">
      <c r="A1776" s="0" t="s">
        <v>24</v>
      </c>
      <c r="B1776" s="0" t="n">
        <v>58</v>
      </c>
      <c r="C1776" s="0" t="n">
        <v>17218.4166666667</v>
      </c>
    </row>
    <row r="1777" customFormat="false" ht="12.75" hidden="false" customHeight="false" outlineLevel="0" collapsed="false">
      <c r="A1777" s="0" t="s">
        <v>25</v>
      </c>
      <c r="B1777" s="0" t="n">
        <v>37</v>
      </c>
      <c r="C1777" s="0" t="n">
        <v>17209.4166666667</v>
      </c>
    </row>
    <row r="1778" customFormat="false" ht="12.75" hidden="false" customHeight="false" outlineLevel="0" collapsed="false">
      <c r="A1778" s="0" t="s">
        <v>26</v>
      </c>
      <c r="B1778" s="0" t="n">
        <v>146</v>
      </c>
      <c r="C1778" s="0" t="n">
        <v>17082.4166666667</v>
      </c>
    </row>
    <row r="1779" customFormat="false" ht="12.75" hidden="false" customHeight="false" outlineLevel="0" collapsed="false">
      <c r="A1779" s="0" t="s">
        <v>27</v>
      </c>
      <c r="B1779" s="0" t="n">
        <v>8</v>
      </c>
      <c r="C1779" s="0" t="n">
        <v>18099.4166666667</v>
      </c>
    </row>
    <row r="1780" customFormat="false" ht="12.75" hidden="false" customHeight="false" outlineLevel="0" collapsed="false">
      <c r="A1780" s="0" t="s">
        <v>28</v>
      </c>
      <c r="B1780" s="0" t="n">
        <v>24</v>
      </c>
      <c r="C1780" s="0" t="n">
        <v>18080.4166666667</v>
      </c>
    </row>
    <row r="1781" customFormat="false" ht="12.75" hidden="false" customHeight="false" outlineLevel="0" collapsed="false">
      <c r="A1781" s="0" t="s">
        <v>29</v>
      </c>
      <c r="B1781" s="0" t="n">
        <v>40</v>
      </c>
      <c r="C1781" s="0" t="n">
        <v>18089.4166666667</v>
      </c>
    </row>
    <row r="1782" customFormat="false" ht="12.75" hidden="false" customHeight="false" outlineLevel="0" collapsed="false">
      <c r="A1782" s="0" t="s">
        <v>30</v>
      </c>
      <c r="B1782" s="0" t="n">
        <v>32</v>
      </c>
      <c r="C1782" s="0" t="n">
        <v>18072.4166666667</v>
      </c>
    </row>
    <row r="1783" customFormat="false" ht="12.75" hidden="false" customHeight="false" outlineLevel="0" collapsed="false">
      <c r="A1783" s="0" t="s">
        <v>31</v>
      </c>
      <c r="B1783" s="0" t="n">
        <v>583</v>
      </c>
      <c r="C1783" s="0" t="n">
        <v>17494.4166666667</v>
      </c>
    </row>
    <row r="1784" customFormat="false" ht="12.75" hidden="false" customHeight="false" outlineLevel="0" collapsed="false">
      <c r="A1784" s="0" t="s">
        <v>32</v>
      </c>
      <c r="B1784" s="0" t="n">
        <v>27</v>
      </c>
      <c r="C1784" s="0" t="n">
        <v>17490.4166666667</v>
      </c>
    </row>
    <row r="1785" customFormat="false" ht="12.75" hidden="false" customHeight="false" outlineLevel="0" collapsed="false">
      <c r="A1785" s="0" t="s">
        <v>33</v>
      </c>
      <c r="B1785" s="0" t="n">
        <v>983</v>
      </c>
      <c r="C1785" s="0" t="n">
        <v>16598.4166666667</v>
      </c>
    </row>
    <row r="1786" customFormat="false" ht="12.75" hidden="false" customHeight="false" outlineLevel="0" collapsed="false">
      <c r="A1786" s="0" t="s">
        <v>34</v>
      </c>
      <c r="B1786" s="0" t="n">
        <v>206</v>
      </c>
      <c r="C1786" s="0" t="n">
        <v>16458.4166666667</v>
      </c>
    </row>
    <row r="1787" customFormat="false" ht="12.75" hidden="false" customHeight="false" outlineLevel="0" collapsed="false">
      <c r="A1787" s="0" t="s">
        <v>35</v>
      </c>
      <c r="B1787" s="0" t="n">
        <v>5</v>
      </c>
      <c r="C1787" s="0" t="n">
        <v>16479.4166666667</v>
      </c>
    </row>
    <row r="1788" customFormat="false" ht="12.75" hidden="false" customHeight="false" outlineLevel="0" collapsed="false">
      <c r="A1788" s="0" t="s">
        <v>37</v>
      </c>
      <c r="B1788" s="0" t="n">
        <v>94</v>
      </c>
      <c r="C1788" s="0" t="n">
        <v>16389.4166666667</v>
      </c>
    </row>
    <row r="1789" customFormat="false" ht="12.75" hidden="false" customHeight="false" outlineLevel="0" collapsed="false">
      <c r="A1789" s="0" t="s">
        <v>38</v>
      </c>
      <c r="B1789" s="0" t="n">
        <v>16</v>
      </c>
      <c r="C1789" s="0" t="n">
        <v>16437.4166666667</v>
      </c>
    </row>
    <row r="1790" customFormat="false" ht="12.75" hidden="false" customHeight="false" outlineLevel="0" collapsed="false">
      <c r="A1790" s="0" t="s">
        <v>39</v>
      </c>
      <c r="B1790" s="3" t="n">
        <v>2049</v>
      </c>
      <c r="C1790" s="0" t="n">
        <v>14408.4166666667</v>
      </c>
    </row>
    <row r="1791" customFormat="false" ht="12.75" hidden="false" customHeight="false" outlineLevel="0" collapsed="false">
      <c r="A1791" s="0" t="s">
        <v>40</v>
      </c>
      <c r="B1791" s="0" t="n">
        <v>36</v>
      </c>
      <c r="C1791" s="0" t="n">
        <v>14392.4166666667</v>
      </c>
    </row>
    <row r="1792" customFormat="false" ht="12.75" hidden="false" customHeight="false" outlineLevel="0" collapsed="false">
      <c r="A1792" s="0" t="s">
        <v>41</v>
      </c>
      <c r="B1792" s="1" t="n">
        <v>10</v>
      </c>
      <c r="C1792" s="0" t="n">
        <v>14393</v>
      </c>
    </row>
    <row r="1793" customFormat="false" ht="12.75" hidden="false" customHeight="false" outlineLevel="0" collapsed="false">
      <c r="A1793" s="0" t="s">
        <v>42</v>
      </c>
      <c r="B1793" s="0" t="n">
        <v>7</v>
      </c>
      <c r="C1793" s="0" t="n">
        <v>14402</v>
      </c>
    </row>
    <row r="1794" customFormat="false" ht="12.75" hidden="false" customHeight="false" outlineLevel="0" collapsed="false">
      <c r="A1794" s="0" t="s">
        <v>43</v>
      </c>
      <c r="B1794" s="0" t="n">
        <v>326</v>
      </c>
      <c r="C1794" s="0" t="n">
        <v>14080</v>
      </c>
    </row>
    <row r="1795" customFormat="false" ht="12.75" hidden="false" customHeight="false" outlineLevel="0" collapsed="false">
      <c r="A1795" s="0" t="s">
        <v>44</v>
      </c>
      <c r="B1795" s="0" t="n">
        <v>475</v>
      </c>
      <c r="C1795" s="0" t="n">
        <v>13658</v>
      </c>
    </row>
    <row r="1796" customFormat="false" ht="12.75" hidden="false" customHeight="false" outlineLevel="0" collapsed="false">
      <c r="A1796" s="0" t="s">
        <v>45</v>
      </c>
      <c r="B1796" s="0" t="n">
        <v>20</v>
      </c>
      <c r="C1796" s="0" t="n">
        <v>16400</v>
      </c>
    </row>
    <row r="1797" customFormat="false" ht="12.75" hidden="false" customHeight="false" outlineLevel="0" collapsed="false">
      <c r="A1797" s="0" t="s">
        <v>46</v>
      </c>
      <c r="B1797" s="0" t="n">
        <v>22</v>
      </c>
      <c r="C1797" s="0" t="n">
        <v>16391</v>
      </c>
    </row>
    <row r="1798" customFormat="false" ht="12.75" hidden="false" customHeight="false" outlineLevel="0" collapsed="false">
      <c r="A1798" s="0" t="s">
        <v>47</v>
      </c>
      <c r="B1798" s="0" t="n">
        <v>532</v>
      </c>
      <c r="C1798" s="0" t="n">
        <v>15862</v>
      </c>
    </row>
    <row r="1799" customFormat="false" ht="12.75" hidden="false" customHeight="false" outlineLevel="0" collapsed="false">
      <c r="A1799" s="0" t="s">
        <v>48</v>
      </c>
      <c r="B1799" s="0" t="n">
        <v>35</v>
      </c>
      <c r="C1799" s="0" t="n">
        <v>15863</v>
      </c>
    </row>
    <row r="1800" customFormat="false" ht="12.75" hidden="false" customHeight="false" outlineLevel="0" collapsed="false">
      <c r="A1800" s="0" t="s">
        <v>49</v>
      </c>
      <c r="B1800" s="3" t="n">
        <v>1175</v>
      </c>
      <c r="C1800" s="0" t="n">
        <v>14728</v>
      </c>
    </row>
    <row r="1801" customFormat="false" ht="12.75" hidden="false" customHeight="false" outlineLevel="0" collapsed="false">
      <c r="A1801" s="0" t="s">
        <v>50</v>
      </c>
      <c r="B1801" s="0" t="n">
        <v>221</v>
      </c>
      <c r="C1801" s="0" t="n">
        <v>14509</v>
      </c>
    </row>
    <row r="1802" customFormat="false" ht="12.75" hidden="false" customHeight="false" outlineLevel="0" collapsed="false">
      <c r="A1802" s="0" t="s">
        <v>51</v>
      </c>
      <c r="B1802" s="0" t="n">
        <v>7</v>
      </c>
      <c r="C1802" s="0" t="n">
        <v>14528</v>
      </c>
    </row>
    <row r="1803" customFormat="false" ht="12.75" hidden="false" customHeight="false" outlineLevel="0" collapsed="false">
      <c r="A1803" s="0" t="s">
        <v>152</v>
      </c>
      <c r="B1803" s="3" t="n">
        <v>7378</v>
      </c>
      <c r="C1803" s="0" t="n">
        <v>7157</v>
      </c>
    </row>
    <row r="1804" customFormat="false" ht="12.75" hidden="false" customHeight="false" outlineLevel="0" collapsed="false">
      <c r="A1804" s="0" t="s">
        <v>1</v>
      </c>
      <c r="B1804" s="0" t="n">
        <v>20</v>
      </c>
      <c r="C1804" s="0" t="n">
        <v>14557</v>
      </c>
    </row>
    <row r="1805" customFormat="false" ht="12.75" hidden="false" customHeight="false" outlineLevel="0" collapsed="false">
      <c r="A1805" s="0" t="s">
        <v>2</v>
      </c>
      <c r="B1805" s="0" t="n">
        <v>5</v>
      </c>
      <c r="C1805" s="0" t="n">
        <v>14553</v>
      </c>
    </row>
    <row r="1806" customFormat="false" ht="12.75" hidden="false" customHeight="false" outlineLevel="0" collapsed="false">
      <c r="A1806" s="0" t="s">
        <v>3</v>
      </c>
      <c r="B1806" s="0" t="n">
        <v>65</v>
      </c>
      <c r="C1806" s="0" t="n">
        <v>14548</v>
      </c>
    </row>
    <row r="1807" customFormat="false" ht="12.75" hidden="false" customHeight="false" outlineLevel="0" collapsed="false">
      <c r="A1807" s="0" t="s">
        <v>4</v>
      </c>
      <c r="B1807" s="0" t="n">
        <v>784</v>
      </c>
      <c r="C1807" s="0" t="n">
        <v>13878</v>
      </c>
    </row>
    <row r="1808" customFormat="false" ht="12.75" hidden="false" customHeight="false" outlineLevel="0" collapsed="false">
      <c r="A1808" s="0" t="s">
        <v>5</v>
      </c>
      <c r="B1808" s="0" t="n">
        <v>114</v>
      </c>
      <c r="C1808" s="0" t="n">
        <v>13773</v>
      </c>
    </row>
    <row r="1809" customFormat="false" ht="12.75" hidden="false" customHeight="false" outlineLevel="0" collapsed="false">
      <c r="A1809" s="0" t="s">
        <v>6</v>
      </c>
      <c r="B1809" s="0" t="n">
        <v>168</v>
      </c>
      <c r="C1809" s="0" t="n">
        <v>14777</v>
      </c>
    </row>
    <row r="1810" customFormat="false" ht="12.75" hidden="false" customHeight="false" outlineLevel="0" collapsed="false">
      <c r="A1810" s="0" t="s">
        <v>7</v>
      </c>
      <c r="B1810" s="0" t="n">
        <v>7</v>
      </c>
      <c r="C1810" s="0" t="n">
        <v>14873</v>
      </c>
    </row>
    <row r="1811" customFormat="false" ht="12.75" hidden="false" customHeight="false" outlineLevel="0" collapsed="false">
      <c r="A1811" s="0" t="s">
        <v>8</v>
      </c>
      <c r="B1811" s="0" t="n">
        <v>1</v>
      </c>
      <c r="C1811" s="0" t="n">
        <v>14879</v>
      </c>
    </row>
    <row r="1812" customFormat="false" ht="12.75" hidden="false" customHeight="false" outlineLevel="0" collapsed="false">
      <c r="A1812" s="0" t="s">
        <v>9</v>
      </c>
      <c r="B1812" s="0" t="n">
        <v>1</v>
      </c>
      <c r="C1812" s="0" t="n">
        <v>14879</v>
      </c>
    </row>
    <row r="1813" customFormat="false" ht="12.75" hidden="false" customHeight="false" outlineLevel="0" collapsed="false">
      <c r="A1813" s="0" t="s">
        <v>10</v>
      </c>
      <c r="B1813" s="0" t="n">
        <v>21</v>
      </c>
      <c r="C1813" s="0" t="n">
        <v>14863</v>
      </c>
    </row>
    <row r="1814" customFormat="false" ht="12.75" hidden="false" customHeight="false" outlineLevel="0" collapsed="false">
      <c r="A1814" s="0" t="s">
        <v>11</v>
      </c>
      <c r="B1814" s="0" t="n">
        <v>16</v>
      </c>
      <c r="C1814" s="0" t="n">
        <v>14902</v>
      </c>
    </row>
    <row r="1815" customFormat="false" ht="12.75" hidden="false" customHeight="false" outlineLevel="0" collapsed="false">
      <c r="A1815" s="0" t="s">
        <v>12</v>
      </c>
      <c r="B1815" s="0" t="s">
        <v>156</v>
      </c>
      <c r="C1815" s="0" t="n">
        <v>14920</v>
      </c>
    </row>
    <row r="1816" customFormat="false" ht="12.75" hidden="false" customHeight="false" outlineLevel="0" collapsed="false">
      <c r="A1816" s="0" t="s">
        <v>13</v>
      </c>
      <c r="B1816" s="0" t="n">
        <v>7</v>
      </c>
      <c r="C1816" s="0" t="n">
        <v>14921</v>
      </c>
    </row>
    <row r="1817" customFormat="false" ht="12.75" hidden="false" customHeight="false" outlineLevel="0" collapsed="false">
      <c r="A1817" s="0" t="s">
        <v>14</v>
      </c>
      <c r="B1817" s="0" t="n">
        <v>251</v>
      </c>
      <c r="C1817" s="0" t="n">
        <v>15125</v>
      </c>
    </row>
    <row r="1818" customFormat="false" ht="12.75" hidden="false" customHeight="false" outlineLevel="0" collapsed="false">
      <c r="A1818" s="0" t="s">
        <v>15</v>
      </c>
      <c r="B1818" s="0" t="n">
        <v>55</v>
      </c>
      <c r="C1818" s="0" t="n">
        <v>15122</v>
      </c>
    </row>
    <row r="1819" customFormat="false" ht="12.75" hidden="false" customHeight="false" outlineLevel="0" collapsed="false">
      <c r="A1819" s="0" t="s">
        <v>16</v>
      </c>
      <c r="B1819" s="0" t="n">
        <v>60</v>
      </c>
      <c r="C1819" s="0" t="n">
        <v>15085</v>
      </c>
    </row>
    <row r="1820" customFormat="false" ht="12.75" hidden="false" customHeight="false" outlineLevel="0" collapsed="false">
      <c r="A1820" s="0" t="s">
        <v>17</v>
      </c>
      <c r="B1820" s="0" t="n">
        <v>926</v>
      </c>
      <c r="C1820" s="0" t="n">
        <v>14182</v>
      </c>
    </row>
    <row r="1821" customFormat="false" ht="12.75" hidden="false" customHeight="false" outlineLevel="0" collapsed="false">
      <c r="A1821" s="0" t="s">
        <v>18</v>
      </c>
      <c r="B1821" s="0" t="n">
        <v>26</v>
      </c>
      <c r="C1821" s="0" t="n">
        <v>14173</v>
      </c>
    </row>
    <row r="1822" customFormat="false" ht="12.75" hidden="false" customHeight="false" outlineLevel="0" collapsed="false">
      <c r="A1822" s="0" t="s">
        <v>19</v>
      </c>
      <c r="B1822" s="0" t="n">
        <v>96</v>
      </c>
      <c r="C1822" s="0" t="n">
        <v>14079</v>
      </c>
    </row>
    <row r="1823" customFormat="false" ht="12.75" hidden="false" customHeight="false" outlineLevel="0" collapsed="false">
      <c r="A1823" s="0" t="s">
        <v>20</v>
      </c>
      <c r="B1823" s="0" t="n">
        <v>3</v>
      </c>
      <c r="C1823" s="0" t="n">
        <v>14086</v>
      </c>
    </row>
    <row r="1824" customFormat="false" ht="12.75" hidden="false" customHeight="false" outlineLevel="0" collapsed="false">
      <c r="A1824" s="0" t="s">
        <v>21</v>
      </c>
      <c r="B1824" s="0" t="n">
        <v>20</v>
      </c>
      <c r="C1824" s="0" t="n">
        <v>14068</v>
      </c>
    </row>
    <row r="1825" customFormat="false" ht="12.75" hidden="false" customHeight="false" outlineLevel="0" collapsed="false">
      <c r="A1825" s="0" t="s">
        <v>22</v>
      </c>
      <c r="B1825" s="0" t="n">
        <v>21</v>
      </c>
      <c r="C1825" s="0" t="n">
        <v>14059</v>
      </c>
    </row>
    <row r="1826" customFormat="false" ht="12.75" hidden="false" customHeight="false" outlineLevel="0" collapsed="false">
      <c r="A1826" s="0" t="s">
        <v>23</v>
      </c>
      <c r="B1826" s="0" t="n">
        <v>67</v>
      </c>
      <c r="C1826" s="0" t="n">
        <v>14013</v>
      </c>
    </row>
    <row r="1827" customFormat="false" ht="12.75" hidden="false" customHeight="false" outlineLevel="0" collapsed="false">
      <c r="A1827" s="0" t="s">
        <v>24</v>
      </c>
      <c r="B1827" s="0" t="n">
        <v>28</v>
      </c>
      <c r="C1827" s="0" t="n">
        <v>14006</v>
      </c>
    </row>
    <row r="1828" customFormat="false" ht="12.75" hidden="false" customHeight="false" outlineLevel="0" collapsed="false">
      <c r="A1828" s="0" t="s">
        <v>25</v>
      </c>
      <c r="B1828" s="0" t="n">
        <v>19</v>
      </c>
      <c r="C1828" s="0" t="n">
        <v>14039</v>
      </c>
    </row>
    <row r="1829" customFormat="false" ht="12.75" hidden="false" customHeight="false" outlineLevel="0" collapsed="false">
      <c r="A1829" s="0" t="s">
        <v>26</v>
      </c>
      <c r="B1829" s="3" t="n">
        <v>1025</v>
      </c>
      <c r="C1829" s="0" t="n">
        <v>13017</v>
      </c>
    </row>
    <row r="1830" customFormat="false" ht="12.75" hidden="false" customHeight="false" outlineLevel="0" collapsed="false">
      <c r="A1830" s="0" t="s">
        <v>27</v>
      </c>
      <c r="B1830" s="0" t="n">
        <v>5</v>
      </c>
      <c r="C1830" s="0" t="n">
        <v>13032</v>
      </c>
    </row>
    <row r="1831" customFormat="false" ht="12.75" hidden="false" customHeight="false" outlineLevel="0" collapsed="false">
      <c r="A1831" s="0" t="s">
        <v>28</v>
      </c>
      <c r="B1831" s="0" t="n">
        <v>49</v>
      </c>
      <c r="C1831" s="0" t="n">
        <v>13060</v>
      </c>
    </row>
    <row r="1832" customFormat="false" ht="12.75" hidden="false" customHeight="false" outlineLevel="0" collapsed="false">
      <c r="A1832" s="0" t="s">
        <v>29</v>
      </c>
      <c r="B1832" s="0" t="n">
        <v>15</v>
      </c>
      <c r="C1832" s="0" t="n">
        <v>13069</v>
      </c>
    </row>
    <row r="1833" customFormat="false" ht="12.75" hidden="false" customHeight="false" outlineLevel="0" collapsed="false">
      <c r="A1833" s="0" t="s">
        <v>30</v>
      </c>
      <c r="B1833" s="0" t="n">
        <v>5</v>
      </c>
      <c r="C1833" s="0" t="n">
        <v>13138</v>
      </c>
    </row>
    <row r="1834" customFormat="false" ht="12.75" hidden="false" customHeight="false" outlineLevel="0" collapsed="false">
      <c r="A1834" s="0" t="s">
        <v>31</v>
      </c>
      <c r="B1834" s="0" t="n">
        <v>23</v>
      </c>
      <c r="C1834" s="0" t="n">
        <v>13123</v>
      </c>
    </row>
    <row r="1835" customFormat="false" ht="12.75" hidden="false" customHeight="false" outlineLevel="0" collapsed="false">
      <c r="A1835" s="0" t="s">
        <v>32</v>
      </c>
      <c r="B1835" s="0" t="n">
        <v>91</v>
      </c>
      <c r="C1835" s="0" t="n">
        <v>13053</v>
      </c>
    </row>
    <row r="1836" customFormat="false" ht="12.75" hidden="false" customHeight="false" outlineLevel="0" collapsed="false">
      <c r="A1836" s="0" t="s">
        <v>33</v>
      </c>
      <c r="B1836" s="0" t="n">
        <v>66</v>
      </c>
      <c r="C1836" s="0" t="n">
        <v>13020</v>
      </c>
    </row>
    <row r="1837" customFormat="false" ht="12.75" hidden="false" customHeight="false" outlineLevel="0" collapsed="false">
      <c r="A1837" s="0" t="s">
        <v>34</v>
      </c>
      <c r="B1837" s="0" t="n">
        <v>26</v>
      </c>
      <c r="C1837" s="0" t="n">
        <v>13025</v>
      </c>
    </row>
    <row r="1838" customFormat="false" ht="12.75" hidden="false" customHeight="false" outlineLevel="0" collapsed="false">
      <c r="A1838" s="0" t="s">
        <v>35</v>
      </c>
      <c r="B1838" s="0" t="n">
        <v>4</v>
      </c>
      <c r="C1838" s="0" t="n">
        <v>13029</v>
      </c>
    </row>
    <row r="1839" customFormat="false" ht="12.75" hidden="false" customHeight="false" outlineLevel="0" collapsed="false">
      <c r="A1839" s="0" t="s">
        <v>37</v>
      </c>
      <c r="B1839" s="0" t="n">
        <v>64</v>
      </c>
      <c r="C1839" s="0" t="n">
        <v>12970</v>
      </c>
    </row>
    <row r="1840" customFormat="false" ht="12.75" hidden="false" customHeight="false" outlineLevel="0" collapsed="false">
      <c r="A1840" s="0" t="s">
        <v>38</v>
      </c>
      <c r="B1840" s="0" t="n">
        <v>20</v>
      </c>
      <c r="C1840" s="0" t="n">
        <v>12977</v>
      </c>
    </row>
    <row r="1841" customFormat="false" ht="12.75" hidden="false" customHeight="false" outlineLevel="0" collapsed="false">
      <c r="A1841" s="0" t="s">
        <v>39</v>
      </c>
      <c r="B1841" s="0" t="n">
        <v>20</v>
      </c>
      <c r="C1841" s="0" t="n">
        <v>12986</v>
      </c>
    </row>
    <row r="1842" customFormat="false" ht="12.75" hidden="false" customHeight="false" outlineLevel="0" collapsed="false">
      <c r="A1842" s="0" t="s">
        <v>40</v>
      </c>
      <c r="B1842" s="0" t="n">
        <v>1</v>
      </c>
      <c r="C1842" s="0" t="n">
        <v>13057</v>
      </c>
    </row>
    <row r="1843" customFormat="false" ht="12.75" hidden="false" customHeight="false" outlineLevel="0" collapsed="false">
      <c r="A1843" s="0" t="s">
        <v>41</v>
      </c>
      <c r="B1843" s="0" t="n">
        <v>16</v>
      </c>
      <c r="C1843" s="0" t="n">
        <v>13043</v>
      </c>
    </row>
    <row r="1844" customFormat="false" ht="12.75" hidden="false" customHeight="false" outlineLevel="0" collapsed="false">
      <c r="A1844" s="0" t="s">
        <v>42</v>
      </c>
      <c r="B1844" s="0" t="n">
        <v>4</v>
      </c>
      <c r="C1844" s="0" t="n">
        <v>13056</v>
      </c>
    </row>
    <row r="1845" customFormat="false" ht="12.75" hidden="false" customHeight="false" outlineLevel="0" collapsed="false">
      <c r="A1845" s="0" t="s">
        <v>43</v>
      </c>
      <c r="B1845" s="0" t="n">
        <v>53</v>
      </c>
      <c r="C1845" s="0" t="n">
        <v>13011</v>
      </c>
    </row>
    <row r="1846" customFormat="false" ht="12.75" hidden="false" customHeight="false" outlineLevel="0" collapsed="false">
      <c r="A1846" s="0" t="s">
        <v>44</v>
      </c>
      <c r="B1846" s="3" t="n">
        <v>2762</v>
      </c>
      <c r="C1846" s="0" t="n">
        <v>10260</v>
      </c>
    </row>
    <row r="1847" customFormat="false" ht="12.75" hidden="false" customHeight="false" outlineLevel="0" collapsed="false">
      <c r="A1847" s="0" t="s">
        <v>45</v>
      </c>
      <c r="B1847" s="0" t="n">
        <v>13</v>
      </c>
      <c r="C1847" s="0" t="n">
        <v>10292</v>
      </c>
    </row>
    <row r="1848" customFormat="false" ht="12.75" hidden="false" customHeight="false" outlineLevel="0" collapsed="false">
      <c r="A1848" s="0" t="s">
        <v>46</v>
      </c>
      <c r="B1848" s="0" t="n">
        <v>3</v>
      </c>
      <c r="C1848" s="0" t="n">
        <v>10407</v>
      </c>
    </row>
    <row r="1849" customFormat="false" ht="12.75" hidden="false" customHeight="false" outlineLevel="0" collapsed="false">
      <c r="A1849" s="0" t="s">
        <v>47</v>
      </c>
      <c r="B1849" s="0" t="n">
        <v>36</v>
      </c>
      <c r="C1849" s="0" t="n">
        <v>10375</v>
      </c>
    </row>
    <row r="1850" customFormat="false" ht="12.75" hidden="false" customHeight="false" outlineLevel="0" collapsed="false">
      <c r="A1850" s="0" t="s">
        <v>48</v>
      </c>
      <c r="B1850" s="0" t="n">
        <v>40</v>
      </c>
      <c r="C1850" s="0" t="n">
        <v>10335</v>
      </c>
    </row>
    <row r="1851" customFormat="false" ht="12.75" hidden="false" customHeight="false" outlineLevel="0" collapsed="false">
      <c r="A1851" s="0" t="s">
        <v>49</v>
      </c>
      <c r="B1851" s="0" t="n">
        <v>2</v>
      </c>
      <c r="C1851" s="0" t="n">
        <v>14257</v>
      </c>
    </row>
    <row r="1852" customFormat="false" ht="12.75" hidden="false" customHeight="false" outlineLevel="0" collapsed="false">
      <c r="A1852" s="0" t="s">
        <v>50</v>
      </c>
      <c r="B1852" s="0" t="n">
        <v>26</v>
      </c>
      <c r="C1852" s="0" t="n">
        <v>14231</v>
      </c>
    </row>
    <row r="1853" customFormat="false" ht="12.75" hidden="false" customHeight="false" outlineLevel="0" collapsed="false">
      <c r="A1853" s="0" t="s">
        <v>51</v>
      </c>
      <c r="B1853" s="0" t="n">
        <v>7</v>
      </c>
      <c r="C1853" s="0" t="n">
        <v>14252</v>
      </c>
    </row>
    <row r="1854" customFormat="false" ht="12.75" hidden="false" customHeight="false" outlineLevel="0" collapsed="false">
      <c r="A1854" s="0" t="s">
        <v>153</v>
      </c>
      <c r="B1854" s="3" t="n">
        <v>7420</v>
      </c>
      <c r="C1854" s="0" t="n">
        <v>6844</v>
      </c>
    </row>
    <row r="1855" customFormat="false" ht="12.75" hidden="false" customHeight="false" outlineLevel="0" collapsed="false">
      <c r="A1855" s="0" t="s">
        <v>1</v>
      </c>
      <c r="B1855" s="0" t="n">
        <v>1</v>
      </c>
      <c r="C1855" s="0" t="n">
        <v>19391</v>
      </c>
    </row>
    <row r="1856" customFormat="false" ht="12.75" hidden="false" customHeight="false" outlineLevel="0" collapsed="false">
      <c r="A1856" s="0" t="s">
        <v>2</v>
      </c>
      <c r="B1856" s="0" t="n">
        <v>60</v>
      </c>
      <c r="C1856" s="0" t="n">
        <v>19381</v>
      </c>
    </row>
    <row r="1857" customFormat="false" ht="12.75" hidden="false" customHeight="false" outlineLevel="0" collapsed="false">
      <c r="A1857" s="0" t="s">
        <v>3</v>
      </c>
      <c r="B1857" s="0" t="n">
        <v>114</v>
      </c>
      <c r="C1857" s="0" t="n">
        <v>19273</v>
      </c>
    </row>
    <row r="1858" customFormat="false" ht="12.75" hidden="false" customHeight="false" outlineLevel="0" collapsed="false">
      <c r="A1858" s="0" t="s">
        <v>4</v>
      </c>
      <c r="B1858" s="0" t="n">
        <v>9</v>
      </c>
      <c r="C1858" s="0" t="n">
        <v>19346</v>
      </c>
    </row>
    <row r="1859" customFormat="false" ht="12.75" hidden="false" customHeight="false" outlineLevel="0" collapsed="false">
      <c r="A1859" s="0" t="s">
        <v>5</v>
      </c>
      <c r="B1859" s="3" t="n">
        <v>1172</v>
      </c>
      <c r="C1859" s="0" t="n">
        <v>18188</v>
      </c>
    </row>
    <row r="1860" customFormat="false" ht="12.75" hidden="false" customHeight="false" outlineLevel="0" collapsed="false">
      <c r="A1860" s="0" t="s">
        <v>6</v>
      </c>
      <c r="B1860" s="0" t="n">
        <v>103</v>
      </c>
      <c r="C1860" s="0" t="n">
        <v>18771</v>
      </c>
    </row>
    <row r="1861" customFormat="false" ht="12.75" hidden="false" customHeight="false" outlineLevel="0" collapsed="false">
      <c r="A1861" s="0" t="s">
        <v>7</v>
      </c>
      <c r="B1861" s="0" t="n">
        <v>7</v>
      </c>
      <c r="C1861" s="0" t="n">
        <v>18830</v>
      </c>
    </row>
    <row r="1862" customFormat="false" ht="12.75" hidden="false" customHeight="false" outlineLevel="0" collapsed="false">
      <c r="A1862" s="0" t="s">
        <v>8</v>
      </c>
      <c r="B1862" s="0" t="n">
        <v>1</v>
      </c>
      <c r="C1862" s="0" t="n">
        <v>19670</v>
      </c>
    </row>
    <row r="1863" customFormat="false" ht="12.75" hidden="false" customHeight="false" outlineLevel="0" collapsed="false">
      <c r="A1863" s="0" t="s">
        <v>9</v>
      </c>
      <c r="B1863" s="0" t="n">
        <v>5</v>
      </c>
      <c r="C1863" s="0" t="n">
        <v>20012</v>
      </c>
    </row>
    <row r="1864" customFormat="false" ht="12.75" hidden="false" customHeight="false" outlineLevel="0" collapsed="false">
      <c r="A1864" s="0" t="s">
        <v>10</v>
      </c>
      <c r="B1864" s="0" t="n">
        <v>55</v>
      </c>
      <c r="C1864" s="0" t="n">
        <v>20188</v>
      </c>
    </row>
    <row r="1865" customFormat="false" ht="12.75" hidden="false" customHeight="false" outlineLevel="0" collapsed="false">
      <c r="A1865" s="0" t="s">
        <v>11</v>
      </c>
      <c r="B1865" s="0" t="n">
        <v>18</v>
      </c>
      <c r="C1865" s="0" t="n">
        <v>20581</v>
      </c>
    </row>
    <row r="1866" customFormat="false" ht="12.75" hidden="false" customHeight="false" outlineLevel="0" collapsed="false">
      <c r="A1866" s="0" t="s">
        <v>12</v>
      </c>
      <c r="B1866" s="0" t="n">
        <v>8</v>
      </c>
      <c r="C1866" s="0" t="n">
        <v>20737</v>
      </c>
    </row>
    <row r="1867" customFormat="false" ht="12.75" hidden="false" customHeight="false" outlineLevel="0" collapsed="false">
      <c r="A1867" s="0" t="s">
        <v>13</v>
      </c>
      <c r="B1867" s="0" t="n">
        <v>455</v>
      </c>
      <c r="C1867" s="0" t="n">
        <v>20297</v>
      </c>
    </row>
    <row r="1868" customFormat="false" ht="12.75" hidden="false" customHeight="false" outlineLevel="0" collapsed="false">
      <c r="A1868" s="0" t="s">
        <v>14</v>
      </c>
      <c r="B1868" s="0" t="n">
        <v>52</v>
      </c>
      <c r="C1868" s="0" t="n">
        <v>20256</v>
      </c>
    </row>
    <row r="1869" customFormat="false" ht="12.75" hidden="false" customHeight="false" outlineLevel="0" collapsed="false">
      <c r="A1869" s="0" t="s">
        <v>15</v>
      </c>
      <c r="B1869" s="0" t="n">
        <v>23</v>
      </c>
      <c r="C1869" s="0" t="n">
        <v>20674</v>
      </c>
    </row>
    <row r="1870" customFormat="false" ht="12.75" hidden="false" customHeight="false" outlineLevel="0" collapsed="false">
      <c r="A1870" s="0" t="s">
        <v>16</v>
      </c>
      <c r="B1870" s="0" t="n">
        <v>23</v>
      </c>
      <c r="C1870" s="0" t="n">
        <v>20946</v>
      </c>
    </row>
    <row r="1871" customFormat="false" ht="12.75" hidden="false" customHeight="false" outlineLevel="0" collapsed="false">
      <c r="A1871" s="0" t="s">
        <v>17</v>
      </c>
      <c r="B1871" s="0" t="n">
        <v>17</v>
      </c>
      <c r="C1871" s="0" t="n">
        <v>20964</v>
      </c>
    </row>
    <row r="1872" customFormat="false" ht="12.75" hidden="false" customHeight="false" outlineLevel="0" collapsed="false">
      <c r="A1872" s="0" t="s">
        <v>18</v>
      </c>
      <c r="B1872" s="0" t="n">
        <v>2</v>
      </c>
      <c r="C1872" s="0" t="n">
        <v>21005</v>
      </c>
    </row>
    <row r="1873" customFormat="false" ht="12.75" hidden="false" customHeight="false" outlineLevel="0" collapsed="false">
      <c r="A1873" s="0" t="s">
        <v>19</v>
      </c>
      <c r="B1873" s="0" t="n">
        <v>10</v>
      </c>
      <c r="C1873" s="0" t="n">
        <v>21107</v>
      </c>
    </row>
    <row r="1874" customFormat="false" ht="12.75" hidden="false" customHeight="false" outlineLevel="0" collapsed="false">
      <c r="A1874" s="0" t="s">
        <v>20</v>
      </c>
      <c r="B1874" s="0" t="n">
        <v>2</v>
      </c>
      <c r="C1874" s="0" t="n">
        <v>21163</v>
      </c>
    </row>
    <row r="1875" customFormat="false" ht="12.75" hidden="false" customHeight="false" outlineLevel="0" collapsed="false">
      <c r="A1875" s="0" t="s">
        <v>21</v>
      </c>
      <c r="B1875" s="0" t="n">
        <v>12</v>
      </c>
      <c r="C1875" s="0" t="n">
        <v>21224</v>
      </c>
    </row>
    <row r="1876" customFormat="false" ht="12.75" hidden="false" customHeight="false" outlineLevel="0" collapsed="false">
      <c r="A1876" s="0" t="s">
        <v>22</v>
      </c>
      <c r="B1876" s="0" t="n">
        <v>21</v>
      </c>
      <c r="C1876" s="0" t="n">
        <v>23871</v>
      </c>
    </row>
    <row r="1877" customFormat="false" ht="12.75" hidden="false" customHeight="false" outlineLevel="0" collapsed="false">
      <c r="A1877" s="0" t="s">
        <v>23</v>
      </c>
      <c r="B1877" s="0" t="n">
        <v>21</v>
      </c>
      <c r="C1877" s="0" t="n">
        <v>24407</v>
      </c>
    </row>
    <row r="1878" customFormat="false" ht="12.75" hidden="false" customHeight="false" outlineLevel="0" collapsed="false">
      <c r="A1878" s="0" t="s">
        <v>24</v>
      </c>
      <c r="B1878" s="0" t="n">
        <v>52</v>
      </c>
      <c r="C1878" s="0" t="n">
        <v>24840</v>
      </c>
    </row>
    <row r="1879" customFormat="false" ht="12.75" hidden="false" customHeight="false" outlineLevel="0" collapsed="false">
      <c r="A1879" s="0" t="s">
        <v>25</v>
      </c>
      <c r="B1879" s="0" t="n">
        <v>3</v>
      </c>
      <c r="C1879" s="0" t="n">
        <v>24879</v>
      </c>
    </row>
    <row r="1880" customFormat="false" ht="12.75" hidden="false" customHeight="false" outlineLevel="0" collapsed="false">
      <c r="A1880" s="0" t="s">
        <v>26</v>
      </c>
      <c r="B1880" s="0" t="n">
        <v>20</v>
      </c>
      <c r="C1880" s="0" t="n">
        <v>24891</v>
      </c>
    </row>
    <row r="1881" customFormat="false" ht="12.75" hidden="false" customHeight="false" outlineLevel="0" collapsed="false">
      <c r="A1881" s="0" t="s">
        <v>27</v>
      </c>
      <c r="B1881" s="0" t="n">
        <v>77</v>
      </c>
      <c r="C1881" s="0" t="n">
        <v>24917</v>
      </c>
    </row>
    <row r="1882" customFormat="false" ht="12.75" hidden="false" customHeight="false" outlineLevel="0" collapsed="false">
      <c r="A1882" s="0" t="s">
        <v>28</v>
      </c>
      <c r="B1882" s="0" t="n">
        <v>24</v>
      </c>
      <c r="C1882" s="0" t="n">
        <v>24897</v>
      </c>
    </row>
    <row r="1883" customFormat="false" ht="12.75" hidden="false" customHeight="false" outlineLevel="0" collapsed="false">
      <c r="A1883" s="0" t="s">
        <v>29</v>
      </c>
      <c r="B1883" s="0" t="n">
        <v>74</v>
      </c>
      <c r="C1883" s="0" t="n">
        <v>24837</v>
      </c>
    </row>
    <row r="1884" customFormat="false" ht="12.75" hidden="false" customHeight="false" outlineLevel="0" collapsed="false">
      <c r="A1884" s="0" t="s">
        <v>30</v>
      </c>
      <c r="B1884" s="0" t="n">
        <v>8</v>
      </c>
      <c r="C1884" s="0" t="n">
        <v>24842</v>
      </c>
    </row>
    <row r="1885" customFormat="false" ht="12.75" hidden="false" customHeight="false" outlineLevel="0" collapsed="false">
      <c r="A1885" s="0" t="s">
        <v>31</v>
      </c>
      <c r="B1885" s="0" t="n">
        <v>21</v>
      </c>
      <c r="C1885" s="0" t="n">
        <v>24915</v>
      </c>
    </row>
    <row r="1886" customFormat="false" ht="12.75" hidden="false" customHeight="false" outlineLevel="0" collapsed="false">
      <c r="A1886" s="0" t="s">
        <v>32</v>
      </c>
      <c r="B1886" s="0" t="n">
        <v>33</v>
      </c>
      <c r="C1886" s="0" t="n">
        <v>28888</v>
      </c>
    </row>
    <row r="1887" customFormat="false" ht="12.75" hidden="false" customHeight="false" outlineLevel="0" collapsed="false">
      <c r="A1887" s="0" t="s">
        <v>33</v>
      </c>
      <c r="B1887" s="0" t="n">
        <v>31</v>
      </c>
      <c r="C1887" s="0" t="n">
        <v>28873</v>
      </c>
    </row>
    <row r="1888" customFormat="false" ht="12.75" hidden="false" customHeight="false" outlineLevel="0" collapsed="false">
      <c r="A1888" s="0" t="s">
        <v>34</v>
      </c>
      <c r="B1888" s="0" t="n">
        <v>8</v>
      </c>
      <c r="C1888" s="0" t="n">
        <v>33667</v>
      </c>
    </row>
    <row r="1889" customFormat="false" ht="12.75" hidden="false" customHeight="false" outlineLevel="0" collapsed="false">
      <c r="A1889" s="0" t="s">
        <v>35</v>
      </c>
      <c r="B1889" s="0" t="n">
        <v>5</v>
      </c>
      <c r="C1889" s="0" t="n">
        <v>34161</v>
      </c>
    </row>
    <row r="1890" customFormat="false" ht="12.75" hidden="false" customHeight="false" outlineLevel="0" collapsed="false">
      <c r="A1890" s="0" t="s">
        <v>36</v>
      </c>
      <c r="B1890" s="0" t="n">
        <v>27</v>
      </c>
      <c r="C1890" s="0" t="n">
        <v>34139</v>
      </c>
    </row>
    <row r="1891" customFormat="false" ht="12.75" hidden="false" customHeight="false" outlineLevel="0" collapsed="false">
      <c r="A1891" s="0" t="s">
        <v>37</v>
      </c>
      <c r="B1891" s="0" t="n">
        <v>29</v>
      </c>
      <c r="C1891" s="0" t="n">
        <v>36113</v>
      </c>
    </row>
    <row r="1892" customFormat="false" ht="12.75" hidden="false" customHeight="false" outlineLevel="0" collapsed="false">
      <c r="A1892" s="0" t="s">
        <v>39</v>
      </c>
      <c r="B1892" s="0" t="n">
        <v>72</v>
      </c>
      <c r="C1892" s="0" t="n">
        <v>36117</v>
      </c>
    </row>
    <row r="1893" customFormat="false" ht="12.75" hidden="false" customHeight="false" outlineLevel="0" collapsed="false">
      <c r="A1893" s="0" t="s">
        <v>40</v>
      </c>
      <c r="B1893" s="0" t="n">
        <v>2</v>
      </c>
      <c r="C1893" s="0" t="n">
        <v>36167</v>
      </c>
    </row>
    <row r="1894" customFormat="false" ht="12.75" hidden="false" customHeight="false" outlineLevel="0" collapsed="false">
      <c r="A1894" s="0" t="s">
        <v>41</v>
      </c>
      <c r="B1894" s="0" t="n">
        <v>17</v>
      </c>
      <c r="C1894" s="0" t="n">
        <v>36259</v>
      </c>
    </row>
    <row r="1895" customFormat="false" ht="12.75" hidden="false" customHeight="false" outlineLevel="0" collapsed="false">
      <c r="A1895" s="0" t="s">
        <v>42</v>
      </c>
      <c r="B1895" s="0" t="n">
        <v>8</v>
      </c>
      <c r="C1895" s="0" t="n">
        <v>36353</v>
      </c>
    </row>
    <row r="1896" customFormat="false" ht="12.75" hidden="false" customHeight="false" outlineLevel="0" collapsed="false">
      <c r="A1896" s="0" t="s">
        <v>43</v>
      </c>
      <c r="B1896" s="0" t="n">
        <v>11</v>
      </c>
      <c r="C1896" s="0" t="n">
        <v>36347</v>
      </c>
    </row>
    <row r="1897" customFormat="false" ht="12.75" hidden="false" customHeight="false" outlineLevel="0" collapsed="false">
      <c r="A1897" s="0" t="s">
        <v>44</v>
      </c>
      <c r="B1897" s="0" t="n">
        <v>45</v>
      </c>
      <c r="C1897" s="0" t="n">
        <v>36506</v>
      </c>
    </row>
    <row r="1898" customFormat="false" ht="12.75" hidden="false" customHeight="false" outlineLevel="0" collapsed="false">
      <c r="A1898" s="0" t="s">
        <v>45</v>
      </c>
      <c r="B1898" s="0" t="n">
        <v>118</v>
      </c>
      <c r="C1898" s="0" t="n">
        <v>36643</v>
      </c>
    </row>
    <row r="1899" customFormat="false" ht="12.75" hidden="false" customHeight="false" outlineLevel="0" collapsed="false">
      <c r="A1899" s="0" t="s">
        <v>46</v>
      </c>
      <c r="B1899" s="0" t="n">
        <v>4</v>
      </c>
      <c r="C1899" s="0" t="n">
        <v>36660</v>
      </c>
    </row>
    <row r="1900" customFormat="false" ht="12.75" hidden="false" customHeight="false" outlineLevel="0" collapsed="false">
      <c r="A1900" s="0" t="s">
        <v>47</v>
      </c>
      <c r="B1900" s="0" t="s">
        <v>156</v>
      </c>
      <c r="C1900" s="0" t="n">
        <v>36734</v>
      </c>
    </row>
    <row r="1901" customFormat="false" ht="12.75" hidden="false" customHeight="false" outlineLevel="0" collapsed="false">
      <c r="A1901" s="0" t="s">
        <v>48</v>
      </c>
      <c r="B1901" s="3" t="n">
        <v>3924</v>
      </c>
      <c r="C1901" s="0" t="n">
        <v>35217</v>
      </c>
    </row>
    <row r="1902" customFormat="false" ht="12.75" hidden="false" customHeight="false" outlineLevel="0" collapsed="false">
      <c r="A1902" s="0" t="s">
        <v>49</v>
      </c>
      <c r="B1902" s="0" t="s">
        <v>156</v>
      </c>
      <c r="C1902" s="0" t="n">
        <v>35272</v>
      </c>
    </row>
    <row r="1903" customFormat="false" ht="12.75" hidden="false" customHeight="false" outlineLevel="0" collapsed="false">
      <c r="A1903" s="0" t="s">
        <v>50</v>
      </c>
      <c r="B1903" s="0" t="n">
        <v>28</v>
      </c>
      <c r="C1903" s="0" t="n">
        <v>35705</v>
      </c>
    </row>
    <row r="1904" customFormat="false" ht="12.75" hidden="false" customHeight="false" outlineLevel="0" collapsed="false">
      <c r="A1904" s="0" t="s">
        <v>51</v>
      </c>
      <c r="B1904" s="0" t="n">
        <v>12</v>
      </c>
      <c r="C1904" s="0" t="n">
        <v>35861</v>
      </c>
    </row>
    <row r="1905" customFormat="false" ht="12.75" hidden="false" customHeight="false" outlineLevel="0" collapsed="false">
      <c r="A1905" s="0" t="s">
        <v>154</v>
      </c>
      <c r="B1905" s="3" t="n">
        <v>12548</v>
      </c>
      <c r="C1905" s="0" t="n">
        <v>23320</v>
      </c>
    </row>
    <row r="1906" customFormat="false" ht="12.75" hidden="false" customHeight="false" outlineLevel="0" collapsed="false">
      <c r="A1906" s="0" t="s">
        <v>1</v>
      </c>
      <c r="B1906" s="0" t="n">
        <v>50</v>
      </c>
      <c r="C1906" s="0" t="n">
        <v>23270</v>
      </c>
    </row>
    <row r="1907" customFormat="false" ht="12.75" hidden="false" customHeight="false" outlineLevel="0" collapsed="false">
      <c r="A1907" s="0" t="s">
        <v>2</v>
      </c>
      <c r="B1907" s="0" t="n">
        <v>6</v>
      </c>
      <c r="C1907" s="0" t="n">
        <v>23266</v>
      </c>
    </row>
    <row r="1908" customFormat="false" ht="12.75" hidden="false" customHeight="false" outlineLevel="0" collapsed="false">
      <c r="A1908" s="0" t="s">
        <v>3</v>
      </c>
      <c r="B1908" s="0" t="n">
        <v>82</v>
      </c>
      <c r="C1908" s="0" t="n">
        <v>23184</v>
      </c>
    </row>
    <row r="1909" customFormat="false" ht="12.75" hidden="false" customHeight="false" outlineLevel="0" collapsed="false">
      <c r="A1909" s="0" t="s">
        <v>4</v>
      </c>
      <c r="B1909" s="0" t="n">
        <v>14</v>
      </c>
      <c r="C1909" s="0" t="n">
        <v>23171</v>
      </c>
    </row>
    <row r="1910" customFormat="false" ht="12.75" hidden="false" customHeight="false" outlineLevel="0" collapsed="false">
      <c r="A1910" s="0" t="s">
        <v>5</v>
      </c>
      <c r="B1910" s="0" t="n">
        <v>686</v>
      </c>
      <c r="C1910" s="0" t="n">
        <v>22489</v>
      </c>
    </row>
    <row r="1911" customFormat="false" ht="12.75" hidden="false" customHeight="false" outlineLevel="0" collapsed="false">
      <c r="A1911" s="0" t="s">
        <v>6</v>
      </c>
      <c r="B1911" s="0" t="n">
        <v>66</v>
      </c>
      <c r="C1911" s="0" t="n">
        <v>22447</v>
      </c>
    </row>
    <row r="1912" customFormat="false" ht="12.75" hidden="false" customHeight="false" outlineLevel="0" collapsed="false">
      <c r="A1912" s="0" t="s">
        <v>7</v>
      </c>
      <c r="B1912" s="0" t="n">
        <v>841</v>
      </c>
      <c r="C1912" s="0" t="n">
        <v>21631</v>
      </c>
    </row>
    <row r="1913" customFormat="false" ht="12.75" hidden="false" customHeight="false" outlineLevel="0" collapsed="false">
      <c r="A1913" s="0" t="s">
        <v>8</v>
      </c>
      <c r="B1913" s="0" t="n">
        <v>347</v>
      </c>
      <c r="C1913" s="0" t="n">
        <v>21757</v>
      </c>
    </row>
    <row r="1914" customFormat="false" ht="12.75" hidden="false" customHeight="false" outlineLevel="0" collapsed="false">
      <c r="A1914" s="0" t="s">
        <v>9</v>
      </c>
      <c r="B1914" s="0" t="n">
        <v>231</v>
      </c>
      <c r="C1914" s="0" t="n">
        <v>21534</v>
      </c>
    </row>
    <row r="1915" customFormat="false" ht="12.75" hidden="false" customHeight="false" outlineLevel="0" collapsed="false">
      <c r="A1915" s="0" t="s">
        <v>10</v>
      </c>
      <c r="B1915" s="0" t="n">
        <v>411</v>
      </c>
      <c r="C1915" s="0" t="n">
        <v>21127</v>
      </c>
    </row>
    <row r="1916" customFormat="false" ht="12.75" hidden="false" customHeight="false" outlineLevel="0" collapsed="false">
      <c r="A1916" s="0" t="s">
        <v>11</v>
      </c>
      <c r="B1916" s="0" t="n">
        <v>164</v>
      </c>
      <c r="C1916" s="0" t="n">
        <v>20986</v>
      </c>
    </row>
    <row r="1917" customFormat="false" ht="12.75" hidden="false" customHeight="false" outlineLevel="0" collapsed="false">
      <c r="A1917" s="0" t="s">
        <v>12</v>
      </c>
      <c r="B1917" s="0" t="n">
        <v>15</v>
      </c>
      <c r="C1917" s="0" t="n">
        <v>20975</v>
      </c>
    </row>
    <row r="1918" customFormat="false" ht="12.75" hidden="false" customHeight="false" outlineLevel="0" collapsed="false">
      <c r="A1918" s="0" t="s">
        <v>13</v>
      </c>
      <c r="B1918" s="0" t="n">
        <v>11</v>
      </c>
      <c r="C1918" s="0" t="n">
        <v>20964</v>
      </c>
    </row>
    <row r="1919" customFormat="false" ht="12.75" hidden="false" customHeight="false" outlineLevel="0" collapsed="false">
      <c r="A1919" s="0" t="s">
        <v>14</v>
      </c>
      <c r="B1919" s="0" t="n">
        <v>441</v>
      </c>
      <c r="C1919" s="0" t="n">
        <v>20523</v>
      </c>
    </row>
    <row r="1920" customFormat="false" ht="12.75" hidden="false" customHeight="false" outlineLevel="0" collapsed="false">
      <c r="A1920" s="0" t="s">
        <v>15</v>
      </c>
      <c r="B1920" s="0" t="n">
        <v>295</v>
      </c>
      <c r="C1920" s="0" t="n">
        <v>20241</v>
      </c>
    </row>
    <row r="1921" customFormat="false" ht="12.75" hidden="false" customHeight="false" outlineLevel="0" collapsed="false">
      <c r="A1921" s="0" t="s">
        <v>16</v>
      </c>
      <c r="B1921" s="0" t="n">
        <v>35</v>
      </c>
      <c r="C1921" s="0" t="n">
        <v>20219</v>
      </c>
    </row>
    <row r="1922" customFormat="false" ht="12.75" hidden="false" customHeight="false" outlineLevel="0" collapsed="false">
      <c r="A1922" s="0" t="s">
        <v>17</v>
      </c>
      <c r="B1922" s="0" t="n">
        <v>43</v>
      </c>
      <c r="C1922" s="0" t="n">
        <v>20176</v>
      </c>
    </row>
    <row r="1923" customFormat="false" ht="12.75" hidden="false" customHeight="false" outlineLevel="0" collapsed="false">
      <c r="A1923" s="0" t="s">
        <v>18</v>
      </c>
      <c r="B1923" s="0" t="n">
        <v>112</v>
      </c>
      <c r="C1923" s="0" t="n">
        <v>20065</v>
      </c>
    </row>
    <row r="1924" customFormat="false" ht="12.75" hidden="false" customHeight="false" outlineLevel="0" collapsed="false">
      <c r="A1924" s="0" t="s">
        <v>19</v>
      </c>
      <c r="B1924" s="0" t="n">
        <v>58</v>
      </c>
      <c r="C1924" s="0" t="n">
        <v>20017</v>
      </c>
    </row>
    <row r="1925" customFormat="false" ht="12.75" hidden="false" customHeight="false" outlineLevel="0" collapsed="false">
      <c r="A1925" s="0" t="s">
        <v>20</v>
      </c>
      <c r="B1925" s="0" t="n">
        <v>73</v>
      </c>
      <c r="C1925" s="0" t="n">
        <v>19945</v>
      </c>
    </row>
    <row r="1926" customFormat="false" ht="12.75" hidden="false" customHeight="false" outlineLevel="0" collapsed="false">
      <c r="A1926" s="0" t="s">
        <v>21</v>
      </c>
      <c r="B1926" s="3" t="n">
        <v>2668</v>
      </c>
      <c r="C1926" s="0" t="n">
        <v>17369</v>
      </c>
    </row>
    <row r="1927" customFormat="false" ht="12.75" hidden="false" customHeight="false" outlineLevel="0" collapsed="false">
      <c r="A1927" s="0" t="s">
        <v>22</v>
      </c>
      <c r="B1927" s="0" t="n">
        <v>557</v>
      </c>
      <c r="C1927" s="0" t="n">
        <v>16901</v>
      </c>
    </row>
    <row r="1928" customFormat="false" ht="12.75" hidden="false" customHeight="false" outlineLevel="0" collapsed="false">
      <c r="A1928" s="0" t="s">
        <v>23</v>
      </c>
      <c r="B1928" s="0" t="n">
        <v>485</v>
      </c>
      <c r="C1928" s="0" t="n">
        <v>16663</v>
      </c>
    </row>
    <row r="1929" customFormat="false" ht="12.75" hidden="false" customHeight="false" outlineLevel="0" collapsed="false">
      <c r="A1929" s="0" t="s">
        <v>24</v>
      </c>
      <c r="B1929" s="0" t="n">
        <v>42</v>
      </c>
      <c r="C1929" s="0" t="n">
        <v>16621</v>
      </c>
    </row>
    <row r="1930" customFormat="false" ht="12.75" hidden="false" customHeight="false" outlineLevel="0" collapsed="false">
      <c r="A1930" s="0" t="s">
        <v>25</v>
      </c>
      <c r="B1930" s="0" t="n">
        <v>32</v>
      </c>
      <c r="C1930" s="0" t="n">
        <v>16594</v>
      </c>
    </row>
    <row r="1931" customFormat="false" ht="12.75" hidden="false" customHeight="false" outlineLevel="0" collapsed="false">
      <c r="A1931" s="0" t="s">
        <v>26</v>
      </c>
      <c r="B1931" s="0" t="n">
        <v>103</v>
      </c>
      <c r="C1931" s="0" t="n">
        <v>16492</v>
      </c>
    </row>
    <row r="1932" customFormat="false" ht="12.75" hidden="false" customHeight="false" outlineLevel="0" collapsed="false">
      <c r="A1932" s="0" t="s">
        <v>27</v>
      </c>
      <c r="B1932" s="0" t="n">
        <v>4</v>
      </c>
      <c r="C1932" s="0" t="n">
        <v>16491</v>
      </c>
    </row>
    <row r="1933" customFormat="false" ht="12.75" hidden="false" customHeight="false" outlineLevel="0" collapsed="false">
      <c r="A1933" s="0" t="s">
        <v>28</v>
      </c>
      <c r="B1933" s="0" t="n">
        <v>14</v>
      </c>
      <c r="C1933" s="0" t="n">
        <v>16477</v>
      </c>
    </row>
    <row r="1934" customFormat="false" ht="12.75" hidden="false" customHeight="false" outlineLevel="0" collapsed="false">
      <c r="A1934" s="0" t="s">
        <v>29</v>
      </c>
      <c r="B1934" s="0" t="n">
        <v>13</v>
      </c>
      <c r="C1934" s="0" t="n">
        <v>16464</v>
      </c>
    </row>
    <row r="1935" customFormat="false" ht="12.75" hidden="false" customHeight="false" outlineLevel="0" collapsed="false">
      <c r="A1935" s="0" t="s">
        <v>30</v>
      </c>
      <c r="B1935" s="0" t="n">
        <v>94</v>
      </c>
      <c r="C1935" s="0" t="n">
        <v>16371</v>
      </c>
    </row>
    <row r="1936" customFormat="false" ht="12.75" hidden="false" customHeight="false" outlineLevel="0" collapsed="false">
      <c r="A1936" s="0" t="s">
        <v>31</v>
      </c>
      <c r="B1936" s="3" t="n">
        <v>4006</v>
      </c>
      <c r="C1936" s="0" t="n">
        <v>12508</v>
      </c>
    </row>
    <row r="1937" customFormat="false" ht="12.75" hidden="false" customHeight="false" outlineLevel="0" collapsed="false">
      <c r="A1937" s="0" t="s">
        <v>32</v>
      </c>
      <c r="B1937" s="0" t="n">
        <v>16</v>
      </c>
      <c r="C1937" s="0" t="n">
        <v>12692</v>
      </c>
    </row>
    <row r="1938" customFormat="false" ht="12.75" hidden="false" customHeight="false" outlineLevel="0" collapsed="false">
      <c r="A1938" s="0" t="s">
        <v>33</v>
      </c>
      <c r="B1938" s="3" t="n">
        <v>4802</v>
      </c>
      <c r="C1938" s="0" t="n">
        <v>7890</v>
      </c>
    </row>
    <row r="1939" customFormat="false" ht="12.75" hidden="false" customHeight="false" outlineLevel="0" collapsed="false">
      <c r="A1939" s="0" t="s">
        <v>34</v>
      </c>
      <c r="B1939" s="0" t="n">
        <v>499</v>
      </c>
      <c r="C1939" s="0" t="n">
        <v>7805</v>
      </c>
    </row>
    <row r="1940" customFormat="false" ht="12.75" hidden="false" customHeight="false" outlineLevel="0" collapsed="false">
      <c r="A1940" s="0" t="s">
        <v>35</v>
      </c>
      <c r="B1940" s="0" t="n">
        <v>5</v>
      </c>
      <c r="C1940" s="0" t="n">
        <v>7812</v>
      </c>
    </row>
    <row r="1941" customFormat="false" ht="12.75" hidden="false" customHeight="false" outlineLevel="0" collapsed="false">
      <c r="A1941" s="0" t="s">
        <v>36</v>
      </c>
      <c r="B1941" s="3" t="n">
        <v>2003</v>
      </c>
      <c r="C1941" s="0" t="n">
        <v>5809</v>
      </c>
    </row>
    <row r="1942" customFormat="false" ht="12.75" hidden="false" customHeight="false" outlineLevel="0" collapsed="false">
      <c r="A1942" s="0" t="s">
        <v>37</v>
      </c>
      <c r="B1942" s="0" t="n">
        <v>76</v>
      </c>
      <c r="C1942" s="0" t="n">
        <v>5785</v>
      </c>
    </row>
    <row r="1943" customFormat="false" ht="12.75" hidden="false" customHeight="false" outlineLevel="0" collapsed="false">
      <c r="A1943" s="0" t="s">
        <v>38</v>
      </c>
      <c r="B1943" s="0" t="n">
        <v>52</v>
      </c>
      <c r="C1943" s="0" t="n">
        <v>5736</v>
      </c>
    </row>
    <row r="1944" customFormat="false" ht="12.75" hidden="false" customHeight="false" outlineLevel="0" collapsed="false">
      <c r="A1944" s="0" t="s">
        <v>40</v>
      </c>
      <c r="B1944" s="0" t="n">
        <v>109</v>
      </c>
      <c r="C1944" s="0" t="n">
        <v>5628</v>
      </c>
    </row>
    <row r="1945" customFormat="false" ht="12.75" hidden="false" customHeight="false" outlineLevel="0" collapsed="false">
      <c r="A1945" s="0" t="s">
        <v>41</v>
      </c>
      <c r="B1945" s="0" t="n">
        <v>102</v>
      </c>
      <c r="C1945" s="0" t="n">
        <v>5559</v>
      </c>
    </row>
    <row r="1946" customFormat="false" ht="12.75" hidden="false" customHeight="false" outlineLevel="0" collapsed="false">
      <c r="A1946" s="0" t="s">
        <v>42</v>
      </c>
      <c r="B1946" s="0" t="n">
        <v>5</v>
      </c>
      <c r="C1946" s="0" t="n">
        <v>5555</v>
      </c>
    </row>
    <row r="1947" customFormat="false" ht="12.75" hidden="false" customHeight="false" outlineLevel="0" collapsed="false">
      <c r="A1947" s="0" t="s">
        <v>43</v>
      </c>
      <c r="B1947" s="0" t="n">
        <v>204</v>
      </c>
      <c r="C1947" s="0" t="n">
        <v>5351</v>
      </c>
    </row>
    <row r="1948" customFormat="false" ht="12.75" hidden="false" customHeight="false" outlineLevel="0" collapsed="false">
      <c r="A1948" s="0" t="s">
        <v>44</v>
      </c>
      <c r="B1948" s="0" t="n">
        <v>255</v>
      </c>
      <c r="C1948" s="0" t="n">
        <v>5099</v>
      </c>
    </row>
    <row r="1949" customFormat="false" ht="12.75" hidden="false" customHeight="false" outlineLevel="0" collapsed="false">
      <c r="A1949" s="0" t="s">
        <v>45</v>
      </c>
      <c r="B1949" s="0" t="n">
        <v>21</v>
      </c>
      <c r="C1949" s="0" t="n">
        <v>5096</v>
      </c>
    </row>
    <row r="1950" customFormat="false" ht="12.75" hidden="false" customHeight="false" outlineLevel="0" collapsed="false">
      <c r="A1950" s="0" t="s">
        <v>46</v>
      </c>
      <c r="B1950" s="0" t="n">
        <v>74</v>
      </c>
      <c r="C1950" s="0" t="n">
        <v>5022</v>
      </c>
    </row>
    <row r="1951" customFormat="false" ht="12.75" hidden="false" customHeight="false" outlineLevel="0" collapsed="false">
      <c r="A1951" s="0" t="s">
        <v>47</v>
      </c>
      <c r="B1951" s="3" t="n">
        <v>2407</v>
      </c>
      <c r="C1951" s="0" t="n">
        <v>2666</v>
      </c>
    </row>
    <row r="1952" customFormat="false" ht="12.75" hidden="false" customHeight="false" outlineLevel="0" collapsed="false">
      <c r="A1952" s="0" t="s">
        <v>48</v>
      </c>
      <c r="B1952" s="0" t="n">
        <v>55</v>
      </c>
      <c r="C1952" s="0" t="n">
        <v>2679</v>
      </c>
    </row>
    <row r="1953" customFormat="false" ht="12.75" hidden="false" customHeight="false" outlineLevel="0" collapsed="false">
      <c r="A1953" s="0" t="s">
        <v>49</v>
      </c>
      <c r="B1953" s="0" t="n">
        <v>461</v>
      </c>
      <c r="C1953" s="0" t="n">
        <v>2219</v>
      </c>
    </row>
    <row r="1954" customFormat="false" ht="12.75" hidden="false" customHeight="false" outlineLevel="0" collapsed="false">
      <c r="A1954" s="0" t="s">
        <v>50</v>
      </c>
      <c r="B1954" s="0" t="n">
        <v>168</v>
      </c>
      <c r="C1954" s="0" t="n">
        <v>2053</v>
      </c>
    </row>
    <row r="1955" customFormat="false" ht="12.75" hidden="false" customHeight="false" outlineLevel="0" collapsed="false">
      <c r="A1955" s="0" t="s">
        <v>51</v>
      </c>
      <c r="B1955" s="0" t="n">
        <v>7</v>
      </c>
      <c r="C1955" s="0" t="n">
        <v>2049</v>
      </c>
    </row>
    <row r="1956" customFormat="false" ht="12.75" hidden="false" customHeight="false" outlineLevel="0" collapsed="false">
      <c r="A1956" s="0" t="s">
        <v>155</v>
      </c>
      <c r="B1956" s="0" t="s">
        <v>156</v>
      </c>
      <c r="C1956" s="0" t="n">
        <v>2049</v>
      </c>
    </row>
    <row r="1957" customFormat="false" ht="12.75" hidden="false" customHeight="false" outlineLevel="0" collapsed="false">
      <c r="A1957" s="0" t="s">
        <v>1</v>
      </c>
      <c r="B1957" s="0" t="n">
        <v>2</v>
      </c>
      <c r="C1957" s="0" t="n">
        <v>8080</v>
      </c>
    </row>
    <row r="1958" customFormat="false" ht="12.75" hidden="false" customHeight="false" outlineLevel="0" collapsed="false">
      <c r="A1958" s="0" t="s">
        <v>2</v>
      </c>
      <c r="B1958" s="0" t="s">
        <v>156</v>
      </c>
      <c r="C1958" s="0" t="n">
        <v>8283</v>
      </c>
    </row>
    <row r="1959" customFormat="false" ht="12.75" hidden="false" customHeight="false" outlineLevel="0" collapsed="false">
      <c r="A1959" s="0" t="s">
        <v>3</v>
      </c>
      <c r="B1959" s="0" t="n">
        <v>1</v>
      </c>
      <c r="C1959" s="0" t="n">
        <v>8283</v>
      </c>
    </row>
    <row r="1960" customFormat="false" ht="12.75" hidden="false" customHeight="false" outlineLevel="0" collapsed="false">
      <c r="A1960" s="0" t="s">
        <v>4</v>
      </c>
      <c r="B1960" s="0" t="n">
        <v>4</v>
      </c>
      <c r="C1960" s="0" t="n">
        <v>8296</v>
      </c>
    </row>
    <row r="1961" customFormat="false" ht="12.75" hidden="false" customHeight="false" outlineLevel="0" collapsed="false">
      <c r="A1961" s="0" t="s">
        <v>5</v>
      </c>
      <c r="B1961" s="0" t="n">
        <v>24</v>
      </c>
      <c r="C1961" s="0" t="n">
        <v>8291</v>
      </c>
    </row>
    <row r="1962" customFormat="false" ht="12.75" hidden="false" customHeight="false" outlineLevel="0" collapsed="false">
      <c r="A1962" s="0" t="s">
        <v>6</v>
      </c>
      <c r="B1962" s="0" t="n">
        <v>25</v>
      </c>
      <c r="C1962" s="0" t="n">
        <v>8337</v>
      </c>
    </row>
    <row r="1963" customFormat="false" ht="12.75" hidden="false" customHeight="false" outlineLevel="0" collapsed="false">
      <c r="A1963" s="0" t="s">
        <v>7</v>
      </c>
      <c r="B1963" s="0" t="n">
        <v>473</v>
      </c>
      <c r="C1963" s="0" t="n">
        <v>7884</v>
      </c>
    </row>
    <row r="1964" customFormat="false" ht="12.75" hidden="false" customHeight="false" outlineLevel="0" collapsed="false">
      <c r="A1964" s="0" t="s">
        <v>8</v>
      </c>
      <c r="B1964" s="0" t="n">
        <v>8</v>
      </c>
      <c r="C1964" s="0" t="n">
        <v>7993</v>
      </c>
    </row>
    <row r="1965" customFormat="false" ht="12.75" hidden="false" customHeight="false" outlineLevel="0" collapsed="false">
      <c r="A1965" s="0" t="s">
        <v>9</v>
      </c>
      <c r="B1965" s="0" t="n">
        <v>4</v>
      </c>
      <c r="C1965" s="0" t="n">
        <v>8020</v>
      </c>
    </row>
    <row r="1966" customFormat="false" ht="12.75" hidden="false" customHeight="false" outlineLevel="0" collapsed="false">
      <c r="A1966" s="0" t="s">
        <v>10</v>
      </c>
      <c r="B1966" s="0" t="n">
        <v>23</v>
      </c>
      <c r="C1966" s="0" t="n">
        <v>8054</v>
      </c>
    </row>
    <row r="1967" customFormat="false" ht="12.75" hidden="false" customHeight="false" outlineLevel="0" collapsed="false">
      <c r="A1967" s="0" t="s">
        <v>11</v>
      </c>
      <c r="B1967" s="0" t="n">
        <v>4</v>
      </c>
      <c r="C1967" s="0" t="n">
        <v>8517</v>
      </c>
    </row>
    <row r="1968" customFormat="false" ht="12.75" hidden="false" customHeight="false" outlineLevel="0" collapsed="false">
      <c r="A1968" s="0" t="s">
        <v>12</v>
      </c>
      <c r="B1968" s="0" t="s">
        <v>156</v>
      </c>
      <c r="C1968" s="0" t="n">
        <v>10417</v>
      </c>
    </row>
    <row r="1969" customFormat="false" ht="12.75" hidden="false" customHeight="false" outlineLevel="0" collapsed="false">
      <c r="A1969" s="0" t="s">
        <v>13</v>
      </c>
      <c r="B1969" s="0" t="s">
        <v>156</v>
      </c>
      <c r="C1969" s="0" t="n">
        <v>10421</v>
      </c>
    </row>
    <row r="1970" customFormat="false" ht="12.75" hidden="false" customHeight="false" outlineLevel="0" collapsed="false">
      <c r="A1970" s="0" t="s">
        <v>14</v>
      </c>
      <c r="B1970" s="0" t="n">
        <v>13</v>
      </c>
      <c r="C1970" s="0" t="n">
        <v>10413</v>
      </c>
    </row>
    <row r="1971" customFormat="false" ht="12.75" hidden="false" customHeight="false" outlineLevel="0" collapsed="false">
      <c r="A1971" s="0" t="s">
        <v>15</v>
      </c>
      <c r="B1971" s="0" t="n">
        <v>13</v>
      </c>
      <c r="C1971" s="0" t="n">
        <v>10601</v>
      </c>
    </row>
    <row r="1972" customFormat="false" ht="12.75" hidden="false" customHeight="false" outlineLevel="0" collapsed="false">
      <c r="A1972" s="0" t="s">
        <v>16</v>
      </c>
      <c r="B1972" s="0" t="s">
        <v>156</v>
      </c>
      <c r="C1972" s="0" t="n">
        <v>10758</v>
      </c>
    </row>
    <row r="1973" customFormat="false" ht="12.75" hidden="false" customHeight="false" outlineLevel="0" collapsed="false">
      <c r="A1973" s="0" t="s">
        <v>17</v>
      </c>
      <c r="B1973" s="0" t="n">
        <v>1</v>
      </c>
      <c r="C1973" s="0" t="n">
        <v>10789</v>
      </c>
    </row>
    <row r="1974" customFormat="false" ht="12.75" hidden="false" customHeight="false" outlineLevel="0" collapsed="false">
      <c r="A1974" s="0" t="s">
        <v>18</v>
      </c>
      <c r="B1974" s="0" t="n">
        <v>10</v>
      </c>
      <c r="C1974" s="0" t="n">
        <v>10790</v>
      </c>
    </row>
    <row r="1975" customFormat="false" ht="12.75" hidden="false" customHeight="false" outlineLevel="0" collapsed="false">
      <c r="A1975" s="0" t="s">
        <v>19</v>
      </c>
      <c r="B1975" s="0" t="n">
        <v>1</v>
      </c>
      <c r="C1975" s="0" t="n">
        <v>10996</v>
      </c>
    </row>
    <row r="1976" customFormat="false" ht="12.75" hidden="false" customHeight="false" outlineLevel="0" collapsed="false">
      <c r="A1976" s="0" t="s">
        <v>20</v>
      </c>
      <c r="B1976" s="0" t="n">
        <v>92</v>
      </c>
      <c r="C1976" s="0" t="n">
        <v>10951</v>
      </c>
    </row>
    <row r="1977" customFormat="false" ht="12.75" hidden="false" customHeight="false" outlineLevel="0" collapsed="false">
      <c r="A1977" s="0" t="s">
        <v>21</v>
      </c>
      <c r="B1977" s="0" t="n">
        <v>89</v>
      </c>
      <c r="C1977" s="0" t="n">
        <v>10902</v>
      </c>
    </row>
    <row r="1978" customFormat="false" ht="12.75" hidden="false" customHeight="false" outlineLevel="0" collapsed="false">
      <c r="A1978" s="0" t="s">
        <v>22</v>
      </c>
      <c r="B1978" s="0" t="n">
        <v>247</v>
      </c>
      <c r="C1978" s="0" t="n">
        <v>11171</v>
      </c>
    </row>
    <row r="1979" customFormat="false" ht="12.75" hidden="false" customHeight="false" outlineLevel="0" collapsed="false">
      <c r="A1979" s="0" t="s">
        <v>23</v>
      </c>
      <c r="B1979" s="0" t="s">
        <v>156</v>
      </c>
      <c r="C1979" s="0" t="n">
        <v>11287</v>
      </c>
    </row>
    <row r="1980" customFormat="false" ht="12.75" hidden="false" customHeight="false" outlineLevel="0" collapsed="false">
      <c r="A1980" s="0" t="s">
        <v>24</v>
      </c>
      <c r="B1980" s="0" t="n">
        <v>5</v>
      </c>
      <c r="C1980" s="0" t="n">
        <v>11532</v>
      </c>
    </row>
    <row r="1981" customFormat="false" ht="12.75" hidden="false" customHeight="false" outlineLevel="0" collapsed="false">
      <c r="A1981" s="0" t="s">
        <v>25</v>
      </c>
      <c r="B1981" s="0" t="n">
        <v>1</v>
      </c>
      <c r="C1981" s="0" t="n">
        <v>11549</v>
      </c>
    </row>
    <row r="1982" customFormat="false" ht="12.75" hidden="false" customHeight="false" outlineLevel="0" collapsed="false">
      <c r="A1982" s="0" t="s">
        <v>26</v>
      </c>
      <c r="B1982" s="0" t="n">
        <v>3</v>
      </c>
      <c r="C1982" s="0" t="n">
        <v>11576</v>
      </c>
    </row>
    <row r="1983" customFormat="false" ht="12.75" hidden="false" customHeight="false" outlineLevel="0" collapsed="false">
      <c r="A1983" s="0" t="s">
        <v>27</v>
      </c>
      <c r="B1983" s="0" t="s">
        <v>156</v>
      </c>
      <c r="C1983" s="0" t="n">
        <v>11729</v>
      </c>
    </row>
    <row r="1984" customFormat="false" ht="12.75" hidden="false" customHeight="false" outlineLevel="0" collapsed="false">
      <c r="A1984" s="0" t="s">
        <v>28</v>
      </c>
      <c r="B1984" s="0" t="s">
        <v>156</v>
      </c>
      <c r="C1984" s="0" t="n">
        <v>11731</v>
      </c>
    </row>
    <row r="1985" customFormat="false" ht="12.75" hidden="false" customHeight="false" outlineLevel="0" collapsed="false">
      <c r="A1985" s="0" t="s">
        <v>29</v>
      </c>
      <c r="B1985" s="0" t="n">
        <v>1</v>
      </c>
      <c r="C1985" s="0" t="n">
        <v>11744</v>
      </c>
    </row>
    <row r="1986" customFormat="false" ht="12.75" hidden="false" customHeight="false" outlineLevel="0" collapsed="false">
      <c r="A1986" s="0" t="s">
        <v>30</v>
      </c>
      <c r="B1986" s="0" t="n">
        <v>143</v>
      </c>
      <c r="C1986" s="0" t="n">
        <v>11605</v>
      </c>
    </row>
    <row r="1987" customFormat="false" ht="12.75" hidden="false" customHeight="false" outlineLevel="0" collapsed="false">
      <c r="A1987" s="0" t="s">
        <v>31</v>
      </c>
      <c r="B1987" s="0" t="n">
        <v>200</v>
      </c>
      <c r="C1987" s="0" t="n">
        <v>11433</v>
      </c>
    </row>
    <row r="1988" customFormat="false" ht="12.75" hidden="false" customHeight="false" outlineLevel="0" collapsed="false">
      <c r="A1988" s="0" t="s">
        <v>32</v>
      </c>
      <c r="B1988" s="0" t="s">
        <v>156</v>
      </c>
      <c r="C1988" s="0" t="n">
        <v>11927</v>
      </c>
    </row>
    <row r="1989" customFormat="false" ht="12.75" hidden="false" customHeight="false" outlineLevel="0" collapsed="false">
      <c r="A1989" s="0" t="s">
        <v>33</v>
      </c>
      <c r="B1989" s="0" t="n">
        <v>414</v>
      </c>
      <c r="C1989" s="0" t="n">
        <v>11522</v>
      </c>
    </row>
    <row r="1990" customFormat="false" ht="12.75" hidden="false" customHeight="false" outlineLevel="0" collapsed="false">
      <c r="A1990" s="0" t="s">
        <v>34</v>
      </c>
      <c r="B1990" s="0" t="n">
        <v>12</v>
      </c>
      <c r="C1990" s="0" t="n">
        <v>12169</v>
      </c>
    </row>
    <row r="1991" customFormat="false" ht="12.75" hidden="false" customHeight="false" outlineLevel="0" collapsed="false">
      <c r="A1991" s="0" t="s">
        <v>35</v>
      </c>
      <c r="B1991" s="0" t="s">
        <v>156</v>
      </c>
      <c r="C1991" s="0" t="n">
        <v>16031</v>
      </c>
    </row>
    <row r="1992" customFormat="false" ht="12.75" hidden="false" customHeight="false" outlineLevel="0" collapsed="false">
      <c r="A1992" s="0" t="s">
        <v>36</v>
      </c>
      <c r="B1992" s="0" t="n">
        <v>52</v>
      </c>
      <c r="C1992" s="0" t="n">
        <v>15980</v>
      </c>
    </row>
    <row r="1993" customFormat="false" ht="12.75" hidden="false" customHeight="false" outlineLevel="0" collapsed="false">
      <c r="A1993" s="0" t="s">
        <v>37</v>
      </c>
      <c r="B1993" s="0" t="n">
        <v>3</v>
      </c>
      <c r="C1993" s="0" t="n">
        <v>16758</v>
      </c>
    </row>
    <row r="1994" customFormat="false" ht="12.75" hidden="false" customHeight="false" outlineLevel="0" collapsed="false">
      <c r="A1994" s="0" t="s">
        <v>38</v>
      </c>
      <c r="B1994" s="0" t="n">
        <v>1</v>
      </c>
      <c r="C1994" s="0" t="n">
        <v>16782</v>
      </c>
    </row>
    <row r="1995" customFormat="false" ht="12.75" hidden="false" customHeight="false" outlineLevel="0" collapsed="false">
      <c r="A1995" s="0" t="s">
        <v>39</v>
      </c>
      <c r="B1995" s="0" t="n">
        <v>33</v>
      </c>
      <c r="C1995" s="0" t="n">
        <v>16755</v>
      </c>
    </row>
    <row r="1996" customFormat="false" ht="12.75" hidden="false" customHeight="false" outlineLevel="0" collapsed="false">
      <c r="A1996" s="0" t="s">
        <v>41</v>
      </c>
      <c r="B1996" s="0" t="n">
        <v>1</v>
      </c>
      <c r="C1996" s="0" t="n">
        <v>17563</v>
      </c>
    </row>
    <row r="1997" customFormat="false" ht="12.75" hidden="false" customHeight="false" outlineLevel="0" collapsed="false">
      <c r="A1997" s="0" t="s">
        <v>42</v>
      </c>
      <c r="B1997" s="0" t="s">
        <v>156</v>
      </c>
      <c r="C1997" s="0" t="n">
        <v>17577</v>
      </c>
    </row>
    <row r="1998" customFormat="false" ht="12.75" hidden="false" customHeight="false" outlineLevel="0" collapsed="false">
      <c r="A1998" s="0" t="s">
        <v>43</v>
      </c>
      <c r="B1998" s="0" t="n">
        <v>3</v>
      </c>
      <c r="C1998" s="0" t="n">
        <v>17577</v>
      </c>
    </row>
    <row r="1999" customFormat="false" ht="12.75" hidden="false" customHeight="false" outlineLevel="0" collapsed="false">
      <c r="A1999" s="0" t="s">
        <v>44</v>
      </c>
      <c r="B1999" s="0" t="n">
        <v>18</v>
      </c>
      <c r="C1999" s="0" t="n">
        <v>18251</v>
      </c>
    </row>
    <row r="2000" customFormat="false" ht="12.75" hidden="false" customHeight="false" outlineLevel="0" collapsed="false">
      <c r="A2000" s="0" t="s">
        <v>45</v>
      </c>
      <c r="B2000" s="0" t="s">
        <v>156</v>
      </c>
      <c r="C2000" s="0" t="n">
        <v>18370</v>
      </c>
    </row>
    <row r="2001" customFormat="false" ht="12.75" hidden="false" customHeight="false" outlineLevel="0" collapsed="false">
      <c r="A2001" s="0" t="s">
        <v>46</v>
      </c>
      <c r="B2001" s="0" t="n">
        <v>51</v>
      </c>
      <c r="C2001" s="0" t="n">
        <v>18329</v>
      </c>
    </row>
    <row r="2002" customFormat="false" ht="12.75" hidden="false" customHeight="false" outlineLevel="0" collapsed="false">
      <c r="A2002" s="0" t="s">
        <v>47</v>
      </c>
      <c r="B2002" s="0" t="n">
        <v>68</v>
      </c>
      <c r="C2002" s="0" t="n">
        <v>18271</v>
      </c>
    </row>
    <row r="2003" customFormat="false" ht="12.75" hidden="false" customHeight="false" outlineLevel="0" collapsed="false">
      <c r="A2003" s="0" t="s">
        <v>48</v>
      </c>
      <c r="B2003" s="0" t="n">
        <v>1</v>
      </c>
      <c r="C2003" s="0" t="n">
        <v>19048</v>
      </c>
    </row>
    <row r="2004" customFormat="false" ht="12.75" hidden="false" customHeight="false" outlineLevel="0" collapsed="false">
      <c r="A2004" s="0" t="s">
        <v>49</v>
      </c>
      <c r="B2004" s="0" t="n">
        <v>2</v>
      </c>
      <c r="C2004" s="0" t="n">
        <v>19070</v>
      </c>
    </row>
    <row r="2005" customFormat="false" ht="12.75" hidden="false" customHeight="false" outlineLevel="0" collapsed="false">
      <c r="A2005" s="0" t="s">
        <v>50</v>
      </c>
      <c r="B2005" s="0" t="n">
        <v>3</v>
      </c>
      <c r="C2005" s="0" t="n">
        <v>19292</v>
      </c>
    </row>
    <row r="2006" customFormat="false" ht="12.75" hidden="false" customHeight="false" outlineLevel="0" collapsed="false">
      <c r="A2006" s="0" t="s">
        <v>51</v>
      </c>
      <c r="B2006" s="0" t="s">
        <v>156</v>
      </c>
      <c r="C2006" s="0" t="n">
        <v>19326</v>
      </c>
    </row>
    <row r="2007" customFormat="false" ht="12.75" hidden="false" customHeight="false" outlineLevel="0" collapsed="false">
      <c r="A2007" s="0" t="s">
        <v>157</v>
      </c>
      <c r="B2007" s="3" t="n">
        <v>6033</v>
      </c>
      <c r="C2007" s="0" t="n">
        <v>13294</v>
      </c>
    </row>
    <row r="2008" customFormat="false" ht="12.75" hidden="false" customHeight="false" outlineLevel="0" collapsed="false">
      <c r="A2008" s="0" t="s">
        <v>1</v>
      </c>
      <c r="B2008" s="0" t="n">
        <v>203</v>
      </c>
      <c r="C2008" s="0" t="n">
        <v>20296</v>
      </c>
    </row>
    <row r="2009" customFormat="false" ht="12.75" hidden="false" customHeight="false" outlineLevel="0" collapsed="false">
      <c r="A2009" s="0" t="s">
        <v>2</v>
      </c>
      <c r="B2009" s="0" t="n">
        <v>1</v>
      </c>
      <c r="C2009" s="0" t="n">
        <v>20299</v>
      </c>
    </row>
    <row r="2010" customFormat="false" ht="12.75" hidden="false" customHeight="false" outlineLevel="0" collapsed="false">
      <c r="A2010" s="0" t="s">
        <v>3</v>
      </c>
      <c r="B2010" s="0" t="n">
        <v>17</v>
      </c>
      <c r="C2010" s="0" t="n">
        <v>20284</v>
      </c>
    </row>
    <row r="2011" customFormat="false" ht="12.75" hidden="false" customHeight="false" outlineLevel="0" collapsed="false">
      <c r="A2011" s="0" t="s">
        <v>4</v>
      </c>
      <c r="B2011" s="0" t="n">
        <v>19</v>
      </c>
      <c r="C2011" s="0" t="n">
        <v>20286</v>
      </c>
    </row>
    <row r="2012" customFormat="false" ht="12.75" hidden="false" customHeight="false" outlineLevel="0" collapsed="false">
      <c r="A2012" s="0" t="s">
        <v>5</v>
      </c>
      <c r="B2012" s="0" t="n">
        <v>71</v>
      </c>
      <c r="C2012" s="0" t="n">
        <v>20224</v>
      </c>
    </row>
    <row r="2013" customFormat="false" ht="12.75" hidden="false" customHeight="false" outlineLevel="0" collapsed="false">
      <c r="A2013" s="0" t="s">
        <v>6</v>
      </c>
      <c r="B2013" s="0" t="n">
        <v>20</v>
      </c>
      <c r="C2013" s="0" t="n">
        <v>20326</v>
      </c>
    </row>
    <row r="2014" customFormat="false" ht="12.75" hidden="false" customHeight="false" outlineLevel="0" collapsed="false">
      <c r="A2014" s="0" t="s">
        <v>7</v>
      </c>
      <c r="B2014" s="0" t="n">
        <v>117</v>
      </c>
      <c r="C2014" s="0" t="n">
        <v>20344</v>
      </c>
    </row>
    <row r="2015" customFormat="false" ht="12.75" hidden="false" customHeight="false" outlineLevel="0" collapsed="false">
      <c r="A2015" s="0" t="s">
        <v>8</v>
      </c>
      <c r="B2015" s="0" t="n">
        <v>31</v>
      </c>
      <c r="C2015" s="0" t="n">
        <v>20317</v>
      </c>
    </row>
    <row r="2016" customFormat="false" ht="12.75" hidden="false" customHeight="false" outlineLevel="0" collapsed="false">
      <c r="A2016" s="0" t="s">
        <v>9</v>
      </c>
      <c r="B2016" s="0" t="n">
        <v>57</v>
      </c>
      <c r="C2016" s="0" t="n">
        <v>20261</v>
      </c>
    </row>
    <row r="2017" customFormat="false" ht="12.75" hidden="false" customHeight="false" outlineLevel="0" collapsed="false">
      <c r="A2017" s="0" t="s">
        <v>10</v>
      </c>
      <c r="B2017" s="0" t="n">
        <v>467</v>
      </c>
      <c r="C2017" s="0" t="n">
        <v>19795</v>
      </c>
    </row>
    <row r="2018" customFormat="false" ht="12.75" hidden="false" customHeight="false" outlineLevel="0" collapsed="false">
      <c r="A2018" s="0" t="s">
        <v>11</v>
      </c>
      <c r="B2018" s="3" t="n">
        <v>1900</v>
      </c>
      <c r="C2018" s="0" t="n">
        <v>17895</v>
      </c>
    </row>
    <row r="2019" customFormat="false" ht="12.75" hidden="false" customHeight="false" outlineLevel="0" collapsed="false">
      <c r="A2019" s="0" t="s">
        <v>12</v>
      </c>
      <c r="B2019" s="0" t="n">
        <v>4</v>
      </c>
      <c r="C2019" s="0" t="n">
        <v>17897</v>
      </c>
    </row>
    <row r="2020" customFormat="false" ht="12.75" hidden="false" customHeight="false" outlineLevel="0" collapsed="false">
      <c r="A2020" s="0" t="s">
        <v>13</v>
      </c>
      <c r="B2020" s="0" t="n">
        <v>5</v>
      </c>
      <c r="C2020" s="0" t="n">
        <v>17892</v>
      </c>
    </row>
    <row r="2021" customFormat="false" ht="12.75" hidden="false" customHeight="false" outlineLevel="0" collapsed="false">
      <c r="A2021" s="0" t="s">
        <v>14</v>
      </c>
      <c r="B2021" s="0" t="n">
        <v>201</v>
      </c>
      <c r="C2021" s="0" t="n">
        <v>17706</v>
      </c>
    </row>
    <row r="2022" customFormat="false" ht="12.75" hidden="false" customHeight="false" outlineLevel="0" collapsed="false">
      <c r="A2022" s="0" t="s">
        <v>15</v>
      </c>
      <c r="B2022" s="0" t="n">
        <v>157</v>
      </c>
      <c r="C2022" s="0" t="n">
        <v>17741</v>
      </c>
    </row>
    <row r="2023" customFormat="false" ht="12.75" hidden="false" customHeight="false" outlineLevel="0" collapsed="false">
      <c r="A2023" s="0" t="s">
        <v>16</v>
      </c>
      <c r="B2023" s="0" t="n">
        <v>32</v>
      </c>
      <c r="C2023" s="0" t="n">
        <v>17727</v>
      </c>
    </row>
    <row r="2024" customFormat="false" ht="12.75" hidden="false" customHeight="false" outlineLevel="0" collapsed="false">
      <c r="A2024" s="0" t="s">
        <v>17</v>
      </c>
      <c r="B2024" s="0" t="n">
        <v>11</v>
      </c>
      <c r="C2024" s="0" t="n">
        <v>18036</v>
      </c>
    </row>
    <row r="2025" customFormat="false" ht="12.75" hidden="false" customHeight="false" outlineLevel="0" collapsed="false">
      <c r="A2025" s="0" t="s">
        <v>18</v>
      </c>
      <c r="B2025" s="0" t="n">
        <v>207</v>
      </c>
      <c r="C2025" s="0" t="n">
        <v>17866</v>
      </c>
    </row>
    <row r="2026" customFormat="false" ht="12.75" hidden="false" customHeight="false" outlineLevel="0" collapsed="false">
      <c r="A2026" s="0" t="s">
        <v>19</v>
      </c>
      <c r="B2026" s="0" t="n">
        <v>47</v>
      </c>
      <c r="C2026" s="0" t="n">
        <v>17827</v>
      </c>
    </row>
    <row r="2027" customFormat="false" ht="12.75" hidden="false" customHeight="false" outlineLevel="0" collapsed="false">
      <c r="A2027" s="0" t="s">
        <v>20</v>
      </c>
      <c r="B2027" s="0" t="n">
        <v>40</v>
      </c>
      <c r="C2027" s="0" t="n">
        <v>17788</v>
      </c>
    </row>
    <row r="2028" customFormat="false" ht="12.75" hidden="false" customHeight="false" outlineLevel="0" collapsed="false">
      <c r="A2028" s="0" t="s">
        <v>21</v>
      </c>
      <c r="B2028" s="0" t="n">
        <v>516</v>
      </c>
      <c r="C2028" s="0" t="n">
        <v>17272</v>
      </c>
    </row>
    <row r="2029" customFormat="false" ht="12.75" hidden="false" customHeight="false" outlineLevel="0" collapsed="false">
      <c r="A2029" s="0" t="s">
        <v>22</v>
      </c>
      <c r="B2029" s="0" t="n">
        <v>116</v>
      </c>
      <c r="C2029" s="0" t="n">
        <v>17156</v>
      </c>
    </row>
    <row r="2030" customFormat="false" ht="12.75" hidden="false" customHeight="false" outlineLevel="0" collapsed="false">
      <c r="A2030" s="0" t="s">
        <v>23</v>
      </c>
      <c r="B2030" s="0" t="n">
        <v>250</v>
      </c>
      <c r="C2030" s="0" t="n">
        <v>16909</v>
      </c>
    </row>
    <row r="2031" customFormat="false" ht="12.75" hidden="false" customHeight="false" outlineLevel="0" collapsed="false">
      <c r="A2031" s="0" t="s">
        <v>24</v>
      </c>
      <c r="B2031" s="0" t="n">
        <v>18</v>
      </c>
      <c r="C2031" s="0" t="n">
        <v>16907</v>
      </c>
    </row>
    <row r="2032" customFormat="false" ht="12.75" hidden="false" customHeight="false" outlineLevel="0" collapsed="false">
      <c r="A2032" s="0" t="s">
        <v>25</v>
      </c>
      <c r="B2032" s="0" t="n">
        <v>30</v>
      </c>
      <c r="C2032" s="0" t="n">
        <v>17521</v>
      </c>
    </row>
    <row r="2033" customFormat="false" ht="12.75" hidden="false" customHeight="false" outlineLevel="0" collapsed="false">
      <c r="A2033" s="0" t="s">
        <v>26</v>
      </c>
      <c r="B2033" s="0" t="n">
        <v>153</v>
      </c>
      <c r="C2033" s="0" t="n">
        <v>17368</v>
      </c>
    </row>
    <row r="2034" customFormat="false" ht="12.75" hidden="false" customHeight="false" outlineLevel="0" collapsed="false">
      <c r="A2034" s="0" t="s">
        <v>27</v>
      </c>
      <c r="B2034" s="0" t="n">
        <v>2</v>
      </c>
      <c r="C2034" s="0" t="n">
        <v>17428</v>
      </c>
    </row>
    <row r="2035" customFormat="false" ht="12.75" hidden="false" customHeight="false" outlineLevel="0" collapsed="false">
      <c r="A2035" s="0" t="s">
        <v>28</v>
      </c>
      <c r="B2035" s="0" t="n">
        <v>14</v>
      </c>
      <c r="C2035" s="0" t="n">
        <v>17461</v>
      </c>
    </row>
    <row r="2036" customFormat="false" ht="12.75" hidden="false" customHeight="false" outlineLevel="0" collapsed="false">
      <c r="A2036" s="0" t="s">
        <v>29</v>
      </c>
      <c r="B2036" s="0" t="n">
        <v>4</v>
      </c>
      <c r="C2036" s="0" t="n">
        <v>17887</v>
      </c>
    </row>
    <row r="2037" customFormat="false" ht="12.75" hidden="false" customHeight="false" outlineLevel="0" collapsed="false">
      <c r="A2037" s="0" t="s">
        <v>30</v>
      </c>
      <c r="B2037" s="0" t="n">
        <v>28</v>
      </c>
      <c r="C2037" s="0" t="n">
        <v>17865</v>
      </c>
    </row>
    <row r="2038" customFormat="false" ht="12.75" hidden="false" customHeight="false" outlineLevel="0" collapsed="false">
      <c r="A2038" s="0" t="s">
        <v>31</v>
      </c>
      <c r="B2038" s="0" t="n">
        <v>494</v>
      </c>
      <c r="C2038" s="0" t="n">
        <v>17373</v>
      </c>
    </row>
    <row r="2039" customFormat="false" ht="12.75" hidden="false" customHeight="false" outlineLevel="0" collapsed="false">
      <c r="A2039" s="0" t="s">
        <v>32</v>
      </c>
      <c r="B2039" s="0" t="n">
        <v>9</v>
      </c>
      <c r="C2039" s="0" t="n">
        <v>17374</v>
      </c>
    </row>
    <row r="2040" customFormat="false" ht="12.75" hidden="false" customHeight="false" outlineLevel="0" collapsed="false">
      <c r="A2040" s="0" t="s">
        <v>33</v>
      </c>
      <c r="B2040" s="0" t="n">
        <v>659</v>
      </c>
      <c r="C2040" s="0" t="n">
        <v>16721</v>
      </c>
    </row>
    <row r="2041" customFormat="false" ht="12.75" hidden="false" customHeight="false" outlineLevel="0" collapsed="false">
      <c r="A2041" s="0" t="s">
        <v>34</v>
      </c>
      <c r="B2041" s="3" t="n">
        <v>3862</v>
      </c>
      <c r="C2041" s="0" t="n">
        <v>12859</v>
      </c>
    </row>
    <row r="2042" customFormat="false" ht="12.75" hidden="false" customHeight="false" outlineLevel="0" collapsed="false">
      <c r="A2042" s="0" t="s">
        <v>35</v>
      </c>
      <c r="B2042" s="0" t="n">
        <v>1</v>
      </c>
      <c r="C2042" s="0" t="n">
        <v>12865</v>
      </c>
    </row>
    <row r="2043" customFormat="false" ht="12.75" hidden="false" customHeight="false" outlineLevel="0" collapsed="false">
      <c r="A2043" s="0" t="s">
        <v>36</v>
      </c>
      <c r="B2043" s="0" t="n">
        <v>781</v>
      </c>
      <c r="C2043" s="0" t="n">
        <v>12269</v>
      </c>
    </row>
    <row r="2044" customFormat="false" ht="12.75" hidden="false" customHeight="false" outlineLevel="0" collapsed="false">
      <c r="A2044" s="0" t="s">
        <v>37</v>
      </c>
      <c r="B2044" s="0" t="n">
        <v>25</v>
      </c>
      <c r="C2044" s="0" t="n">
        <v>12248</v>
      </c>
    </row>
    <row r="2045" customFormat="false" ht="12.75" hidden="false" customHeight="false" outlineLevel="0" collapsed="false">
      <c r="A2045" s="0" t="s">
        <v>38</v>
      </c>
      <c r="B2045" s="0" t="n">
        <v>6</v>
      </c>
      <c r="C2045" s="0" t="n">
        <v>12265</v>
      </c>
    </row>
    <row r="2046" customFormat="false" ht="12.75" hidden="false" customHeight="false" outlineLevel="0" collapsed="false">
      <c r="A2046" s="0" t="s">
        <v>39</v>
      </c>
      <c r="B2046" s="0" t="n">
        <v>809</v>
      </c>
      <c r="C2046" s="0" t="n">
        <v>11464</v>
      </c>
    </row>
    <row r="2047" customFormat="false" ht="12.75" hidden="false" customHeight="false" outlineLevel="0" collapsed="false">
      <c r="A2047" s="0" t="s">
        <v>40</v>
      </c>
      <c r="B2047" s="0" t="n">
        <v>14</v>
      </c>
      <c r="C2047" s="0" t="n">
        <v>11450</v>
      </c>
    </row>
    <row r="2048" customFormat="false" ht="12.75" hidden="false" customHeight="false" outlineLevel="0" collapsed="false">
      <c r="A2048" s="0" t="s">
        <v>42</v>
      </c>
      <c r="B2048" s="0" t="n">
        <v>3</v>
      </c>
      <c r="C2048" s="0" t="n">
        <v>11447</v>
      </c>
    </row>
    <row r="2049" customFormat="false" ht="12.75" hidden="false" customHeight="false" outlineLevel="0" collapsed="false">
      <c r="A2049" s="0" t="s">
        <v>43</v>
      </c>
      <c r="B2049" s="0" t="n">
        <v>692</v>
      </c>
      <c r="C2049" s="0" t="n">
        <v>10755</v>
      </c>
    </row>
    <row r="2050" customFormat="false" ht="12.75" hidden="false" customHeight="false" outlineLevel="0" collapsed="false">
      <c r="A2050" s="0" t="s">
        <v>44</v>
      </c>
      <c r="B2050" s="0" t="n">
        <v>119</v>
      </c>
      <c r="C2050" s="0" t="n">
        <v>10645</v>
      </c>
    </row>
    <row r="2051" customFormat="false" ht="12.75" hidden="false" customHeight="false" outlineLevel="0" collapsed="false">
      <c r="A2051" s="0" t="s">
        <v>45</v>
      </c>
      <c r="B2051" s="0" t="n">
        <v>10</v>
      </c>
      <c r="C2051" s="0" t="n">
        <v>10772</v>
      </c>
    </row>
    <row r="2052" customFormat="false" ht="12.75" hidden="false" customHeight="false" outlineLevel="0" collapsed="false">
      <c r="A2052" s="0" t="s">
        <v>46</v>
      </c>
      <c r="B2052" s="0" t="n">
        <v>10</v>
      </c>
      <c r="C2052" s="0" t="n">
        <v>10778</v>
      </c>
    </row>
    <row r="2053" customFormat="false" ht="12.75" hidden="false" customHeight="false" outlineLevel="0" collapsed="false">
      <c r="A2053" s="0" t="s">
        <v>47</v>
      </c>
      <c r="B2053" s="0" t="n">
        <v>778</v>
      </c>
      <c r="C2053" s="0" t="n">
        <v>10000</v>
      </c>
    </row>
    <row r="2054" customFormat="false" ht="12.75" hidden="false" customHeight="false" outlineLevel="0" collapsed="false">
      <c r="A2054" s="0" t="s">
        <v>48</v>
      </c>
      <c r="B2054" s="0" t="n">
        <v>24</v>
      </c>
      <c r="C2054" s="0" t="n">
        <v>9988</v>
      </c>
    </row>
    <row r="2055" customFormat="false" ht="12.75" hidden="false" customHeight="false" outlineLevel="0" collapsed="false">
      <c r="A2055" s="0" t="s">
        <v>49</v>
      </c>
      <c r="B2055" s="0" t="n">
        <v>225</v>
      </c>
      <c r="C2055" s="0" t="n">
        <v>9809</v>
      </c>
    </row>
    <row r="2056" customFormat="false" ht="12.75" hidden="false" customHeight="false" outlineLevel="0" collapsed="false">
      <c r="A2056" s="0" t="s">
        <v>50</v>
      </c>
      <c r="B2056" s="0" t="n">
        <v>34</v>
      </c>
      <c r="C2056" s="0" t="n">
        <v>9776</v>
      </c>
    </row>
    <row r="2057" customFormat="false" ht="12.75" hidden="false" customHeight="false" outlineLevel="0" collapsed="false">
      <c r="A2057" s="0" t="s">
        <v>51</v>
      </c>
      <c r="B2057" s="0" t="n">
        <v>1</v>
      </c>
      <c r="C2057" s="0" t="n">
        <v>9867</v>
      </c>
    </row>
    <row r="2058" customFormat="false" ht="12.75" hidden="false" customHeight="false" outlineLevel="0" collapsed="false">
      <c r="A2058" s="0" t="s">
        <v>158</v>
      </c>
      <c r="B2058" s="3" t="n">
        <v>7205</v>
      </c>
      <c r="C2058" s="0" t="n">
        <v>2885</v>
      </c>
    </row>
    <row r="2059" customFormat="false" ht="12.75" hidden="false" customHeight="false" outlineLevel="0" collapsed="false">
      <c r="A2059" s="0" t="s">
        <v>1</v>
      </c>
      <c r="B2059" s="0" t="n">
        <v>4</v>
      </c>
      <c r="C2059" s="0" t="n">
        <v>8745</v>
      </c>
    </row>
    <row r="2060" customFormat="false" ht="12.75" hidden="false" customHeight="false" outlineLevel="0" collapsed="false">
      <c r="A2060" s="0" t="s">
        <v>2</v>
      </c>
      <c r="B2060" s="0" t="n">
        <v>2</v>
      </c>
      <c r="C2060" s="0" t="n">
        <v>10574</v>
      </c>
    </row>
    <row r="2061" customFormat="false" ht="12.75" hidden="false" customHeight="false" outlineLevel="0" collapsed="false">
      <c r="A2061" s="0" t="s">
        <v>3</v>
      </c>
      <c r="B2061" s="0" t="n">
        <v>21</v>
      </c>
      <c r="C2061" s="0" t="n">
        <v>10556</v>
      </c>
    </row>
    <row r="2062" customFormat="false" ht="12.75" hidden="false" customHeight="false" outlineLevel="0" collapsed="false">
      <c r="A2062" s="0" t="s">
        <v>4</v>
      </c>
      <c r="B2062" s="0" t="n">
        <v>9</v>
      </c>
      <c r="C2062" s="0" t="n">
        <v>10559</v>
      </c>
    </row>
    <row r="2063" customFormat="false" ht="12.75" hidden="false" customHeight="false" outlineLevel="0" collapsed="false">
      <c r="A2063" s="0" t="s">
        <v>5</v>
      </c>
      <c r="B2063" s="0" t="n">
        <v>122</v>
      </c>
      <c r="C2063" s="0" t="n">
        <v>10942</v>
      </c>
    </row>
    <row r="2064" customFormat="false" ht="12.75" hidden="false" customHeight="false" outlineLevel="0" collapsed="false">
      <c r="A2064" s="0" t="s">
        <v>6</v>
      </c>
      <c r="B2064" s="0" t="n">
        <v>135</v>
      </c>
      <c r="C2064" s="0" t="n">
        <v>10990</v>
      </c>
    </row>
    <row r="2065" customFormat="false" ht="12.75" hidden="false" customHeight="false" outlineLevel="0" collapsed="false">
      <c r="A2065" s="0" t="s">
        <v>7</v>
      </c>
      <c r="B2065" s="0" t="n">
        <v>4</v>
      </c>
      <c r="C2065" s="0" t="n">
        <v>11058</v>
      </c>
    </row>
    <row r="2066" customFormat="false" ht="12.75" hidden="false" customHeight="false" outlineLevel="0" collapsed="false">
      <c r="A2066" s="0" t="s">
        <v>8</v>
      </c>
      <c r="B2066" s="0" t="n">
        <v>1</v>
      </c>
      <c r="C2066" s="0" t="n">
        <v>11130</v>
      </c>
    </row>
    <row r="2067" customFormat="false" ht="12.75" hidden="false" customHeight="false" outlineLevel="0" collapsed="false">
      <c r="A2067" s="0" t="s">
        <v>9</v>
      </c>
      <c r="B2067" s="0" t="n">
        <v>1</v>
      </c>
      <c r="C2067" s="0" t="n">
        <v>11155</v>
      </c>
    </row>
    <row r="2068" customFormat="false" ht="12.75" hidden="false" customHeight="false" outlineLevel="0" collapsed="false">
      <c r="A2068" s="0" t="s">
        <v>10</v>
      </c>
      <c r="B2068" s="0" t="s">
        <v>156</v>
      </c>
      <c r="C2068" s="0" t="n">
        <v>11171</v>
      </c>
    </row>
    <row r="2069" customFormat="false" ht="12.75" hidden="false" customHeight="false" outlineLevel="0" collapsed="false">
      <c r="A2069" s="0" t="s">
        <v>11</v>
      </c>
      <c r="B2069" s="0" t="n">
        <v>6</v>
      </c>
      <c r="C2069" s="0" t="n">
        <v>11774</v>
      </c>
    </row>
    <row r="2070" customFormat="false" ht="12.75" hidden="false" customHeight="false" outlineLevel="0" collapsed="false">
      <c r="A2070" s="0" t="s">
        <v>12</v>
      </c>
      <c r="B2070" s="0" t="s">
        <v>156</v>
      </c>
      <c r="C2070" s="0" t="n">
        <v>14228</v>
      </c>
    </row>
    <row r="2071" customFormat="false" ht="12.75" hidden="false" customHeight="false" outlineLevel="0" collapsed="false">
      <c r="A2071" s="0" t="s">
        <v>13</v>
      </c>
      <c r="B2071" s="0" t="n">
        <v>15</v>
      </c>
      <c r="C2071" s="0" t="n">
        <v>14214</v>
      </c>
    </row>
    <row r="2072" customFormat="false" ht="12.75" hidden="false" customHeight="false" outlineLevel="0" collapsed="false">
      <c r="A2072" s="0" t="s">
        <v>14</v>
      </c>
      <c r="B2072" s="0" t="n">
        <v>192</v>
      </c>
      <c r="C2072" s="0" t="n">
        <v>14028</v>
      </c>
    </row>
    <row r="2073" customFormat="false" ht="12.75" hidden="false" customHeight="false" outlineLevel="0" collapsed="false">
      <c r="A2073" s="0" t="s">
        <v>15</v>
      </c>
      <c r="B2073" s="0" t="n">
        <v>18</v>
      </c>
      <c r="C2073" s="0" t="n">
        <v>14530</v>
      </c>
    </row>
    <row r="2074" customFormat="false" ht="12.75" hidden="false" customHeight="false" outlineLevel="0" collapsed="false">
      <c r="A2074" s="0" t="s">
        <v>16</v>
      </c>
      <c r="B2074" s="0" t="n">
        <v>320</v>
      </c>
      <c r="C2074" s="0" t="n">
        <v>14915</v>
      </c>
    </row>
    <row r="2075" customFormat="false" ht="12.75" hidden="false" customHeight="false" outlineLevel="0" collapsed="false">
      <c r="A2075" s="0" t="s">
        <v>17</v>
      </c>
      <c r="B2075" s="0" t="n">
        <v>37</v>
      </c>
      <c r="C2075" s="0" t="n">
        <v>14936</v>
      </c>
    </row>
    <row r="2076" customFormat="false" ht="12.75" hidden="false" customHeight="false" outlineLevel="0" collapsed="false">
      <c r="A2076" s="0" t="s">
        <v>18</v>
      </c>
      <c r="B2076" s="0" t="n">
        <v>8</v>
      </c>
      <c r="C2076" s="0" t="n">
        <v>14967</v>
      </c>
    </row>
    <row r="2077" customFormat="false" ht="12.75" hidden="false" customHeight="false" outlineLevel="0" collapsed="false">
      <c r="A2077" s="0" t="s">
        <v>19</v>
      </c>
      <c r="B2077" s="0" t="n">
        <v>1</v>
      </c>
      <c r="C2077" s="0" t="n">
        <v>16844</v>
      </c>
    </row>
    <row r="2078" customFormat="false" ht="12.75" hidden="false" customHeight="false" outlineLevel="0" collapsed="false">
      <c r="A2078" s="0" t="s">
        <v>20</v>
      </c>
      <c r="B2078" s="0" t="s">
        <v>156</v>
      </c>
      <c r="C2078" s="0" t="n">
        <v>17108</v>
      </c>
    </row>
    <row r="2079" customFormat="false" ht="12.75" hidden="false" customHeight="false" outlineLevel="0" collapsed="false">
      <c r="A2079" s="0" t="s">
        <v>21</v>
      </c>
      <c r="B2079" s="0" t="s">
        <v>156</v>
      </c>
      <c r="C2079" s="0" t="n">
        <v>17120</v>
      </c>
    </row>
    <row r="2080" customFormat="false" ht="12.75" hidden="false" customHeight="false" outlineLevel="0" collapsed="false">
      <c r="A2080" s="0" t="s">
        <v>22</v>
      </c>
      <c r="B2080" s="0" t="n">
        <v>3</v>
      </c>
      <c r="C2080" s="0" t="n">
        <v>17233</v>
      </c>
    </row>
    <row r="2081" customFormat="false" ht="12.75" hidden="false" customHeight="false" outlineLevel="0" collapsed="false">
      <c r="A2081" s="0" t="s">
        <v>23</v>
      </c>
      <c r="B2081" s="0" t="n">
        <v>16</v>
      </c>
      <c r="C2081" s="0" t="n">
        <v>17270</v>
      </c>
    </row>
    <row r="2082" customFormat="false" ht="12.75" hidden="false" customHeight="false" outlineLevel="0" collapsed="false">
      <c r="A2082" s="0" t="s">
        <v>24</v>
      </c>
      <c r="B2082" s="0" t="n">
        <v>644</v>
      </c>
      <c r="C2082" s="0" t="n">
        <v>17147</v>
      </c>
    </row>
    <row r="2083" customFormat="false" ht="12.75" hidden="false" customHeight="false" outlineLevel="0" collapsed="false">
      <c r="A2083" s="0" t="s">
        <v>25</v>
      </c>
      <c r="B2083" s="0" t="s">
        <v>156</v>
      </c>
      <c r="C2083" s="0" t="n">
        <v>17182</v>
      </c>
    </row>
    <row r="2084" customFormat="false" ht="12.75" hidden="false" customHeight="false" outlineLevel="0" collapsed="false">
      <c r="A2084" s="0" t="s">
        <v>26</v>
      </c>
      <c r="B2084" s="0" t="n">
        <v>62</v>
      </c>
      <c r="C2084" s="0" t="n">
        <v>18142</v>
      </c>
    </row>
    <row r="2085" customFormat="false" ht="12.75" hidden="false" customHeight="false" outlineLevel="0" collapsed="false">
      <c r="A2085" s="0" t="s">
        <v>27</v>
      </c>
      <c r="B2085" s="0" t="n">
        <v>47</v>
      </c>
      <c r="C2085" s="0" t="n">
        <v>18772</v>
      </c>
    </row>
    <row r="2086" customFormat="false" ht="12.75" hidden="false" customHeight="false" outlineLevel="0" collapsed="false">
      <c r="A2086" s="0" t="s">
        <v>28</v>
      </c>
      <c r="B2086" s="0" t="n">
        <v>430</v>
      </c>
      <c r="C2086" s="0" t="n">
        <v>18347</v>
      </c>
    </row>
    <row r="2087" customFormat="false" ht="12.75" hidden="false" customHeight="false" outlineLevel="0" collapsed="false">
      <c r="A2087" s="0" t="s">
        <v>29</v>
      </c>
      <c r="B2087" s="0" t="n">
        <v>6</v>
      </c>
      <c r="C2087" s="0" t="n">
        <v>18379</v>
      </c>
    </row>
    <row r="2088" customFormat="false" ht="12.75" hidden="false" customHeight="false" outlineLevel="0" collapsed="false">
      <c r="A2088" s="0" t="s">
        <v>30</v>
      </c>
      <c r="B2088" s="0" t="n">
        <v>2</v>
      </c>
      <c r="C2088" s="0" t="n">
        <v>18391</v>
      </c>
    </row>
    <row r="2089" customFormat="false" ht="12.75" hidden="false" customHeight="false" outlineLevel="0" collapsed="false">
      <c r="A2089" s="0" t="s">
        <v>31</v>
      </c>
      <c r="B2089" s="0" t="n">
        <v>10</v>
      </c>
      <c r="C2089" s="0" t="n">
        <v>18403</v>
      </c>
    </row>
    <row r="2090" customFormat="false" ht="12.75" hidden="false" customHeight="false" outlineLevel="0" collapsed="false">
      <c r="A2090" s="0" t="s">
        <v>32</v>
      </c>
      <c r="B2090" s="0" t="n">
        <v>6</v>
      </c>
      <c r="C2090" s="0" t="n">
        <v>18506</v>
      </c>
    </row>
    <row r="2091" customFormat="false" ht="12.75" hidden="false" customHeight="false" outlineLevel="0" collapsed="false">
      <c r="A2091" s="0" t="s">
        <v>33</v>
      </c>
      <c r="B2091" s="0" t="s">
        <v>156</v>
      </c>
      <c r="C2091" s="0" t="n">
        <v>18529</v>
      </c>
    </row>
    <row r="2092" customFormat="false" ht="12.75" hidden="false" customHeight="false" outlineLevel="0" collapsed="false">
      <c r="A2092" s="0" t="s">
        <v>34</v>
      </c>
      <c r="B2092" s="0" t="n">
        <v>7</v>
      </c>
      <c r="C2092" s="0" t="n">
        <v>18583</v>
      </c>
    </row>
    <row r="2093" customFormat="false" ht="12.75" hidden="false" customHeight="false" outlineLevel="0" collapsed="false">
      <c r="A2093" s="0" t="s">
        <v>35</v>
      </c>
      <c r="B2093" s="0" t="n">
        <v>185</v>
      </c>
      <c r="C2093" s="0" t="n">
        <v>19498</v>
      </c>
    </row>
    <row r="2094" customFormat="false" ht="12.75" hidden="false" customHeight="false" outlineLevel="0" collapsed="false">
      <c r="A2094" s="0" t="s">
        <v>36</v>
      </c>
      <c r="B2094" s="0" t="n">
        <v>4</v>
      </c>
      <c r="C2094" s="0" t="n">
        <v>19498</v>
      </c>
    </row>
    <row r="2095" customFormat="false" ht="12.75" hidden="false" customHeight="false" outlineLevel="0" collapsed="false">
      <c r="A2095" s="0" t="s">
        <v>37</v>
      </c>
      <c r="B2095" s="0" t="n">
        <v>23</v>
      </c>
      <c r="C2095" s="0" t="n">
        <v>20500</v>
      </c>
    </row>
    <row r="2096" customFormat="false" ht="12.75" hidden="false" customHeight="false" outlineLevel="0" collapsed="false">
      <c r="A2096" s="0" t="s">
        <v>38</v>
      </c>
      <c r="B2096" s="0" t="n">
        <v>8</v>
      </c>
      <c r="C2096" s="0" t="n">
        <v>20613</v>
      </c>
    </row>
    <row r="2097" customFormat="false" ht="12.75" hidden="false" customHeight="false" outlineLevel="0" collapsed="false">
      <c r="A2097" s="0" t="s">
        <v>39</v>
      </c>
      <c r="B2097" s="0" t="s">
        <v>156</v>
      </c>
      <c r="C2097" s="0" t="n">
        <v>20637</v>
      </c>
    </row>
    <row r="2098" customFormat="false" ht="12.75" hidden="false" customHeight="false" outlineLevel="0" collapsed="false">
      <c r="A2098" s="0" t="s">
        <v>40</v>
      </c>
      <c r="B2098" s="0" t="s">
        <v>156</v>
      </c>
      <c r="C2098" s="0" t="n">
        <v>20943</v>
      </c>
    </row>
    <row r="2099" customFormat="false" ht="12.75" hidden="false" customHeight="false" outlineLevel="0" collapsed="false">
      <c r="A2099" s="0" t="s">
        <v>41</v>
      </c>
      <c r="B2099" s="0" t="s">
        <v>156</v>
      </c>
      <c r="C2099" s="0" t="n">
        <v>20958</v>
      </c>
    </row>
    <row r="2100" customFormat="false" ht="12.75" hidden="false" customHeight="false" outlineLevel="0" collapsed="false">
      <c r="A2100" s="0" t="s">
        <v>43</v>
      </c>
      <c r="B2100" s="0" t="n">
        <v>9</v>
      </c>
      <c r="C2100" s="0" t="n">
        <v>21464</v>
      </c>
    </row>
    <row r="2101" customFormat="false" ht="12.75" hidden="false" customHeight="false" outlineLevel="0" collapsed="false">
      <c r="A2101" s="0" t="s">
        <v>44</v>
      </c>
      <c r="B2101" s="0" t="n">
        <v>137</v>
      </c>
      <c r="C2101" s="0" t="n">
        <v>21337</v>
      </c>
    </row>
    <row r="2102" customFormat="false" ht="12.75" hidden="false" customHeight="false" outlineLevel="0" collapsed="false">
      <c r="A2102" s="0" t="s">
        <v>45</v>
      </c>
      <c r="B2102" s="0" t="n">
        <v>16</v>
      </c>
      <c r="C2102" s="0" t="n">
        <v>21934</v>
      </c>
    </row>
    <row r="2103" customFormat="false" ht="12.75" hidden="false" customHeight="false" outlineLevel="0" collapsed="false">
      <c r="A2103" s="0" t="s">
        <v>46</v>
      </c>
      <c r="B2103" s="0" t="s">
        <v>156</v>
      </c>
      <c r="C2103" s="0" t="n">
        <v>21949</v>
      </c>
    </row>
    <row r="2104" customFormat="false" ht="12.75" hidden="false" customHeight="false" outlineLevel="0" collapsed="false">
      <c r="A2104" s="0" t="s">
        <v>47</v>
      </c>
      <c r="B2104" s="0" t="n">
        <v>12</v>
      </c>
      <c r="C2104" s="0" t="n">
        <v>21946</v>
      </c>
    </row>
    <row r="2105" customFormat="false" ht="12.75" hidden="false" customHeight="false" outlineLevel="0" collapsed="false">
      <c r="A2105" s="0" t="s">
        <v>48</v>
      </c>
      <c r="B2105" s="0" t="n">
        <v>46</v>
      </c>
      <c r="C2105" s="0" t="n">
        <v>22792</v>
      </c>
    </row>
    <row r="2106" customFormat="false" ht="12.75" hidden="false" customHeight="false" outlineLevel="0" collapsed="false">
      <c r="A2106" s="0" t="s">
        <v>49</v>
      </c>
      <c r="B2106" s="0" t="n">
        <v>1</v>
      </c>
      <c r="C2106" s="0" t="n">
        <v>22805</v>
      </c>
    </row>
    <row r="2107" customFormat="false" ht="12.75" hidden="false" customHeight="false" outlineLevel="0" collapsed="false">
      <c r="A2107" s="0" t="s">
        <v>50</v>
      </c>
      <c r="B2107" s="0" t="n">
        <v>92</v>
      </c>
      <c r="C2107" s="0" t="n">
        <v>22863</v>
      </c>
    </row>
    <row r="2108" customFormat="false" ht="12.75" hidden="false" customHeight="false" outlineLevel="0" collapsed="false">
      <c r="A2108" s="0" t="s">
        <v>51</v>
      </c>
      <c r="B2108" s="0" t="n">
        <v>223</v>
      </c>
      <c r="C2108" s="0" t="n">
        <v>22734</v>
      </c>
    </row>
    <row r="2109" customFormat="false" ht="12.75" hidden="false" customHeight="false" outlineLevel="0" collapsed="false">
      <c r="A2109" s="0" t="s">
        <v>159</v>
      </c>
      <c r="B2109" s="3" t="n">
        <v>5864</v>
      </c>
      <c r="C2109" s="0" t="n">
        <v>16875</v>
      </c>
    </row>
    <row r="2110" customFormat="false" ht="12.75" hidden="false" customHeight="false" outlineLevel="0" collapsed="false">
      <c r="A2110" s="0" t="s">
        <v>1</v>
      </c>
      <c r="B2110" s="3" t="n">
        <v>1831</v>
      </c>
      <c r="C2110" s="0" t="n">
        <v>71852</v>
      </c>
    </row>
    <row r="2111" customFormat="false" ht="12.75" hidden="false" customHeight="false" outlineLevel="0" collapsed="false">
      <c r="A2111" s="0" t="s">
        <v>2</v>
      </c>
      <c r="B2111" s="0" t="n">
        <v>3</v>
      </c>
      <c r="C2111" s="0" t="n">
        <v>72080</v>
      </c>
    </row>
    <row r="2112" customFormat="false" ht="12.75" hidden="false" customHeight="false" outlineLevel="0" collapsed="false">
      <c r="A2112" s="0" t="s">
        <v>3</v>
      </c>
      <c r="B2112" s="0" t="n">
        <v>12</v>
      </c>
      <c r="C2112" s="0" t="n">
        <v>72093</v>
      </c>
    </row>
    <row r="2113" customFormat="false" ht="12.75" hidden="false" customHeight="false" outlineLevel="0" collapsed="false">
      <c r="A2113" s="0" t="s">
        <v>4</v>
      </c>
      <c r="B2113" s="0" t="n">
        <v>505</v>
      </c>
      <c r="C2113" s="0" t="n">
        <v>71950</v>
      </c>
    </row>
    <row r="2114" customFormat="false" ht="12.75" hidden="false" customHeight="false" outlineLevel="0" collapsed="false">
      <c r="A2114" s="0" t="s">
        <v>5</v>
      </c>
      <c r="B2114" s="0" t="n">
        <v>183</v>
      </c>
      <c r="C2114" s="0" t="n">
        <v>72764</v>
      </c>
    </row>
    <row r="2115" customFormat="false" ht="12.75" hidden="false" customHeight="false" outlineLevel="0" collapsed="false">
      <c r="A2115" s="0" t="s">
        <v>6</v>
      </c>
      <c r="B2115" s="0" t="n">
        <v>72</v>
      </c>
      <c r="C2115" s="0" t="n">
        <v>73603</v>
      </c>
    </row>
    <row r="2116" customFormat="false" ht="12.75" hidden="false" customHeight="false" outlineLevel="0" collapsed="false">
      <c r="A2116" s="0" t="s">
        <v>7</v>
      </c>
      <c r="B2116" s="0" t="n">
        <v>73</v>
      </c>
      <c r="C2116" s="0" t="n">
        <v>74034</v>
      </c>
    </row>
    <row r="2117" customFormat="false" ht="12.75" hidden="false" customHeight="false" outlineLevel="0" collapsed="false">
      <c r="A2117" s="0" t="s">
        <v>8</v>
      </c>
      <c r="B2117" s="0" t="n">
        <v>26</v>
      </c>
      <c r="C2117" s="0" t="n">
        <v>74107</v>
      </c>
    </row>
    <row r="2118" customFormat="false" ht="12.75" hidden="false" customHeight="false" outlineLevel="0" collapsed="false">
      <c r="A2118" s="0" t="s">
        <v>9</v>
      </c>
      <c r="B2118" s="0" t="n">
        <v>16</v>
      </c>
      <c r="C2118" s="0" t="n">
        <v>74118</v>
      </c>
    </row>
    <row r="2119" customFormat="false" ht="12.75" hidden="false" customHeight="false" outlineLevel="0" collapsed="false">
      <c r="A2119" s="0" t="s">
        <v>10</v>
      </c>
      <c r="B2119" s="0" t="n">
        <v>609</v>
      </c>
      <c r="C2119" s="0" t="n">
        <v>73554</v>
      </c>
    </row>
    <row r="2120" customFormat="false" ht="12.75" hidden="false" customHeight="false" outlineLevel="0" collapsed="false">
      <c r="A2120" s="0" t="s">
        <v>11</v>
      </c>
      <c r="B2120" s="3" t="n">
        <v>2454</v>
      </c>
      <c r="C2120" s="0" t="n">
        <v>71571</v>
      </c>
    </row>
    <row r="2121" customFormat="false" ht="12.75" hidden="false" customHeight="false" outlineLevel="0" collapsed="false">
      <c r="A2121" s="0" t="s">
        <v>12</v>
      </c>
      <c r="B2121" s="0" t="n">
        <v>1</v>
      </c>
      <c r="C2121" s="0" t="n">
        <v>71943</v>
      </c>
    </row>
    <row r="2122" customFormat="false" ht="12.75" hidden="false" customHeight="false" outlineLevel="0" collapsed="false">
      <c r="A2122" s="0" t="s">
        <v>13</v>
      </c>
      <c r="B2122" s="0" t="n">
        <v>6</v>
      </c>
      <c r="C2122" s="0" t="n">
        <v>71963</v>
      </c>
    </row>
    <row r="2123" customFormat="false" ht="12.75" hidden="false" customHeight="false" outlineLevel="0" collapsed="false">
      <c r="A2123" s="0" t="s">
        <v>14</v>
      </c>
      <c r="B2123" s="0" t="n">
        <v>520</v>
      </c>
      <c r="C2123" s="0" t="n">
        <v>71472</v>
      </c>
    </row>
    <row r="2124" customFormat="false" ht="12.75" hidden="false" customHeight="false" outlineLevel="0" collapsed="false">
      <c r="A2124" s="0" t="s">
        <v>15</v>
      </c>
      <c r="B2124" s="0" t="n">
        <v>705</v>
      </c>
      <c r="C2124" s="0" t="n">
        <v>72028</v>
      </c>
    </row>
    <row r="2125" customFormat="false" ht="12.75" hidden="false" customHeight="false" outlineLevel="0" collapsed="false">
      <c r="A2125" s="0" t="s">
        <v>16</v>
      </c>
      <c r="B2125" s="0" t="n">
        <v>58</v>
      </c>
      <c r="C2125" s="0" t="n">
        <v>72179</v>
      </c>
    </row>
    <row r="2126" customFormat="false" ht="12.75" hidden="false" customHeight="false" outlineLevel="0" collapsed="false">
      <c r="A2126" s="0" t="s">
        <v>17</v>
      </c>
      <c r="B2126" s="0" t="n">
        <v>39</v>
      </c>
      <c r="C2126" s="0" t="n">
        <v>72299</v>
      </c>
    </row>
    <row r="2127" customFormat="false" ht="12.75" hidden="false" customHeight="false" outlineLevel="0" collapsed="false">
      <c r="A2127" s="0" t="s">
        <v>18</v>
      </c>
      <c r="B2127" s="3" t="n">
        <v>1878</v>
      </c>
      <c r="C2127" s="0" t="n">
        <v>70887</v>
      </c>
    </row>
    <row r="2128" customFormat="false" ht="12.75" hidden="false" customHeight="false" outlineLevel="0" collapsed="false">
      <c r="A2128" s="0" t="s">
        <v>19</v>
      </c>
      <c r="B2128" s="0" t="n">
        <v>264</v>
      </c>
      <c r="C2128" s="0" t="n">
        <v>70777</v>
      </c>
    </row>
    <row r="2129" customFormat="false" ht="12.75" hidden="false" customHeight="false" outlineLevel="0" collapsed="false">
      <c r="A2129" s="0" t="s">
        <v>20</v>
      </c>
      <c r="B2129" s="0" t="n">
        <v>12</v>
      </c>
      <c r="C2129" s="0" t="n">
        <v>73661</v>
      </c>
    </row>
    <row r="2130" customFormat="false" ht="12.75" hidden="false" customHeight="false" outlineLevel="0" collapsed="false">
      <c r="A2130" s="0" t="s">
        <v>21</v>
      </c>
      <c r="B2130" s="0" t="n">
        <v>116</v>
      </c>
      <c r="C2130" s="0" t="n">
        <v>73576</v>
      </c>
    </row>
    <row r="2131" customFormat="false" ht="12.75" hidden="false" customHeight="false" outlineLevel="0" collapsed="false">
      <c r="A2131" s="0" t="s">
        <v>22</v>
      </c>
      <c r="B2131" s="0" t="n">
        <v>53</v>
      </c>
      <c r="C2131" s="0" t="n">
        <v>73709</v>
      </c>
    </row>
    <row r="2132" customFormat="false" ht="12.75" hidden="false" customHeight="false" outlineLevel="0" collapsed="false">
      <c r="A2132" s="0" t="s">
        <v>23</v>
      </c>
      <c r="B2132" s="0" t="n">
        <v>521</v>
      </c>
      <c r="C2132" s="0" t="n">
        <v>73293</v>
      </c>
    </row>
    <row r="2133" customFormat="false" ht="12.75" hidden="false" customHeight="false" outlineLevel="0" collapsed="false">
      <c r="A2133" s="0" t="s">
        <v>24</v>
      </c>
      <c r="B2133" s="0" t="n">
        <v>35</v>
      </c>
      <c r="C2133" s="0" t="n">
        <v>73455</v>
      </c>
    </row>
    <row r="2134" customFormat="false" ht="12.75" hidden="false" customHeight="false" outlineLevel="0" collapsed="false">
      <c r="A2134" s="0" t="s">
        <v>25</v>
      </c>
      <c r="B2134" s="3" t="n">
        <v>1022</v>
      </c>
      <c r="C2134" s="0" t="n">
        <v>72685</v>
      </c>
    </row>
    <row r="2135" customFormat="false" ht="12.75" hidden="false" customHeight="false" outlineLevel="0" collapsed="false">
      <c r="A2135" s="0" t="s">
        <v>26</v>
      </c>
      <c r="B2135" s="0" t="n">
        <v>677</v>
      </c>
      <c r="C2135" s="0" t="n">
        <v>72422</v>
      </c>
    </row>
    <row r="2136" customFormat="false" ht="12.75" hidden="false" customHeight="false" outlineLevel="0" collapsed="false">
      <c r="A2136" s="0" t="s">
        <v>27</v>
      </c>
      <c r="B2136" s="0" t="n">
        <v>5</v>
      </c>
      <c r="C2136" s="0" t="n">
        <v>73168</v>
      </c>
    </row>
    <row r="2137" customFormat="false" ht="12.75" hidden="false" customHeight="false" outlineLevel="0" collapsed="false">
      <c r="A2137" s="0" t="s">
        <v>28</v>
      </c>
      <c r="B2137" s="0" t="n">
        <v>38</v>
      </c>
      <c r="C2137" s="0" t="n">
        <v>73164</v>
      </c>
    </row>
    <row r="2138" customFormat="false" ht="12.75" hidden="false" customHeight="false" outlineLevel="0" collapsed="false">
      <c r="A2138" s="0" t="s">
        <v>29</v>
      </c>
      <c r="B2138" s="0" t="n">
        <v>14</v>
      </c>
      <c r="C2138" s="0" t="n">
        <v>73338</v>
      </c>
    </row>
    <row r="2139" customFormat="false" ht="12.75" hidden="false" customHeight="false" outlineLevel="0" collapsed="false">
      <c r="A2139" s="0" t="s">
        <v>30</v>
      </c>
      <c r="B2139" s="0" t="n">
        <v>22</v>
      </c>
      <c r="C2139" s="0" t="n">
        <v>73401</v>
      </c>
    </row>
    <row r="2140" customFormat="false" ht="12.75" hidden="false" customHeight="false" outlineLevel="0" collapsed="false">
      <c r="A2140" s="0" t="s">
        <v>31</v>
      </c>
      <c r="B2140" s="0" t="n">
        <v>109</v>
      </c>
      <c r="C2140" s="0" t="n">
        <v>73328</v>
      </c>
    </row>
    <row r="2141" customFormat="false" ht="12.75" hidden="false" customHeight="false" outlineLevel="0" collapsed="false">
      <c r="A2141" s="0" t="s">
        <v>32</v>
      </c>
      <c r="B2141" s="0" t="n">
        <v>23</v>
      </c>
      <c r="C2141" s="0" t="n">
        <v>73541</v>
      </c>
    </row>
    <row r="2142" customFormat="false" ht="12.75" hidden="false" customHeight="false" outlineLevel="0" collapsed="false">
      <c r="A2142" s="0" t="s">
        <v>33</v>
      </c>
      <c r="B2142" s="0" t="n">
        <v>61</v>
      </c>
      <c r="C2142" s="0" t="n">
        <v>74972</v>
      </c>
    </row>
    <row r="2143" customFormat="false" ht="12.75" hidden="false" customHeight="false" outlineLevel="0" collapsed="false">
      <c r="A2143" s="0" t="s">
        <v>34</v>
      </c>
      <c r="B2143" s="3" t="n">
        <v>1100</v>
      </c>
      <c r="C2143" s="0" t="n">
        <v>74519</v>
      </c>
    </row>
    <row r="2144" customFormat="false" ht="12.75" hidden="false" customHeight="false" outlineLevel="0" collapsed="false">
      <c r="A2144" s="0" t="s">
        <v>35</v>
      </c>
      <c r="B2144" s="0" t="n">
        <v>4</v>
      </c>
      <c r="C2144" s="0" t="n">
        <v>74731</v>
      </c>
    </row>
    <row r="2145" customFormat="false" ht="12.75" hidden="false" customHeight="false" outlineLevel="0" collapsed="false">
      <c r="A2145" s="0" t="s">
        <v>36</v>
      </c>
      <c r="B2145" s="3" t="n">
        <v>1025</v>
      </c>
      <c r="C2145" s="0" t="n">
        <v>73733</v>
      </c>
    </row>
    <row r="2146" customFormat="false" ht="12.75" hidden="false" customHeight="false" outlineLevel="0" collapsed="false">
      <c r="A2146" s="0" t="s">
        <v>37</v>
      </c>
      <c r="B2146" s="0" t="n">
        <v>121</v>
      </c>
      <c r="C2146" s="0" t="n">
        <v>73916</v>
      </c>
    </row>
    <row r="2147" customFormat="false" ht="12.75" hidden="false" customHeight="false" outlineLevel="0" collapsed="false">
      <c r="A2147" s="0" t="s">
        <v>38</v>
      </c>
      <c r="B2147" s="0" t="n">
        <v>24</v>
      </c>
      <c r="C2147" s="0" t="n">
        <v>76731</v>
      </c>
    </row>
    <row r="2148" customFormat="false" ht="12.75" hidden="false" customHeight="false" outlineLevel="0" collapsed="false">
      <c r="A2148" s="0" t="s">
        <v>39</v>
      </c>
      <c r="B2148" s="0" t="n">
        <v>306</v>
      </c>
      <c r="C2148" s="0" t="n">
        <v>76557</v>
      </c>
    </row>
    <row r="2149" customFormat="false" ht="12.75" hidden="false" customHeight="false" outlineLevel="0" collapsed="false">
      <c r="A2149" s="0" t="s">
        <v>40</v>
      </c>
      <c r="B2149" s="0" t="n">
        <v>15</v>
      </c>
      <c r="C2149" s="0" t="n">
        <v>76924</v>
      </c>
    </row>
    <row r="2150" customFormat="false" ht="12.75" hidden="false" customHeight="false" outlineLevel="0" collapsed="false">
      <c r="A2150" s="0" t="s">
        <v>41</v>
      </c>
      <c r="B2150" s="0" t="n">
        <v>515</v>
      </c>
      <c r="C2150" s="0" t="n">
        <v>76427</v>
      </c>
    </row>
    <row r="2151" customFormat="false" ht="12.75" hidden="false" customHeight="false" outlineLevel="0" collapsed="false">
      <c r="A2151" s="0" t="s">
        <v>42</v>
      </c>
      <c r="B2151" s="0" t="n">
        <v>10</v>
      </c>
      <c r="C2151" s="0" t="n">
        <v>76586</v>
      </c>
    </row>
    <row r="2152" customFormat="false" ht="12.75" hidden="false" customHeight="false" outlineLevel="0" collapsed="false">
      <c r="A2152" s="0" t="s">
        <v>44</v>
      </c>
      <c r="B2152" s="0" t="n">
        <v>613</v>
      </c>
      <c r="C2152" s="0" t="n">
        <v>75991</v>
      </c>
    </row>
    <row r="2153" customFormat="false" ht="12.75" hidden="false" customHeight="false" outlineLevel="0" collapsed="false">
      <c r="A2153" s="0" t="s">
        <v>45</v>
      </c>
      <c r="B2153" s="0" t="n">
        <v>15</v>
      </c>
      <c r="C2153" s="0" t="n">
        <v>76266</v>
      </c>
    </row>
    <row r="2154" customFormat="false" ht="12.75" hidden="false" customHeight="false" outlineLevel="0" collapsed="false">
      <c r="A2154" s="0" t="s">
        <v>46</v>
      </c>
      <c r="B2154" s="0" t="n">
        <v>9</v>
      </c>
      <c r="C2154" s="0" t="n">
        <v>76346</v>
      </c>
    </row>
    <row r="2155" customFormat="false" ht="12.75" hidden="false" customHeight="false" outlineLevel="0" collapsed="false">
      <c r="A2155" s="0" t="s">
        <v>47</v>
      </c>
      <c r="B2155" s="0" t="n">
        <v>892</v>
      </c>
      <c r="C2155" s="0" t="n">
        <v>75464</v>
      </c>
    </row>
    <row r="2156" customFormat="false" ht="12.75" hidden="false" customHeight="false" outlineLevel="0" collapsed="false">
      <c r="A2156" s="0" t="s">
        <v>48</v>
      </c>
      <c r="B2156" s="0" t="n">
        <v>14</v>
      </c>
      <c r="C2156" s="0" t="n">
        <v>75758</v>
      </c>
    </row>
    <row r="2157" customFormat="false" ht="12.75" hidden="false" customHeight="false" outlineLevel="0" collapsed="false">
      <c r="A2157" s="0" t="s">
        <v>49</v>
      </c>
      <c r="B2157" s="0" t="n">
        <v>150</v>
      </c>
      <c r="C2157" s="0" t="n">
        <v>75829</v>
      </c>
    </row>
    <row r="2158" customFormat="false" ht="12.75" hidden="false" customHeight="false" outlineLevel="0" collapsed="false">
      <c r="A2158" s="0" t="s">
        <v>50</v>
      </c>
      <c r="B2158" s="0" t="n">
        <v>94</v>
      </c>
      <c r="C2158" s="0" t="n">
        <v>75763</v>
      </c>
    </row>
    <row r="2159" customFormat="false" ht="12.75" hidden="false" customHeight="false" outlineLevel="0" collapsed="false">
      <c r="A2159" s="0" t="s">
        <v>51</v>
      </c>
      <c r="B2159" s="0" t="n">
        <v>5</v>
      </c>
      <c r="C2159" s="0" t="n">
        <v>75937</v>
      </c>
    </row>
    <row r="2160" customFormat="false" ht="12.75" hidden="false" customHeight="false" outlineLevel="0" collapsed="false">
      <c r="A2160" s="0" t="s">
        <v>160</v>
      </c>
      <c r="B2160" s="3" t="n">
        <v>56808</v>
      </c>
      <c r="C2160" s="0" t="n">
        <v>19166</v>
      </c>
    </row>
    <row r="2161" customFormat="false" ht="12.75" hidden="false" customHeight="false" outlineLevel="0" collapsed="false">
      <c r="A2161" s="0" t="s">
        <v>1</v>
      </c>
      <c r="B2161" s="0" t="n">
        <v>231</v>
      </c>
      <c r="C2161" s="0" t="n">
        <v>23430</v>
      </c>
    </row>
    <row r="2162" customFormat="false" ht="12.75" hidden="false" customHeight="false" outlineLevel="0" collapsed="false">
      <c r="A2162" s="0" t="s">
        <v>2</v>
      </c>
      <c r="B2162" s="0" t="n">
        <v>25</v>
      </c>
      <c r="C2162" s="0" t="n">
        <v>23431</v>
      </c>
    </row>
    <row r="2163" customFormat="false" ht="12.75" hidden="false" customHeight="false" outlineLevel="0" collapsed="false">
      <c r="A2163" s="0" t="s">
        <v>3</v>
      </c>
      <c r="B2163" s="0" t="n">
        <v>362</v>
      </c>
      <c r="C2163" s="0" t="n">
        <v>23078</v>
      </c>
    </row>
    <row r="2164" customFormat="false" ht="12.75" hidden="false" customHeight="false" outlineLevel="0" collapsed="false">
      <c r="A2164" s="0" t="s">
        <v>4</v>
      </c>
      <c r="B2164" s="0" t="n">
        <v>997</v>
      </c>
      <c r="C2164" s="0" t="n">
        <v>22354</v>
      </c>
    </row>
    <row r="2165" customFormat="false" ht="12.75" hidden="false" customHeight="false" outlineLevel="0" collapsed="false">
      <c r="A2165" s="0" t="s">
        <v>5</v>
      </c>
      <c r="B2165" s="0" t="n">
        <v>911</v>
      </c>
      <c r="C2165" s="0" t="n">
        <v>21448</v>
      </c>
    </row>
    <row r="2166" customFormat="false" ht="12.75" hidden="false" customHeight="false" outlineLevel="0" collapsed="false">
      <c r="A2166" s="0" t="s">
        <v>6</v>
      </c>
      <c r="B2166" s="0" t="n">
        <v>504</v>
      </c>
      <c r="C2166" s="0" t="n">
        <v>21559</v>
      </c>
    </row>
    <row r="2167" customFormat="false" ht="12.75" hidden="false" customHeight="false" outlineLevel="0" collapsed="false">
      <c r="A2167" s="0" t="s">
        <v>7</v>
      </c>
      <c r="B2167" s="0" t="n">
        <v>99</v>
      </c>
      <c r="C2167" s="0" t="n">
        <v>22115</v>
      </c>
    </row>
    <row r="2168" customFormat="false" ht="12.75" hidden="false" customHeight="false" outlineLevel="0" collapsed="false">
      <c r="A2168" s="0" t="s">
        <v>8</v>
      </c>
      <c r="B2168" s="0" t="n">
        <v>27</v>
      </c>
      <c r="C2168" s="0" t="n">
        <v>22115</v>
      </c>
    </row>
    <row r="2169" customFormat="false" ht="12.75" hidden="false" customHeight="false" outlineLevel="0" collapsed="false">
      <c r="A2169" s="0" t="s">
        <v>9</v>
      </c>
      <c r="B2169" s="0" t="n">
        <v>45</v>
      </c>
      <c r="C2169" s="0" t="n">
        <v>22072</v>
      </c>
    </row>
    <row r="2170" customFormat="false" ht="12.75" hidden="false" customHeight="false" outlineLevel="0" collapsed="false">
      <c r="A2170" s="0" t="s">
        <v>10</v>
      </c>
      <c r="B2170" s="0" t="n">
        <v>471</v>
      </c>
      <c r="C2170" s="0" t="n">
        <v>21603</v>
      </c>
    </row>
    <row r="2171" customFormat="false" ht="12.75" hidden="false" customHeight="false" outlineLevel="0" collapsed="false">
      <c r="A2171" s="0" t="s">
        <v>11</v>
      </c>
      <c r="B2171" s="0" t="n">
        <v>373</v>
      </c>
      <c r="C2171" s="0" t="n">
        <v>21420</v>
      </c>
    </row>
    <row r="2172" customFormat="false" ht="12.75" hidden="false" customHeight="false" outlineLevel="0" collapsed="false">
      <c r="A2172" s="0" t="s">
        <v>12</v>
      </c>
      <c r="B2172" s="0" t="n">
        <v>26</v>
      </c>
      <c r="C2172" s="0" t="n">
        <v>21430</v>
      </c>
    </row>
    <row r="2173" customFormat="false" ht="12.75" hidden="false" customHeight="false" outlineLevel="0" collapsed="false">
      <c r="A2173" s="0" t="s">
        <v>13</v>
      </c>
      <c r="B2173" s="0" t="n">
        <v>29</v>
      </c>
      <c r="C2173" s="0" t="n">
        <v>21412</v>
      </c>
    </row>
    <row r="2174" customFormat="false" ht="12.75" hidden="false" customHeight="false" outlineLevel="0" collapsed="false">
      <c r="A2174" s="0" t="s">
        <v>14</v>
      </c>
      <c r="B2174" s="3" t="n">
        <v>1261</v>
      </c>
      <c r="C2174" s="0" t="n">
        <v>21163</v>
      </c>
    </row>
    <row r="2175" customFormat="false" ht="12.75" hidden="false" customHeight="false" outlineLevel="0" collapsed="false">
      <c r="A2175" s="0" t="s">
        <v>15</v>
      </c>
      <c r="B2175" s="0" t="n">
        <v>209</v>
      </c>
      <c r="C2175" s="0" t="n">
        <v>21011</v>
      </c>
    </row>
    <row r="2176" customFormat="false" ht="12.75" hidden="false" customHeight="false" outlineLevel="0" collapsed="false">
      <c r="A2176" s="0" t="s">
        <v>16</v>
      </c>
      <c r="B2176" s="0" t="n">
        <v>159</v>
      </c>
      <c r="C2176" s="0" t="n">
        <v>20887</v>
      </c>
    </row>
    <row r="2177" customFormat="false" ht="12.75" hidden="false" customHeight="false" outlineLevel="0" collapsed="false">
      <c r="A2177" s="0" t="s">
        <v>17</v>
      </c>
      <c r="B2177" s="0" t="n">
        <v>466</v>
      </c>
      <c r="C2177" s="0" t="n">
        <v>20441</v>
      </c>
    </row>
    <row r="2178" customFormat="false" ht="12.75" hidden="false" customHeight="false" outlineLevel="0" collapsed="false">
      <c r="A2178" s="0" t="s">
        <v>18</v>
      </c>
      <c r="B2178" s="0" t="n">
        <v>154</v>
      </c>
      <c r="C2178" s="0" t="n">
        <v>20340</v>
      </c>
    </row>
    <row r="2179" customFormat="false" ht="12.75" hidden="false" customHeight="false" outlineLevel="0" collapsed="false">
      <c r="A2179" s="0" t="s">
        <v>19</v>
      </c>
      <c r="B2179" s="3" t="n">
        <v>2896</v>
      </c>
      <c r="C2179" s="0" t="n">
        <v>17455</v>
      </c>
    </row>
    <row r="2180" customFormat="false" ht="12.75" hidden="false" customHeight="false" outlineLevel="0" collapsed="false">
      <c r="A2180" s="0" t="s">
        <v>20</v>
      </c>
      <c r="B2180" s="0" t="n">
        <v>31</v>
      </c>
      <c r="C2180" s="0" t="n">
        <v>17458</v>
      </c>
    </row>
    <row r="2181" customFormat="false" ht="12.75" hidden="false" customHeight="false" outlineLevel="0" collapsed="false">
      <c r="A2181" s="0" t="s">
        <v>21</v>
      </c>
      <c r="B2181" s="0" t="n">
        <v>186</v>
      </c>
      <c r="C2181" s="0" t="n">
        <v>17274</v>
      </c>
    </row>
    <row r="2182" customFormat="false" ht="12.75" hidden="false" customHeight="false" outlineLevel="0" collapsed="false">
      <c r="A2182" s="0" t="s">
        <v>22</v>
      </c>
      <c r="B2182" s="0" t="n">
        <v>105</v>
      </c>
      <c r="C2182" s="0" t="n">
        <v>17193</v>
      </c>
    </row>
    <row r="2183" customFormat="false" ht="12.75" hidden="false" customHeight="false" outlineLevel="0" collapsed="false">
      <c r="A2183" s="0" t="s">
        <v>23</v>
      </c>
      <c r="B2183" s="0" t="n">
        <v>197</v>
      </c>
      <c r="C2183" s="0" t="n">
        <v>17006</v>
      </c>
    </row>
    <row r="2184" customFormat="false" ht="12.75" hidden="false" customHeight="false" outlineLevel="0" collapsed="false">
      <c r="A2184" s="0" t="s">
        <v>24</v>
      </c>
      <c r="B2184" s="0" t="n">
        <v>252</v>
      </c>
      <c r="C2184" s="0" t="n">
        <v>16789</v>
      </c>
    </row>
    <row r="2185" customFormat="false" ht="12.75" hidden="false" customHeight="false" outlineLevel="0" collapsed="false">
      <c r="A2185" s="0" t="s">
        <v>25</v>
      </c>
      <c r="B2185" s="0" t="n">
        <v>414</v>
      </c>
      <c r="C2185" s="0" t="n">
        <v>16387</v>
      </c>
    </row>
    <row r="2186" customFormat="false" ht="12.75" hidden="false" customHeight="false" outlineLevel="0" collapsed="false">
      <c r="A2186" s="0" t="s">
        <v>26</v>
      </c>
      <c r="B2186" s="0" t="n">
        <v>751</v>
      </c>
      <c r="C2186" s="0" t="n">
        <v>15640</v>
      </c>
    </row>
    <row r="2187" customFormat="false" ht="12.75" hidden="false" customHeight="false" outlineLevel="0" collapsed="false">
      <c r="A2187" s="0" t="s">
        <v>27</v>
      </c>
      <c r="B2187" s="0" t="n">
        <v>34</v>
      </c>
      <c r="C2187" s="0" t="n">
        <v>15677</v>
      </c>
    </row>
    <row r="2188" customFormat="false" ht="12.75" hidden="false" customHeight="false" outlineLevel="0" collapsed="false">
      <c r="A2188" s="0" t="s">
        <v>28</v>
      </c>
      <c r="B2188" s="0" t="n">
        <v>188</v>
      </c>
      <c r="C2188" s="0" t="n">
        <v>15555</v>
      </c>
    </row>
    <row r="2189" customFormat="false" ht="12.75" hidden="false" customHeight="false" outlineLevel="0" collapsed="false">
      <c r="A2189" s="0" t="s">
        <v>29</v>
      </c>
      <c r="B2189" s="0" t="n">
        <v>85</v>
      </c>
      <c r="C2189" s="0" t="n">
        <v>15491</v>
      </c>
    </row>
    <row r="2190" customFormat="false" ht="12.75" hidden="false" customHeight="false" outlineLevel="0" collapsed="false">
      <c r="A2190" s="0" t="s">
        <v>30</v>
      </c>
      <c r="B2190" s="0" t="n">
        <v>36</v>
      </c>
      <c r="C2190" s="0" t="n">
        <v>16284</v>
      </c>
    </row>
    <row r="2191" customFormat="false" ht="12.75" hidden="false" customHeight="false" outlineLevel="0" collapsed="false">
      <c r="A2191" s="0" t="s">
        <v>31</v>
      </c>
      <c r="B2191" s="0" t="n">
        <v>236</v>
      </c>
      <c r="C2191" s="0" t="n">
        <v>16052</v>
      </c>
    </row>
    <row r="2192" customFormat="false" ht="12.75" hidden="false" customHeight="false" outlineLevel="0" collapsed="false">
      <c r="A2192" s="0" t="s">
        <v>32</v>
      </c>
      <c r="B2192" s="3" t="n">
        <v>1492</v>
      </c>
      <c r="C2192" s="0" t="n">
        <v>14595</v>
      </c>
    </row>
    <row r="2193" customFormat="false" ht="12.75" hidden="false" customHeight="false" outlineLevel="0" collapsed="false">
      <c r="A2193" s="0" t="s">
        <v>33</v>
      </c>
      <c r="B2193" s="0" t="n">
        <v>647</v>
      </c>
      <c r="C2193" s="0" t="n">
        <v>14054</v>
      </c>
    </row>
    <row r="2194" customFormat="false" ht="12.75" hidden="false" customHeight="false" outlineLevel="0" collapsed="false">
      <c r="A2194" s="0" t="s">
        <v>34</v>
      </c>
      <c r="B2194" s="0" t="n">
        <v>216</v>
      </c>
      <c r="C2194" s="0" t="n">
        <v>13928</v>
      </c>
    </row>
    <row r="2195" customFormat="false" ht="12.75" hidden="false" customHeight="false" outlineLevel="0" collapsed="false">
      <c r="A2195" s="0" t="s">
        <v>35</v>
      </c>
      <c r="B2195" s="0" t="n">
        <v>27</v>
      </c>
      <c r="C2195" s="0" t="n">
        <v>13922</v>
      </c>
    </row>
    <row r="2196" customFormat="false" ht="12.75" hidden="false" customHeight="false" outlineLevel="0" collapsed="false">
      <c r="A2196" s="0" t="s">
        <v>36</v>
      </c>
      <c r="B2196" s="0" t="n">
        <v>304</v>
      </c>
      <c r="C2196" s="0" t="n">
        <v>13621</v>
      </c>
    </row>
    <row r="2197" customFormat="false" ht="12.75" hidden="false" customHeight="false" outlineLevel="0" collapsed="false">
      <c r="A2197" s="0" t="s">
        <v>37</v>
      </c>
      <c r="B2197" s="3" t="n">
        <v>2839</v>
      </c>
      <c r="C2197" s="0" t="n">
        <v>10868</v>
      </c>
    </row>
    <row r="2198" customFormat="false" ht="12.75" hidden="false" customHeight="false" outlineLevel="0" collapsed="false">
      <c r="A2198" s="0" t="s">
        <v>38</v>
      </c>
      <c r="B2198" s="0" t="n">
        <v>132</v>
      </c>
      <c r="C2198" s="0" t="n">
        <v>10750</v>
      </c>
    </row>
    <row r="2199" customFormat="false" ht="12.75" hidden="false" customHeight="false" outlineLevel="0" collapsed="false">
      <c r="A2199" s="0" t="s">
        <v>39</v>
      </c>
      <c r="B2199" s="0" t="n">
        <v>382</v>
      </c>
      <c r="C2199" s="0" t="n">
        <v>10444</v>
      </c>
    </row>
    <row r="2200" customFormat="false" ht="12.75" hidden="false" customHeight="false" outlineLevel="0" collapsed="false">
      <c r="A2200" s="0" t="s">
        <v>40</v>
      </c>
      <c r="B2200" s="0" t="n">
        <v>18</v>
      </c>
      <c r="C2200" s="0" t="n">
        <v>10439</v>
      </c>
    </row>
    <row r="2201" customFormat="false" ht="12.75" hidden="false" customHeight="false" outlineLevel="0" collapsed="false">
      <c r="A2201" s="0" t="s">
        <v>41</v>
      </c>
      <c r="B2201" s="0" t="n">
        <v>169</v>
      </c>
      <c r="C2201" s="0" t="n">
        <v>10274</v>
      </c>
    </row>
    <row r="2202" customFormat="false" ht="12.75" hidden="false" customHeight="false" outlineLevel="0" collapsed="false">
      <c r="A2202" s="0" t="s">
        <v>42</v>
      </c>
      <c r="B2202" s="0" t="n">
        <v>18</v>
      </c>
      <c r="C2202" s="0" t="n">
        <v>10280</v>
      </c>
    </row>
    <row r="2203" customFormat="false" ht="12.75" hidden="false" customHeight="false" outlineLevel="0" collapsed="false">
      <c r="A2203" s="0" t="s">
        <v>43</v>
      </c>
      <c r="B2203" s="0" t="n">
        <v>290</v>
      </c>
      <c r="C2203" s="0" t="n">
        <v>9997</v>
      </c>
    </row>
    <row r="2204" customFormat="false" ht="12.75" hidden="false" customHeight="false" outlineLevel="0" collapsed="false">
      <c r="A2204" s="0" t="s">
        <v>45</v>
      </c>
      <c r="B2204" s="0" t="n">
        <v>89</v>
      </c>
      <c r="C2204" s="0" t="n">
        <v>9927</v>
      </c>
    </row>
    <row r="2205" customFormat="false" ht="12.75" hidden="false" customHeight="false" outlineLevel="0" collapsed="false">
      <c r="A2205" s="0" t="s">
        <v>46</v>
      </c>
      <c r="B2205" s="0" t="n">
        <v>10</v>
      </c>
      <c r="C2205" s="0" t="n">
        <v>10026</v>
      </c>
    </row>
    <row r="2206" customFormat="false" ht="12.75" hidden="false" customHeight="false" outlineLevel="0" collapsed="false">
      <c r="A2206" s="0" t="s">
        <v>47</v>
      </c>
      <c r="B2206" s="0" t="n">
        <v>308</v>
      </c>
      <c r="C2206" s="0" t="n">
        <v>9722</v>
      </c>
    </row>
    <row r="2207" customFormat="false" ht="12.75" hidden="false" customHeight="false" outlineLevel="0" collapsed="false">
      <c r="A2207" s="0" t="s">
        <v>48</v>
      </c>
      <c r="B2207" s="0" t="n">
        <v>221</v>
      </c>
      <c r="C2207" s="0" t="n">
        <v>9535</v>
      </c>
    </row>
    <row r="2208" customFormat="false" ht="12.75" hidden="false" customHeight="false" outlineLevel="0" collapsed="false">
      <c r="A2208" s="0" t="s">
        <v>49</v>
      </c>
      <c r="B2208" s="0" t="n">
        <v>28</v>
      </c>
      <c r="C2208" s="0" t="n">
        <v>9651</v>
      </c>
    </row>
    <row r="2209" customFormat="false" ht="12.75" hidden="false" customHeight="false" outlineLevel="0" collapsed="false">
      <c r="A2209" s="0" t="s">
        <v>50</v>
      </c>
      <c r="B2209" s="0" t="n">
        <v>179</v>
      </c>
      <c r="C2209" s="0" t="n">
        <v>9473</v>
      </c>
    </row>
    <row r="2210" customFormat="false" ht="12.75" hidden="false" customHeight="false" outlineLevel="0" collapsed="false">
      <c r="A2210" s="0" t="s">
        <v>51</v>
      </c>
      <c r="B2210" s="0" t="n">
        <v>37</v>
      </c>
      <c r="C2210" s="0" t="n">
        <v>9462</v>
      </c>
    </row>
    <row r="2211" customFormat="false" ht="12.75" hidden="false" customHeight="false" outlineLevel="0" collapsed="false">
      <c r="A2211" s="0" t="s">
        <v>161</v>
      </c>
      <c r="B2211" s="3" t="n">
        <v>4495</v>
      </c>
      <c r="C2211" s="0" t="n">
        <v>5172</v>
      </c>
    </row>
    <row r="2212" customFormat="false" ht="12.75" hidden="false" customHeight="false" outlineLevel="0" collapsed="false">
      <c r="A2212" s="0" t="s">
        <v>1</v>
      </c>
      <c r="B2212" s="0" t="n">
        <v>26</v>
      </c>
      <c r="C2212" s="0" t="n">
        <v>5463</v>
      </c>
    </row>
    <row r="2213" customFormat="false" ht="12.75" hidden="false" customHeight="false" outlineLevel="0" collapsed="false">
      <c r="A2213" s="0" t="s">
        <v>2</v>
      </c>
      <c r="B2213" s="0" t="n">
        <v>9</v>
      </c>
      <c r="C2213" s="0" t="n">
        <v>5454</v>
      </c>
    </row>
    <row r="2214" customFormat="false" ht="12.75" hidden="false" customHeight="false" outlineLevel="0" collapsed="false">
      <c r="A2214" s="0" t="s">
        <v>3</v>
      </c>
      <c r="B2214" s="0" t="n">
        <v>273</v>
      </c>
      <c r="C2214" s="0" t="n">
        <v>5182</v>
      </c>
    </row>
    <row r="2215" customFormat="false" ht="12.75" hidden="false" customHeight="false" outlineLevel="0" collapsed="false">
      <c r="A2215" s="0" t="s">
        <v>4</v>
      </c>
      <c r="B2215" s="0" t="n">
        <v>5</v>
      </c>
      <c r="C2215" s="0" t="n">
        <v>5185</v>
      </c>
    </row>
    <row r="2216" customFormat="false" ht="12.75" hidden="false" customHeight="false" outlineLevel="0" collapsed="false">
      <c r="A2216" s="0" t="s">
        <v>5</v>
      </c>
      <c r="B2216" s="0" t="n">
        <v>615</v>
      </c>
      <c r="C2216" s="0" t="n">
        <v>4572</v>
      </c>
    </row>
    <row r="2217" customFormat="false" ht="12.75" hidden="false" customHeight="false" outlineLevel="0" collapsed="false">
      <c r="A2217" s="0" t="s">
        <v>6</v>
      </c>
      <c r="B2217" s="0" t="n">
        <v>655</v>
      </c>
      <c r="C2217" s="0" t="n">
        <v>4043</v>
      </c>
    </row>
    <row r="2218" customFormat="false" ht="12.75" hidden="false" customHeight="false" outlineLevel="0" collapsed="false">
      <c r="A2218" s="0" t="s">
        <v>7</v>
      </c>
      <c r="B2218" s="0" t="n">
        <v>27</v>
      </c>
      <c r="C2218" s="0" t="n">
        <v>4018</v>
      </c>
    </row>
    <row r="2219" customFormat="false" ht="12.75" hidden="false" customHeight="false" outlineLevel="0" collapsed="false">
      <c r="A2219" s="0" t="s">
        <v>8</v>
      </c>
      <c r="B2219" s="0" t="n">
        <v>2</v>
      </c>
      <c r="C2219" s="0" t="n">
        <v>4849</v>
      </c>
    </row>
    <row r="2220" customFormat="false" ht="12.75" hidden="false" customHeight="false" outlineLevel="0" collapsed="false">
      <c r="A2220" s="0" t="s">
        <v>9</v>
      </c>
      <c r="B2220" s="0" t="n">
        <v>2</v>
      </c>
      <c r="C2220" s="0" t="n">
        <v>4866</v>
      </c>
    </row>
    <row r="2221" customFormat="false" ht="12.75" hidden="false" customHeight="false" outlineLevel="0" collapsed="false">
      <c r="A2221" s="0" t="s">
        <v>10</v>
      </c>
      <c r="B2221" s="0" t="n">
        <v>190</v>
      </c>
      <c r="C2221" s="0" t="n">
        <v>4686</v>
      </c>
    </row>
    <row r="2222" customFormat="false" ht="12.75" hidden="false" customHeight="false" outlineLevel="0" collapsed="false">
      <c r="A2222" s="0" t="s">
        <v>11</v>
      </c>
      <c r="B2222" s="0" t="n">
        <v>36</v>
      </c>
      <c r="C2222" s="0" t="n">
        <v>4735</v>
      </c>
    </row>
    <row r="2223" customFormat="false" ht="12.75" hidden="false" customHeight="false" outlineLevel="0" collapsed="false">
      <c r="A2223" s="0" t="s">
        <v>12</v>
      </c>
      <c r="B2223" s="0" t="n">
        <v>11</v>
      </c>
      <c r="C2223" s="0" t="n">
        <v>4727</v>
      </c>
    </row>
    <row r="2224" customFormat="false" ht="12.75" hidden="false" customHeight="false" outlineLevel="0" collapsed="false">
      <c r="A2224" s="0" t="s">
        <v>13</v>
      </c>
      <c r="B2224" s="3" t="n">
        <v>1012</v>
      </c>
      <c r="C2224" s="0" t="n">
        <v>3715</v>
      </c>
    </row>
    <row r="2225" customFormat="false" ht="12.75" hidden="false" customHeight="false" outlineLevel="0" collapsed="false">
      <c r="A2225" s="0" t="s">
        <v>14</v>
      </c>
      <c r="B2225" s="0" t="n">
        <v>57</v>
      </c>
      <c r="C2225" s="0" t="n">
        <v>3659</v>
      </c>
    </row>
    <row r="2226" customFormat="false" ht="12.75" hidden="false" customHeight="false" outlineLevel="0" collapsed="false">
      <c r="A2226" s="0" t="s">
        <v>15</v>
      </c>
      <c r="B2226" s="0" t="n">
        <v>35</v>
      </c>
      <c r="C2226" s="0" t="n">
        <v>3638</v>
      </c>
    </row>
    <row r="2227" customFormat="false" ht="12.75" hidden="false" customHeight="false" outlineLevel="0" collapsed="false">
      <c r="A2227" s="0" t="s">
        <v>16</v>
      </c>
      <c r="B2227" s="0" t="n">
        <v>20</v>
      </c>
      <c r="C2227" s="0" t="n">
        <v>3622</v>
      </c>
    </row>
    <row r="2228" customFormat="false" ht="12.75" hidden="false" customHeight="false" outlineLevel="0" collapsed="false">
      <c r="A2228" s="0" t="s">
        <v>17</v>
      </c>
      <c r="B2228" s="0" t="n">
        <v>53</v>
      </c>
      <c r="C2228" s="0" t="n">
        <v>3571</v>
      </c>
    </row>
    <row r="2229" customFormat="false" ht="12.75" hidden="false" customHeight="false" outlineLevel="0" collapsed="false">
      <c r="A2229" s="0" t="s">
        <v>18</v>
      </c>
      <c r="B2229" s="0" t="n">
        <v>11</v>
      </c>
      <c r="C2229" s="0" t="n">
        <v>3560</v>
      </c>
    </row>
    <row r="2230" customFormat="false" ht="12.75" hidden="false" customHeight="false" outlineLevel="0" collapsed="false">
      <c r="A2230" s="0" t="s">
        <v>19</v>
      </c>
      <c r="B2230" s="0" t="n">
        <v>34</v>
      </c>
      <c r="C2230" s="0" t="n">
        <v>3526</v>
      </c>
    </row>
    <row r="2231" customFormat="false" ht="12.75" hidden="false" customHeight="false" outlineLevel="0" collapsed="false">
      <c r="A2231" s="0" t="s">
        <v>20</v>
      </c>
      <c r="B2231" s="0" t="n">
        <v>2</v>
      </c>
      <c r="C2231" s="0" t="n">
        <v>3524</v>
      </c>
    </row>
    <row r="2232" customFormat="false" ht="12.75" hidden="false" customHeight="false" outlineLevel="0" collapsed="false">
      <c r="A2232" s="0" t="s">
        <v>21</v>
      </c>
      <c r="B2232" s="0" t="n">
        <v>24</v>
      </c>
      <c r="C2232" s="0" t="n">
        <v>3681</v>
      </c>
    </row>
    <row r="2233" customFormat="false" ht="12.75" hidden="false" customHeight="false" outlineLevel="0" collapsed="false">
      <c r="A2233" s="0" t="s">
        <v>22</v>
      </c>
      <c r="B2233" s="0" t="n">
        <v>10</v>
      </c>
      <c r="C2233" s="0" t="n">
        <v>3722</v>
      </c>
    </row>
    <row r="2234" customFormat="false" ht="12.75" hidden="false" customHeight="false" outlineLevel="0" collapsed="false">
      <c r="A2234" s="0" t="s">
        <v>23</v>
      </c>
      <c r="B2234" s="0" t="n">
        <v>35</v>
      </c>
      <c r="C2234" s="0" t="n">
        <v>4634</v>
      </c>
    </row>
    <row r="2235" customFormat="false" ht="12.75" hidden="false" customHeight="false" outlineLevel="0" collapsed="false">
      <c r="A2235" s="0" t="s">
        <v>24</v>
      </c>
      <c r="B2235" s="0" t="n">
        <v>12</v>
      </c>
      <c r="C2235" s="0" t="n">
        <v>4656</v>
      </c>
    </row>
    <row r="2236" customFormat="false" ht="12.75" hidden="false" customHeight="false" outlineLevel="0" collapsed="false">
      <c r="A2236" s="0" t="s">
        <v>25</v>
      </c>
      <c r="B2236" s="0" t="n">
        <v>4</v>
      </c>
      <c r="C2236" s="0" t="n">
        <v>4655</v>
      </c>
    </row>
    <row r="2237" customFormat="false" ht="12.75" hidden="false" customHeight="false" outlineLevel="0" collapsed="false">
      <c r="A2237" s="0" t="s">
        <v>26</v>
      </c>
      <c r="B2237" s="0" t="n">
        <v>71</v>
      </c>
      <c r="C2237" s="0" t="n">
        <v>4585</v>
      </c>
    </row>
    <row r="2238" customFormat="false" ht="12.75" hidden="false" customHeight="false" outlineLevel="0" collapsed="false">
      <c r="A2238" s="0" t="s">
        <v>27</v>
      </c>
      <c r="B2238" s="0" t="n">
        <v>66</v>
      </c>
      <c r="C2238" s="0" t="n">
        <v>4521</v>
      </c>
    </row>
    <row r="2239" customFormat="false" ht="12.75" hidden="false" customHeight="false" outlineLevel="0" collapsed="false">
      <c r="A2239" s="0" t="s">
        <v>28</v>
      </c>
      <c r="B2239" s="0" t="n">
        <v>21</v>
      </c>
      <c r="C2239" s="0" t="n">
        <v>4500</v>
      </c>
    </row>
    <row r="2240" customFormat="false" ht="12.75" hidden="false" customHeight="false" outlineLevel="0" collapsed="false">
      <c r="A2240" s="0" t="s">
        <v>29</v>
      </c>
      <c r="B2240" s="0" t="n">
        <v>829</v>
      </c>
      <c r="C2240" s="0" t="n">
        <v>3673</v>
      </c>
    </row>
    <row r="2241" customFormat="false" ht="12.75" hidden="false" customHeight="false" outlineLevel="0" collapsed="false">
      <c r="A2241" s="0" t="s">
        <v>30</v>
      </c>
      <c r="B2241" s="0" t="n">
        <v>4</v>
      </c>
      <c r="C2241" s="0" t="n">
        <v>3672</v>
      </c>
    </row>
    <row r="2242" customFormat="false" ht="12.75" hidden="false" customHeight="false" outlineLevel="0" collapsed="false">
      <c r="A2242" s="0" t="s">
        <v>31</v>
      </c>
      <c r="B2242" s="0" t="n">
        <v>35</v>
      </c>
      <c r="C2242" s="0" t="n">
        <v>3906</v>
      </c>
    </row>
    <row r="2243" customFormat="false" ht="12.75" hidden="false" customHeight="false" outlineLevel="0" collapsed="false">
      <c r="A2243" s="0" t="s">
        <v>32</v>
      </c>
      <c r="B2243" s="0" t="n">
        <v>106</v>
      </c>
      <c r="C2243" s="0" t="n">
        <v>4152</v>
      </c>
    </row>
    <row r="2244" customFormat="false" ht="12.75" hidden="false" customHeight="false" outlineLevel="0" collapsed="false">
      <c r="A2244" s="0" t="s">
        <v>33</v>
      </c>
      <c r="B2244" s="0" t="n">
        <v>90</v>
      </c>
      <c r="C2244" s="0" t="n">
        <v>4063</v>
      </c>
    </row>
    <row r="2245" customFormat="false" ht="12.75" hidden="false" customHeight="false" outlineLevel="0" collapsed="false">
      <c r="A2245" s="0" t="s">
        <v>34</v>
      </c>
      <c r="B2245" s="0" t="n">
        <v>21</v>
      </c>
      <c r="C2245" s="0" t="n">
        <v>5240</v>
      </c>
    </row>
    <row r="2246" customFormat="false" ht="12.75" hidden="false" customHeight="false" outlineLevel="0" collapsed="false">
      <c r="A2246" s="0" t="s">
        <v>35</v>
      </c>
      <c r="B2246" s="0" t="n">
        <v>3</v>
      </c>
      <c r="C2246" s="0" t="n">
        <v>5291</v>
      </c>
    </row>
    <row r="2247" customFormat="false" ht="12.75" hidden="false" customHeight="false" outlineLevel="0" collapsed="false">
      <c r="A2247" s="0" t="s">
        <v>36</v>
      </c>
      <c r="B2247" s="0" t="n">
        <v>86</v>
      </c>
      <c r="C2247" s="0" t="n">
        <v>5205</v>
      </c>
    </row>
    <row r="2248" customFormat="false" ht="12.75" hidden="false" customHeight="false" outlineLevel="0" collapsed="false">
      <c r="A2248" s="0" t="s">
        <v>37</v>
      </c>
      <c r="B2248" s="0" t="n">
        <v>14</v>
      </c>
      <c r="C2248" s="0" t="n">
        <v>5222</v>
      </c>
    </row>
    <row r="2249" customFormat="false" ht="12.75" hidden="false" customHeight="false" outlineLevel="0" collapsed="false">
      <c r="A2249" s="0" t="s">
        <v>38</v>
      </c>
      <c r="B2249" s="0" t="n">
        <v>76</v>
      </c>
      <c r="C2249" s="0" t="n">
        <v>5147</v>
      </c>
    </row>
    <row r="2250" customFormat="false" ht="12.75" hidden="false" customHeight="false" outlineLevel="0" collapsed="false">
      <c r="A2250" s="0" t="s">
        <v>39</v>
      </c>
      <c r="B2250" s="0" t="n">
        <v>13</v>
      </c>
      <c r="C2250" s="0" t="n">
        <v>5140</v>
      </c>
    </row>
    <row r="2251" customFormat="false" ht="12.75" hidden="false" customHeight="false" outlineLevel="0" collapsed="false">
      <c r="A2251" s="0" t="s">
        <v>40</v>
      </c>
      <c r="B2251" s="0" t="n">
        <v>4</v>
      </c>
      <c r="C2251" s="0" t="n">
        <v>5330</v>
      </c>
    </row>
    <row r="2252" customFormat="false" ht="12.75" hidden="false" customHeight="false" outlineLevel="0" collapsed="false">
      <c r="A2252" s="0" t="s">
        <v>41</v>
      </c>
      <c r="B2252" s="0" t="n">
        <v>24</v>
      </c>
      <c r="C2252" s="0" t="n">
        <v>5465</v>
      </c>
    </row>
    <row r="2253" customFormat="false" ht="12.75" hidden="false" customHeight="false" outlineLevel="0" collapsed="false">
      <c r="A2253" s="0" t="s">
        <v>42</v>
      </c>
      <c r="B2253" s="0" t="n">
        <v>7</v>
      </c>
      <c r="C2253" s="0" t="n">
        <v>5461</v>
      </c>
    </row>
    <row r="2254" customFormat="false" ht="12.75" hidden="false" customHeight="false" outlineLevel="0" collapsed="false">
      <c r="A2254" s="0" t="s">
        <v>43</v>
      </c>
      <c r="B2254" s="0" t="n">
        <v>19</v>
      </c>
      <c r="C2254" s="0" t="n">
        <v>5442</v>
      </c>
    </row>
    <row r="2255" customFormat="false" ht="12.75" hidden="false" customHeight="false" outlineLevel="0" collapsed="false">
      <c r="A2255" s="0" t="s">
        <v>44</v>
      </c>
      <c r="B2255" s="0" t="n">
        <v>109</v>
      </c>
      <c r="C2255" s="0" t="n">
        <v>5339</v>
      </c>
    </row>
    <row r="2256" customFormat="false" ht="12.75" hidden="false" customHeight="false" outlineLevel="0" collapsed="false">
      <c r="A2256" s="0" t="s">
        <v>46</v>
      </c>
      <c r="B2256" s="0" t="n">
        <v>4</v>
      </c>
      <c r="C2256" s="0" t="n">
        <v>5397</v>
      </c>
    </row>
    <row r="2257" customFormat="false" ht="12.75" hidden="false" customHeight="false" outlineLevel="0" collapsed="false">
      <c r="A2257" s="0" t="s">
        <v>47</v>
      </c>
      <c r="B2257" s="0" t="n">
        <v>34</v>
      </c>
      <c r="C2257" s="0" t="n">
        <v>5372</v>
      </c>
    </row>
    <row r="2258" customFormat="false" ht="12.75" hidden="false" customHeight="false" outlineLevel="0" collapsed="false">
      <c r="A2258" s="0" t="s">
        <v>48</v>
      </c>
      <c r="B2258" s="0" t="n">
        <v>144</v>
      </c>
      <c r="C2258" s="0" t="n">
        <v>5325</v>
      </c>
    </row>
    <row r="2259" customFormat="false" ht="12.75" hidden="false" customHeight="false" outlineLevel="0" collapsed="false">
      <c r="A2259" s="0" t="s">
        <v>49</v>
      </c>
      <c r="B2259" s="0" t="n">
        <v>1</v>
      </c>
      <c r="C2259" s="0" t="n">
        <v>5324</v>
      </c>
    </row>
    <row r="2260" customFormat="false" ht="12.75" hidden="false" customHeight="false" outlineLevel="0" collapsed="false">
      <c r="A2260" s="0" t="s">
        <v>50</v>
      </c>
      <c r="B2260" s="0" t="n">
        <v>26</v>
      </c>
      <c r="C2260" s="0" t="n">
        <v>5301</v>
      </c>
    </row>
    <row r="2261" customFormat="false" ht="12.75" hidden="false" customHeight="false" outlineLevel="0" collapsed="false">
      <c r="A2261" s="0" t="s">
        <v>51</v>
      </c>
      <c r="B2261" s="0" t="n">
        <v>205</v>
      </c>
      <c r="C2261" s="0" t="n">
        <v>5099</v>
      </c>
    </row>
    <row r="2262" customFormat="false" ht="12.75" hidden="false" customHeight="false" outlineLevel="0" collapsed="false">
      <c r="A2262" s="0" t="s">
        <v>162</v>
      </c>
      <c r="B2262" s="0" t="n">
        <v>317</v>
      </c>
      <c r="C2262" s="0" t="n">
        <v>4784</v>
      </c>
    </row>
    <row r="2263" customFormat="false" ht="12.75" hidden="false" customHeight="false" outlineLevel="0" collapsed="false">
      <c r="A2263" s="0" t="s">
        <v>1</v>
      </c>
      <c r="B2263" s="0" t="s">
        <v>156</v>
      </c>
      <c r="C2263" s="0" t="n">
        <v>13796</v>
      </c>
    </row>
    <row r="2264" customFormat="false" ht="12.75" hidden="false" customHeight="false" outlineLevel="0" collapsed="false">
      <c r="A2264" s="0" t="s">
        <v>2</v>
      </c>
      <c r="B2264" s="0" t="n">
        <v>1</v>
      </c>
      <c r="C2264" s="0" t="n">
        <v>13961</v>
      </c>
    </row>
    <row r="2265" customFormat="false" ht="12.75" hidden="false" customHeight="false" outlineLevel="0" collapsed="false">
      <c r="A2265" s="0" t="s">
        <v>3</v>
      </c>
      <c r="B2265" s="0" t="n">
        <v>8</v>
      </c>
      <c r="C2265" s="0" t="n">
        <v>13958</v>
      </c>
    </row>
    <row r="2266" customFormat="false" ht="12.75" hidden="false" customHeight="false" outlineLevel="0" collapsed="false">
      <c r="A2266" s="0" t="s">
        <v>4</v>
      </c>
      <c r="B2266" s="0" t="n">
        <v>2</v>
      </c>
      <c r="C2266" s="0" t="n">
        <v>13991</v>
      </c>
    </row>
    <row r="2267" customFormat="false" ht="12.75" hidden="false" customHeight="false" outlineLevel="0" collapsed="false">
      <c r="A2267" s="0" t="s">
        <v>5</v>
      </c>
      <c r="B2267" s="0" t="n">
        <v>126</v>
      </c>
      <c r="C2267" s="0" t="n">
        <v>13895</v>
      </c>
    </row>
    <row r="2268" customFormat="false" ht="12.75" hidden="false" customHeight="false" outlineLevel="0" collapsed="false">
      <c r="A2268" s="0" t="s">
        <v>6</v>
      </c>
      <c r="B2268" s="0" t="n">
        <v>2</v>
      </c>
      <c r="C2268" s="0" t="n">
        <v>14080</v>
      </c>
    </row>
    <row r="2269" customFormat="false" ht="12.75" hidden="false" customHeight="false" outlineLevel="0" collapsed="false">
      <c r="A2269" s="0" t="s">
        <v>7</v>
      </c>
      <c r="B2269" s="0" t="n">
        <v>833</v>
      </c>
      <c r="C2269" s="0" t="n">
        <v>13283</v>
      </c>
    </row>
    <row r="2270" customFormat="false" ht="12.75" hidden="false" customHeight="false" outlineLevel="0" collapsed="false">
      <c r="A2270" s="0" t="s">
        <v>8</v>
      </c>
      <c r="B2270" s="0" t="n">
        <v>19</v>
      </c>
      <c r="C2270" s="0" t="n">
        <v>13445</v>
      </c>
    </row>
    <row r="2271" customFormat="false" ht="12.75" hidden="false" customHeight="false" outlineLevel="0" collapsed="false">
      <c r="A2271" s="0" t="s">
        <v>9</v>
      </c>
      <c r="B2271" s="0" t="n">
        <v>10</v>
      </c>
      <c r="C2271" s="0" t="n">
        <v>13800</v>
      </c>
    </row>
    <row r="2272" customFormat="false" ht="12.75" hidden="false" customHeight="false" outlineLevel="0" collapsed="false">
      <c r="A2272" s="0" t="s">
        <v>10</v>
      </c>
      <c r="B2272" s="0" t="n">
        <v>85</v>
      </c>
      <c r="C2272" s="0" t="n">
        <v>13977</v>
      </c>
    </row>
    <row r="2273" customFormat="false" ht="12.75" hidden="false" customHeight="false" outlineLevel="0" collapsed="false">
      <c r="A2273" s="0" t="s">
        <v>11</v>
      </c>
      <c r="B2273" s="0" t="n">
        <v>3</v>
      </c>
      <c r="C2273" s="0" t="n">
        <v>14239</v>
      </c>
    </row>
    <row r="2274" customFormat="false" ht="12.75" hidden="false" customHeight="false" outlineLevel="0" collapsed="false">
      <c r="A2274" s="0" t="s">
        <v>12</v>
      </c>
      <c r="B2274" s="0" t="s">
        <v>156</v>
      </c>
      <c r="C2274" s="0" t="n">
        <v>14674</v>
      </c>
    </row>
    <row r="2275" customFormat="false" ht="12.75" hidden="false" customHeight="false" outlineLevel="0" collapsed="false">
      <c r="A2275" s="0" t="s">
        <v>13</v>
      </c>
      <c r="B2275" s="0" t="n">
        <v>1</v>
      </c>
      <c r="C2275" s="0" t="n">
        <v>14683</v>
      </c>
    </row>
    <row r="2276" customFormat="false" ht="12.75" hidden="false" customHeight="false" outlineLevel="0" collapsed="false">
      <c r="A2276" s="0" t="s">
        <v>14</v>
      </c>
      <c r="B2276" s="0" t="n">
        <v>14</v>
      </c>
      <c r="C2276" s="0" t="n">
        <v>14673</v>
      </c>
    </row>
    <row r="2277" customFormat="false" ht="12.75" hidden="false" customHeight="false" outlineLevel="0" collapsed="false">
      <c r="A2277" s="0" t="s">
        <v>15</v>
      </c>
      <c r="B2277" s="0" t="n">
        <v>4</v>
      </c>
      <c r="C2277" s="0" t="n">
        <v>14860</v>
      </c>
    </row>
    <row r="2278" customFormat="false" ht="12.75" hidden="false" customHeight="false" outlineLevel="0" collapsed="false">
      <c r="A2278" s="0" t="s">
        <v>16</v>
      </c>
      <c r="B2278" s="0" t="n">
        <v>2</v>
      </c>
      <c r="C2278" s="0" t="n">
        <v>14966</v>
      </c>
    </row>
    <row r="2279" customFormat="false" ht="12.75" hidden="false" customHeight="false" outlineLevel="0" collapsed="false">
      <c r="A2279" s="0" t="s">
        <v>17</v>
      </c>
      <c r="B2279" s="0" t="s">
        <v>156</v>
      </c>
      <c r="C2279" s="0" t="n">
        <v>15036</v>
      </c>
    </row>
    <row r="2280" customFormat="false" ht="12.75" hidden="false" customHeight="false" outlineLevel="0" collapsed="false">
      <c r="A2280" s="0" t="s">
        <v>18</v>
      </c>
      <c r="B2280" s="0" t="s">
        <v>156</v>
      </c>
      <c r="C2280" s="0" t="n">
        <v>15065</v>
      </c>
    </row>
    <row r="2281" customFormat="false" ht="12.75" hidden="false" customHeight="false" outlineLevel="0" collapsed="false">
      <c r="A2281" s="0" t="s">
        <v>19</v>
      </c>
      <c r="B2281" s="0" t="s">
        <v>156</v>
      </c>
      <c r="C2281" s="0" t="n">
        <v>15272</v>
      </c>
    </row>
    <row r="2282" customFormat="false" ht="12.75" hidden="false" customHeight="false" outlineLevel="0" collapsed="false">
      <c r="A2282" s="0" t="s">
        <v>20</v>
      </c>
      <c r="B2282" s="0" t="n">
        <v>181</v>
      </c>
      <c r="C2282" s="0" t="n">
        <v>15188</v>
      </c>
    </row>
    <row r="2283" customFormat="false" ht="12.75" hidden="false" customHeight="false" outlineLevel="0" collapsed="false">
      <c r="A2283" s="0" t="s">
        <v>21</v>
      </c>
      <c r="B2283" s="0" t="n">
        <v>51</v>
      </c>
      <c r="C2283" s="0" t="n">
        <v>15195</v>
      </c>
    </row>
    <row r="2284" customFormat="false" ht="12.75" hidden="false" customHeight="false" outlineLevel="0" collapsed="false">
      <c r="A2284" s="0" t="s">
        <v>22</v>
      </c>
      <c r="B2284" s="0" t="n">
        <v>947</v>
      </c>
      <c r="C2284" s="0" t="n">
        <v>16517</v>
      </c>
    </row>
    <row r="2285" customFormat="false" ht="12.75" hidden="false" customHeight="false" outlineLevel="0" collapsed="false">
      <c r="A2285" s="0" t="s">
        <v>23</v>
      </c>
      <c r="B2285" s="0" t="n">
        <v>34</v>
      </c>
      <c r="C2285" s="0" t="n">
        <v>16785</v>
      </c>
    </row>
    <row r="2286" customFormat="false" ht="12.75" hidden="false" customHeight="false" outlineLevel="0" collapsed="false">
      <c r="A2286" s="0" t="s">
        <v>24</v>
      </c>
      <c r="B2286" s="0" t="n">
        <v>3</v>
      </c>
      <c r="C2286" s="0" t="n">
        <v>16955</v>
      </c>
    </row>
    <row r="2287" customFormat="false" ht="12.75" hidden="false" customHeight="false" outlineLevel="0" collapsed="false">
      <c r="A2287" s="0" t="s">
        <v>25</v>
      </c>
      <c r="B2287" s="0" t="n">
        <v>1</v>
      </c>
      <c r="C2287" s="0" t="n">
        <v>17001</v>
      </c>
    </row>
    <row r="2288" customFormat="false" ht="12.75" hidden="false" customHeight="false" outlineLevel="0" collapsed="false">
      <c r="A2288" s="0" t="s">
        <v>26</v>
      </c>
      <c r="B2288" s="0" t="n">
        <v>2</v>
      </c>
      <c r="C2288" s="0" t="n">
        <v>17040</v>
      </c>
    </row>
    <row r="2289" customFormat="false" ht="12.75" hidden="false" customHeight="false" outlineLevel="0" collapsed="false">
      <c r="A2289" s="0" t="s">
        <v>27</v>
      </c>
      <c r="B2289" s="0" t="s">
        <v>156</v>
      </c>
      <c r="C2289" s="0" t="n">
        <v>17093</v>
      </c>
    </row>
    <row r="2290" customFormat="false" ht="12.75" hidden="false" customHeight="false" outlineLevel="0" collapsed="false">
      <c r="A2290" s="0" t="s">
        <v>28</v>
      </c>
      <c r="B2290" s="0" t="n">
        <v>2</v>
      </c>
      <c r="C2290" s="0" t="n">
        <v>17097</v>
      </c>
    </row>
    <row r="2291" customFormat="false" ht="12.75" hidden="false" customHeight="false" outlineLevel="0" collapsed="false">
      <c r="A2291" s="0" t="s">
        <v>29</v>
      </c>
      <c r="B2291" s="0" t="n">
        <v>3</v>
      </c>
      <c r="C2291" s="0" t="n">
        <v>17115</v>
      </c>
    </row>
    <row r="2292" customFormat="false" ht="12.75" hidden="false" customHeight="false" outlineLevel="0" collapsed="false">
      <c r="A2292" s="0" t="s">
        <v>30</v>
      </c>
      <c r="B2292" s="0" t="n">
        <v>269</v>
      </c>
      <c r="C2292" s="0" t="n">
        <v>16852</v>
      </c>
    </row>
    <row r="2293" customFormat="false" ht="12.75" hidden="false" customHeight="false" outlineLevel="0" collapsed="false">
      <c r="A2293" s="0" t="s">
        <v>31</v>
      </c>
      <c r="B2293" s="0" t="n">
        <v>352</v>
      </c>
      <c r="C2293" s="0" t="n">
        <v>16552</v>
      </c>
    </row>
    <row r="2294" customFormat="false" ht="12.75" hidden="false" customHeight="false" outlineLevel="0" collapsed="false">
      <c r="A2294" s="0" t="s">
        <v>32</v>
      </c>
      <c r="B2294" s="0" t="n">
        <v>1</v>
      </c>
      <c r="C2294" s="0" t="n">
        <v>17234</v>
      </c>
    </row>
    <row r="2295" customFormat="false" ht="12.75" hidden="false" customHeight="false" outlineLevel="0" collapsed="false">
      <c r="A2295" s="0" t="s">
        <v>33</v>
      </c>
      <c r="B2295" s="3" t="n">
        <v>1198</v>
      </c>
      <c r="C2295" s="0" t="n">
        <v>16048</v>
      </c>
    </row>
    <row r="2296" customFormat="false" ht="12.75" hidden="false" customHeight="false" outlineLevel="0" collapsed="false">
      <c r="A2296" s="0" t="s">
        <v>34</v>
      </c>
      <c r="B2296" s="0" t="n">
        <v>54</v>
      </c>
      <c r="C2296" s="0" t="n">
        <v>17315</v>
      </c>
    </row>
    <row r="2297" customFormat="false" ht="12.75" hidden="false" customHeight="false" outlineLevel="0" collapsed="false">
      <c r="A2297" s="0" t="s">
        <v>35</v>
      </c>
      <c r="B2297" s="0" t="s">
        <v>156</v>
      </c>
      <c r="C2297" s="0" t="n">
        <v>19970</v>
      </c>
    </row>
    <row r="2298" customFormat="false" ht="12.75" hidden="false" customHeight="false" outlineLevel="0" collapsed="false">
      <c r="A2298" s="0" t="s">
        <v>36</v>
      </c>
      <c r="B2298" s="0" t="n">
        <v>31</v>
      </c>
      <c r="C2298" s="0" t="n">
        <v>19941</v>
      </c>
    </row>
    <row r="2299" customFormat="false" ht="12.75" hidden="false" customHeight="false" outlineLevel="0" collapsed="false">
      <c r="A2299" s="0" t="s">
        <v>37</v>
      </c>
      <c r="B2299" s="0" t="n">
        <v>1</v>
      </c>
      <c r="C2299" s="0" t="n">
        <v>20403</v>
      </c>
    </row>
    <row r="2300" customFormat="false" ht="12.75" hidden="false" customHeight="false" outlineLevel="0" collapsed="false">
      <c r="A2300" s="0" t="s">
        <v>38</v>
      </c>
      <c r="B2300" s="0" t="n">
        <v>6</v>
      </c>
      <c r="C2300" s="0" t="n">
        <v>20472</v>
      </c>
    </row>
    <row r="2301" customFormat="false" ht="12.75" hidden="false" customHeight="false" outlineLevel="0" collapsed="false">
      <c r="A2301" s="0" t="s">
        <v>39</v>
      </c>
      <c r="B2301" s="0" t="n">
        <v>194</v>
      </c>
      <c r="C2301" s="0" t="n">
        <v>20283</v>
      </c>
    </row>
    <row r="2302" customFormat="false" ht="12.75" hidden="false" customHeight="false" outlineLevel="0" collapsed="false">
      <c r="A2302" s="0" t="s">
        <v>40</v>
      </c>
      <c r="B2302" s="0" t="n">
        <v>159</v>
      </c>
      <c r="C2302" s="0" t="n">
        <v>21734</v>
      </c>
    </row>
    <row r="2303" customFormat="false" ht="12.75" hidden="false" customHeight="false" outlineLevel="0" collapsed="false">
      <c r="A2303" s="0" t="s">
        <v>41</v>
      </c>
      <c r="B2303" s="0" t="n">
        <v>3</v>
      </c>
      <c r="C2303" s="0" t="n">
        <v>21786</v>
      </c>
    </row>
    <row r="2304" customFormat="false" ht="12.75" hidden="false" customHeight="false" outlineLevel="0" collapsed="false">
      <c r="A2304" s="0" t="s">
        <v>42</v>
      </c>
      <c r="B2304" s="0" t="s">
        <v>156</v>
      </c>
      <c r="C2304" s="0" t="n">
        <v>22122</v>
      </c>
    </row>
    <row r="2305" customFormat="false" ht="12.75" hidden="false" customHeight="false" outlineLevel="0" collapsed="false">
      <c r="A2305" s="0" t="s">
        <v>43</v>
      </c>
      <c r="B2305" s="0" t="n">
        <v>6</v>
      </c>
      <c r="C2305" s="0" t="n">
        <v>22121</v>
      </c>
    </row>
    <row r="2306" customFormat="false" ht="12.75" hidden="false" customHeight="false" outlineLevel="0" collapsed="false">
      <c r="A2306" s="0" t="s">
        <v>44</v>
      </c>
      <c r="B2306" s="0" t="n">
        <v>62</v>
      </c>
      <c r="C2306" s="0" t="n">
        <v>22443</v>
      </c>
    </row>
    <row r="2307" customFormat="false" ht="12.75" hidden="false" customHeight="false" outlineLevel="0" collapsed="false">
      <c r="A2307" s="0" t="s">
        <v>45</v>
      </c>
      <c r="B2307" s="0" t="n">
        <v>9</v>
      </c>
      <c r="C2307" s="0" t="n">
        <v>22627</v>
      </c>
    </row>
    <row r="2308" customFormat="false" ht="12.75" hidden="false" customHeight="false" outlineLevel="0" collapsed="false">
      <c r="A2308" s="0" t="s">
        <v>47</v>
      </c>
      <c r="B2308" s="0" t="n">
        <v>97</v>
      </c>
      <c r="C2308" s="0" t="n">
        <v>22543</v>
      </c>
    </row>
    <row r="2309" customFormat="false" ht="12.75" hidden="false" customHeight="false" outlineLevel="0" collapsed="false">
      <c r="A2309" s="0" t="s">
        <v>48</v>
      </c>
      <c r="B2309" s="0" t="s">
        <v>156</v>
      </c>
      <c r="C2309" s="0" t="n">
        <v>22588</v>
      </c>
    </row>
    <row r="2310" customFormat="false" ht="12.75" hidden="false" customHeight="false" outlineLevel="0" collapsed="false">
      <c r="A2310" s="0" t="s">
        <v>49</v>
      </c>
      <c r="B2310" s="0" t="n">
        <v>3</v>
      </c>
      <c r="C2310" s="0" t="n">
        <v>22617</v>
      </c>
    </row>
    <row r="2311" customFormat="false" ht="12.75" hidden="false" customHeight="false" outlineLevel="0" collapsed="false">
      <c r="A2311" s="0" t="s">
        <v>50</v>
      </c>
      <c r="B2311" s="0" t="n">
        <v>3</v>
      </c>
      <c r="C2311" s="0" t="n">
        <v>23187</v>
      </c>
    </row>
    <row r="2312" customFormat="false" ht="12.75" hidden="false" customHeight="false" outlineLevel="0" collapsed="false">
      <c r="A2312" s="0" t="s">
        <v>51</v>
      </c>
      <c r="B2312" s="0" t="n">
        <v>2</v>
      </c>
      <c r="C2312" s="0" t="n">
        <v>23248</v>
      </c>
    </row>
    <row r="2313" customFormat="false" ht="12.75" hidden="false" customHeight="false" outlineLevel="0" collapsed="false">
      <c r="A2313" s="0" t="s">
        <v>163</v>
      </c>
      <c r="B2313" s="3" t="n">
        <v>9012</v>
      </c>
      <c r="C2313" s="0" t="n">
        <v>14238</v>
      </c>
    </row>
    <row r="2314" customFormat="false" ht="12.75" hidden="false" customHeight="false" outlineLevel="0" collapsed="false">
      <c r="A2314" s="0" t="s">
        <v>1</v>
      </c>
      <c r="B2314" s="0" t="n">
        <v>166</v>
      </c>
      <c r="C2314" s="0" t="n">
        <v>27816</v>
      </c>
    </row>
    <row r="2315" customFormat="false" ht="12.75" hidden="false" customHeight="false" outlineLevel="0" collapsed="false">
      <c r="A2315" s="0" t="s">
        <v>2</v>
      </c>
      <c r="B2315" s="0" t="n">
        <v>5</v>
      </c>
      <c r="C2315" s="0" t="n">
        <v>27822</v>
      </c>
    </row>
    <row r="2316" customFormat="false" ht="12.75" hidden="false" customHeight="false" outlineLevel="0" collapsed="false">
      <c r="A2316" s="0" t="s">
        <v>3</v>
      </c>
      <c r="B2316" s="0" t="n">
        <v>35</v>
      </c>
      <c r="C2316" s="0" t="n">
        <v>27900</v>
      </c>
    </row>
    <row r="2317" customFormat="false" ht="12.75" hidden="false" customHeight="false" outlineLevel="0" collapsed="false">
      <c r="A2317" s="0" t="s">
        <v>4</v>
      </c>
      <c r="B2317" s="0" t="n">
        <v>30</v>
      </c>
      <c r="C2317" s="0" t="n">
        <v>28058</v>
      </c>
    </row>
    <row r="2318" customFormat="false" ht="12.75" hidden="false" customHeight="false" outlineLevel="0" collapsed="false">
      <c r="A2318" s="0" t="s">
        <v>5</v>
      </c>
      <c r="B2318" s="0" t="n">
        <v>187</v>
      </c>
      <c r="C2318" s="0" t="n">
        <v>27888</v>
      </c>
    </row>
    <row r="2319" customFormat="false" ht="12.75" hidden="false" customHeight="false" outlineLevel="0" collapsed="false">
      <c r="A2319" s="0" t="s">
        <v>6</v>
      </c>
      <c r="B2319" s="0" t="n">
        <v>36</v>
      </c>
      <c r="C2319" s="0" t="n">
        <v>28954</v>
      </c>
    </row>
    <row r="2320" customFormat="false" ht="12.75" hidden="false" customHeight="false" outlineLevel="0" collapsed="false">
      <c r="A2320" s="0" t="s">
        <v>7</v>
      </c>
      <c r="B2320" s="0" t="n">
        <v>181</v>
      </c>
      <c r="C2320" s="0" t="n">
        <v>28902</v>
      </c>
    </row>
    <row r="2321" customFormat="false" ht="12.75" hidden="false" customHeight="false" outlineLevel="0" collapsed="false">
      <c r="A2321" s="0" t="s">
        <v>8</v>
      </c>
      <c r="B2321" s="0" t="n">
        <v>365</v>
      </c>
      <c r="C2321" s="0" t="n">
        <v>28562</v>
      </c>
    </row>
    <row r="2322" customFormat="false" ht="12.75" hidden="false" customHeight="false" outlineLevel="0" collapsed="false">
      <c r="A2322" s="0" t="s">
        <v>9</v>
      </c>
      <c r="B2322" s="0" t="n">
        <v>262</v>
      </c>
      <c r="C2322" s="0" t="n">
        <v>28304</v>
      </c>
    </row>
    <row r="2323" customFormat="false" ht="12.75" hidden="false" customHeight="false" outlineLevel="0" collapsed="false">
      <c r="A2323" s="0" t="s">
        <v>10</v>
      </c>
      <c r="B2323" s="0" t="n">
        <v>265</v>
      </c>
      <c r="C2323" s="0" t="n">
        <v>28052</v>
      </c>
    </row>
    <row r="2324" customFormat="false" ht="12.75" hidden="false" customHeight="false" outlineLevel="0" collapsed="false">
      <c r="A2324" s="0" t="s">
        <v>11</v>
      </c>
      <c r="B2324" s="0" t="n">
        <v>435</v>
      </c>
      <c r="C2324" s="0" t="n">
        <v>27712</v>
      </c>
    </row>
    <row r="2325" customFormat="false" ht="12.75" hidden="false" customHeight="false" outlineLevel="0" collapsed="false">
      <c r="A2325" s="0" t="s">
        <v>12</v>
      </c>
      <c r="B2325" s="0" t="n">
        <v>10</v>
      </c>
      <c r="C2325" s="0" t="n">
        <v>27740</v>
      </c>
    </row>
    <row r="2326" customFormat="false" ht="12.75" hidden="false" customHeight="false" outlineLevel="0" collapsed="false">
      <c r="A2326" s="0" t="s">
        <v>13</v>
      </c>
      <c r="B2326" s="0" t="n">
        <v>4</v>
      </c>
      <c r="C2326" s="0" t="n">
        <v>27792</v>
      </c>
    </row>
    <row r="2327" customFormat="false" ht="12.75" hidden="false" customHeight="false" outlineLevel="0" collapsed="false">
      <c r="A2327" s="0" t="s">
        <v>14</v>
      </c>
      <c r="B2327" s="0" t="n">
        <v>191</v>
      </c>
      <c r="C2327" s="0" t="n">
        <v>28356</v>
      </c>
    </row>
    <row r="2328" customFormat="false" ht="12.75" hidden="false" customHeight="false" outlineLevel="0" collapsed="false">
      <c r="A2328" s="0" t="s">
        <v>15</v>
      </c>
      <c r="B2328" s="0" t="n">
        <v>108</v>
      </c>
      <c r="C2328" s="0" t="n">
        <v>28441</v>
      </c>
    </row>
    <row r="2329" customFormat="false" ht="12.75" hidden="false" customHeight="false" outlineLevel="0" collapsed="false">
      <c r="A2329" s="0" t="s">
        <v>16</v>
      </c>
      <c r="B2329" s="0" t="n">
        <v>70</v>
      </c>
      <c r="C2329" s="0" t="n">
        <v>28419</v>
      </c>
    </row>
    <row r="2330" customFormat="false" ht="12.75" hidden="false" customHeight="false" outlineLevel="0" collapsed="false">
      <c r="A2330" s="0" t="s">
        <v>17</v>
      </c>
      <c r="B2330" s="0" t="n">
        <v>29</v>
      </c>
      <c r="C2330" s="0" t="n">
        <v>28441</v>
      </c>
    </row>
    <row r="2331" customFormat="false" ht="12.75" hidden="false" customHeight="false" outlineLevel="0" collapsed="false">
      <c r="A2331" s="0" t="s">
        <v>18</v>
      </c>
      <c r="B2331" s="0" t="n">
        <v>207</v>
      </c>
      <c r="C2331" s="0" t="n">
        <v>28319</v>
      </c>
    </row>
    <row r="2332" customFormat="false" ht="12.75" hidden="false" customHeight="false" outlineLevel="0" collapsed="false">
      <c r="A2332" s="0" t="s">
        <v>19</v>
      </c>
      <c r="B2332" s="0" t="n">
        <v>97</v>
      </c>
      <c r="C2332" s="0" t="n">
        <v>28237</v>
      </c>
    </row>
    <row r="2333" customFormat="false" ht="12.75" hidden="false" customHeight="false" outlineLevel="0" collapsed="false">
      <c r="A2333" s="0" t="s">
        <v>20</v>
      </c>
      <c r="B2333" s="0" t="n">
        <v>58</v>
      </c>
      <c r="C2333" s="0" t="n">
        <v>28208</v>
      </c>
    </row>
    <row r="2334" customFormat="false" ht="12.75" hidden="false" customHeight="false" outlineLevel="0" collapsed="false">
      <c r="A2334" s="0" t="s">
        <v>21</v>
      </c>
      <c r="B2334" s="3" t="n">
        <v>2269</v>
      </c>
      <c r="C2334" s="0" t="n">
        <v>25950</v>
      </c>
    </row>
    <row r="2335" customFormat="false" ht="12.75" hidden="false" customHeight="false" outlineLevel="0" collapsed="false">
      <c r="A2335" s="0" t="s">
        <v>22</v>
      </c>
      <c r="B2335" s="0" t="n">
        <v>302</v>
      </c>
      <c r="C2335" s="0" t="n">
        <v>25703</v>
      </c>
    </row>
    <row r="2336" customFormat="false" ht="12.75" hidden="false" customHeight="false" outlineLevel="0" collapsed="false">
      <c r="A2336" s="0" t="s">
        <v>23</v>
      </c>
      <c r="B2336" s="0" t="n">
        <v>173</v>
      </c>
      <c r="C2336" s="0" t="n">
        <v>25600</v>
      </c>
    </row>
    <row r="2337" customFormat="false" ht="12.75" hidden="false" customHeight="false" outlineLevel="0" collapsed="false">
      <c r="A2337" s="0" t="s">
        <v>24</v>
      </c>
      <c r="B2337" s="0" t="n">
        <v>47</v>
      </c>
      <c r="C2337" s="0" t="n">
        <v>25626</v>
      </c>
    </row>
    <row r="2338" customFormat="false" ht="12.75" hidden="false" customHeight="false" outlineLevel="0" collapsed="false">
      <c r="A2338" s="0" t="s">
        <v>25</v>
      </c>
      <c r="B2338" s="0" t="n">
        <v>41</v>
      </c>
      <c r="C2338" s="0" t="n">
        <v>25677</v>
      </c>
    </row>
    <row r="2339" customFormat="false" ht="12.75" hidden="false" customHeight="false" outlineLevel="0" collapsed="false">
      <c r="A2339" s="0" t="s">
        <v>26</v>
      </c>
      <c r="B2339" s="0" t="n">
        <v>53</v>
      </c>
      <c r="C2339" s="0" t="n">
        <v>25640</v>
      </c>
    </row>
    <row r="2340" customFormat="false" ht="12.75" hidden="false" customHeight="false" outlineLevel="0" collapsed="false">
      <c r="A2340" s="0" t="s">
        <v>27</v>
      </c>
      <c r="B2340" s="0" t="n">
        <v>6</v>
      </c>
      <c r="C2340" s="0" t="n">
        <v>25715</v>
      </c>
    </row>
    <row r="2341" customFormat="false" ht="12.75" hidden="false" customHeight="false" outlineLevel="0" collapsed="false">
      <c r="A2341" s="0" t="s">
        <v>28</v>
      </c>
      <c r="B2341" s="0" t="n">
        <v>21</v>
      </c>
      <c r="C2341" s="0" t="n">
        <v>26059</v>
      </c>
    </row>
    <row r="2342" customFormat="false" ht="12.75" hidden="false" customHeight="false" outlineLevel="0" collapsed="false">
      <c r="A2342" s="0" t="s">
        <v>29</v>
      </c>
      <c r="B2342" s="0" t="n">
        <v>6</v>
      </c>
      <c r="C2342" s="0" t="n">
        <v>26086</v>
      </c>
    </row>
    <row r="2343" customFormat="false" ht="12.75" hidden="false" customHeight="false" outlineLevel="0" collapsed="false">
      <c r="A2343" s="0" t="s">
        <v>30</v>
      </c>
      <c r="B2343" s="0" t="n">
        <v>52</v>
      </c>
      <c r="C2343" s="0" t="n">
        <v>26089</v>
      </c>
    </row>
    <row r="2344" customFormat="false" ht="12.75" hidden="false" customHeight="false" outlineLevel="0" collapsed="false">
      <c r="A2344" s="0" t="s">
        <v>31</v>
      </c>
      <c r="B2344" s="0" t="n">
        <v>683</v>
      </c>
      <c r="C2344" s="0" t="n">
        <v>25417</v>
      </c>
    </row>
    <row r="2345" customFormat="false" ht="12.75" hidden="false" customHeight="false" outlineLevel="0" collapsed="false">
      <c r="A2345" s="0" t="s">
        <v>32</v>
      </c>
      <c r="B2345" s="0" t="n">
        <v>12</v>
      </c>
      <c r="C2345" s="0" t="n">
        <v>25464</v>
      </c>
    </row>
    <row r="2346" customFormat="false" ht="12.75" hidden="false" customHeight="false" outlineLevel="0" collapsed="false">
      <c r="A2346" s="0" t="s">
        <v>33</v>
      </c>
      <c r="B2346" s="3" t="n">
        <v>1321</v>
      </c>
      <c r="C2346" s="0" t="n">
        <v>24178</v>
      </c>
    </row>
    <row r="2347" customFormat="false" ht="12.75" hidden="false" customHeight="false" outlineLevel="0" collapsed="false">
      <c r="A2347" s="0" t="s">
        <v>34</v>
      </c>
      <c r="B2347" s="3" t="n">
        <v>2655</v>
      </c>
      <c r="C2347" s="0" t="n">
        <v>21621</v>
      </c>
    </row>
    <row r="2348" customFormat="false" ht="12.75" hidden="false" customHeight="false" outlineLevel="0" collapsed="false">
      <c r="A2348" s="0" t="s">
        <v>35</v>
      </c>
      <c r="B2348" s="0" t="n">
        <v>2</v>
      </c>
      <c r="C2348" s="0" t="n">
        <v>21649</v>
      </c>
    </row>
    <row r="2349" customFormat="false" ht="12.75" hidden="false" customHeight="false" outlineLevel="0" collapsed="false">
      <c r="A2349" s="0" t="s">
        <v>36</v>
      </c>
      <c r="B2349" s="0" t="n">
        <v>463</v>
      </c>
      <c r="C2349" s="0" t="n">
        <v>21204</v>
      </c>
    </row>
    <row r="2350" customFormat="false" ht="12.75" hidden="false" customHeight="false" outlineLevel="0" collapsed="false">
      <c r="A2350" s="0" t="s">
        <v>37</v>
      </c>
      <c r="B2350" s="0" t="n">
        <v>75</v>
      </c>
      <c r="C2350" s="0" t="n">
        <v>21240</v>
      </c>
    </row>
    <row r="2351" customFormat="false" ht="12.75" hidden="false" customHeight="false" outlineLevel="0" collapsed="false">
      <c r="A2351" s="0" t="s">
        <v>38</v>
      </c>
      <c r="B2351" s="0" t="n">
        <v>5</v>
      </c>
      <c r="C2351" s="0" t="n">
        <v>21328</v>
      </c>
    </row>
    <row r="2352" customFormat="false" ht="12.75" hidden="false" customHeight="false" outlineLevel="0" collapsed="false">
      <c r="A2352" s="0" t="s">
        <v>39</v>
      </c>
      <c r="B2352" s="3" t="n">
        <v>1610</v>
      </c>
      <c r="C2352" s="0" t="n">
        <v>22714</v>
      </c>
    </row>
    <row r="2353" customFormat="false" ht="12.75" hidden="false" customHeight="false" outlineLevel="0" collapsed="false">
      <c r="A2353" s="0" t="s">
        <v>40</v>
      </c>
      <c r="B2353" s="0" t="n">
        <v>55</v>
      </c>
      <c r="C2353" s="0" t="n">
        <v>22711</v>
      </c>
    </row>
    <row r="2354" customFormat="false" ht="12.75" hidden="false" customHeight="false" outlineLevel="0" collapsed="false">
      <c r="A2354" s="0" t="s">
        <v>41</v>
      </c>
      <c r="B2354" s="0" t="n">
        <v>336</v>
      </c>
      <c r="C2354" s="0" t="n">
        <v>22385</v>
      </c>
    </row>
    <row r="2355" customFormat="false" ht="12.75" hidden="false" customHeight="false" outlineLevel="0" collapsed="false">
      <c r="A2355" s="0" t="s">
        <v>42</v>
      </c>
      <c r="B2355" s="0" t="n">
        <v>5</v>
      </c>
      <c r="C2355" s="0" t="n">
        <v>22398</v>
      </c>
    </row>
    <row r="2356" customFormat="false" ht="12.75" hidden="false" customHeight="false" outlineLevel="0" collapsed="false">
      <c r="A2356" s="0" t="s">
        <v>43</v>
      </c>
      <c r="B2356" s="0" t="n">
        <v>384</v>
      </c>
      <c r="C2356" s="0" t="n">
        <v>22033</v>
      </c>
    </row>
    <row r="2357" customFormat="false" ht="12.75" hidden="false" customHeight="false" outlineLevel="0" collapsed="false">
      <c r="A2357" s="0" t="s">
        <v>44</v>
      </c>
      <c r="B2357" s="0" t="n">
        <v>193</v>
      </c>
      <c r="C2357" s="0" t="n">
        <v>21904</v>
      </c>
    </row>
    <row r="2358" customFormat="false" ht="12.75" hidden="false" customHeight="false" outlineLevel="0" collapsed="false">
      <c r="A2358" s="0" t="s">
        <v>45</v>
      </c>
      <c r="B2358" s="0" t="n">
        <v>13</v>
      </c>
      <c r="C2358" s="0" t="n">
        <v>22039</v>
      </c>
    </row>
    <row r="2359" customFormat="false" ht="12.75" hidden="false" customHeight="false" outlineLevel="0" collapsed="false">
      <c r="A2359" s="0" t="s">
        <v>46</v>
      </c>
      <c r="B2359" s="0" t="n">
        <v>45</v>
      </c>
      <c r="C2359" s="0" t="n">
        <v>22138</v>
      </c>
    </row>
    <row r="2360" customFormat="false" ht="12.75" hidden="false" customHeight="false" outlineLevel="0" collapsed="false">
      <c r="A2360" s="0" t="s">
        <v>48</v>
      </c>
      <c r="B2360" s="0" t="n">
        <v>32</v>
      </c>
      <c r="C2360" s="0" t="n">
        <v>22112</v>
      </c>
    </row>
    <row r="2361" customFormat="false" ht="12.75" hidden="false" customHeight="false" outlineLevel="0" collapsed="false">
      <c r="A2361" s="0" t="s">
        <v>49</v>
      </c>
      <c r="B2361" s="0" t="n">
        <v>573</v>
      </c>
      <c r="C2361" s="0" t="n">
        <v>21574</v>
      </c>
    </row>
    <row r="2362" customFormat="false" ht="12.75" hidden="false" customHeight="false" outlineLevel="0" collapsed="false">
      <c r="A2362" s="0" t="s">
        <v>50</v>
      </c>
      <c r="B2362" s="0" t="n">
        <v>63</v>
      </c>
      <c r="C2362" s="0" t="n">
        <v>21513</v>
      </c>
    </row>
    <row r="2363" customFormat="false" ht="12.75" hidden="false" customHeight="false" outlineLevel="0" collapsed="false">
      <c r="A2363" s="0" t="s">
        <v>51</v>
      </c>
      <c r="B2363" s="0" t="n">
        <v>2</v>
      </c>
      <c r="C2363" s="0" t="n">
        <v>21541</v>
      </c>
    </row>
    <row r="2364" customFormat="false" ht="12.75" hidden="false" customHeight="false" outlineLevel="0" collapsed="false">
      <c r="A2364" s="0" t="s">
        <v>164</v>
      </c>
      <c r="B2364" s="3" t="n">
        <v>13744</v>
      </c>
      <c r="C2364" s="0" t="n">
        <v>7823</v>
      </c>
    </row>
    <row r="2365" customFormat="false" ht="12.75" hidden="false" customHeight="false" outlineLevel="0" collapsed="false">
      <c r="A2365" s="0" t="s">
        <v>1</v>
      </c>
      <c r="B2365" s="0" t="n">
        <v>11</v>
      </c>
      <c r="C2365" s="0" t="n">
        <v>9666</v>
      </c>
    </row>
    <row r="2366" customFormat="false" ht="12.75" hidden="false" customHeight="false" outlineLevel="0" collapsed="false">
      <c r="A2366" s="0" t="s">
        <v>2</v>
      </c>
      <c r="B2366" s="0" t="n">
        <v>113</v>
      </c>
      <c r="C2366" s="0" t="n">
        <v>9590</v>
      </c>
    </row>
    <row r="2367" customFormat="false" ht="12.75" hidden="false" customHeight="false" outlineLevel="0" collapsed="false">
      <c r="A2367" s="0" t="s">
        <v>3</v>
      </c>
      <c r="B2367" s="0" t="n">
        <v>188</v>
      </c>
      <c r="C2367" s="0" t="n">
        <v>9403</v>
      </c>
    </row>
    <row r="2368" customFormat="false" ht="12.75" hidden="false" customHeight="false" outlineLevel="0" collapsed="false">
      <c r="A2368" s="0" t="s">
        <v>4</v>
      </c>
      <c r="B2368" s="0" t="n">
        <v>17</v>
      </c>
      <c r="C2368" s="0" t="n">
        <v>9386</v>
      </c>
    </row>
    <row r="2369" customFormat="false" ht="12.75" hidden="false" customHeight="false" outlineLevel="0" collapsed="false">
      <c r="A2369" s="0" t="s">
        <v>5</v>
      </c>
      <c r="B2369" s="3" t="n">
        <v>1102</v>
      </c>
      <c r="C2369" s="0" t="n">
        <v>8291</v>
      </c>
    </row>
    <row r="2370" customFormat="false" ht="12.75" hidden="false" customHeight="false" outlineLevel="0" collapsed="false">
      <c r="A2370" s="0" t="s">
        <v>6</v>
      </c>
      <c r="B2370" s="0" t="n">
        <v>129</v>
      </c>
      <c r="C2370" s="0" t="n">
        <v>8280</v>
      </c>
    </row>
    <row r="2371" customFormat="false" ht="12.75" hidden="false" customHeight="false" outlineLevel="0" collapsed="false">
      <c r="A2371" s="0" t="s">
        <v>7</v>
      </c>
      <c r="B2371" s="0" t="n">
        <v>25</v>
      </c>
      <c r="C2371" s="0" t="n">
        <v>8265</v>
      </c>
    </row>
    <row r="2372" customFormat="false" ht="12.75" hidden="false" customHeight="false" outlineLevel="0" collapsed="false">
      <c r="A2372" s="0" t="s">
        <v>8</v>
      </c>
      <c r="B2372" s="0" t="n">
        <v>4</v>
      </c>
      <c r="C2372" s="0" t="n">
        <v>8289</v>
      </c>
    </row>
    <row r="2373" customFormat="false" ht="12.75" hidden="false" customHeight="false" outlineLevel="0" collapsed="false">
      <c r="A2373" s="0" t="s">
        <v>9</v>
      </c>
      <c r="B2373" s="0" t="n">
        <v>13</v>
      </c>
      <c r="C2373" s="0" t="n">
        <v>8300</v>
      </c>
    </row>
    <row r="2374" customFormat="false" ht="12.75" hidden="false" customHeight="false" outlineLevel="0" collapsed="false">
      <c r="A2374" s="0" t="s">
        <v>10</v>
      </c>
      <c r="B2374" s="0" t="n">
        <v>95</v>
      </c>
      <c r="C2374" s="0" t="n">
        <v>8269</v>
      </c>
    </row>
    <row r="2375" customFormat="false" ht="12.75" hidden="false" customHeight="false" outlineLevel="0" collapsed="false">
      <c r="A2375" s="0" t="s">
        <v>11</v>
      </c>
      <c r="B2375" s="0" t="n">
        <v>38</v>
      </c>
      <c r="C2375" s="0" t="n">
        <v>8355</v>
      </c>
    </row>
    <row r="2376" customFormat="false" ht="12.75" hidden="false" customHeight="false" outlineLevel="0" collapsed="false">
      <c r="A2376" s="0" t="s">
        <v>12</v>
      </c>
      <c r="B2376" s="0" t="n">
        <v>56</v>
      </c>
      <c r="C2376" s="0" t="n">
        <v>8426</v>
      </c>
    </row>
    <row r="2377" customFormat="false" ht="12.75" hidden="false" customHeight="false" outlineLevel="0" collapsed="false">
      <c r="A2377" s="0" t="s">
        <v>13</v>
      </c>
      <c r="B2377" s="0" t="n">
        <v>755</v>
      </c>
      <c r="C2377" s="0" t="n">
        <v>7672</v>
      </c>
    </row>
    <row r="2378" customFormat="false" ht="12.75" hidden="false" customHeight="false" outlineLevel="0" collapsed="false">
      <c r="A2378" s="0" t="s">
        <v>14</v>
      </c>
      <c r="B2378" s="0" t="n">
        <v>193</v>
      </c>
      <c r="C2378" s="0" t="n">
        <v>7479</v>
      </c>
    </row>
    <row r="2379" customFormat="false" ht="12.75" hidden="false" customHeight="false" outlineLevel="0" collapsed="false">
      <c r="A2379" s="0" t="s">
        <v>15</v>
      </c>
      <c r="B2379" s="0" t="n">
        <v>48</v>
      </c>
      <c r="C2379" s="0" t="n">
        <v>7478</v>
      </c>
    </row>
    <row r="2380" customFormat="false" ht="12.75" hidden="false" customHeight="false" outlineLevel="0" collapsed="false">
      <c r="A2380" s="0" t="s">
        <v>16</v>
      </c>
      <c r="B2380" s="0" t="n">
        <v>51</v>
      </c>
      <c r="C2380" s="0" t="n">
        <v>7529</v>
      </c>
    </row>
    <row r="2381" customFormat="false" ht="12.75" hidden="false" customHeight="false" outlineLevel="0" collapsed="false">
      <c r="A2381" s="0" t="s">
        <v>17</v>
      </c>
      <c r="B2381" s="0" t="n">
        <v>85</v>
      </c>
      <c r="C2381" s="0" t="n">
        <v>7446</v>
      </c>
    </row>
    <row r="2382" customFormat="false" ht="12.75" hidden="false" customHeight="false" outlineLevel="0" collapsed="false">
      <c r="A2382" s="0" t="s">
        <v>18</v>
      </c>
      <c r="B2382" s="0" t="n">
        <v>15</v>
      </c>
      <c r="C2382" s="0" t="n">
        <v>7437</v>
      </c>
    </row>
    <row r="2383" customFormat="false" ht="12.75" hidden="false" customHeight="false" outlineLevel="0" collapsed="false">
      <c r="A2383" s="0" t="s">
        <v>19</v>
      </c>
      <c r="B2383" s="0" t="n">
        <v>29</v>
      </c>
      <c r="C2383" s="0" t="n">
        <v>7826</v>
      </c>
    </row>
    <row r="2384" customFormat="false" ht="12.75" hidden="false" customHeight="false" outlineLevel="0" collapsed="false">
      <c r="A2384" s="0" t="s">
        <v>20</v>
      </c>
      <c r="B2384" s="0" t="n">
        <v>11</v>
      </c>
      <c r="C2384" s="0" t="n">
        <v>7822</v>
      </c>
    </row>
    <row r="2385" customFormat="false" ht="12.75" hidden="false" customHeight="false" outlineLevel="0" collapsed="false">
      <c r="A2385" s="0" t="s">
        <v>21</v>
      </c>
      <c r="B2385" s="0" t="n">
        <v>55</v>
      </c>
      <c r="C2385" s="0" t="n">
        <v>7769</v>
      </c>
    </row>
    <row r="2386" customFormat="false" ht="12.75" hidden="false" customHeight="false" outlineLevel="0" collapsed="false">
      <c r="A2386" s="0" t="s">
        <v>22</v>
      </c>
      <c r="B2386" s="0" t="n">
        <v>70</v>
      </c>
      <c r="C2386" s="0" t="n">
        <v>8309</v>
      </c>
    </row>
    <row r="2387" customFormat="false" ht="12.75" hidden="false" customHeight="false" outlineLevel="0" collapsed="false">
      <c r="A2387" s="0" t="s">
        <v>23</v>
      </c>
      <c r="B2387" s="0" t="n">
        <v>73</v>
      </c>
      <c r="C2387" s="0" t="n">
        <v>8257</v>
      </c>
    </row>
    <row r="2388" customFormat="false" ht="12.75" hidden="false" customHeight="false" outlineLevel="0" collapsed="false">
      <c r="A2388" s="0" t="s">
        <v>24</v>
      </c>
      <c r="B2388" s="0" t="n">
        <v>92</v>
      </c>
      <c r="C2388" s="0" t="n">
        <v>8260</v>
      </c>
    </row>
    <row r="2389" customFormat="false" ht="12.75" hidden="false" customHeight="false" outlineLevel="0" collapsed="false">
      <c r="A2389" s="0" t="s">
        <v>25</v>
      </c>
      <c r="B2389" s="0" t="n">
        <v>16</v>
      </c>
      <c r="C2389" s="0" t="n">
        <v>8244</v>
      </c>
    </row>
    <row r="2390" customFormat="false" ht="12.75" hidden="false" customHeight="false" outlineLevel="0" collapsed="false">
      <c r="A2390" s="0" t="s">
        <v>26</v>
      </c>
      <c r="B2390" s="0" t="n">
        <v>81</v>
      </c>
      <c r="C2390" s="0" t="n">
        <v>8170</v>
      </c>
    </row>
    <row r="2391" customFormat="false" ht="12.75" hidden="false" customHeight="false" outlineLevel="0" collapsed="false">
      <c r="A2391" s="0" t="s">
        <v>27</v>
      </c>
      <c r="B2391" s="0" t="n">
        <v>365</v>
      </c>
      <c r="C2391" s="0" t="n">
        <v>7826</v>
      </c>
    </row>
    <row r="2392" customFormat="false" ht="12.75" hidden="false" customHeight="false" outlineLevel="0" collapsed="false">
      <c r="A2392" s="0" t="s">
        <v>28</v>
      </c>
      <c r="B2392" s="0" t="n">
        <v>33</v>
      </c>
      <c r="C2392" s="0" t="n">
        <v>7797</v>
      </c>
    </row>
    <row r="2393" customFormat="false" ht="12.75" hidden="false" customHeight="false" outlineLevel="0" collapsed="false">
      <c r="A2393" s="0" t="s">
        <v>29</v>
      </c>
      <c r="B2393" s="0" t="n">
        <v>55</v>
      </c>
      <c r="C2393" s="0" t="n">
        <v>7746</v>
      </c>
    </row>
    <row r="2394" customFormat="false" ht="12.75" hidden="false" customHeight="false" outlineLevel="0" collapsed="false">
      <c r="A2394" s="0" t="s">
        <v>30</v>
      </c>
      <c r="B2394" s="0" t="n">
        <v>11</v>
      </c>
      <c r="C2394" s="0" t="n">
        <v>7739</v>
      </c>
    </row>
    <row r="2395" customFormat="false" ht="12.75" hidden="false" customHeight="false" outlineLevel="0" collapsed="false">
      <c r="A2395" s="0" t="s">
        <v>31</v>
      </c>
      <c r="B2395" s="0" t="n">
        <v>59</v>
      </c>
      <c r="C2395" s="0" t="n">
        <v>7686</v>
      </c>
    </row>
    <row r="2396" customFormat="false" ht="12.75" hidden="false" customHeight="false" outlineLevel="0" collapsed="false">
      <c r="A2396" s="0" t="s">
        <v>32</v>
      </c>
      <c r="B2396" s="0" t="n">
        <v>35</v>
      </c>
      <c r="C2396" s="0" t="n">
        <v>7749</v>
      </c>
    </row>
    <row r="2397" customFormat="false" ht="12.75" hidden="false" customHeight="false" outlineLevel="0" collapsed="false">
      <c r="A2397" s="0" t="s">
        <v>33</v>
      </c>
      <c r="B2397" s="0" t="n">
        <v>98</v>
      </c>
      <c r="C2397" s="0" t="n">
        <v>7652</v>
      </c>
    </row>
    <row r="2398" customFormat="false" ht="12.75" hidden="false" customHeight="false" outlineLevel="0" collapsed="false">
      <c r="A2398" s="0" t="s">
        <v>34</v>
      </c>
      <c r="B2398" s="0" t="n">
        <v>30</v>
      </c>
      <c r="C2398" s="0" t="n">
        <v>7674</v>
      </c>
    </row>
    <row r="2399" customFormat="false" ht="12.75" hidden="false" customHeight="false" outlineLevel="0" collapsed="false">
      <c r="A2399" s="0" t="s">
        <v>35</v>
      </c>
      <c r="B2399" s="0" t="n">
        <v>18</v>
      </c>
      <c r="C2399" s="0" t="n">
        <v>8350</v>
      </c>
    </row>
    <row r="2400" customFormat="false" ht="12.75" hidden="false" customHeight="false" outlineLevel="0" collapsed="false">
      <c r="A2400" s="0" t="s">
        <v>36</v>
      </c>
      <c r="B2400" s="0" t="n">
        <v>111</v>
      </c>
      <c r="C2400" s="0" t="n">
        <v>8240</v>
      </c>
    </row>
    <row r="2401" customFormat="false" ht="12.75" hidden="false" customHeight="false" outlineLevel="0" collapsed="false">
      <c r="A2401" s="0" t="s">
        <v>37</v>
      </c>
      <c r="B2401" s="0" t="n">
        <v>93</v>
      </c>
      <c r="C2401" s="0" t="n">
        <v>9834</v>
      </c>
    </row>
    <row r="2402" customFormat="false" ht="12.75" hidden="false" customHeight="false" outlineLevel="0" collapsed="false">
      <c r="A2402" s="0" t="s">
        <v>38</v>
      </c>
      <c r="B2402" s="3" t="n">
        <v>2996</v>
      </c>
      <c r="C2402" s="0" t="n">
        <v>6852</v>
      </c>
    </row>
    <row r="2403" customFormat="false" ht="12.75" hidden="false" customHeight="false" outlineLevel="0" collapsed="false">
      <c r="A2403" s="0" t="s">
        <v>39</v>
      </c>
      <c r="B2403" s="0" t="n">
        <v>52</v>
      </c>
      <c r="C2403" s="0" t="n">
        <v>6805</v>
      </c>
    </row>
    <row r="2404" customFormat="false" ht="12.75" hidden="false" customHeight="false" outlineLevel="0" collapsed="false">
      <c r="A2404" s="0" t="s">
        <v>40</v>
      </c>
      <c r="B2404" s="0" t="n">
        <v>10</v>
      </c>
      <c r="C2404" s="0" t="n">
        <v>7640</v>
      </c>
    </row>
    <row r="2405" customFormat="false" ht="12.75" hidden="false" customHeight="false" outlineLevel="0" collapsed="false">
      <c r="A2405" s="0" t="s">
        <v>41</v>
      </c>
      <c r="B2405" s="0" t="n">
        <v>18</v>
      </c>
      <c r="C2405" s="0" t="n">
        <v>7626</v>
      </c>
    </row>
    <row r="2406" customFormat="false" ht="12.75" hidden="false" customHeight="false" outlineLevel="0" collapsed="false">
      <c r="A2406" s="0" t="s">
        <v>42</v>
      </c>
      <c r="B2406" s="0" t="n">
        <v>19</v>
      </c>
      <c r="C2406" s="0" t="n">
        <v>7681</v>
      </c>
    </row>
    <row r="2407" customFormat="false" ht="12.75" hidden="false" customHeight="false" outlineLevel="0" collapsed="false">
      <c r="A2407" s="0" t="s">
        <v>43</v>
      </c>
      <c r="B2407" s="0" t="n">
        <v>64</v>
      </c>
      <c r="C2407" s="0" t="n">
        <v>7618</v>
      </c>
    </row>
    <row r="2408" customFormat="false" ht="12.75" hidden="false" customHeight="false" outlineLevel="0" collapsed="false">
      <c r="A2408" s="0" t="s">
        <v>44</v>
      </c>
      <c r="B2408" s="0" t="n">
        <v>148</v>
      </c>
      <c r="C2408" s="0" t="n">
        <v>7576</v>
      </c>
    </row>
    <row r="2409" customFormat="false" ht="12.75" hidden="false" customHeight="false" outlineLevel="0" collapsed="false">
      <c r="A2409" s="0" t="s">
        <v>45</v>
      </c>
      <c r="B2409" s="0" t="n">
        <v>144</v>
      </c>
      <c r="C2409" s="0" t="n">
        <v>7432</v>
      </c>
    </row>
    <row r="2410" customFormat="false" ht="12.75" hidden="false" customHeight="false" outlineLevel="0" collapsed="false">
      <c r="A2410" s="0" t="s">
        <v>46</v>
      </c>
      <c r="B2410" s="0" t="n">
        <v>6</v>
      </c>
      <c r="C2410" s="0" t="n">
        <v>7428</v>
      </c>
    </row>
    <row r="2411" customFormat="false" ht="12.75" hidden="false" customHeight="false" outlineLevel="0" collapsed="false">
      <c r="A2411" s="0" t="s">
        <v>47</v>
      </c>
      <c r="B2411" s="0" t="n">
        <v>35</v>
      </c>
      <c r="C2411" s="0" t="n">
        <v>7394</v>
      </c>
    </row>
    <row r="2412" customFormat="false" ht="12.75" hidden="false" customHeight="false" outlineLevel="0" collapsed="false">
      <c r="A2412" s="0" t="s">
        <v>49</v>
      </c>
      <c r="B2412" s="0" t="n">
        <v>2</v>
      </c>
      <c r="C2412" s="0" t="n">
        <v>8494</v>
      </c>
    </row>
    <row r="2413" customFormat="false" ht="12.75" hidden="false" customHeight="false" outlineLevel="0" collapsed="false">
      <c r="A2413" s="0" t="s">
        <v>50</v>
      </c>
      <c r="B2413" s="0" t="n">
        <v>30</v>
      </c>
      <c r="C2413" s="0" t="n">
        <v>8469</v>
      </c>
    </row>
    <row r="2414" customFormat="false" ht="12.75" hidden="false" customHeight="false" outlineLevel="0" collapsed="false">
      <c r="A2414" s="0" t="s">
        <v>51</v>
      </c>
      <c r="B2414" s="0" t="n">
        <v>26</v>
      </c>
      <c r="C2414" s="0" t="n">
        <v>8451</v>
      </c>
    </row>
    <row r="2415" customFormat="false" ht="12.75" hidden="false" customHeight="false" outlineLevel="0" collapsed="false">
      <c r="A2415" s="0" t="s">
        <v>165</v>
      </c>
      <c r="B2415" s="3" t="n">
        <v>1854</v>
      </c>
      <c r="C2415" s="0" t="n">
        <v>6599</v>
      </c>
    </row>
    <row r="2416" customFormat="false" ht="12.75" hidden="false" customHeight="false" outlineLevel="0" collapsed="false">
      <c r="A2416" s="0" t="s">
        <v>1</v>
      </c>
      <c r="B2416" s="0" t="n">
        <v>37</v>
      </c>
      <c r="C2416" s="0" t="n">
        <v>20585</v>
      </c>
    </row>
    <row r="2417" customFormat="false" ht="12.75" hidden="false" customHeight="false" outlineLevel="0" collapsed="false">
      <c r="A2417" s="0" t="s">
        <v>2</v>
      </c>
      <c r="B2417" s="0" t="n">
        <v>1</v>
      </c>
      <c r="C2417" s="0" t="n">
        <v>20588</v>
      </c>
    </row>
    <row r="2418" customFormat="false" ht="12.75" hidden="false" customHeight="false" outlineLevel="0" collapsed="false">
      <c r="A2418" s="0" t="s">
        <v>3</v>
      </c>
      <c r="B2418" s="0" t="s">
        <v>156</v>
      </c>
      <c r="C2418" s="0" t="n">
        <v>20597</v>
      </c>
    </row>
    <row r="2419" customFormat="false" ht="12.75" hidden="false" customHeight="false" outlineLevel="0" collapsed="false">
      <c r="A2419" s="0" t="s">
        <v>4</v>
      </c>
      <c r="B2419" s="0" t="n">
        <v>7</v>
      </c>
      <c r="C2419" s="0" t="n">
        <v>20637</v>
      </c>
    </row>
    <row r="2420" customFormat="false" ht="12.75" hidden="false" customHeight="false" outlineLevel="0" collapsed="false">
      <c r="A2420" s="0" t="s">
        <v>5</v>
      </c>
      <c r="B2420" s="0" t="n">
        <v>118</v>
      </c>
      <c r="C2420" s="0" t="n">
        <v>20572</v>
      </c>
    </row>
    <row r="2421" customFormat="false" ht="12.75" hidden="false" customHeight="false" outlineLevel="0" collapsed="false">
      <c r="A2421" s="0" t="s">
        <v>6</v>
      </c>
      <c r="B2421" s="0" t="n">
        <v>10</v>
      </c>
      <c r="C2421" s="0" t="n">
        <v>20621</v>
      </c>
    </row>
    <row r="2422" customFormat="false" ht="12.75" hidden="false" customHeight="false" outlineLevel="0" collapsed="false">
      <c r="A2422" s="0" t="s">
        <v>7</v>
      </c>
      <c r="B2422" s="0" t="n">
        <v>28</v>
      </c>
      <c r="C2422" s="0" t="n">
        <v>20649</v>
      </c>
    </row>
    <row r="2423" customFormat="false" ht="12.75" hidden="false" customHeight="false" outlineLevel="0" collapsed="false">
      <c r="A2423" s="0" t="s">
        <v>8</v>
      </c>
      <c r="B2423" s="0" t="n">
        <v>24</v>
      </c>
      <c r="C2423" s="0" t="n">
        <v>20664</v>
      </c>
    </row>
    <row r="2424" customFormat="false" ht="12.75" hidden="false" customHeight="false" outlineLevel="0" collapsed="false">
      <c r="A2424" s="0" t="s">
        <v>9</v>
      </c>
      <c r="B2424" s="0" t="n">
        <v>64</v>
      </c>
      <c r="C2424" s="0" t="n">
        <v>20603</v>
      </c>
    </row>
    <row r="2425" customFormat="false" ht="12.75" hidden="false" customHeight="false" outlineLevel="0" collapsed="false">
      <c r="A2425" s="0" t="s">
        <v>10</v>
      </c>
      <c r="B2425" s="0" t="n">
        <v>124</v>
      </c>
      <c r="C2425" s="0" t="n">
        <v>20483</v>
      </c>
    </row>
    <row r="2426" customFormat="false" ht="12.75" hidden="false" customHeight="false" outlineLevel="0" collapsed="false">
      <c r="A2426" s="0" t="s">
        <v>11</v>
      </c>
      <c r="B2426" s="0" t="n">
        <v>127</v>
      </c>
      <c r="C2426" s="0" t="n">
        <v>20550</v>
      </c>
    </row>
    <row r="2427" customFormat="false" ht="12.75" hidden="false" customHeight="false" outlineLevel="0" collapsed="false">
      <c r="A2427" s="0" t="s">
        <v>12</v>
      </c>
      <c r="B2427" s="0" t="n">
        <v>1</v>
      </c>
      <c r="C2427" s="0" t="n">
        <v>20572</v>
      </c>
    </row>
    <row r="2428" customFormat="false" ht="12.75" hidden="false" customHeight="false" outlineLevel="0" collapsed="false">
      <c r="A2428" s="0" t="s">
        <v>13</v>
      </c>
      <c r="B2428" s="0" t="s">
        <v>156</v>
      </c>
      <c r="C2428" s="0" t="n">
        <v>20575</v>
      </c>
    </row>
    <row r="2429" customFormat="false" ht="12.75" hidden="false" customHeight="false" outlineLevel="0" collapsed="false">
      <c r="A2429" s="0" t="s">
        <v>14</v>
      </c>
      <c r="B2429" s="0" t="n">
        <v>47</v>
      </c>
      <c r="C2429" s="0" t="n">
        <v>20542</v>
      </c>
    </row>
    <row r="2430" customFormat="false" ht="12.75" hidden="false" customHeight="false" outlineLevel="0" collapsed="false">
      <c r="A2430" s="0" t="s">
        <v>15</v>
      </c>
      <c r="B2430" s="0" t="n">
        <v>102</v>
      </c>
      <c r="C2430" s="0" t="n">
        <v>25332</v>
      </c>
    </row>
    <row r="2431" customFormat="false" ht="12.75" hidden="false" customHeight="false" outlineLevel="0" collapsed="false">
      <c r="A2431" s="0" t="s">
        <v>16</v>
      </c>
      <c r="B2431" s="0" t="n">
        <v>2</v>
      </c>
      <c r="C2431" s="0" t="n">
        <v>25597</v>
      </c>
    </row>
    <row r="2432" customFormat="false" ht="12.75" hidden="false" customHeight="false" outlineLevel="0" collapsed="false">
      <c r="A2432" s="0" t="s">
        <v>17</v>
      </c>
      <c r="B2432" s="0" t="n">
        <v>6</v>
      </c>
      <c r="C2432" s="0" t="n">
        <v>26294</v>
      </c>
    </row>
    <row r="2433" customFormat="false" ht="12.75" hidden="false" customHeight="false" outlineLevel="0" collapsed="false">
      <c r="A2433" s="0" t="s">
        <v>18</v>
      </c>
      <c r="B2433" s="0" t="n">
        <v>418</v>
      </c>
      <c r="C2433" s="0" t="n">
        <v>25927</v>
      </c>
    </row>
    <row r="2434" customFormat="false" ht="12.75" hidden="false" customHeight="false" outlineLevel="0" collapsed="false">
      <c r="A2434" s="0" t="s">
        <v>19</v>
      </c>
      <c r="B2434" s="0" t="n">
        <v>7</v>
      </c>
      <c r="C2434" s="0" t="n">
        <v>26067</v>
      </c>
    </row>
    <row r="2435" customFormat="false" ht="12.75" hidden="false" customHeight="false" outlineLevel="0" collapsed="false">
      <c r="A2435" s="0" t="s">
        <v>20</v>
      </c>
      <c r="B2435" s="0" t="n">
        <v>2</v>
      </c>
      <c r="C2435" s="0" t="n">
        <v>26081</v>
      </c>
    </row>
    <row r="2436" customFormat="false" ht="12.75" hidden="false" customHeight="false" outlineLevel="0" collapsed="false">
      <c r="A2436" s="0" t="s">
        <v>21</v>
      </c>
      <c r="B2436" s="0" t="n">
        <v>610</v>
      </c>
      <c r="C2436" s="0" t="n">
        <v>25480</v>
      </c>
    </row>
    <row r="2437" customFormat="false" ht="12.75" hidden="false" customHeight="false" outlineLevel="0" collapsed="false">
      <c r="A2437" s="0" t="s">
        <v>22</v>
      </c>
      <c r="B2437" s="0" t="n">
        <v>21</v>
      </c>
      <c r="C2437" s="0" t="n">
        <v>25482</v>
      </c>
    </row>
    <row r="2438" customFormat="false" ht="12.75" hidden="false" customHeight="false" outlineLevel="0" collapsed="false">
      <c r="A2438" s="0" t="s">
        <v>23</v>
      </c>
      <c r="B2438" s="0" t="n">
        <v>95</v>
      </c>
      <c r="C2438" s="0" t="n">
        <v>25420</v>
      </c>
    </row>
    <row r="2439" customFormat="false" ht="12.75" hidden="false" customHeight="false" outlineLevel="0" collapsed="false">
      <c r="A2439" s="0" t="s">
        <v>24</v>
      </c>
      <c r="B2439" s="0" t="s">
        <v>156</v>
      </c>
      <c r="C2439" s="0" t="n">
        <v>26374</v>
      </c>
    </row>
    <row r="2440" customFormat="false" ht="12.75" hidden="false" customHeight="false" outlineLevel="0" collapsed="false">
      <c r="A2440" s="0" t="s">
        <v>25</v>
      </c>
      <c r="B2440" s="0" t="n">
        <v>7</v>
      </c>
      <c r="C2440" s="0" t="n">
        <v>29278</v>
      </c>
    </row>
    <row r="2441" customFormat="false" ht="12.75" hidden="false" customHeight="false" outlineLevel="0" collapsed="false">
      <c r="A2441" s="0" t="s">
        <v>26</v>
      </c>
      <c r="B2441" s="0" t="n">
        <v>21</v>
      </c>
      <c r="C2441" s="0" t="n">
        <v>29271</v>
      </c>
    </row>
    <row r="2442" customFormat="false" ht="12.75" hidden="false" customHeight="false" outlineLevel="0" collapsed="false">
      <c r="A2442" s="0" t="s">
        <v>27</v>
      </c>
      <c r="B2442" s="0" t="n">
        <v>4</v>
      </c>
      <c r="C2442" s="0" t="n">
        <v>29448</v>
      </c>
    </row>
    <row r="2443" customFormat="false" ht="12.75" hidden="false" customHeight="false" outlineLevel="0" collapsed="false">
      <c r="A2443" s="0" t="s">
        <v>28</v>
      </c>
      <c r="B2443" s="0" t="n">
        <v>4</v>
      </c>
      <c r="C2443" s="0" t="n">
        <v>29453</v>
      </c>
    </row>
    <row r="2444" customFormat="false" ht="12.75" hidden="false" customHeight="false" outlineLevel="0" collapsed="false">
      <c r="A2444" s="0" t="s">
        <v>29</v>
      </c>
      <c r="B2444" s="0" t="n">
        <v>4</v>
      </c>
      <c r="C2444" s="0" t="n">
        <v>29530</v>
      </c>
    </row>
    <row r="2445" customFormat="false" ht="12.75" hidden="false" customHeight="false" outlineLevel="0" collapsed="false">
      <c r="A2445" s="0" t="s">
        <v>30</v>
      </c>
      <c r="B2445" s="0" t="n">
        <v>6</v>
      </c>
      <c r="C2445" s="0" t="n">
        <v>29535</v>
      </c>
    </row>
    <row r="2446" customFormat="false" ht="12.75" hidden="false" customHeight="false" outlineLevel="0" collapsed="false">
      <c r="A2446" s="0" t="s">
        <v>31</v>
      </c>
      <c r="B2446" s="0" t="n">
        <v>98</v>
      </c>
      <c r="C2446" s="0" t="n">
        <v>29442</v>
      </c>
    </row>
    <row r="2447" customFormat="false" ht="12.75" hidden="false" customHeight="false" outlineLevel="0" collapsed="false">
      <c r="A2447" s="0" t="s">
        <v>32</v>
      </c>
      <c r="B2447" s="0" t="n">
        <v>1</v>
      </c>
      <c r="C2447" s="0" t="n">
        <v>29459</v>
      </c>
    </row>
    <row r="2448" customFormat="false" ht="12.75" hidden="false" customHeight="false" outlineLevel="0" collapsed="false">
      <c r="A2448" s="0" t="s">
        <v>33</v>
      </c>
      <c r="B2448" s="0" t="n">
        <v>52</v>
      </c>
      <c r="C2448" s="0" t="n">
        <v>29436</v>
      </c>
    </row>
    <row r="2449" customFormat="false" ht="12.75" hidden="false" customHeight="false" outlineLevel="0" collapsed="false">
      <c r="A2449" s="0" t="s">
        <v>34</v>
      </c>
      <c r="B2449" s="0" t="n">
        <v>694</v>
      </c>
      <c r="C2449" s="0" t="n">
        <v>28852</v>
      </c>
    </row>
    <row r="2450" customFormat="false" ht="12.75" hidden="false" customHeight="false" outlineLevel="0" collapsed="false">
      <c r="A2450" s="0" t="s">
        <v>35</v>
      </c>
      <c r="B2450" s="0" t="n">
        <v>1</v>
      </c>
      <c r="C2450" s="0" t="n">
        <v>29106</v>
      </c>
    </row>
    <row r="2451" customFormat="false" ht="12.75" hidden="false" customHeight="false" outlineLevel="0" collapsed="false">
      <c r="A2451" s="0" t="s">
        <v>36</v>
      </c>
      <c r="B2451" s="3" t="n">
        <v>1687</v>
      </c>
      <c r="C2451" s="0" t="n">
        <v>27470</v>
      </c>
    </row>
    <row r="2452" customFormat="false" ht="12.75" hidden="false" customHeight="false" outlineLevel="0" collapsed="false">
      <c r="A2452" s="0" t="s">
        <v>37</v>
      </c>
      <c r="B2452" s="0" t="n">
        <v>14</v>
      </c>
      <c r="C2452" s="0" t="n">
        <v>27719</v>
      </c>
    </row>
    <row r="2453" customFormat="false" ht="12.75" hidden="false" customHeight="false" outlineLevel="0" collapsed="false">
      <c r="A2453" s="0" t="s">
        <v>38</v>
      </c>
      <c r="B2453" s="0" t="n">
        <v>5</v>
      </c>
      <c r="C2453" s="0" t="n">
        <v>27803</v>
      </c>
    </row>
    <row r="2454" customFormat="false" ht="12.75" hidden="false" customHeight="false" outlineLevel="0" collapsed="false">
      <c r="A2454" s="0" t="s">
        <v>39</v>
      </c>
      <c r="B2454" s="0" t="n">
        <v>845</v>
      </c>
      <c r="C2454" s="0" t="n">
        <v>26978</v>
      </c>
    </row>
    <row r="2455" customFormat="false" ht="12.75" hidden="false" customHeight="false" outlineLevel="0" collapsed="false">
      <c r="A2455" s="0" t="s">
        <v>40</v>
      </c>
      <c r="B2455" s="0" t="n">
        <v>4</v>
      </c>
      <c r="C2455" s="0" t="n">
        <v>27035</v>
      </c>
    </row>
    <row r="2456" customFormat="false" ht="12.75" hidden="false" customHeight="false" outlineLevel="0" collapsed="false">
      <c r="A2456" s="0" t="s">
        <v>41</v>
      </c>
      <c r="B2456" s="0" t="n">
        <v>74</v>
      </c>
      <c r="C2456" s="0" t="n">
        <v>26968</v>
      </c>
    </row>
    <row r="2457" customFormat="false" ht="12.75" hidden="false" customHeight="false" outlineLevel="0" collapsed="false">
      <c r="A2457" s="0" t="s">
        <v>42</v>
      </c>
      <c r="B2457" s="0" t="n">
        <v>1</v>
      </c>
      <c r="C2457" s="0" t="n">
        <v>26992</v>
      </c>
    </row>
    <row r="2458" customFormat="false" ht="12.75" hidden="false" customHeight="false" outlineLevel="0" collapsed="false">
      <c r="A2458" s="0" t="s">
        <v>43</v>
      </c>
      <c r="B2458" s="0" t="n">
        <v>106</v>
      </c>
      <c r="C2458" s="0" t="n">
        <v>26921</v>
      </c>
    </row>
    <row r="2459" customFormat="false" ht="12.75" hidden="false" customHeight="false" outlineLevel="0" collapsed="false">
      <c r="A2459" s="0" t="s">
        <v>44</v>
      </c>
      <c r="B2459" s="0" t="s">
        <v>156</v>
      </c>
      <c r="C2459" s="0" t="n">
        <v>26963</v>
      </c>
    </row>
    <row r="2460" customFormat="false" ht="12.75" hidden="false" customHeight="false" outlineLevel="0" collapsed="false">
      <c r="A2460" s="0" t="s">
        <v>45</v>
      </c>
      <c r="B2460" s="0" t="n">
        <v>2</v>
      </c>
      <c r="C2460" s="0" t="n">
        <v>27044</v>
      </c>
    </row>
    <row r="2461" customFormat="false" ht="12.75" hidden="false" customHeight="false" outlineLevel="0" collapsed="false">
      <c r="A2461" s="0" t="s">
        <v>46</v>
      </c>
      <c r="B2461" s="0" t="n">
        <v>1</v>
      </c>
      <c r="C2461" s="0" t="n">
        <v>27054</v>
      </c>
    </row>
    <row r="2462" customFormat="false" ht="12.75" hidden="false" customHeight="false" outlineLevel="0" collapsed="false">
      <c r="A2462" s="0" t="s">
        <v>47</v>
      </c>
      <c r="B2462" s="3" t="n">
        <v>1102</v>
      </c>
      <c r="C2462" s="0" t="n">
        <v>25955</v>
      </c>
    </row>
    <row r="2463" customFormat="false" ht="12.75" hidden="false" customHeight="false" outlineLevel="0" collapsed="false">
      <c r="A2463" s="0" t="s">
        <v>48</v>
      </c>
      <c r="B2463" s="0" t="n">
        <v>5</v>
      </c>
      <c r="C2463" s="0" t="n">
        <v>26003</v>
      </c>
    </row>
    <row r="2464" customFormat="false" ht="12.75" hidden="false" customHeight="false" outlineLevel="0" collapsed="false">
      <c r="A2464" s="0" t="s">
        <v>50</v>
      </c>
      <c r="B2464" s="0" t="n">
        <v>8</v>
      </c>
      <c r="C2464" s="0" t="n">
        <v>26043</v>
      </c>
    </row>
    <row r="2465" customFormat="false" ht="12.75" hidden="false" customHeight="false" outlineLevel="0" collapsed="false">
      <c r="A2465" s="0" t="s">
        <v>51</v>
      </c>
      <c r="B2465" s="0" t="n">
        <v>2</v>
      </c>
      <c r="C2465" s="0" t="n">
        <v>26071</v>
      </c>
    </row>
    <row r="2466" customFormat="false" ht="12.75" hidden="false" customHeight="false" outlineLevel="0" collapsed="false">
      <c r="A2466" s="0" t="s">
        <v>166</v>
      </c>
      <c r="B2466" s="3" t="n">
        <v>14023</v>
      </c>
      <c r="C2466" s="0" t="n">
        <v>12058</v>
      </c>
    </row>
    <row r="2467" customFormat="false" ht="12.75" hidden="false" customHeight="false" outlineLevel="0" collapsed="false">
      <c r="A2467" s="0" t="s">
        <v>1</v>
      </c>
      <c r="B2467" s="0" t="n">
        <v>4</v>
      </c>
      <c r="C2467" s="0" t="n">
        <v>13777</v>
      </c>
    </row>
    <row r="2468" customFormat="false" ht="12.75" hidden="false" customHeight="false" outlineLevel="0" collapsed="false">
      <c r="A2468" s="0" t="s">
        <v>2</v>
      </c>
      <c r="B2468" s="0" t="n">
        <v>9</v>
      </c>
      <c r="C2468" s="0" t="n">
        <v>13770</v>
      </c>
    </row>
    <row r="2469" customFormat="false" ht="12.75" hidden="false" customHeight="false" outlineLevel="0" collapsed="false">
      <c r="A2469" s="0" t="s">
        <v>3</v>
      </c>
      <c r="B2469" s="0" t="n">
        <v>47</v>
      </c>
      <c r="C2469" s="0" t="n">
        <v>13728</v>
      </c>
    </row>
    <row r="2470" customFormat="false" ht="12.75" hidden="false" customHeight="false" outlineLevel="0" collapsed="false">
      <c r="A2470" s="0" t="s">
        <v>4</v>
      </c>
      <c r="B2470" s="0" t="n">
        <v>53</v>
      </c>
      <c r="C2470" s="0" t="n">
        <v>13731</v>
      </c>
    </row>
    <row r="2471" customFormat="false" ht="12.75" hidden="false" customHeight="false" outlineLevel="0" collapsed="false">
      <c r="A2471" s="0" t="s">
        <v>5</v>
      </c>
      <c r="B2471" s="0" t="n">
        <v>59</v>
      </c>
      <c r="C2471" s="0" t="n">
        <v>13691</v>
      </c>
    </row>
    <row r="2472" customFormat="false" ht="12.75" hidden="false" customHeight="false" outlineLevel="0" collapsed="false">
      <c r="A2472" s="0" t="s">
        <v>6</v>
      </c>
      <c r="B2472" s="0" t="n">
        <v>56</v>
      </c>
      <c r="C2472" s="0" t="n">
        <v>13695</v>
      </c>
    </row>
    <row r="2473" customFormat="false" ht="12.75" hidden="false" customHeight="false" outlineLevel="0" collapsed="false">
      <c r="A2473" s="0" t="s">
        <v>7</v>
      </c>
      <c r="B2473" s="0" t="n">
        <v>39</v>
      </c>
      <c r="C2473" s="0" t="n">
        <v>14359</v>
      </c>
    </row>
    <row r="2474" customFormat="false" ht="12.75" hidden="false" customHeight="false" outlineLevel="0" collapsed="false">
      <c r="A2474" s="0" t="s">
        <v>8</v>
      </c>
      <c r="B2474" s="0" t="n">
        <v>3</v>
      </c>
      <c r="C2474" s="0" t="n">
        <v>14360</v>
      </c>
    </row>
    <row r="2475" customFormat="false" ht="12.75" hidden="false" customHeight="false" outlineLevel="0" collapsed="false">
      <c r="A2475" s="0" t="s">
        <v>9</v>
      </c>
      <c r="B2475" s="0" t="n">
        <v>4</v>
      </c>
      <c r="C2475" s="0" t="n">
        <v>14356</v>
      </c>
    </row>
    <row r="2476" customFormat="false" ht="12.75" hidden="false" customHeight="false" outlineLevel="0" collapsed="false">
      <c r="A2476" s="0" t="s">
        <v>10</v>
      </c>
      <c r="B2476" s="0" t="n">
        <v>194</v>
      </c>
      <c r="C2476" s="0" t="n">
        <v>14163</v>
      </c>
    </row>
    <row r="2477" customFormat="false" ht="12.75" hidden="false" customHeight="false" outlineLevel="0" collapsed="false">
      <c r="A2477" s="0" t="s">
        <v>11</v>
      </c>
      <c r="B2477" s="0" t="n">
        <v>23</v>
      </c>
      <c r="C2477" s="0" t="n">
        <v>14154</v>
      </c>
    </row>
    <row r="2478" customFormat="false" ht="12.75" hidden="false" customHeight="false" outlineLevel="0" collapsed="false">
      <c r="A2478" s="0" t="s">
        <v>12</v>
      </c>
      <c r="B2478" s="0" t="n">
        <v>3</v>
      </c>
      <c r="C2478" s="0" t="n">
        <v>14160</v>
      </c>
    </row>
    <row r="2479" customFormat="false" ht="12.75" hidden="false" customHeight="false" outlineLevel="0" collapsed="false">
      <c r="A2479" s="0" t="s">
        <v>13</v>
      </c>
      <c r="B2479" s="0" t="n">
        <v>14</v>
      </c>
      <c r="C2479" s="0" t="n">
        <v>14146</v>
      </c>
    </row>
    <row r="2480" customFormat="false" ht="12.75" hidden="false" customHeight="false" outlineLevel="0" collapsed="false">
      <c r="A2480" s="0" t="s">
        <v>14</v>
      </c>
      <c r="B2480" s="3" t="n">
        <v>4892</v>
      </c>
      <c r="C2480" s="0" t="n">
        <v>9418</v>
      </c>
    </row>
    <row r="2481" customFormat="false" ht="12.75" hidden="false" customHeight="false" outlineLevel="0" collapsed="false">
      <c r="A2481" s="0" t="s">
        <v>15</v>
      </c>
      <c r="B2481" s="0" t="n">
        <v>267</v>
      </c>
      <c r="C2481" s="0" t="n">
        <v>9184</v>
      </c>
    </row>
    <row r="2482" customFormat="false" ht="12.75" hidden="false" customHeight="false" outlineLevel="0" collapsed="false">
      <c r="A2482" s="0" t="s">
        <v>16</v>
      </c>
      <c r="B2482" s="0" t="n">
        <v>703</v>
      </c>
      <c r="C2482" s="0" t="n">
        <v>8503</v>
      </c>
    </row>
    <row r="2483" customFormat="false" ht="12.75" hidden="false" customHeight="false" outlineLevel="0" collapsed="false">
      <c r="A2483" s="0" t="s">
        <v>17</v>
      </c>
      <c r="B2483" s="0" t="n">
        <v>51</v>
      </c>
      <c r="C2483" s="0" t="n">
        <v>8470</v>
      </c>
    </row>
    <row r="2484" customFormat="false" ht="12.75" hidden="false" customHeight="false" outlineLevel="0" collapsed="false">
      <c r="A2484" s="0" t="s">
        <v>18</v>
      </c>
      <c r="B2484" s="0" t="n">
        <v>147</v>
      </c>
      <c r="C2484" s="0" t="n">
        <v>8368</v>
      </c>
    </row>
    <row r="2485" customFormat="false" ht="12.75" hidden="false" customHeight="false" outlineLevel="0" collapsed="false">
      <c r="A2485" s="0" t="s">
        <v>19</v>
      </c>
      <c r="B2485" s="0" t="n">
        <v>16</v>
      </c>
      <c r="C2485" s="0" t="n">
        <v>8361</v>
      </c>
    </row>
    <row r="2486" customFormat="false" ht="12.75" hidden="false" customHeight="false" outlineLevel="0" collapsed="false">
      <c r="A2486" s="0" t="s">
        <v>20</v>
      </c>
      <c r="B2486" s="0" t="n">
        <v>9</v>
      </c>
      <c r="C2486" s="0" t="n">
        <v>8372</v>
      </c>
    </row>
    <row r="2487" customFormat="false" ht="12.75" hidden="false" customHeight="false" outlineLevel="0" collapsed="false">
      <c r="A2487" s="0" t="s">
        <v>21</v>
      </c>
      <c r="B2487" s="0" t="n">
        <v>23</v>
      </c>
      <c r="C2487" s="0" t="n">
        <v>8350</v>
      </c>
    </row>
    <row r="2488" customFormat="false" ht="12.75" hidden="false" customHeight="false" outlineLevel="0" collapsed="false">
      <c r="A2488" s="0" t="s">
        <v>22</v>
      </c>
      <c r="B2488" s="0" t="n">
        <v>33</v>
      </c>
      <c r="C2488" s="0" t="n">
        <v>8324</v>
      </c>
    </row>
    <row r="2489" customFormat="false" ht="12.75" hidden="false" customHeight="false" outlineLevel="0" collapsed="false">
      <c r="A2489" s="0" t="s">
        <v>23</v>
      </c>
      <c r="B2489" s="0" t="n">
        <v>954</v>
      </c>
      <c r="C2489" s="0" t="n">
        <v>7373</v>
      </c>
    </row>
    <row r="2490" customFormat="false" ht="12.75" hidden="false" customHeight="false" outlineLevel="0" collapsed="false">
      <c r="A2490" s="0" t="s">
        <v>24</v>
      </c>
      <c r="B2490" s="3" t="n">
        <v>2911</v>
      </c>
      <c r="C2490" s="0" t="n">
        <v>4494</v>
      </c>
    </row>
    <row r="2491" customFormat="false" ht="12.75" hidden="false" customHeight="false" outlineLevel="0" collapsed="false">
      <c r="A2491" s="0" t="s">
        <v>25</v>
      </c>
      <c r="B2491" s="0" t="n">
        <v>14</v>
      </c>
      <c r="C2491" s="0" t="n">
        <v>4519</v>
      </c>
    </row>
    <row r="2492" customFormat="false" ht="12.75" hidden="false" customHeight="false" outlineLevel="0" collapsed="false">
      <c r="A2492" s="0" t="s">
        <v>26</v>
      </c>
      <c r="B2492" s="0" t="n">
        <v>181</v>
      </c>
      <c r="C2492" s="0" t="n">
        <v>4339</v>
      </c>
    </row>
    <row r="2493" customFormat="false" ht="12.75" hidden="false" customHeight="false" outlineLevel="0" collapsed="false">
      <c r="A2493" s="0" t="s">
        <v>27</v>
      </c>
      <c r="B2493" s="0" t="n">
        <v>9</v>
      </c>
      <c r="C2493" s="0" t="n">
        <v>4356</v>
      </c>
    </row>
    <row r="2494" customFormat="false" ht="12.75" hidden="false" customHeight="false" outlineLevel="0" collapsed="false">
      <c r="A2494" s="0" t="s">
        <v>28</v>
      </c>
      <c r="B2494" s="0" t="n">
        <v>81</v>
      </c>
      <c r="C2494" s="0" t="n">
        <v>4489</v>
      </c>
    </row>
    <row r="2495" customFormat="false" ht="12.75" hidden="false" customHeight="false" outlineLevel="0" collapsed="false">
      <c r="A2495" s="0" t="s">
        <v>29</v>
      </c>
      <c r="B2495" s="0" t="n">
        <v>11</v>
      </c>
      <c r="C2495" s="0" t="n">
        <v>4629</v>
      </c>
    </row>
    <row r="2496" customFormat="false" ht="12.75" hidden="false" customHeight="false" outlineLevel="0" collapsed="false">
      <c r="A2496" s="0" t="s">
        <v>30</v>
      </c>
      <c r="B2496" s="0" t="n">
        <v>5</v>
      </c>
      <c r="C2496" s="0" t="n">
        <v>4657</v>
      </c>
    </row>
    <row r="2497" customFormat="false" ht="12.75" hidden="false" customHeight="false" outlineLevel="0" collapsed="false">
      <c r="A2497" s="0" t="s">
        <v>31</v>
      </c>
      <c r="B2497" s="0" t="n">
        <v>18</v>
      </c>
      <c r="C2497" s="0" t="n">
        <v>4645</v>
      </c>
    </row>
    <row r="2498" customFormat="false" ht="12.75" hidden="false" customHeight="false" outlineLevel="0" collapsed="false">
      <c r="A2498" s="0" t="s">
        <v>32</v>
      </c>
      <c r="B2498" s="0" t="n">
        <v>29</v>
      </c>
      <c r="C2498" s="0" t="n">
        <v>4629</v>
      </c>
    </row>
    <row r="2499" customFormat="false" ht="12.75" hidden="false" customHeight="false" outlineLevel="0" collapsed="false">
      <c r="A2499" s="0" t="s">
        <v>33</v>
      </c>
      <c r="B2499" s="0" t="n">
        <v>110</v>
      </c>
      <c r="C2499" s="0" t="n">
        <v>4588</v>
      </c>
    </row>
    <row r="2500" customFormat="false" ht="12.75" hidden="false" customHeight="false" outlineLevel="0" collapsed="false">
      <c r="A2500" s="0" t="s">
        <v>34</v>
      </c>
      <c r="B2500" s="0" t="n">
        <v>255</v>
      </c>
      <c r="C2500" s="0" t="n">
        <v>4344</v>
      </c>
    </row>
    <row r="2501" customFormat="false" ht="12.75" hidden="false" customHeight="false" outlineLevel="0" collapsed="false">
      <c r="A2501" s="0" t="s">
        <v>35</v>
      </c>
      <c r="B2501" s="0" t="n">
        <v>51</v>
      </c>
      <c r="C2501" s="0" t="n">
        <v>4299</v>
      </c>
    </row>
    <row r="2502" customFormat="false" ht="12.75" hidden="false" customHeight="false" outlineLevel="0" collapsed="false">
      <c r="A2502" s="0" t="s">
        <v>36</v>
      </c>
      <c r="B2502" s="0" t="n">
        <v>263</v>
      </c>
      <c r="C2502" s="0" t="n">
        <v>4066</v>
      </c>
    </row>
    <row r="2503" customFormat="false" ht="12.75" hidden="false" customHeight="false" outlineLevel="0" collapsed="false">
      <c r="A2503" s="0" t="s">
        <v>37</v>
      </c>
      <c r="B2503" s="0" t="n">
        <v>89</v>
      </c>
      <c r="C2503" s="0" t="n">
        <v>4029</v>
      </c>
    </row>
    <row r="2504" customFormat="false" ht="12.75" hidden="false" customHeight="false" outlineLevel="0" collapsed="false">
      <c r="A2504" s="0" t="s">
        <v>38</v>
      </c>
      <c r="B2504" s="0" t="n">
        <v>20</v>
      </c>
      <c r="C2504" s="0" t="n">
        <v>4068</v>
      </c>
    </row>
    <row r="2505" customFormat="false" ht="12.75" hidden="false" customHeight="false" outlineLevel="0" collapsed="false">
      <c r="A2505" s="0" t="s">
        <v>39</v>
      </c>
      <c r="B2505" s="0" t="n">
        <v>61</v>
      </c>
      <c r="C2505" s="0" t="n">
        <v>4040</v>
      </c>
    </row>
    <row r="2506" customFormat="false" ht="12.75" hidden="false" customHeight="false" outlineLevel="0" collapsed="false">
      <c r="A2506" s="0" t="s">
        <v>40</v>
      </c>
      <c r="B2506" s="0" t="n">
        <v>7</v>
      </c>
      <c r="C2506" s="0" t="n">
        <v>4033</v>
      </c>
    </row>
    <row r="2507" customFormat="false" ht="12.75" hidden="false" customHeight="false" outlineLevel="0" collapsed="false">
      <c r="A2507" s="0" t="s">
        <v>41</v>
      </c>
      <c r="B2507" s="0" t="n">
        <v>25</v>
      </c>
      <c r="C2507" s="0" t="n">
        <v>4009</v>
      </c>
    </row>
    <row r="2508" customFormat="false" ht="12.75" hidden="false" customHeight="false" outlineLevel="0" collapsed="false">
      <c r="A2508" s="0" t="s">
        <v>42</v>
      </c>
      <c r="B2508" s="0" t="n">
        <v>35</v>
      </c>
      <c r="C2508" s="0" t="n">
        <v>3985</v>
      </c>
    </row>
    <row r="2509" customFormat="false" ht="12.75" hidden="false" customHeight="false" outlineLevel="0" collapsed="false">
      <c r="A2509" s="0" t="s">
        <v>43</v>
      </c>
      <c r="B2509" s="0" t="n">
        <v>42</v>
      </c>
      <c r="C2509" s="0" t="n">
        <v>4100</v>
      </c>
    </row>
    <row r="2510" customFormat="false" ht="12.75" hidden="false" customHeight="false" outlineLevel="0" collapsed="false">
      <c r="A2510" s="0" t="s">
        <v>44</v>
      </c>
      <c r="B2510" s="0" t="n">
        <v>83</v>
      </c>
      <c r="C2510" s="0" t="n">
        <v>4024</v>
      </c>
    </row>
    <row r="2511" customFormat="false" ht="12.75" hidden="false" customHeight="false" outlineLevel="0" collapsed="false">
      <c r="A2511" s="0" t="s">
        <v>45</v>
      </c>
      <c r="B2511" s="0" t="n">
        <v>11</v>
      </c>
      <c r="C2511" s="0" t="n">
        <v>4090</v>
      </c>
    </row>
    <row r="2512" customFormat="false" ht="12.75" hidden="false" customHeight="false" outlineLevel="0" collapsed="false">
      <c r="A2512" s="0" t="s">
        <v>46</v>
      </c>
      <c r="B2512" s="0" t="n">
        <v>3</v>
      </c>
      <c r="C2512" s="0" t="n">
        <v>4746</v>
      </c>
    </row>
    <row r="2513" customFormat="false" ht="12.75" hidden="false" customHeight="false" outlineLevel="0" collapsed="false">
      <c r="A2513" s="0" t="s">
        <v>47</v>
      </c>
      <c r="B2513" s="0" t="n">
        <v>53</v>
      </c>
      <c r="C2513" s="0" t="n">
        <v>4697</v>
      </c>
    </row>
    <row r="2514" customFormat="false" ht="12.75" hidden="false" customHeight="false" outlineLevel="0" collapsed="false">
      <c r="A2514" s="0" t="s">
        <v>48</v>
      </c>
      <c r="B2514" s="0" t="n">
        <v>48</v>
      </c>
      <c r="C2514" s="0" t="n">
        <v>4651</v>
      </c>
    </row>
    <row r="2515" customFormat="false" ht="12.75" hidden="false" customHeight="false" outlineLevel="0" collapsed="false">
      <c r="A2515" s="0" t="s">
        <v>49</v>
      </c>
      <c r="B2515" s="0" t="n">
        <v>30</v>
      </c>
      <c r="C2515" s="0" t="n">
        <v>4695</v>
      </c>
    </row>
    <row r="2516" customFormat="false" ht="12.75" hidden="false" customHeight="false" outlineLevel="0" collapsed="false">
      <c r="A2516" s="0" t="s">
        <v>51</v>
      </c>
      <c r="B2516" s="0" t="n">
        <v>10</v>
      </c>
      <c r="C2516" s="0" t="n">
        <v>4689</v>
      </c>
    </row>
    <row r="2517" customFormat="false" ht="12.75" hidden="false" customHeight="false" outlineLevel="0" collapsed="false">
      <c r="A2517" s="0" t="s">
        <v>167</v>
      </c>
      <c r="B2517" s="3" t="n">
        <v>1723</v>
      </c>
      <c r="C2517" s="0" t="n">
        <v>3002</v>
      </c>
    </row>
    <row r="2518" customFormat="false" ht="12.75" hidden="false" customHeight="false" outlineLevel="0" collapsed="false">
      <c r="A2518" s="0" t="s">
        <v>1</v>
      </c>
      <c r="B2518" s="0" t="n">
        <v>2</v>
      </c>
      <c r="C2518" s="0" t="n">
        <v>3000</v>
      </c>
    </row>
    <row r="2519" customFormat="false" ht="12.75" hidden="false" customHeight="false" outlineLevel="0" collapsed="false">
      <c r="A2519" s="0" t="s">
        <v>2</v>
      </c>
      <c r="B2519" s="0" t="n">
        <v>5</v>
      </c>
      <c r="C2519" s="0" t="n">
        <v>2995</v>
      </c>
    </row>
    <row r="2520" customFormat="false" ht="12.75" hidden="false" customHeight="false" outlineLevel="0" collapsed="false">
      <c r="A2520" s="0" t="s">
        <v>3</v>
      </c>
      <c r="B2520" s="0" t="n">
        <v>56</v>
      </c>
      <c r="C2520" s="0" t="n">
        <v>2939</v>
      </c>
    </row>
    <row r="2521" customFormat="false" ht="12.75" hidden="false" customHeight="false" outlineLevel="0" collapsed="false">
      <c r="A2521" s="0" t="s">
        <v>4</v>
      </c>
      <c r="B2521" s="0" t="n">
        <v>19</v>
      </c>
      <c r="C2521" s="0" t="n">
        <v>2920</v>
      </c>
    </row>
    <row r="2522" customFormat="false" ht="12.75" hidden="false" customHeight="false" outlineLevel="0" collapsed="false">
      <c r="A2522" s="0" t="s">
        <v>5</v>
      </c>
      <c r="B2522" s="0" t="n">
        <v>60</v>
      </c>
      <c r="C2522" s="0" t="n">
        <v>2860</v>
      </c>
    </row>
    <row r="2523" customFormat="false" ht="12.75" hidden="false" customHeight="false" outlineLevel="0" collapsed="false">
      <c r="A2523" s="0" t="s">
        <v>6</v>
      </c>
      <c r="B2523" s="0" t="n">
        <v>703</v>
      </c>
      <c r="C2523" s="0" t="n">
        <v>2157</v>
      </c>
    </row>
    <row r="2524" customFormat="false" ht="12.75" hidden="false" customHeight="false" outlineLevel="0" collapsed="false">
      <c r="A2524" s="0" t="s">
        <v>7</v>
      </c>
      <c r="B2524" s="0" t="n">
        <v>4</v>
      </c>
      <c r="C2524" s="0" t="n">
        <v>2153</v>
      </c>
    </row>
    <row r="2525" customFormat="false" ht="12.75" hidden="false" customHeight="false" outlineLevel="0" collapsed="false">
      <c r="A2525" s="0" t="s">
        <v>8</v>
      </c>
      <c r="B2525" s="0" t="s">
        <v>156</v>
      </c>
      <c r="C2525" s="0" t="n">
        <v>2153</v>
      </c>
    </row>
    <row r="2526" customFormat="false" ht="12.75" hidden="false" customHeight="false" outlineLevel="0" collapsed="false">
      <c r="A2526" s="0" t="s">
        <v>9</v>
      </c>
      <c r="B2526" s="0" t="n">
        <v>1</v>
      </c>
      <c r="C2526" s="0" t="n">
        <v>2152</v>
      </c>
    </row>
    <row r="2527" customFormat="false" ht="12.75" hidden="false" customHeight="false" outlineLevel="0" collapsed="false">
      <c r="A2527" s="0" t="s">
        <v>10</v>
      </c>
      <c r="B2527" s="0" t="n">
        <v>14</v>
      </c>
      <c r="C2527" s="0" t="n">
        <v>2138</v>
      </c>
    </row>
    <row r="2528" customFormat="false" ht="12.75" hidden="false" customHeight="false" outlineLevel="0" collapsed="false">
      <c r="A2528" s="0" t="s">
        <v>11</v>
      </c>
      <c r="B2528" s="0" t="n">
        <v>9</v>
      </c>
      <c r="C2528" s="0" t="n">
        <v>2129</v>
      </c>
    </row>
    <row r="2529" customFormat="false" ht="12.75" hidden="false" customHeight="false" outlineLevel="0" collapsed="false">
      <c r="A2529" s="0" t="s">
        <v>12</v>
      </c>
      <c r="B2529" s="0" t="s">
        <v>156</v>
      </c>
      <c r="C2529" s="0" t="n">
        <v>2129</v>
      </c>
    </row>
    <row r="2530" customFormat="false" ht="12.75" hidden="false" customHeight="false" outlineLevel="0" collapsed="false">
      <c r="A2530" s="0" t="s">
        <v>13</v>
      </c>
      <c r="B2530" s="0" t="n">
        <v>164</v>
      </c>
      <c r="C2530" s="0" t="n">
        <v>1965</v>
      </c>
    </row>
    <row r="2531" customFormat="false" ht="12.75" hidden="false" customHeight="false" outlineLevel="0" collapsed="false">
      <c r="A2531" s="0" t="s">
        <v>14</v>
      </c>
      <c r="B2531" s="0" t="n">
        <v>33</v>
      </c>
      <c r="C2531" s="0" t="n">
        <v>1932</v>
      </c>
    </row>
    <row r="2532" customFormat="false" ht="12.75" hidden="false" customHeight="false" outlineLevel="0" collapsed="false">
      <c r="A2532" s="0" t="s">
        <v>15</v>
      </c>
      <c r="B2532" s="0" t="n">
        <v>22</v>
      </c>
      <c r="C2532" s="0" t="n">
        <v>1910</v>
      </c>
    </row>
    <row r="2533" customFormat="false" ht="12.75" hidden="false" customHeight="false" outlineLevel="0" collapsed="false">
      <c r="A2533" s="0" t="s">
        <v>16</v>
      </c>
      <c r="B2533" s="0" t="n">
        <v>18</v>
      </c>
      <c r="C2533" s="0" t="n">
        <v>1892</v>
      </c>
    </row>
    <row r="2534" customFormat="false" ht="12.75" hidden="false" customHeight="false" outlineLevel="0" collapsed="false">
      <c r="A2534" s="0" t="s">
        <v>17</v>
      </c>
      <c r="B2534" s="0" t="n">
        <v>45</v>
      </c>
      <c r="C2534" s="0" t="n">
        <v>1847</v>
      </c>
    </row>
    <row r="2535" customFormat="false" ht="12.75" hidden="false" customHeight="false" outlineLevel="0" collapsed="false">
      <c r="A2535" s="0" t="s">
        <v>18</v>
      </c>
      <c r="B2535" s="0" t="n">
        <v>9</v>
      </c>
      <c r="C2535" s="0" t="n">
        <v>1838</v>
      </c>
    </row>
    <row r="2536" customFormat="false" ht="12.75" hidden="false" customHeight="false" outlineLevel="0" collapsed="false">
      <c r="A2536" s="0" t="s">
        <v>19</v>
      </c>
      <c r="B2536" s="0" t="n">
        <v>20</v>
      </c>
      <c r="C2536" s="0" t="n">
        <v>1818</v>
      </c>
    </row>
    <row r="2537" customFormat="false" ht="12.75" hidden="false" customHeight="false" outlineLevel="0" collapsed="false">
      <c r="A2537" s="0" t="s">
        <v>20</v>
      </c>
      <c r="B2537" s="0" t="n">
        <v>1</v>
      </c>
      <c r="C2537" s="0" t="n">
        <v>1817</v>
      </c>
    </row>
    <row r="2538" customFormat="false" ht="12.75" hidden="false" customHeight="false" outlineLevel="0" collapsed="false">
      <c r="A2538" s="0" t="s">
        <v>21</v>
      </c>
      <c r="B2538" s="0" t="n">
        <v>7</v>
      </c>
      <c r="C2538" s="0" t="n">
        <v>1810</v>
      </c>
    </row>
    <row r="2539" customFormat="false" ht="12.75" hidden="false" customHeight="false" outlineLevel="0" collapsed="false">
      <c r="A2539" s="0" t="s">
        <v>22</v>
      </c>
      <c r="B2539" s="0" t="n">
        <v>3</v>
      </c>
      <c r="C2539" s="0" t="n">
        <v>1807</v>
      </c>
    </row>
    <row r="2540" customFormat="false" ht="12.75" hidden="false" customHeight="false" outlineLevel="0" collapsed="false">
      <c r="A2540" s="0" t="s">
        <v>23</v>
      </c>
      <c r="B2540" s="0" t="n">
        <v>32</v>
      </c>
      <c r="C2540" s="0" t="n">
        <v>1775</v>
      </c>
    </row>
    <row r="2541" customFormat="false" ht="12.75" hidden="false" customHeight="false" outlineLevel="0" collapsed="false">
      <c r="A2541" s="0" t="s">
        <v>24</v>
      </c>
      <c r="B2541" s="0" t="n">
        <v>39</v>
      </c>
      <c r="C2541" s="0" t="n">
        <v>1736</v>
      </c>
    </row>
    <row r="2542" customFormat="false" ht="12.75" hidden="false" customHeight="false" outlineLevel="0" collapsed="false">
      <c r="A2542" s="0" t="s">
        <v>25</v>
      </c>
      <c r="B2542" s="0" t="n">
        <v>1</v>
      </c>
      <c r="C2542" s="0" t="n">
        <v>1735</v>
      </c>
    </row>
    <row r="2543" customFormat="false" ht="12.75" hidden="false" customHeight="false" outlineLevel="0" collapsed="false">
      <c r="A2543" s="0" t="s">
        <v>26</v>
      </c>
      <c r="B2543" s="0" t="n">
        <v>26</v>
      </c>
      <c r="C2543" s="0" t="n">
        <v>1709</v>
      </c>
    </row>
    <row r="2544" customFormat="false" ht="12.75" hidden="false" customHeight="false" outlineLevel="0" collapsed="false">
      <c r="A2544" s="0" t="s">
        <v>27</v>
      </c>
      <c r="B2544" s="0" t="n">
        <v>214</v>
      </c>
      <c r="C2544" s="0" t="n">
        <v>1495</v>
      </c>
    </row>
    <row r="2545" customFormat="false" ht="12.75" hidden="false" customHeight="false" outlineLevel="0" collapsed="false">
      <c r="A2545" s="0" t="s">
        <v>28</v>
      </c>
      <c r="B2545" s="0" t="n">
        <v>151</v>
      </c>
      <c r="C2545" s="0" t="n">
        <v>1344</v>
      </c>
    </row>
    <row r="2546" customFormat="false" ht="12.75" hidden="false" customHeight="false" outlineLevel="0" collapsed="false">
      <c r="A2546" s="0" t="s">
        <v>29</v>
      </c>
      <c r="B2546" s="0" t="n">
        <v>33</v>
      </c>
      <c r="C2546" s="0" t="n">
        <v>1311</v>
      </c>
    </row>
    <row r="2547" customFormat="false" ht="12.75" hidden="false" customHeight="false" outlineLevel="0" collapsed="false">
      <c r="A2547" s="0" t="s">
        <v>30</v>
      </c>
      <c r="B2547" s="0" t="n">
        <v>6</v>
      </c>
      <c r="C2547" s="0" t="n">
        <v>1305</v>
      </c>
    </row>
    <row r="2548" customFormat="false" ht="12.75" hidden="false" customHeight="false" outlineLevel="0" collapsed="false">
      <c r="A2548" s="0" t="s">
        <v>31</v>
      </c>
      <c r="B2548" s="0" t="n">
        <v>13</v>
      </c>
      <c r="C2548" s="0" t="n">
        <v>1292</v>
      </c>
    </row>
    <row r="2549" customFormat="false" ht="12.75" hidden="false" customHeight="false" outlineLevel="0" collapsed="false">
      <c r="A2549" s="0" t="s">
        <v>32</v>
      </c>
      <c r="B2549" s="0" t="n">
        <v>69</v>
      </c>
      <c r="C2549" s="0" t="n">
        <v>1223</v>
      </c>
    </row>
    <row r="2550" customFormat="false" ht="12.75" hidden="false" customHeight="false" outlineLevel="0" collapsed="false">
      <c r="A2550" s="0" t="s">
        <v>33</v>
      </c>
      <c r="B2550" s="0" t="n">
        <v>11</v>
      </c>
      <c r="C2550" s="0" t="n">
        <v>1212</v>
      </c>
    </row>
    <row r="2551" customFormat="false" ht="12.75" hidden="false" customHeight="false" outlineLevel="0" collapsed="false">
      <c r="A2551" s="0" t="s">
        <v>34</v>
      </c>
      <c r="B2551" s="0" t="n">
        <v>6</v>
      </c>
      <c r="C2551" s="0" t="n">
        <v>1206</v>
      </c>
    </row>
    <row r="2552" customFormat="false" ht="12.75" hidden="false" customHeight="false" outlineLevel="0" collapsed="false">
      <c r="A2552" s="0" t="s">
        <v>35</v>
      </c>
      <c r="B2552" s="0" t="n">
        <v>30</v>
      </c>
      <c r="C2552" s="0" t="n">
        <v>1176</v>
      </c>
    </row>
    <row r="2553" customFormat="false" ht="12.75" hidden="false" customHeight="false" outlineLevel="0" collapsed="false">
      <c r="A2553" s="0" t="s">
        <v>36</v>
      </c>
      <c r="B2553" s="0" t="n">
        <v>52</v>
      </c>
      <c r="C2553" s="0" t="n">
        <v>1124</v>
      </c>
    </row>
    <row r="2554" customFormat="false" ht="12.75" hidden="false" customHeight="false" outlineLevel="0" collapsed="false">
      <c r="A2554" s="0" t="s">
        <v>37</v>
      </c>
      <c r="B2554" s="0" t="n">
        <v>59</v>
      </c>
      <c r="C2554" s="0" t="n">
        <v>1065</v>
      </c>
    </row>
    <row r="2555" customFormat="false" ht="12.75" hidden="false" customHeight="false" outlineLevel="0" collapsed="false">
      <c r="A2555" s="0" t="s">
        <v>38</v>
      </c>
      <c r="B2555" s="0" t="n">
        <v>33</v>
      </c>
      <c r="C2555" s="0" t="n">
        <v>1032</v>
      </c>
    </row>
    <row r="2556" customFormat="false" ht="12.75" hidden="false" customHeight="false" outlineLevel="0" collapsed="false">
      <c r="A2556" s="0" t="s">
        <v>39</v>
      </c>
      <c r="B2556" s="0" t="s">
        <v>156</v>
      </c>
    </row>
    <row r="2557" customFormat="false" ht="12.75" hidden="false" customHeight="false" outlineLevel="0" collapsed="false">
      <c r="A2557" s="0" t="s">
        <v>40</v>
      </c>
      <c r="B2557" s="0" t="n">
        <v>1</v>
      </c>
    </row>
    <row r="2558" customFormat="false" ht="12.75" hidden="false" customHeight="false" outlineLevel="0" collapsed="false">
      <c r="A2558" s="0" t="s">
        <v>41</v>
      </c>
      <c r="B2558" s="0" t="n">
        <v>11</v>
      </c>
    </row>
    <row r="2559" customFormat="false" ht="12.75" hidden="false" customHeight="false" outlineLevel="0" collapsed="false">
      <c r="A2559" s="0" t="s">
        <v>42</v>
      </c>
      <c r="B2559" s="0" t="n">
        <v>157</v>
      </c>
    </row>
    <row r="2560" customFormat="false" ht="12.75" hidden="false" customHeight="false" outlineLevel="0" collapsed="false">
      <c r="A2560" s="0" t="s">
        <v>43</v>
      </c>
      <c r="B2560" s="0" t="n">
        <v>7</v>
      </c>
    </row>
    <row r="2561" customFormat="false" ht="12.75" hidden="false" customHeight="false" outlineLevel="0" collapsed="false">
      <c r="A2561" s="0" t="s">
        <v>44</v>
      </c>
      <c r="B2561" s="0" t="n">
        <v>77</v>
      </c>
    </row>
    <row r="2562" customFormat="false" ht="12.75" hidden="false" customHeight="false" outlineLevel="0" collapsed="false">
      <c r="A2562" s="0" t="s">
        <v>45</v>
      </c>
      <c r="B2562" s="0" t="n">
        <v>659</v>
      </c>
    </row>
    <row r="2563" customFormat="false" ht="12.75" hidden="false" customHeight="false" outlineLevel="0" collapsed="false">
      <c r="A2563" s="0" t="s">
        <v>46</v>
      </c>
      <c r="B2563" s="0" t="n">
        <v>4</v>
      </c>
    </row>
    <row r="2564" customFormat="false" ht="12.75" hidden="false" customHeight="false" outlineLevel="0" collapsed="false">
      <c r="A2564" s="0" t="s">
        <v>47</v>
      </c>
      <c r="B2564" s="0" t="n">
        <v>2</v>
      </c>
    </row>
    <row r="2565" customFormat="false" ht="12.75" hidden="false" customHeight="false" outlineLevel="0" collapsed="false">
      <c r="A2565" s="0" t="s">
        <v>48</v>
      </c>
      <c r="B2565" s="0" t="n">
        <v>74</v>
      </c>
    </row>
    <row r="2566" customFormat="false" ht="12.75" hidden="false" customHeight="false" outlineLevel="0" collapsed="false">
      <c r="A2566" s="0" t="s">
        <v>49</v>
      </c>
      <c r="B2566" s="0" t="n">
        <v>4</v>
      </c>
    </row>
    <row r="2567" customFormat="false" ht="12.75" hidden="false" customHeight="false" outlineLevel="0" collapsed="false">
      <c r="A2567" s="0" t="s">
        <v>50</v>
      </c>
      <c r="B2567" s="0" t="n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890" ySplit="0" topLeftCell="AW1" activePane="topRight" state="split"/>
      <selection pane="topLeft" activeCell="A1" activeCellId="0" sqref="A1"/>
      <selection pane="topRight" activeCell="BC3" activeCellId="0" sqref="BC3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M1" s="0" t="s">
        <v>37</v>
      </c>
      <c r="AN1" s="0" t="s">
        <v>38</v>
      </c>
      <c r="AO1" s="0" t="s">
        <v>39</v>
      </c>
      <c r="AP1" s="0" t="s">
        <v>40</v>
      </c>
      <c r="AQ1" s="0" t="s">
        <v>41</v>
      </c>
      <c r="AR1" s="0" t="s">
        <v>42</v>
      </c>
      <c r="AS1" s="0" t="s">
        <v>43</v>
      </c>
      <c r="AT1" s="0" t="s">
        <v>44</v>
      </c>
      <c r="AU1" s="0" t="s">
        <v>45</v>
      </c>
      <c r="AV1" s="0" t="s">
        <v>46</v>
      </c>
      <c r="AW1" s="0" t="s">
        <v>47</v>
      </c>
      <c r="AX1" s="0" t="s">
        <v>48</v>
      </c>
      <c r="AY1" s="0" t="s">
        <v>49</v>
      </c>
      <c r="AZ1" s="0" t="s">
        <v>50</v>
      </c>
      <c r="BA1" s="0" t="s">
        <v>51</v>
      </c>
    </row>
    <row r="2" customFormat="false" ht="12.75" hidden="false" customHeight="false" outlineLevel="0" collapsed="false">
      <c r="B2" s="0" t="s">
        <v>52</v>
      </c>
      <c r="C2" s="0" t="n">
        <v>0</v>
      </c>
      <c r="D2" s="0" t="n">
        <v>0.0628874080123128</v>
      </c>
      <c r="E2" s="0" t="n">
        <v>0</v>
      </c>
      <c r="F2" s="0" t="n">
        <v>0</v>
      </c>
      <c r="G2" s="0" t="n">
        <v>0.0211415213324095</v>
      </c>
      <c r="H2" s="0" t="n">
        <v>0.00295777769394722</v>
      </c>
      <c r="I2" s="0" t="n">
        <v>0.000259885785260088</v>
      </c>
      <c r="J2" s="0" t="n">
        <v>0.252590047672857</v>
      </c>
      <c r="K2" s="0" t="n">
        <v>0</v>
      </c>
      <c r="L2" s="0" t="n">
        <v>0.0778335546482334</v>
      </c>
      <c r="M2" s="0" t="n">
        <v>0.0041858290740556</v>
      </c>
      <c r="N2" s="0" t="n">
        <v>0</v>
      </c>
      <c r="O2" s="0" t="n">
        <v>0.00107334901207605</v>
      </c>
      <c r="P2" s="0" t="n">
        <v>0</v>
      </c>
      <c r="Q2" s="0" t="n">
        <v>0.0925020274991467</v>
      </c>
      <c r="R2" s="0" t="n">
        <v>0.0425729531743058</v>
      </c>
      <c r="S2" s="0" t="n">
        <v>0.0645640225441334</v>
      </c>
      <c r="T2" s="0" t="n">
        <v>0.00845328299918051</v>
      </c>
      <c r="U2" s="0" t="n">
        <v>0.0293839643250748</v>
      </c>
      <c r="V2" s="0" t="n">
        <v>0.105088318367691</v>
      </c>
      <c r="W2" s="0" t="n">
        <v>0.0702579161473665</v>
      </c>
      <c r="X2" s="0" t="n">
        <v>0.103944816167345</v>
      </c>
      <c r="Y2" s="0" t="n">
        <v>0.00738787711371125</v>
      </c>
      <c r="Z2" s="0" t="n">
        <v>0</v>
      </c>
      <c r="AA2" s="0" t="n">
        <v>0</v>
      </c>
      <c r="AB2" s="0" t="n">
        <v>0.000759685797103275</v>
      </c>
      <c r="AC2" s="0" t="n">
        <v>0</v>
      </c>
      <c r="AD2" s="0" t="n">
        <v>0.00199508308555689</v>
      </c>
      <c r="AE2" s="0" t="n">
        <v>0</v>
      </c>
      <c r="AF2" s="0" t="n">
        <v>0.117777368981519</v>
      </c>
      <c r="AG2" s="0" t="n">
        <v>0.273303356469306</v>
      </c>
      <c r="AH2" s="0" t="n">
        <v>0</v>
      </c>
      <c r="AI2" s="0" t="n">
        <v>0.331822037089797</v>
      </c>
      <c r="AJ2" s="0" t="n">
        <v>0.000738443042039357</v>
      </c>
      <c r="AK2" s="0" t="n">
        <v>0</v>
      </c>
      <c r="AL2" s="0" t="n">
        <v>0.0328757643019831</v>
      </c>
      <c r="AM2" s="0" t="n">
        <v>0.0759782565467173</v>
      </c>
      <c r="AN2" s="0" t="n">
        <v>0.00529904028492617</v>
      </c>
      <c r="AO2" s="0" t="n">
        <v>0.116977230877519</v>
      </c>
      <c r="AP2" s="0" t="n">
        <v>0.0373661178404778</v>
      </c>
      <c r="AQ2" s="0" t="n">
        <v>0</v>
      </c>
      <c r="AR2" s="0" t="n">
        <v>0</v>
      </c>
      <c r="AS2" s="0" t="n">
        <v>5.80051647196015E-005</v>
      </c>
      <c r="AT2" s="0" t="n">
        <v>0.0247474685546935</v>
      </c>
      <c r="AU2" s="0" t="n">
        <v>0.000622986197117817</v>
      </c>
      <c r="AV2" s="0" t="n">
        <v>0</v>
      </c>
      <c r="AW2" s="0" t="n">
        <v>0.0465283677535952</v>
      </c>
      <c r="AX2" s="0" t="n">
        <v>0.0414276298865866</v>
      </c>
      <c r="AY2" s="0" t="n">
        <v>0.0657245663242686</v>
      </c>
      <c r="AZ2" s="0" t="n">
        <v>1.13332512302244E-005</v>
      </c>
      <c r="BA2" s="0" t="n">
        <v>0</v>
      </c>
    </row>
    <row r="3" customFormat="false" ht="12.75" hidden="false" customHeight="false" outlineLevel="0" collapsed="false">
      <c r="A3" s="0" t="s">
        <v>0</v>
      </c>
      <c r="B3" s="0" t="s">
        <v>52</v>
      </c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 t="s">
        <v>6</v>
      </c>
      <c r="I3" s="0" t="s">
        <v>7</v>
      </c>
      <c r="J3" s="0" t="s">
        <v>8</v>
      </c>
      <c r="K3" s="0" t="s">
        <v>9</v>
      </c>
      <c r="L3" s="0" t="s">
        <v>10</v>
      </c>
      <c r="M3" s="0" t="s">
        <v>11</v>
      </c>
      <c r="N3" s="0" t="s">
        <v>12</v>
      </c>
      <c r="O3" s="0" t="s">
        <v>13</v>
      </c>
      <c r="P3" s="0" t="s">
        <v>14</v>
      </c>
      <c r="Q3" s="0" t="s">
        <v>15</v>
      </c>
      <c r="R3" s="0" t="s">
        <v>16</v>
      </c>
      <c r="S3" s="0" t="s">
        <v>17</v>
      </c>
      <c r="T3" s="0" t="s">
        <v>18</v>
      </c>
      <c r="U3" s="0" t="s">
        <v>19</v>
      </c>
      <c r="V3" s="0" t="s">
        <v>20</v>
      </c>
      <c r="W3" s="0" t="s">
        <v>21</v>
      </c>
      <c r="X3" s="0" t="s">
        <v>22</v>
      </c>
      <c r="Y3" s="0" t="s">
        <v>23</v>
      </c>
      <c r="Z3" s="0" t="s">
        <v>24</v>
      </c>
      <c r="AA3" s="0" t="s">
        <v>25</v>
      </c>
      <c r="AB3" s="0" t="s">
        <v>26</v>
      </c>
      <c r="AC3" s="0" t="s">
        <v>27</v>
      </c>
      <c r="AD3" s="0" t="s">
        <v>28</v>
      </c>
      <c r="AE3" s="0" t="s">
        <v>29</v>
      </c>
      <c r="AF3" s="0" t="s">
        <v>30</v>
      </c>
      <c r="AG3" s="0" t="s">
        <v>31</v>
      </c>
      <c r="AH3" s="0" t="s">
        <v>32</v>
      </c>
      <c r="AI3" s="0" t="s">
        <v>33</v>
      </c>
      <c r="AJ3" s="0" t="s">
        <v>34</v>
      </c>
      <c r="AK3" s="0" t="s">
        <v>35</v>
      </c>
      <c r="AL3" s="0" t="s">
        <v>36</v>
      </c>
      <c r="AM3" s="0" t="s">
        <v>37</v>
      </c>
      <c r="AN3" s="0" t="s">
        <v>38</v>
      </c>
      <c r="AO3" s="0" t="s">
        <v>39</v>
      </c>
      <c r="AP3" s="0" t="s">
        <v>40</v>
      </c>
      <c r="AQ3" s="0" t="s">
        <v>41</v>
      </c>
      <c r="AR3" s="0" t="s">
        <v>42</v>
      </c>
      <c r="AS3" s="0" t="s">
        <v>43</v>
      </c>
      <c r="AT3" s="0" t="s">
        <v>44</v>
      </c>
      <c r="AU3" s="0" t="s">
        <v>45</v>
      </c>
      <c r="AV3" s="0" t="s">
        <v>46</v>
      </c>
      <c r="AW3" s="0" t="s">
        <v>47</v>
      </c>
      <c r="AX3" s="0" t="s">
        <v>48</v>
      </c>
      <c r="AY3" s="0" t="s">
        <v>49</v>
      </c>
      <c r="AZ3" s="0" t="s">
        <v>50</v>
      </c>
      <c r="BA3" s="0" t="s">
        <v>51</v>
      </c>
      <c r="BB3" s="0" t="s">
        <v>57</v>
      </c>
      <c r="BC3" s="0" t="s">
        <v>58</v>
      </c>
    </row>
    <row r="4" customFormat="false" ht="12.75" hidden="false" customHeight="false" outlineLevel="0" collapsed="false">
      <c r="A4" s="0" t="s">
        <v>1</v>
      </c>
      <c r="B4" s="1" t="n">
        <v>0</v>
      </c>
      <c r="C4" s="1" t="n">
        <f aca="false">C$2*TripTable!B2</f>
        <v>0</v>
      </c>
      <c r="D4" s="1" t="n">
        <f aca="false">D$2*TripTable!C2</f>
        <v>0.565986672110815</v>
      </c>
      <c r="E4" s="1" t="n">
        <f aca="false">E$2*TripTable!D2</f>
        <v>0</v>
      </c>
      <c r="F4" s="1" t="n">
        <f aca="false">F$2*TripTable!E2</f>
        <v>0</v>
      </c>
      <c r="G4" s="1" t="n">
        <f aca="false">G$2*TripTable!F2</f>
        <v>3.21351124252625</v>
      </c>
      <c r="H4" s="1" t="n">
        <f aca="false">H$2*TripTable!G2</f>
        <v>0.147888884697361</v>
      </c>
      <c r="I4" s="1" t="n">
        <f aca="false">I$2*TripTable!H2</f>
        <v>0.00259885785260088</v>
      </c>
      <c r="J4" s="1" t="n">
        <f aca="false">J$2*TripTable!I2</f>
        <v>1.26295023836428</v>
      </c>
      <c r="K4" s="1" t="n">
        <f aca="false">K$2*TripTable!J2</f>
        <v>0</v>
      </c>
      <c r="L4" s="1" t="n">
        <f aca="false">L$2*TripTable!K2</f>
        <v>150.530094689683</v>
      </c>
      <c r="M4" s="1" t="n">
        <f aca="false">M$2*TripTable!L2</f>
        <v>10.6278200190272</v>
      </c>
      <c r="N4" s="1" t="n">
        <f aca="false">N$2*TripTable!M2</f>
        <v>0</v>
      </c>
      <c r="O4" s="1" t="n">
        <f aca="false">O$2*TripTable!N2</f>
        <v>0.0021466980241521</v>
      </c>
      <c r="P4" s="1" t="n">
        <f aca="false">P$2*TripTable!O2</f>
        <v>0</v>
      </c>
      <c r="Q4" s="1" t="n">
        <f aca="false">Q$2*TripTable!P2</f>
        <v>7.03015408993515</v>
      </c>
      <c r="R4" s="1" t="n">
        <f aca="false">R$2*TripTable!Q2</f>
        <v>1.4900533611007</v>
      </c>
      <c r="S4" s="1" t="n">
        <f aca="false">S$2*TripTable!R2</f>
        <v>1.09758838325027</v>
      </c>
      <c r="T4" s="1" t="n">
        <f aca="false">T$2*TripTable!S2</f>
        <v>0.904501280912315</v>
      </c>
      <c r="U4" s="1" t="n">
        <f aca="false">U$2*TripTable!T2</f>
        <v>14.9858218057882</v>
      </c>
      <c r="V4" s="1" t="n">
        <f aca="false">V$2*TripTable!U2</f>
        <v>0.315264955103073</v>
      </c>
      <c r="W4" s="1" t="n">
        <f aca="false">W$2*TripTable!V2</f>
        <v>2.24825331671573</v>
      </c>
      <c r="X4" s="1" t="n">
        <f aca="false">X$2*TripTable!W2</f>
        <v>7.17219231554679</v>
      </c>
      <c r="Y4" s="1" t="n">
        <f aca="false">Y$2*TripTable!X2</f>
        <v>0.41372111836783</v>
      </c>
      <c r="Z4" s="1" t="n">
        <f aca="false">Z$2*TripTable!Y2</f>
        <v>0</v>
      </c>
      <c r="AA4" s="1" t="n">
        <f aca="false">AA$2*TripTable!Z2</f>
        <v>0</v>
      </c>
      <c r="AB4" s="1" t="n">
        <f aca="false">AB$2*TripTable!AA2</f>
        <v>0.149658102029345</v>
      </c>
      <c r="AC4" s="1" t="n">
        <f aca="false">AC$2*TripTable!AB2</f>
        <v>0</v>
      </c>
      <c r="AD4" s="1" t="n">
        <f aca="false">AD$2*TripTable!AC2</f>
        <v>0.00598524925667066</v>
      </c>
      <c r="AE4" s="1" t="n">
        <f aca="false">AE$2*TripTable!AD2</f>
        <v>0</v>
      </c>
      <c r="AF4" s="1" t="n">
        <f aca="false">AF$2*TripTable!AE2</f>
        <v>0.235554737963037</v>
      </c>
      <c r="AG4" s="1" t="n">
        <f aca="false">AG$2*TripTable!AF2</f>
        <v>10.9321342587723</v>
      </c>
      <c r="AH4" s="1" t="n">
        <f aca="false">AH$2*TripTable!AG2</f>
        <v>0</v>
      </c>
      <c r="AI4" s="1" t="n">
        <f aca="false">AI$2*TripTable!AH2</f>
        <v>12.2774153723225</v>
      </c>
      <c r="AJ4" s="1" t="n">
        <f aca="false">AJ$2*TripTable!AI2</f>
        <v>0.209717823939177</v>
      </c>
      <c r="AK4" s="1" t="n">
        <f aca="false">AK$2*TripTable!AJ2</f>
        <v>0</v>
      </c>
      <c r="AL4" s="1" t="n">
        <f aca="false">AL$2*TripTable!AK2</f>
        <v>3.15607337299038</v>
      </c>
      <c r="AM4" s="1" t="n">
        <f aca="false">AM$2*TripTable!AL2</f>
        <v>1.51956513093435</v>
      </c>
      <c r="AN4" s="1" t="n">
        <f aca="false">AN$2*TripTable!AM2</f>
        <v>0.00529904028492617</v>
      </c>
      <c r="AO4" s="1" t="n">
        <f aca="false">AO$2*TripTable!AN2</f>
        <v>5.84886154387597</v>
      </c>
      <c r="AP4" s="1" t="n">
        <f aca="false">AP$2*TripTable!AO2</f>
        <v>0.0747322356809555</v>
      </c>
      <c r="AQ4" s="1" t="n">
        <f aca="false">AQ$2*TripTable!AP2</f>
        <v>0</v>
      </c>
      <c r="AR4" s="1" t="n">
        <f aca="false">AR$2*TripTable!AQ2</f>
        <v>0</v>
      </c>
      <c r="AS4" s="1" t="n">
        <f aca="false">AS$2*TripTable!AR2</f>
        <v>0.10620745660159</v>
      </c>
      <c r="AT4" s="1" t="n">
        <f aca="false">AT$2*TripTable!AS2</f>
        <v>5.7166652361342</v>
      </c>
      <c r="AU4" s="1" t="n">
        <f aca="false">AU$2*TripTable!AT2</f>
        <v>0.0161976411250632</v>
      </c>
      <c r="AV4" s="1" t="n">
        <f aca="false">AV$2*TripTable!AU2</f>
        <v>0</v>
      </c>
      <c r="AW4" s="1" t="n">
        <f aca="false">AW$2*TripTable!AV2</f>
        <v>7.7237090470968</v>
      </c>
      <c r="AX4" s="1" t="n">
        <f aca="false">AX$2*TripTable!AW2</f>
        <v>0.455703928752452</v>
      </c>
      <c r="AY4" s="1" t="n">
        <f aca="false">AY$2*TripTable!AX2</f>
        <v>2.43180895399794</v>
      </c>
      <c r="AZ4" s="1" t="n">
        <f aca="false">AZ$2*TripTable!AY2</f>
        <v>4.53330049208977E-005</v>
      </c>
      <c r="BA4" s="1" t="n">
        <f aca="false">BA$2*TripTable!AZ2</f>
        <v>0</v>
      </c>
      <c r="BB4" s="1" t="n">
        <f aca="false">SUM(C4:BA4)</f>
        <v>252.875882393769</v>
      </c>
      <c r="BC4" s="2" t="n">
        <f aca="false">BB4/TripTable!BA2</f>
        <v>0.0145993812362894</v>
      </c>
    </row>
    <row r="5" customFormat="false" ht="12.75" hidden="false" customHeight="false" outlineLevel="0" collapsed="false">
      <c r="A5" s="0" t="s">
        <v>2</v>
      </c>
      <c r="B5" s="1" t="n">
        <v>0.0628874080123128</v>
      </c>
      <c r="C5" s="1" t="n">
        <f aca="false">C$2*TripTable!B3</f>
        <v>0</v>
      </c>
      <c r="D5" s="1" t="n">
        <f aca="false">D$2*TripTable!C3</f>
        <v>113.071559606138</v>
      </c>
      <c r="E5" s="1" t="n">
        <f aca="false">E$2*TripTable!D3</f>
        <v>0</v>
      </c>
      <c r="F5" s="1" t="n">
        <f aca="false">F$2*TripTable!E3</f>
        <v>0</v>
      </c>
      <c r="G5" s="1" t="n">
        <f aca="false">G$2*TripTable!F3</f>
        <v>2.07186909057613</v>
      </c>
      <c r="H5" s="1" t="n">
        <f aca="false">H$2*TripTable!G3</f>
        <v>0.0650711092668389</v>
      </c>
      <c r="I5" s="1" t="n">
        <f aca="false">I$2*TripTable!H3</f>
        <v>0.00155931471156053</v>
      </c>
      <c r="J5" s="1" t="n">
        <f aca="false">J$2*TripTable!I3</f>
        <v>0</v>
      </c>
      <c r="K5" s="1" t="n">
        <f aca="false">K$2*TripTable!J3</f>
        <v>0</v>
      </c>
      <c r="L5" s="1" t="n">
        <f aca="false">L$2*TripTable!K3</f>
        <v>1.24533687437173</v>
      </c>
      <c r="M5" s="1" t="n">
        <f aca="false">M$2*TripTable!L3</f>
        <v>0.0167433162962224</v>
      </c>
      <c r="N5" s="1" t="n">
        <f aca="false">N$2*TripTable!M3</f>
        <v>0</v>
      </c>
      <c r="O5" s="1" t="n">
        <f aca="false">O$2*TripTable!N3</f>
        <v>0.00751344308453235</v>
      </c>
      <c r="P5" s="1" t="n">
        <f aca="false">P$2*TripTable!O3</f>
        <v>0</v>
      </c>
      <c r="Q5" s="1" t="n">
        <f aca="false">Q$2*TripTable!P3</f>
        <v>0.185004054998293</v>
      </c>
      <c r="R5" s="1" t="n">
        <f aca="false">R$2*TripTable!Q3</f>
        <v>0.0425729531743058</v>
      </c>
      <c r="S5" s="1" t="n">
        <f aca="false">S$2*TripTable!R3</f>
        <v>0.1936920676324</v>
      </c>
      <c r="T5" s="1" t="n">
        <f aca="false">T$2*TripTable!S3</f>
        <v>0.00845328299918051</v>
      </c>
      <c r="U5" s="1" t="n">
        <f aca="false">U$2*TripTable!T3</f>
        <v>0.176303785950449</v>
      </c>
      <c r="V5" s="1" t="n">
        <f aca="false">V$2*TripTable!U3</f>
        <v>0.105088318367691</v>
      </c>
      <c r="W5" s="1" t="n">
        <f aca="false">W$2*TripTable!V3</f>
        <v>0.210773748442099</v>
      </c>
      <c r="X5" s="1" t="n">
        <f aca="false">X$2*TripTable!W3</f>
        <v>0.727613713171413</v>
      </c>
      <c r="Y5" s="1" t="n">
        <f aca="false">Y$2*TripTable!X3</f>
        <v>0.05910301690969</v>
      </c>
      <c r="Z5" s="1" t="n">
        <f aca="false">Z$2*TripTable!Y3</f>
        <v>0</v>
      </c>
      <c r="AA5" s="1" t="n">
        <f aca="false">AA$2*TripTable!Z3</f>
        <v>0</v>
      </c>
      <c r="AB5" s="1" t="n">
        <f aca="false">AB$2*TripTable!AA3</f>
        <v>0.00759685797103275</v>
      </c>
      <c r="AC5" s="1" t="n">
        <f aca="false">AC$2*TripTable!AB3</f>
        <v>0</v>
      </c>
      <c r="AD5" s="1" t="n">
        <f aca="false">AD$2*TripTable!AC3</f>
        <v>0.00598524925667066</v>
      </c>
      <c r="AE5" s="1" t="n">
        <f aca="false">AE$2*TripTable!AD3</f>
        <v>0</v>
      </c>
      <c r="AF5" s="1" t="n">
        <f aca="false">AF$2*TripTable!AE3</f>
        <v>0</v>
      </c>
      <c r="AG5" s="1" t="n">
        <f aca="false">AG$2*TripTable!AF3</f>
        <v>0.546606712938613</v>
      </c>
      <c r="AH5" s="1" t="n">
        <f aca="false">AH$2*TripTable!AG3</f>
        <v>0</v>
      </c>
      <c r="AI5" s="1" t="n">
        <f aca="false">AI$2*TripTable!AH3</f>
        <v>3.98186444507756</v>
      </c>
      <c r="AJ5" s="1" t="n">
        <f aca="false">AJ$2*TripTable!AI3</f>
        <v>0.00221532912611807</v>
      </c>
      <c r="AK5" s="1" t="n">
        <f aca="false">AK$2*TripTable!AJ3</f>
        <v>0</v>
      </c>
      <c r="AL5" s="1" t="n">
        <f aca="false">AL$2*TripTable!AK3</f>
        <v>0.263006114415865</v>
      </c>
      <c r="AM5" s="1" t="n">
        <f aca="false">AM$2*TripTable!AL3</f>
        <v>0.379891282733587</v>
      </c>
      <c r="AN5" s="1" t="n">
        <f aca="false">AN$2*TripTable!AM3</f>
        <v>0.317942417095571</v>
      </c>
      <c r="AO5" s="1" t="n">
        <f aca="false">AO$2*TripTable!AN3</f>
        <v>0.701863385265116</v>
      </c>
      <c r="AP5" s="1" t="n">
        <f aca="false">AP$2*TripTable!AO3</f>
        <v>0</v>
      </c>
      <c r="AQ5" s="1" t="n">
        <f aca="false">AQ$2*TripTable!AP3</f>
        <v>0</v>
      </c>
      <c r="AR5" s="1" t="n">
        <f aca="false">AR$2*TripTable!AQ3</f>
        <v>0</v>
      </c>
      <c r="AS5" s="1" t="n">
        <f aca="false">AS$2*TripTable!AR3</f>
        <v>0.000174015494158805</v>
      </c>
      <c r="AT5" s="1" t="n">
        <f aca="false">AT$2*TripTable!AS3</f>
        <v>0.618686713867338</v>
      </c>
      <c r="AU5" s="1" t="n">
        <f aca="false">AU$2*TripTable!AT3</f>
        <v>0.00560687577406035</v>
      </c>
      <c r="AV5" s="1" t="n">
        <f aca="false">AV$2*TripTable!AU3</f>
        <v>0</v>
      </c>
      <c r="AW5" s="1" t="n">
        <f aca="false">AW$2*TripTable!AV3</f>
        <v>0.232641838767976</v>
      </c>
      <c r="AX5" s="1" t="n">
        <f aca="false">AX$2*TripTable!AW3</f>
        <v>4.68132217718429</v>
      </c>
      <c r="AY5" s="1" t="n">
        <f aca="false">AY$2*TripTable!AX3</f>
        <v>0.0657245663242686</v>
      </c>
      <c r="AZ5" s="1" t="n">
        <f aca="false">AZ$2*TripTable!AY3</f>
        <v>0.00010199926107202</v>
      </c>
      <c r="BA5" s="1" t="n">
        <f aca="false">BA$2*TripTable!AZ3</f>
        <v>0</v>
      </c>
      <c r="BB5" s="1" t="n">
        <f aca="false">SUM(C5:BA5)</f>
        <v>129.999487676644</v>
      </c>
      <c r="BC5" s="2" t="n">
        <f aca="false">BB5/TripTable!BA3</f>
        <v>0.0536080361553172</v>
      </c>
    </row>
    <row r="6" customFormat="false" ht="12.75" hidden="false" customHeight="false" outlineLevel="0" collapsed="false">
      <c r="A6" s="0" t="s">
        <v>3</v>
      </c>
      <c r="B6" s="1" t="n">
        <v>0</v>
      </c>
      <c r="C6" s="1" t="n">
        <f aca="false">C$2*TripTable!B4</f>
        <v>0</v>
      </c>
      <c r="D6" s="1" t="n">
        <f aca="false">D$2*TripTable!C4</f>
        <v>2.4526089124802</v>
      </c>
      <c r="E6" s="1" t="n">
        <f aca="false">E$2*TripTable!D4</f>
        <v>0</v>
      </c>
      <c r="F6" s="1" t="n">
        <f aca="false">F$2*TripTable!E4</f>
        <v>0</v>
      </c>
      <c r="G6" s="1" t="n">
        <f aca="false">G$2*TripTable!F4</f>
        <v>86.1728409509012</v>
      </c>
      <c r="H6" s="1" t="n">
        <f aca="false">H$2*TripTable!G4</f>
        <v>1.02339108210574</v>
      </c>
      <c r="I6" s="1" t="n">
        <f aca="false">I$2*TripTable!H4</f>
        <v>0.00701691620202238</v>
      </c>
      <c r="J6" s="1" t="n">
        <f aca="false">J$2*TripTable!I4</f>
        <v>1.26295023836428</v>
      </c>
      <c r="K6" s="1" t="n">
        <f aca="false">K$2*TripTable!J4</f>
        <v>0</v>
      </c>
      <c r="L6" s="1" t="n">
        <f aca="false">L$2*TripTable!K4</f>
        <v>7.31635413693394</v>
      </c>
      <c r="M6" s="1" t="n">
        <f aca="false">M$2*TripTable!L4</f>
        <v>0.213477282776836</v>
      </c>
      <c r="N6" s="1" t="n">
        <f aca="false">N$2*TripTable!M4</f>
        <v>0</v>
      </c>
      <c r="O6" s="1" t="n">
        <f aca="false">O$2*TripTable!N4</f>
        <v>0.0354205173985097</v>
      </c>
      <c r="P6" s="1" t="n">
        <f aca="false">P$2*TripTable!O4</f>
        <v>0</v>
      </c>
      <c r="Q6" s="1" t="n">
        <f aca="false">Q$2*TripTable!P4</f>
        <v>4.1625912374616</v>
      </c>
      <c r="R6" s="1" t="n">
        <f aca="false">R$2*TripTable!Q4</f>
        <v>2.46923128410974</v>
      </c>
      <c r="S6" s="1" t="n">
        <f aca="false">S$2*TripTable!R4</f>
        <v>4.77773766826587</v>
      </c>
      <c r="T6" s="1" t="n">
        <f aca="false">T$2*TripTable!S4</f>
        <v>0.101439395990166</v>
      </c>
      <c r="U6" s="1" t="n">
        <f aca="false">U$2*TripTable!T4</f>
        <v>0.85213496542717</v>
      </c>
      <c r="V6" s="1" t="n">
        <f aca="false">V$2*TripTable!U4</f>
        <v>0</v>
      </c>
      <c r="W6" s="1" t="n">
        <f aca="false">W$2*TripTable!V4</f>
        <v>2.52928498130519</v>
      </c>
      <c r="X6" s="1" t="n">
        <f aca="false">X$2*TripTable!W4</f>
        <v>4.26173746286114</v>
      </c>
      <c r="Y6" s="1" t="n">
        <f aca="false">Y$2*TripTable!X4</f>
        <v>0.502375643732365</v>
      </c>
      <c r="Z6" s="1" t="n">
        <f aca="false">Z$2*TripTable!Y4</f>
        <v>0</v>
      </c>
      <c r="AA6" s="1" t="n">
        <f aca="false">AA$2*TripTable!Z4</f>
        <v>0</v>
      </c>
      <c r="AB6" s="1" t="n">
        <f aca="false">AB$2*TripTable!AA4</f>
        <v>0.0486198910146096</v>
      </c>
      <c r="AC6" s="1" t="n">
        <f aca="false">AC$2*TripTable!AB4</f>
        <v>0</v>
      </c>
      <c r="AD6" s="1" t="n">
        <f aca="false">AD$2*TripTable!AC4</f>
        <v>0.12170006821897</v>
      </c>
      <c r="AE6" s="1" t="n">
        <f aca="false">AE$2*TripTable!AD4</f>
        <v>0</v>
      </c>
      <c r="AF6" s="1" t="n">
        <f aca="false">AF$2*TripTable!AE4</f>
        <v>4.71109475926075</v>
      </c>
      <c r="AG6" s="1" t="n">
        <f aca="false">AG$2*TripTable!AF4</f>
        <v>6.28597719879405</v>
      </c>
      <c r="AH6" s="1" t="n">
        <f aca="false">AH$2*TripTable!AG4</f>
        <v>0</v>
      </c>
      <c r="AI6" s="1" t="n">
        <f aca="false">AI$2*TripTable!AH4</f>
        <v>31.8549155606205</v>
      </c>
      <c r="AJ6" s="1" t="n">
        <f aca="false">AJ$2*TripTable!AI4</f>
        <v>0.0376605951440072</v>
      </c>
      <c r="AK6" s="1" t="n">
        <f aca="false">AK$2*TripTable!AJ4</f>
        <v>0</v>
      </c>
      <c r="AL6" s="1" t="n">
        <f aca="false">AL$2*TripTable!AK4</f>
        <v>2.10404891532692</v>
      </c>
      <c r="AM6" s="1" t="n">
        <f aca="false">AM$2*TripTable!AL4</f>
        <v>4.93858667553663</v>
      </c>
      <c r="AN6" s="1" t="n">
        <f aca="false">AN$2*TripTable!AM4</f>
        <v>0.604090592481584</v>
      </c>
      <c r="AO6" s="1" t="n">
        <f aca="false">AO$2*TripTable!AN4</f>
        <v>9.59213293195659</v>
      </c>
      <c r="AP6" s="1" t="n">
        <f aca="false">AP$2*TripTable!AO4</f>
        <v>0.0373661178404778</v>
      </c>
      <c r="AQ6" s="1" t="n">
        <f aca="false">AQ$2*TripTable!AP4</f>
        <v>0</v>
      </c>
      <c r="AR6" s="1" t="n">
        <f aca="false">AR$2*TripTable!AQ4</f>
        <v>0</v>
      </c>
      <c r="AS6" s="1" t="n">
        <f aca="false">AS$2*TripTable!AR4</f>
        <v>0.000696061976635218</v>
      </c>
      <c r="AT6" s="1" t="n">
        <f aca="false">AT$2*TripTable!AS4</f>
        <v>8.95858361679905</v>
      </c>
      <c r="AU6" s="1" t="n">
        <f aca="false">AU$2*TripTable!AT4</f>
        <v>0.170075231813164</v>
      </c>
      <c r="AV6" s="1" t="n">
        <f aca="false">AV$2*TripTable!AU4</f>
        <v>0</v>
      </c>
      <c r="AW6" s="1" t="n">
        <f aca="false">AW$2*TripTable!AV4</f>
        <v>1.62849287137583</v>
      </c>
      <c r="AX6" s="1" t="n">
        <f aca="false">AX$2*TripTable!AW4</f>
        <v>7.78839441867828</v>
      </c>
      <c r="AY6" s="1" t="n">
        <f aca="false">AY$2*TripTable!AX4</f>
        <v>0</v>
      </c>
      <c r="AZ6" s="1" t="n">
        <f aca="false">AZ$2*TripTable!AY4</f>
        <v>0.000532662807820548</v>
      </c>
      <c r="BA6" s="1" t="n">
        <f aca="false">BA$2*TripTable!AZ4</f>
        <v>0</v>
      </c>
      <c r="BB6" s="1" t="n">
        <f aca="false">SUM(C6:BA6)</f>
        <v>197.023560845962</v>
      </c>
      <c r="BC6" s="2" t="n">
        <f aca="false">BB6/TripTable!BA4</f>
        <v>0.0101042905198196</v>
      </c>
    </row>
    <row r="7" customFormat="false" ht="12.75" hidden="false" customHeight="false" outlineLevel="0" collapsed="false">
      <c r="A7" s="0" t="s">
        <v>4</v>
      </c>
      <c r="B7" s="1" t="n">
        <v>0</v>
      </c>
      <c r="C7" s="1" t="n">
        <f aca="false">C$2*TripTable!B5</f>
        <v>0</v>
      </c>
      <c r="D7" s="1" t="n">
        <f aca="false">D$2*TripTable!C5</f>
        <v>1.50929779229551</v>
      </c>
      <c r="E7" s="1" t="n">
        <f aca="false">E$2*TripTable!D5</f>
        <v>0</v>
      </c>
      <c r="F7" s="1" t="n">
        <f aca="false">F$2*TripTable!E5</f>
        <v>0</v>
      </c>
      <c r="G7" s="1" t="n">
        <f aca="false">G$2*TripTable!F5</f>
        <v>2.05072756924372</v>
      </c>
      <c r="H7" s="1" t="n">
        <f aca="false">H$2*TripTable!G5</f>
        <v>0.313524435558406</v>
      </c>
      <c r="I7" s="1" t="n">
        <f aca="false">I$2*TripTable!H5</f>
        <v>0.00155931471156053</v>
      </c>
      <c r="J7" s="1" t="n">
        <f aca="false">J$2*TripTable!I5</f>
        <v>0</v>
      </c>
      <c r="K7" s="1" t="n">
        <f aca="false">K$2*TripTable!J5</f>
        <v>0</v>
      </c>
      <c r="L7" s="1" t="n">
        <f aca="false">L$2*TripTable!K5</f>
        <v>12.3755351890691</v>
      </c>
      <c r="M7" s="1" t="n">
        <f aca="false">M$2*TripTable!L5</f>
        <v>0.305565522406059</v>
      </c>
      <c r="N7" s="1" t="n">
        <f aca="false">N$2*TripTable!M5</f>
        <v>0</v>
      </c>
      <c r="O7" s="1" t="n">
        <f aca="false">O$2*TripTable!N5</f>
        <v>0.0139535371569887</v>
      </c>
      <c r="P7" s="1" t="n">
        <f aca="false">P$2*TripTable!O5</f>
        <v>0</v>
      </c>
      <c r="Q7" s="1" t="n">
        <f aca="false">Q$2*TripTable!P5</f>
        <v>3.70008109996587</v>
      </c>
      <c r="R7" s="1" t="n">
        <f aca="false">R$2*TripTable!Q5</f>
        <v>1.36233450157779</v>
      </c>
      <c r="S7" s="1" t="n">
        <f aca="false">S$2*TripTable!R5</f>
        <v>8.45788695328148</v>
      </c>
      <c r="T7" s="1" t="n">
        <f aca="false">T$2*TripTable!S5</f>
        <v>0.549463394946733</v>
      </c>
      <c r="U7" s="1" t="n">
        <f aca="false">U$2*TripTable!T5</f>
        <v>15.2502774847138</v>
      </c>
      <c r="V7" s="1" t="n">
        <f aca="false">V$2*TripTable!U5</f>
        <v>0.315264955103073</v>
      </c>
      <c r="W7" s="1" t="n">
        <f aca="false">W$2*TripTable!V5</f>
        <v>0.772837077621031</v>
      </c>
      <c r="X7" s="1" t="n">
        <f aca="false">X$2*TripTable!W5</f>
        <v>1.14339297784079</v>
      </c>
      <c r="Y7" s="1" t="n">
        <f aca="false">Y$2*TripTable!X5</f>
        <v>0.35461810145814</v>
      </c>
      <c r="Z7" s="1" t="n">
        <f aca="false">Z$2*TripTable!Y5</f>
        <v>0</v>
      </c>
      <c r="AA7" s="1" t="n">
        <f aca="false">AA$2*TripTable!Z5</f>
        <v>0</v>
      </c>
      <c r="AB7" s="1" t="n">
        <f aca="false">AB$2*TripTable!AA5</f>
        <v>0.701189990726323</v>
      </c>
      <c r="AC7" s="1" t="n">
        <f aca="false">AC$2*TripTable!AB5</f>
        <v>0</v>
      </c>
      <c r="AD7" s="1" t="n">
        <f aca="false">AD$2*TripTable!AC5</f>
        <v>0.0618475756522635</v>
      </c>
      <c r="AE7" s="1" t="n">
        <f aca="false">AE$2*TripTable!AD5</f>
        <v>0</v>
      </c>
      <c r="AF7" s="1" t="n">
        <f aca="false">AF$2*TripTable!AE5</f>
        <v>0</v>
      </c>
      <c r="AG7" s="1" t="n">
        <f aca="false">AG$2*TripTable!AF5</f>
        <v>2.73303356469306</v>
      </c>
      <c r="AH7" s="1" t="n">
        <f aca="false">AH$2*TripTable!AG5</f>
        <v>0</v>
      </c>
      <c r="AI7" s="1" t="n">
        <f aca="false">AI$2*TripTable!AH5</f>
        <v>12.6092374094123</v>
      </c>
      <c r="AJ7" s="1" t="n">
        <f aca="false">AJ$2*TripTable!AI5</f>
        <v>0.0265839495134169</v>
      </c>
      <c r="AK7" s="1" t="n">
        <f aca="false">AK$2*TripTable!AJ5</f>
        <v>0</v>
      </c>
      <c r="AL7" s="1" t="n">
        <f aca="false">AL$2*TripTable!AK5</f>
        <v>1.87391856521304</v>
      </c>
      <c r="AM7" s="1" t="n">
        <f aca="false">AM$2*TripTable!AL5</f>
        <v>59.5669531326264</v>
      </c>
      <c r="AN7" s="1" t="n">
        <f aca="false">AN$2*TripTable!AM5</f>
        <v>0.0476913625643356</v>
      </c>
      <c r="AO7" s="1" t="n">
        <f aca="false">AO$2*TripTable!AN5</f>
        <v>1.63768123228527</v>
      </c>
      <c r="AP7" s="1" t="n">
        <f aca="false">AP$2*TripTable!AO5</f>
        <v>0.149464471361911</v>
      </c>
      <c r="AQ7" s="1" t="n">
        <f aca="false">AQ$2*TripTable!AP5</f>
        <v>0</v>
      </c>
      <c r="AR7" s="1" t="n">
        <f aca="false">AR$2*TripTable!AQ5</f>
        <v>0</v>
      </c>
      <c r="AS7" s="1" t="n">
        <f aca="false">AS$2*TripTable!AR5</f>
        <v>0.0292926081833988</v>
      </c>
      <c r="AT7" s="1" t="n">
        <f aca="false">AT$2*TripTable!AS5</f>
        <v>24.6732261490294</v>
      </c>
      <c r="AU7" s="1" t="n">
        <f aca="false">AU$2*TripTable!AT5</f>
        <v>0.00311493098558908</v>
      </c>
      <c r="AV7" s="1" t="n">
        <f aca="false">AV$2*TripTable!AU5</f>
        <v>0</v>
      </c>
      <c r="AW7" s="1" t="n">
        <f aca="false">AW$2*TripTable!AV5</f>
        <v>1.39585103260786</v>
      </c>
      <c r="AX7" s="1" t="n">
        <f aca="false">AX$2*TripTable!AW5</f>
        <v>0.704269708071972</v>
      </c>
      <c r="AY7" s="1" t="n">
        <f aca="false">AY$2*TripTable!AX5</f>
        <v>0.46007196426988</v>
      </c>
      <c r="AZ7" s="1" t="n">
        <f aca="false">AZ$2*TripTable!AY5</f>
        <v>0.000600662315201894</v>
      </c>
      <c r="BA7" s="1" t="n">
        <f aca="false">BA$2*TripTable!AZ5</f>
        <v>0</v>
      </c>
      <c r="BB7" s="1" t="n">
        <f aca="false">SUM(C7:BA7)</f>
        <v>155.150348216462</v>
      </c>
      <c r="BC7" s="2" t="n">
        <f aca="false">BB7/TripTable!BA5</f>
        <v>0.0150836426420826</v>
      </c>
    </row>
    <row r="8" customFormat="false" ht="12.75" hidden="false" customHeight="false" outlineLevel="0" collapsed="false">
      <c r="A8" s="0" t="s">
        <v>5</v>
      </c>
      <c r="B8" s="1" t="n">
        <v>0.0211415213324095</v>
      </c>
      <c r="C8" s="1" t="n">
        <f aca="false">C$2*TripTable!B6</f>
        <v>0</v>
      </c>
      <c r="D8" s="1" t="n">
        <f aca="false">D$2*TripTable!C6</f>
        <v>6.35162820924359</v>
      </c>
      <c r="E8" s="1" t="n">
        <f aca="false">E$2*TripTable!D6</f>
        <v>0</v>
      </c>
      <c r="F8" s="1" t="n">
        <f aca="false">F$2*TripTable!E6</f>
        <v>0</v>
      </c>
      <c r="G8" s="1" t="n">
        <f aca="false">G$2*TripTable!F6</f>
        <v>1370.87966775743</v>
      </c>
      <c r="H8" s="1" t="n">
        <f aca="false">H$2*TripTable!G6</f>
        <v>4.16455099307769</v>
      </c>
      <c r="I8" s="1" t="n">
        <f aca="false">I$2*TripTable!H6</f>
        <v>0.0493782991994168</v>
      </c>
      <c r="J8" s="1" t="n">
        <f aca="false">J$2*TripTable!I6</f>
        <v>3.28367061974714</v>
      </c>
      <c r="K8" s="1" t="n">
        <f aca="false">K$2*TripTable!J6</f>
        <v>0</v>
      </c>
      <c r="L8" s="1" t="n">
        <f aca="false">L$2*TripTable!K6</f>
        <v>73.8640433611735</v>
      </c>
      <c r="M8" s="1" t="n">
        <f aca="false">M$2*TripTable!L6</f>
        <v>1.31853615832751</v>
      </c>
      <c r="N8" s="1" t="n">
        <f aca="false">N$2*TripTable!M6</f>
        <v>0</v>
      </c>
      <c r="O8" s="1" t="n">
        <f aca="false">O$2*TripTable!N6</f>
        <v>0.353131824973021</v>
      </c>
      <c r="P8" s="1" t="n">
        <f aca="false">P$2*TripTable!O6</f>
        <v>0</v>
      </c>
      <c r="Q8" s="1" t="n">
        <f aca="false">Q$2*TripTable!P6</f>
        <v>22.8480007922892</v>
      </c>
      <c r="R8" s="1" t="n">
        <f aca="false">R$2*TripTable!Q6</f>
        <v>2.9375337690271</v>
      </c>
      <c r="S8" s="1" t="n">
        <f aca="false">S$2*TripTable!R6</f>
        <v>9.10352717872281</v>
      </c>
      <c r="T8" s="1" t="n">
        <f aca="false">T$2*TripTable!S6</f>
        <v>0.380397734963123</v>
      </c>
      <c r="U8" s="1" t="n">
        <f aca="false">U$2*TripTable!T6</f>
        <v>4.0843710411854</v>
      </c>
      <c r="V8" s="1" t="n">
        <f aca="false">V$2*TripTable!U6</f>
        <v>29.8450824164243</v>
      </c>
      <c r="W8" s="1" t="n">
        <f aca="false">W$2*TripTable!V6</f>
        <v>9.34430284759974</v>
      </c>
      <c r="X8" s="1" t="n">
        <f aca="false">X$2*TripTable!W6</f>
        <v>39.187195695089</v>
      </c>
      <c r="Y8" s="1" t="n">
        <f aca="false">Y$2*TripTable!X6</f>
        <v>3.33932045539749</v>
      </c>
      <c r="Z8" s="1" t="n">
        <f aca="false">Z$2*TripTable!Y6</f>
        <v>0</v>
      </c>
      <c r="AA8" s="1" t="n">
        <f aca="false">AA$2*TripTable!Z6</f>
        <v>0</v>
      </c>
      <c r="AB8" s="1" t="n">
        <f aca="false">AB$2*TripTable!AA6</f>
        <v>0.362370125218262</v>
      </c>
      <c r="AC8" s="1" t="n">
        <f aca="false">AC$2*TripTable!AB6</f>
        <v>0</v>
      </c>
      <c r="AD8" s="1" t="n">
        <f aca="false">AD$2*TripTable!AC6</f>
        <v>0.0339164124544671</v>
      </c>
      <c r="AE8" s="1" t="n">
        <f aca="false">AE$2*TripTable!AD6</f>
        <v>0</v>
      </c>
      <c r="AF8" s="1" t="n">
        <f aca="false">AF$2*TripTable!AE6</f>
        <v>4.59331739027923</v>
      </c>
      <c r="AG8" s="1" t="n">
        <f aca="false">AG$2*TripTable!AF6</f>
        <v>85.8172539313622</v>
      </c>
      <c r="AH8" s="1" t="n">
        <f aca="false">AH$2*TripTable!AG6</f>
        <v>0</v>
      </c>
      <c r="AI8" s="1" t="n">
        <f aca="false">AI$2*TripTable!AH6</f>
        <v>478.155555446397</v>
      </c>
      <c r="AJ8" s="1" t="n">
        <f aca="false">AJ$2*TripTable!AI6</f>
        <v>0.211194710023256</v>
      </c>
      <c r="AK8" s="1" t="n">
        <f aca="false">AK$2*TripTable!AJ6</f>
        <v>0</v>
      </c>
      <c r="AL8" s="1" t="n">
        <f aca="false">AL$2*TripTable!AK6</f>
        <v>21.402122560591</v>
      </c>
      <c r="AM8" s="1" t="n">
        <f aca="false">AM$2*TripTable!AL6</f>
        <v>8.66152124632578</v>
      </c>
      <c r="AN8" s="1" t="n">
        <f aca="false">AN$2*TripTable!AM6</f>
        <v>6.21047521393348</v>
      </c>
      <c r="AO8" s="1" t="n">
        <f aca="false">AO$2*TripTable!AN6</f>
        <v>80.2463803819783</v>
      </c>
      <c r="AP8" s="1" t="n">
        <f aca="false">AP$2*TripTable!AO6</f>
        <v>0.896786828171466</v>
      </c>
      <c r="AQ8" s="1" t="n">
        <f aca="false">AQ$2*TripTable!AP6</f>
        <v>0</v>
      </c>
      <c r="AR8" s="1" t="n">
        <f aca="false">AR$2*TripTable!AQ6</f>
        <v>0</v>
      </c>
      <c r="AS8" s="1" t="n">
        <f aca="false">AS$2*TripTable!AR6</f>
        <v>0.0106149451436871</v>
      </c>
      <c r="AT8" s="1" t="n">
        <f aca="false">AT$2*TripTable!AS6</f>
        <v>22.5449438533258</v>
      </c>
      <c r="AU8" s="1" t="n">
        <f aca="false">AU$2*TripTable!AT6</f>
        <v>0.383136511227457</v>
      </c>
      <c r="AV8" s="1" t="n">
        <f aca="false">AV$2*TripTable!AU6</f>
        <v>0</v>
      </c>
      <c r="AW8" s="1" t="n">
        <f aca="false">AW$2*TripTable!AV6</f>
        <v>8.7008047699223</v>
      </c>
      <c r="AX8" s="1" t="n">
        <f aca="false">AX$2*TripTable!AW6</f>
        <v>45.6532481350184</v>
      </c>
      <c r="AY8" s="1" t="n">
        <f aca="false">AY$2*TripTable!AX6</f>
        <v>7.75549882626369</v>
      </c>
      <c r="AZ8" s="1" t="n">
        <f aca="false">AZ$2*TripTable!AY6</f>
        <v>0.000668661822583241</v>
      </c>
      <c r="BA8" s="1" t="n">
        <f aca="false">BA$2*TripTable!AZ6</f>
        <v>0</v>
      </c>
      <c r="BB8" s="1" t="n">
        <f aca="false">SUM(C8:BA8)</f>
        <v>2352.97414910333</v>
      </c>
      <c r="BC8" s="2" t="n">
        <f aca="false">BB8/TripTable!BA6</f>
        <v>0.0230810459576172</v>
      </c>
    </row>
    <row r="9" customFormat="false" ht="12.75" hidden="false" customHeight="false" outlineLevel="0" collapsed="false">
      <c r="A9" s="0" t="s">
        <v>6</v>
      </c>
      <c r="B9" s="1" t="n">
        <v>0.00295777769394722</v>
      </c>
      <c r="C9" s="1" t="n">
        <f aca="false">C$2*TripTable!B7</f>
        <v>0</v>
      </c>
      <c r="D9" s="1" t="n">
        <f aca="false">D$2*TripTable!C7</f>
        <v>2.70415854452945</v>
      </c>
      <c r="E9" s="1" t="n">
        <f aca="false">E$2*TripTable!D7</f>
        <v>0</v>
      </c>
      <c r="F9" s="1" t="n">
        <f aca="false">F$2*TripTable!E7</f>
        <v>0</v>
      </c>
      <c r="G9" s="1" t="n">
        <f aca="false">G$2*TripTable!F7</f>
        <v>22.1563143563652</v>
      </c>
      <c r="H9" s="1" t="n">
        <f aca="false">H$2*TripTable!G7</f>
        <v>20.6512038591395</v>
      </c>
      <c r="I9" s="1" t="n">
        <f aca="false">I$2*TripTable!H7</f>
        <v>0.00337851520838115</v>
      </c>
      <c r="J9" s="1" t="n">
        <f aca="false">J$2*TripTable!I7</f>
        <v>0.252590047672857</v>
      </c>
      <c r="K9" s="1" t="n">
        <f aca="false">K$2*TripTable!J7</f>
        <v>0</v>
      </c>
      <c r="L9" s="1" t="n">
        <f aca="false">L$2*TripTable!K7</f>
        <v>24.5175697141935</v>
      </c>
      <c r="M9" s="1" t="n">
        <f aca="false">M$2*TripTable!L7</f>
        <v>0.59020189944184</v>
      </c>
      <c r="N9" s="1" t="n">
        <f aca="false">N$2*TripTable!M7</f>
        <v>0</v>
      </c>
      <c r="O9" s="1" t="n">
        <f aca="false">O$2*TripTable!N7</f>
        <v>0.084794571954008</v>
      </c>
      <c r="P9" s="1" t="n">
        <f aca="false">P$2*TripTable!O7</f>
        <v>0</v>
      </c>
      <c r="Q9" s="1" t="n">
        <f aca="false">Q$2*TripTable!P7</f>
        <v>3.70008109996587</v>
      </c>
      <c r="R9" s="1" t="n">
        <f aca="false">R$2*TripTable!Q7</f>
        <v>4.55530598965072</v>
      </c>
      <c r="S9" s="1" t="n">
        <f aca="false">S$2*TripTable!R7</f>
        <v>21.4998195071964</v>
      </c>
      <c r="T9" s="1" t="n">
        <f aca="false">T$2*TripTable!S7</f>
        <v>0.0591729809942636</v>
      </c>
      <c r="U9" s="1" t="n">
        <f aca="false">U$2*TripTable!T7</f>
        <v>0.969670822727469</v>
      </c>
      <c r="V9" s="1" t="n">
        <f aca="false">V$2*TripTable!U7</f>
        <v>1.26105982041229</v>
      </c>
      <c r="W9" s="1" t="n">
        <f aca="false">W$2*TripTable!V7</f>
        <v>3.02109039433676</v>
      </c>
      <c r="X9" s="1" t="n">
        <f aca="false">X$2*TripTable!W7</f>
        <v>8.00375084488555</v>
      </c>
      <c r="Y9" s="1" t="n">
        <f aca="false">Y$2*TripTable!X7</f>
        <v>0.783114974053393</v>
      </c>
      <c r="Z9" s="1" t="n">
        <f aca="false">Z$2*TripTable!Y7</f>
        <v>0</v>
      </c>
      <c r="AA9" s="1" t="n">
        <f aca="false">AA$2*TripTable!Z7</f>
        <v>0</v>
      </c>
      <c r="AB9" s="1" t="n">
        <f aca="false">AB$2*TripTable!AA7</f>
        <v>0.155735588406171</v>
      </c>
      <c r="AC9" s="1" t="n">
        <f aca="false">AC$2*TripTable!AB7</f>
        <v>0</v>
      </c>
      <c r="AD9" s="1" t="n">
        <f aca="false">AD$2*TripTable!AC7</f>
        <v>0.875841474559473</v>
      </c>
      <c r="AE9" s="1" t="n">
        <f aca="false">AE$2*TripTable!AD7</f>
        <v>0</v>
      </c>
      <c r="AF9" s="1" t="n">
        <f aca="false">AF$2*TripTable!AE7</f>
        <v>0.588886844907593</v>
      </c>
      <c r="AG9" s="1" t="n">
        <f aca="false">AG$2*TripTable!AF7</f>
        <v>21.3176618046059</v>
      </c>
      <c r="AH9" s="1" t="n">
        <f aca="false">AH$2*TripTable!AG7</f>
        <v>0</v>
      </c>
      <c r="AI9" s="1" t="n">
        <f aca="false">AI$2*TripTable!AH7</f>
        <v>71.6735600113961</v>
      </c>
      <c r="AJ9" s="1" t="n">
        <f aca="false">AJ$2*TripTable!AI7</f>
        <v>0.0841825067924867</v>
      </c>
      <c r="AK9" s="1" t="n">
        <f aca="false">AK$2*TripTable!AJ7</f>
        <v>0</v>
      </c>
      <c r="AL9" s="1" t="n">
        <f aca="false">AL$2*TripTable!AK7</f>
        <v>3.91221595193599</v>
      </c>
      <c r="AM9" s="1" t="n">
        <f aca="false">AM$2*TripTable!AL7</f>
        <v>12.7643470998485</v>
      </c>
      <c r="AN9" s="1" t="n">
        <f aca="false">AN$2*TripTable!AM7</f>
        <v>0.545801149347396</v>
      </c>
      <c r="AO9" s="1" t="n">
        <f aca="false">AO$2*TripTable!AN7</f>
        <v>7.72049723791628</v>
      </c>
      <c r="AP9" s="1" t="n">
        <f aca="false">AP$2*TripTable!AO7</f>
        <v>0.934152946011944</v>
      </c>
      <c r="AQ9" s="1" t="n">
        <f aca="false">AQ$2*TripTable!AP7</f>
        <v>0</v>
      </c>
      <c r="AR9" s="1" t="n">
        <f aca="false">AR$2*TripTable!AQ7</f>
        <v>0</v>
      </c>
      <c r="AS9" s="1" t="n">
        <f aca="false">AS$2*TripTable!AR7</f>
        <v>0.00417637185981131</v>
      </c>
      <c r="AT9" s="1" t="n">
        <f aca="false">AT$2*TripTable!AS7</f>
        <v>12.4727241515655</v>
      </c>
      <c r="AU9" s="1" t="n">
        <f aca="false">AU$2*TripTable!AT7</f>
        <v>0.40805595911217</v>
      </c>
      <c r="AV9" s="1" t="n">
        <f aca="false">AV$2*TripTable!AU7</f>
        <v>0</v>
      </c>
      <c r="AW9" s="1" t="n">
        <f aca="false">AW$2*TripTable!AV7</f>
        <v>1.67502123912943</v>
      </c>
      <c r="AX9" s="1" t="n">
        <f aca="false">AX$2*TripTable!AW7</f>
        <v>5.34416425536967</v>
      </c>
      <c r="AY9" s="1" t="n">
        <f aca="false">AY$2*TripTable!AX7</f>
        <v>0.657245663242686</v>
      </c>
      <c r="AZ9" s="1" t="n">
        <f aca="false">AZ$2*TripTable!AY7</f>
        <v>0.000634662068892568</v>
      </c>
      <c r="BA9" s="1" t="n">
        <f aca="false">BA$2*TripTable!AZ7</f>
        <v>0</v>
      </c>
      <c r="BB9" s="1" t="n">
        <f aca="false">SUM(C9:BA9)</f>
        <v>255.948182860804</v>
      </c>
      <c r="BC9" s="2" t="n">
        <f aca="false">BB9/TripTable!BA7</f>
        <v>0.0160761373570004</v>
      </c>
    </row>
    <row r="10" customFormat="false" ht="12.75" hidden="false" customHeight="false" outlineLevel="0" collapsed="false">
      <c r="A10" s="0" t="s">
        <v>7</v>
      </c>
      <c r="B10" s="1" t="n">
        <v>0.000259885785260088</v>
      </c>
      <c r="C10" s="1" t="n">
        <f aca="false">C$2*TripTable!B8</f>
        <v>0</v>
      </c>
      <c r="D10" s="1" t="n">
        <f aca="false">D$2*TripTable!C8</f>
        <v>0.817536304160066</v>
      </c>
      <c r="E10" s="1" t="n">
        <f aca="false">E$2*TripTable!D8</f>
        <v>0</v>
      </c>
      <c r="F10" s="1" t="n">
        <f aca="false">F$2*TripTable!E8</f>
        <v>0</v>
      </c>
      <c r="G10" s="1" t="n">
        <f aca="false">G$2*TripTable!F8</f>
        <v>4.14373818115226</v>
      </c>
      <c r="H10" s="1" t="n">
        <f aca="false">H$2*TripTable!G8</f>
        <v>0.195213327800517</v>
      </c>
      <c r="I10" s="1" t="n">
        <f aca="false">I$2*TripTable!H8</f>
        <v>0.0459997839910356</v>
      </c>
      <c r="J10" s="1" t="n">
        <f aca="false">J$2*TripTable!I8</f>
        <v>12.8820924313157</v>
      </c>
      <c r="K10" s="1" t="n">
        <f aca="false">K$2*TripTable!J8</f>
        <v>0</v>
      </c>
      <c r="L10" s="1" t="n">
        <f aca="false">L$2*TripTable!K8</f>
        <v>54.4834882537634</v>
      </c>
      <c r="M10" s="1" t="n">
        <f aca="false">M$2*TripTable!L8</f>
        <v>0.439512052775838</v>
      </c>
      <c r="N10" s="1" t="n">
        <f aca="false">N$2*TripTable!M8</f>
        <v>0</v>
      </c>
      <c r="O10" s="1" t="n">
        <f aca="false">O$2*TripTable!N8</f>
        <v>0.00536674506038025</v>
      </c>
      <c r="P10" s="1" t="n">
        <f aca="false">P$2*TripTable!O8</f>
        <v>0</v>
      </c>
      <c r="Q10" s="1" t="n">
        <f aca="false">Q$2*TripTable!P8</f>
        <v>2.7750608249744</v>
      </c>
      <c r="R10" s="1" t="n">
        <f aca="false">R$2*TripTable!Q8</f>
        <v>1.02175087618334</v>
      </c>
      <c r="S10" s="1" t="n">
        <f aca="false">S$2*TripTable!R8</f>
        <v>0.1936920676324</v>
      </c>
      <c r="T10" s="1" t="n">
        <f aca="false">T$2*TripTable!S8</f>
        <v>0.0929861129909856</v>
      </c>
      <c r="U10" s="1" t="n">
        <f aca="false">U$2*TripTable!T8</f>
        <v>1.49858218057882</v>
      </c>
      <c r="V10" s="1" t="n">
        <f aca="false">V$2*TripTable!U8</f>
        <v>87.433480881919</v>
      </c>
      <c r="W10" s="1" t="n">
        <f aca="false">W$2*TripTable!V8</f>
        <v>11.6628140804628</v>
      </c>
      <c r="X10" s="1" t="n">
        <f aca="false">X$2*TripTable!W8</f>
        <v>271.607804645272</v>
      </c>
      <c r="Y10" s="1" t="n">
        <f aca="false">Y$2*TripTable!X8</f>
        <v>0.65013318600659</v>
      </c>
      <c r="Z10" s="1" t="n">
        <f aca="false">Z$2*TripTable!Y8</f>
        <v>0</v>
      </c>
      <c r="AA10" s="1" t="n">
        <f aca="false">AA$2*TripTable!Z8</f>
        <v>0</v>
      </c>
      <c r="AB10" s="1" t="n">
        <f aca="false">AB$2*TripTable!AA8</f>
        <v>0.0334261750725441</v>
      </c>
      <c r="AC10" s="1" t="n">
        <f aca="false">AC$2*TripTable!AB8</f>
        <v>0</v>
      </c>
      <c r="AD10" s="1" t="n">
        <f aca="false">AD$2*TripTable!AC8</f>
        <v>0.0119704985133413</v>
      </c>
      <c r="AE10" s="1" t="n">
        <f aca="false">AE$2*TripTable!AD8</f>
        <v>0</v>
      </c>
      <c r="AF10" s="1" t="n">
        <f aca="false">AF$2*TripTable!AE8</f>
        <v>67.8397645333548</v>
      </c>
      <c r="AG10" s="1" t="n">
        <f aca="false">AG$2*TripTable!AF8</f>
        <v>185.02637232972</v>
      </c>
      <c r="AH10" s="1" t="n">
        <f aca="false">AH$2*TripTable!AG8</f>
        <v>0</v>
      </c>
      <c r="AI10" s="1" t="n">
        <f aca="false">AI$2*TripTable!AH8</f>
        <v>657.339455474888</v>
      </c>
      <c r="AJ10" s="1" t="n">
        <f aca="false">AJ$2*TripTable!AI8</f>
        <v>0.118150886726297</v>
      </c>
      <c r="AK10" s="1" t="n">
        <f aca="false">AK$2*TripTable!AJ8</f>
        <v>0</v>
      </c>
      <c r="AL10" s="1" t="n">
        <f aca="false">AL$2*TripTable!AK8</f>
        <v>4.04371900914392</v>
      </c>
      <c r="AM10" s="1" t="n">
        <f aca="false">AM$2*TripTable!AL8</f>
        <v>0.531847795827021</v>
      </c>
      <c r="AN10" s="1" t="n">
        <f aca="false">AN$2*TripTable!AM8</f>
        <v>0.0370932819944832</v>
      </c>
      <c r="AO10" s="1" t="n">
        <f aca="false">AO$2*TripTable!AN8</f>
        <v>98.3778511679938</v>
      </c>
      <c r="AP10" s="1" t="n">
        <f aca="false">AP$2*TripTable!AO8</f>
        <v>17.674173738546</v>
      </c>
      <c r="AQ10" s="1" t="n">
        <f aca="false">AQ$2*TripTable!AP8</f>
        <v>0</v>
      </c>
      <c r="AR10" s="1" t="n">
        <f aca="false">AR$2*TripTable!AQ8</f>
        <v>0</v>
      </c>
      <c r="AS10" s="1" t="n">
        <f aca="false">AS$2*TripTable!AR8</f>
        <v>0.00423437702453091</v>
      </c>
      <c r="AT10" s="1" t="n">
        <f aca="false">AT$2*TripTable!AS8</f>
        <v>2.44999938691466</v>
      </c>
      <c r="AU10" s="1" t="n">
        <f aca="false">AU$2*TripTable!AT8</f>
        <v>0.016820627322181</v>
      </c>
      <c r="AV10" s="1" t="n">
        <f aca="false">AV$2*TripTable!AU8</f>
        <v>0</v>
      </c>
      <c r="AW10" s="1" t="n">
        <f aca="false">AW$2*TripTable!AV8</f>
        <v>8.42163456340073</v>
      </c>
      <c r="AX10" s="1" t="n">
        <f aca="false">AX$2*TripTable!AW8</f>
        <v>1.03569074716466</v>
      </c>
      <c r="AY10" s="1" t="n">
        <f aca="false">AY$2*TripTable!AX8</f>
        <v>1.84028785707952</v>
      </c>
      <c r="AZ10" s="1" t="n">
        <f aca="false">AZ$2*TripTable!AY8</f>
        <v>0.000441996797978752</v>
      </c>
      <c r="BA10" s="1" t="n">
        <f aca="false">BA$2*TripTable!AZ8</f>
        <v>0</v>
      </c>
      <c r="BB10" s="1" t="n">
        <f aca="false">SUM(C10:BA10)</f>
        <v>1494.75218638352</v>
      </c>
      <c r="BC10" s="2" t="n">
        <f aca="false">BB10/TripTable!BA8</f>
        <v>0.126523801115924</v>
      </c>
    </row>
    <row r="11" customFormat="false" ht="12.75" hidden="false" customHeight="false" outlineLevel="0" collapsed="false">
      <c r="A11" s="0" t="s">
        <v>8</v>
      </c>
      <c r="B11" s="1" t="n">
        <v>0.252590047672857</v>
      </c>
      <c r="C11" s="1" t="n">
        <f aca="false">C$2*TripTable!B9</f>
        <v>0</v>
      </c>
      <c r="D11" s="1" t="n">
        <f aca="false">D$2*TripTable!C9</f>
        <v>0.125774816024626</v>
      </c>
      <c r="E11" s="1" t="n">
        <f aca="false">E$2*TripTable!D9</f>
        <v>0</v>
      </c>
      <c r="F11" s="1" t="n">
        <f aca="false">F$2*TripTable!E9</f>
        <v>0</v>
      </c>
      <c r="G11" s="1" t="n">
        <f aca="false">G$2*TripTable!F9</f>
        <v>0.591962597307466</v>
      </c>
      <c r="H11" s="1" t="n">
        <f aca="false">H$2*TripTable!G9</f>
        <v>0.0295777769394722</v>
      </c>
      <c r="I11" s="1" t="n">
        <f aca="false">I$2*TripTable!H9</f>
        <v>0.00831634512832283</v>
      </c>
      <c r="J11" s="1" t="n">
        <f aca="false">J$2*TripTable!I9</f>
        <v>20.7123839091743</v>
      </c>
      <c r="K11" s="1" t="n">
        <f aca="false">K$2*TripTable!J9</f>
        <v>0</v>
      </c>
      <c r="L11" s="1" t="n">
        <f aca="false">L$2*TripTable!K9</f>
        <v>7.86118901947157</v>
      </c>
      <c r="M11" s="1" t="n">
        <f aca="false">M$2*TripTable!L9</f>
        <v>0.121389043147612</v>
      </c>
      <c r="N11" s="1" t="n">
        <f aca="false">N$2*TripTable!M9</f>
        <v>0</v>
      </c>
      <c r="O11" s="1" t="n">
        <f aca="false">O$2*TripTable!N9</f>
        <v>0.00107334901207605</v>
      </c>
      <c r="P11" s="1" t="n">
        <f aca="false">P$2*TripTable!O9</f>
        <v>0</v>
      </c>
      <c r="Q11" s="1" t="n">
        <f aca="false">Q$2*TripTable!P9</f>
        <v>1.11002432998976</v>
      </c>
      <c r="R11" s="1" t="n">
        <f aca="false">R$2*TripTable!Q9</f>
        <v>0.127718859522917</v>
      </c>
      <c r="S11" s="1" t="n">
        <f aca="false">S$2*TripTable!R9</f>
        <v>0.0645640225441334</v>
      </c>
      <c r="T11" s="1" t="n">
        <f aca="false">T$2*TripTable!S9</f>
        <v>0.0422664149959026</v>
      </c>
      <c r="U11" s="1" t="n">
        <f aca="false">U$2*TripTable!T9</f>
        <v>0.235071714600599</v>
      </c>
      <c r="V11" s="1" t="n">
        <f aca="false">V$2*TripTable!U9</f>
        <v>1.68141309388306</v>
      </c>
      <c r="W11" s="1" t="n">
        <f aca="false">W$2*TripTable!V9</f>
        <v>15.8080311331575</v>
      </c>
      <c r="X11" s="1" t="n">
        <f aca="false">X$2*TripTable!W9</f>
        <v>7.69191639638351</v>
      </c>
      <c r="Y11" s="1" t="n">
        <f aca="false">Y$2*TripTable!X9</f>
        <v>0.125593910933091</v>
      </c>
      <c r="Z11" s="1" t="n">
        <f aca="false">Z$2*TripTable!Y9</f>
        <v>0</v>
      </c>
      <c r="AA11" s="1" t="n">
        <f aca="false">AA$2*TripTable!Z9</f>
        <v>0</v>
      </c>
      <c r="AB11" s="1" t="n">
        <f aca="false">AB$2*TripTable!AA9</f>
        <v>0.00531780057972292</v>
      </c>
      <c r="AC11" s="1" t="n">
        <f aca="false">AC$2*TripTable!AB9</f>
        <v>0</v>
      </c>
      <c r="AD11" s="1" t="n">
        <f aca="false">AD$2*TripTable!AC9</f>
        <v>0</v>
      </c>
      <c r="AE11" s="1" t="n">
        <f aca="false">AE$2*TripTable!AD9</f>
        <v>0</v>
      </c>
      <c r="AF11" s="1" t="n">
        <f aca="false">AF$2*TripTable!AE9</f>
        <v>0.824441582870631</v>
      </c>
      <c r="AG11" s="1" t="n">
        <f aca="false">AG$2*TripTable!AF9</f>
        <v>70.2389626126117</v>
      </c>
      <c r="AH11" s="1" t="n">
        <f aca="false">AH$2*TripTable!AG9</f>
        <v>0</v>
      </c>
      <c r="AI11" s="1" t="n">
        <f aca="false">AI$2*TripTable!AH9</f>
        <v>78.6418227902819</v>
      </c>
      <c r="AJ11" s="1" t="n">
        <f aca="false">AJ$2*TripTable!AI9</f>
        <v>0.0649829876994634</v>
      </c>
      <c r="AK11" s="1" t="n">
        <f aca="false">AK$2*TripTable!AJ9</f>
        <v>0</v>
      </c>
      <c r="AL11" s="1" t="n">
        <f aca="false">AL$2*TripTable!AK9</f>
        <v>1.15065175056941</v>
      </c>
      <c r="AM11" s="1" t="n">
        <f aca="false">AM$2*TripTable!AL9</f>
        <v>0.0759782565467173</v>
      </c>
      <c r="AN11" s="1" t="n">
        <f aca="false">AN$2*TripTable!AM9</f>
        <v>0.00529904028492617</v>
      </c>
      <c r="AO11" s="1" t="n">
        <f aca="false">AO$2*TripTable!AN9</f>
        <v>40.5910991144992</v>
      </c>
      <c r="AP11" s="1" t="n">
        <f aca="false">AP$2*TripTable!AO9</f>
        <v>0.298928942723822</v>
      </c>
      <c r="AQ11" s="1" t="n">
        <f aca="false">AQ$2*TripTable!AP9</f>
        <v>0</v>
      </c>
      <c r="AR11" s="1" t="n">
        <f aca="false">AR$2*TripTable!AQ9</f>
        <v>0</v>
      </c>
      <c r="AS11" s="1" t="n">
        <f aca="false">AS$2*TripTable!AR9</f>
        <v>0.00150813428270964</v>
      </c>
      <c r="AT11" s="1" t="n">
        <f aca="false">AT$2*TripTable!AS9</f>
        <v>0.668181650976725</v>
      </c>
      <c r="AU11" s="1" t="n">
        <f aca="false">AU$2*TripTable!AT9</f>
        <v>0.00124597239423563</v>
      </c>
      <c r="AV11" s="1" t="n">
        <f aca="false">AV$2*TripTable!AU9</f>
        <v>0</v>
      </c>
      <c r="AW11" s="1" t="n">
        <f aca="false">AW$2*TripTable!AV9</f>
        <v>16.9828542300623</v>
      </c>
      <c r="AX11" s="1" t="n">
        <f aca="false">AX$2*TripTable!AW9</f>
        <v>0.165710519546346</v>
      </c>
      <c r="AY11" s="1" t="n">
        <f aca="false">AY$2*TripTable!AX9</f>
        <v>1.57738959178245</v>
      </c>
      <c r="AZ11" s="1" t="n">
        <f aca="false">AZ$2*TripTable!AY9</f>
        <v>3.39997536906733E-005</v>
      </c>
      <c r="BA11" s="1" t="n">
        <f aca="false">BA$2*TripTable!AZ9</f>
        <v>0</v>
      </c>
      <c r="BB11" s="1" t="n">
        <f aca="false">SUM(C11:BA11)</f>
        <v>267.632675709682</v>
      </c>
      <c r="BC11" s="2" t="n">
        <f aca="false">BB11/TripTable!BA9</f>
        <v>0.121540724663797</v>
      </c>
    </row>
    <row r="12" customFormat="false" ht="12.75" hidden="false" customHeight="false" outlineLevel="0" collapsed="false">
      <c r="A12" s="0" t="s">
        <v>9</v>
      </c>
      <c r="B12" s="1" t="n">
        <v>0</v>
      </c>
      <c r="C12" s="1" t="n">
        <f aca="false">C$2*TripTable!B10</f>
        <v>0</v>
      </c>
      <c r="D12" s="1" t="n">
        <f aca="false">D$2*TripTable!C10</f>
        <v>0.0628874080123128</v>
      </c>
      <c r="E12" s="1" t="n">
        <f aca="false">E$2*TripTable!D10</f>
        <v>0</v>
      </c>
      <c r="F12" s="1" t="n">
        <f aca="false">F$2*TripTable!E10</f>
        <v>0</v>
      </c>
      <c r="G12" s="1" t="n">
        <f aca="false">G$2*TripTable!F10</f>
        <v>1.96616148391408</v>
      </c>
      <c r="H12" s="1" t="n">
        <f aca="false">H$2*TripTable!G10</f>
        <v>0.0709866646547334</v>
      </c>
      <c r="I12" s="1" t="n">
        <f aca="false">I$2*TripTable!H10</f>
        <v>0.0114349745514439</v>
      </c>
      <c r="J12" s="1" t="n">
        <f aca="false">J$2*TripTable!I10</f>
        <v>26.0167749103043</v>
      </c>
      <c r="K12" s="1" t="n">
        <f aca="false">K$2*TripTable!J10</f>
        <v>0</v>
      </c>
      <c r="L12" s="1" t="n">
        <f aca="false">L$2*TripTable!K10</f>
        <v>8.09468968341628</v>
      </c>
      <c r="M12" s="1" t="n">
        <f aca="false">M$2*TripTable!L10</f>
        <v>0.200919795554669</v>
      </c>
      <c r="N12" s="1" t="n">
        <f aca="false">N$2*TripTable!M10</f>
        <v>0</v>
      </c>
      <c r="O12" s="1" t="n">
        <f aca="false">O$2*TripTable!N10</f>
        <v>0.00107334901207605</v>
      </c>
      <c r="P12" s="1" t="n">
        <f aca="false">P$2*TripTable!O10</f>
        <v>0</v>
      </c>
      <c r="Q12" s="1" t="n">
        <f aca="false">Q$2*TripTable!P10</f>
        <v>1.11002432998976</v>
      </c>
      <c r="R12" s="1" t="n">
        <f aca="false">R$2*TripTable!Q10</f>
        <v>0.0851459063486116</v>
      </c>
      <c r="S12" s="1" t="n">
        <f aca="false">S$2*TripTable!R10</f>
        <v>0.258256090176534</v>
      </c>
      <c r="T12" s="1" t="n">
        <f aca="false">T$2*TripTable!S10</f>
        <v>0.0760795469926246</v>
      </c>
      <c r="U12" s="1" t="n">
        <f aca="false">U$2*TripTable!T10</f>
        <v>0.499527393526272</v>
      </c>
      <c r="V12" s="1" t="n">
        <f aca="false">V$2*TripTable!U10</f>
        <v>1.78650141225075</v>
      </c>
      <c r="W12" s="1" t="n">
        <f aca="false">W$2*TripTable!V10</f>
        <v>3.16160622663149</v>
      </c>
      <c r="X12" s="1" t="n">
        <f aca="false">X$2*TripTable!W10</f>
        <v>9.56292308739572</v>
      </c>
      <c r="Y12" s="1" t="n">
        <f aca="false">Y$2*TripTable!X10</f>
        <v>0.110818156705669</v>
      </c>
      <c r="Z12" s="1" t="n">
        <f aca="false">Z$2*TripTable!Y10</f>
        <v>0</v>
      </c>
      <c r="AA12" s="1" t="n">
        <f aca="false">AA$2*TripTable!Z10</f>
        <v>0</v>
      </c>
      <c r="AB12" s="1" t="n">
        <f aca="false">AB$2*TripTable!AA10</f>
        <v>0.00835654376813602</v>
      </c>
      <c r="AC12" s="1" t="n">
        <f aca="false">AC$2*TripTable!AB10</f>
        <v>0</v>
      </c>
      <c r="AD12" s="1" t="n">
        <f aca="false">AD$2*TripTable!AC10</f>
        <v>0.00399016617111377</v>
      </c>
      <c r="AE12" s="1" t="n">
        <f aca="false">AE$2*TripTable!AD10</f>
        <v>0</v>
      </c>
      <c r="AF12" s="1" t="n">
        <f aca="false">AF$2*TripTable!AE10</f>
        <v>1.05999632083367</v>
      </c>
      <c r="AG12" s="1" t="n">
        <f aca="false">AG$2*TripTable!AF10</f>
        <v>35.8027396974791</v>
      </c>
      <c r="AH12" s="1" t="n">
        <f aca="false">AH$2*TripTable!AG10</f>
        <v>0</v>
      </c>
      <c r="AI12" s="1" t="n">
        <f aca="false">AI$2*TripTable!AH10</f>
        <v>122.110509649045</v>
      </c>
      <c r="AJ12" s="1" t="n">
        <f aca="false">AJ$2*TripTable!AI10</f>
        <v>0.110766456305904</v>
      </c>
      <c r="AK12" s="1" t="n">
        <f aca="false">AK$2*TripTable!AJ10</f>
        <v>0</v>
      </c>
      <c r="AL12" s="1" t="n">
        <f aca="false">AL$2*TripTable!AK10</f>
        <v>1.28215480777734</v>
      </c>
      <c r="AM12" s="1" t="n">
        <f aca="false">AM$2*TripTable!AL10</f>
        <v>0.0759782565467173</v>
      </c>
      <c r="AN12" s="1" t="n">
        <f aca="false">AN$2*TripTable!AM10</f>
        <v>0.0264952014246309</v>
      </c>
      <c r="AO12" s="1" t="n">
        <f aca="false">AO$2*TripTable!AN10</f>
        <v>27.021740332707</v>
      </c>
      <c r="AP12" s="1" t="n">
        <f aca="false">AP$2*TripTable!AO10</f>
        <v>0.149464471361911</v>
      </c>
      <c r="AQ12" s="1" t="n">
        <f aca="false">AQ$2*TripTable!AP10</f>
        <v>0</v>
      </c>
      <c r="AR12" s="1" t="n">
        <f aca="false">AR$2*TripTable!AQ10</f>
        <v>0</v>
      </c>
      <c r="AS12" s="1" t="n">
        <f aca="false">AS$2*TripTable!AR10</f>
        <v>0.000928082635513625</v>
      </c>
      <c r="AT12" s="1" t="n">
        <f aca="false">AT$2*TripTable!AS10</f>
        <v>1.11363608496121</v>
      </c>
      <c r="AU12" s="1" t="n">
        <f aca="false">AU$2*TripTable!AT10</f>
        <v>0.00124597239423563</v>
      </c>
      <c r="AV12" s="1" t="n">
        <f aca="false">AV$2*TripTable!AU10</f>
        <v>0</v>
      </c>
      <c r="AW12" s="1" t="n">
        <f aca="false">AW$2*TripTable!AV10</f>
        <v>12.1904323514419</v>
      </c>
      <c r="AX12" s="1" t="n">
        <f aca="false">AX$2*TripTable!AW10</f>
        <v>0.538559188525626</v>
      </c>
      <c r="AY12" s="1" t="n">
        <f aca="false">AY$2*TripTable!AX10</f>
        <v>4.20637224475319</v>
      </c>
      <c r="AZ12" s="1" t="n">
        <f aca="false">AZ$2*TripTable!AY10</f>
        <v>4.53330049208977E-005</v>
      </c>
      <c r="BA12" s="1" t="n">
        <f aca="false">BA$2*TripTable!AZ10</f>
        <v>0</v>
      </c>
      <c r="BB12" s="1" t="n">
        <f aca="false">SUM(C12:BA12)</f>
        <v>258.779221580575</v>
      </c>
      <c r="BC12" s="2" t="n">
        <f aca="false">BB12/TripTable!BA10</f>
        <v>0.118978952450839</v>
      </c>
    </row>
    <row r="13" customFormat="false" ht="12.75" hidden="false" customHeight="false" outlineLevel="0" collapsed="false">
      <c r="A13" s="0" t="s">
        <v>10</v>
      </c>
      <c r="B13" s="1" t="n">
        <v>0.0778335546482334</v>
      </c>
      <c r="C13" s="1" t="n">
        <f aca="false">C$2*TripTable!B11</f>
        <v>0</v>
      </c>
      <c r="D13" s="1" t="n">
        <f aca="false">D$2*TripTable!C11</f>
        <v>5.21965486502196</v>
      </c>
      <c r="E13" s="1" t="n">
        <f aca="false">E$2*TripTable!D11</f>
        <v>0</v>
      </c>
      <c r="F13" s="1" t="n">
        <f aca="false">F$2*TripTable!E11</f>
        <v>0</v>
      </c>
      <c r="G13" s="1" t="n">
        <f aca="false">G$2*TripTable!F11</f>
        <v>14.143677771382</v>
      </c>
      <c r="H13" s="1" t="n">
        <f aca="false">H$2*TripTable!G11</f>
        <v>0.647753314974442</v>
      </c>
      <c r="I13" s="1" t="n">
        <f aca="false">I$2*TripTable!H11</f>
        <v>0.0639319031739817</v>
      </c>
      <c r="J13" s="1" t="n">
        <f aca="false">J$2*TripTable!I11</f>
        <v>13.3872725266614</v>
      </c>
      <c r="K13" s="1" t="n">
        <f aca="false">K$2*TripTable!J11</f>
        <v>0</v>
      </c>
      <c r="L13" s="1" t="n">
        <f aca="false">L$2*TripTable!K11</f>
        <v>1874.46549659341</v>
      </c>
      <c r="M13" s="1" t="n">
        <f aca="false">M$2*TripTable!L11</f>
        <v>13.8216076025316</v>
      </c>
      <c r="N13" s="1" t="n">
        <f aca="false">N$2*TripTable!M11</f>
        <v>0</v>
      </c>
      <c r="O13" s="1" t="n">
        <f aca="false">O$2*TripTable!N11</f>
        <v>0.0161002351811408</v>
      </c>
      <c r="P13" s="1" t="n">
        <f aca="false">P$2*TripTable!O11</f>
        <v>0</v>
      </c>
      <c r="Q13" s="1" t="n">
        <f aca="false">Q$2*TripTable!P11</f>
        <v>23.310510929785</v>
      </c>
      <c r="R13" s="1" t="n">
        <f aca="false">R$2*TripTable!Q11</f>
        <v>3.10782558172432</v>
      </c>
      <c r="S13" s="1" t="n">
        <f aca="false">S$2*TripTable!R11</f>
        <v>3.35732917229494</v>
      </c>
      <c r="T13" s="1" t="n">
        <f aca="false">T$2*TripTable!S11</f>
        <v>2.71350384273694</v>
      </c>
      <c r="U13" s="1" t="n">
        <f aca="false">U$2*TripTable!T11</f>
        <v>20.8626146708031</v>
      </c>
      <c r="V13" s="1" t="n">
        <f aca="false">V$2*TripTable!U11</f>
        <v>7.14600564900299</v>
      </c>
      <c r="W13" s="1" t="n">
        <f aca="false">W$2*TripTable!V11</f>
        <v>13.3490040679996</v>
      </c>
      <c r="X13" s="1" t="n">
        <f aca="false">X$2*TripTable!W11</f>
        <v>34.9254582322278</v>
      </c>
      <c r="Y13" s="1" t="n">
        <f aca="false">Y$2*TripTable!X11</f>
        <v>4.10765967522346</v>
      </c>
      <c r="Z13" s="1" t="n">
        <f aca="false">Z$2*TripTable!Y11</f>
        <v>0</v>
      </c>
      <c r="AA13" s="1" t="n">
        <f aca="false">AA$2*TripTable!Z11</f>
        <v>0</v>
      </c>
      <c r="AB13" s="1" t="n">
        <f aca="false">AB$2*TripTable!AA11</f>
        <v>0.164092132174307</v>
      </c>
      <c r="AC13" s="1" t="n">
        <f aca="false">AC$2*TripTable!AB11</f>
        <v>0</v>
      </c>
      <c r="AD13" s="1" t="n">
        <f aca="false">AD$2*TripTable!AC11</f>
        <v>0.0678328249089341</v>
      </c>
      <c r="AE13" s="1" t="n">
        <f aca="false">AE$2*TripTable!AD11</f>
        <v>0</v>
      </c>
      <c r="AF13" s="1" t="n">
        <f aca="false">AF$2*TripTable!AE11</f>
        <v>7.5377516148172</v>
      </c>
      <c r="AG13" s="1" t="n">
        <f aca="false">AG$2*TripTable!AF11</f>
        <v>180.106911913273</v>
      </c>
      <c r="AH13" s="1" t="n">
        <f aca="false">AH$2*TripTable!AG11</f>
        <v>0</v>
      </c>
      <c r="AI13" s="1" t="n">
        <f aca="false">AI$2*TripTable!AH11</f>
        <v>492.423903041259</v>
      </c>
      <c r="AJ13" s="1" t="n">
        <f aca="false">AJ$2*TripTable!AI11</f>
        <v>0.906069612582291</v>
      </c>
      <c r="AK13" s="1" t="n">
        <f aca="false">AK$2*TripTable!AJ11</f>
        <v>0</v>
      </c>
      <c r="AL13" s="1" t="n">
        <f aca="false">AL$2*TripTable!AK11</f>
        <v>21.467874089195</v>
      </c>
      <c r="AM13" s="1" t="n">
        <f aca="false">AM$2*TripTable!AL11</f>
        <v>1.59554338748106</v>
      </c>
      <c r="AN13" s="1" t="n">
        <f aca="false">AN$2*TripTable!AM11</f>
        <v>0.29144721567094</v>
      </c>
      <c r="AO13" s="1" t="n">
        <f aca="false">AO$2*TripTable!AN11</f>
        <v>48.0776418906604</v>
      </c>
      <c r="AP13" s="1" t="n">
        <f aca="false">AP$2*TripTable!AO11</f>
        <v>0.859420710330988</v>
      </c>
      <c r="AQ13" s="1" t="n">
        <f aca="false">AQ$2*TripTable!AP11</f>
        <v>0</v>
      </c>
      <c r="AR13" s="1" t="n">
        <f aca="false">AR$2*TripTable!AQ11</f>
        <v>0</v>
      </c>
      <c r="AS13" s="1" t="n">
        <f aca="false">AS$2*TripTable!AR11</f>
        <v>0.0353251453142373</v>
      </c>
      <c r="AT13" s="1" t="n">
        <f aca="false">AT$2*TripTable!AS11</f>
        <v>11.6560576892606</v>
      </c>
      <c r="AU13" s="1" t="n">
        <f aca="false">AU$2*TripTable!AT11</f>
        <v>0.118367377452385</v>
      </c>
      <c r="AV13" s="1" t="n">
        <f aca="false">AV$2*TripTable!AU11</f>
        <v>0</v>
      </c>
      <c r="AW13" s="1" t="n">
        <f aca="false">AW$2*TripTable!AV11</f>
        <v>12.3300174547027</v>
      </c>
      <c r="AX13" s="1" t="n">
        <f aca="false">AX$2*TripTable!AW11</f>
        <v>3.93562483922573</v>
      </c>
      <c r="AY13" s="1" t="n">
        <f aca="false">AY$2*TripTable!AX11</f>
        <v>8.1498462242093</v>
      </c>
      <c r="AZ13" s="1" t="n">
        <f aca="false">AZ$2*TripTable!AY11</f>
        <v>0.00219865073866354</v>
      </c>
      <c r="BA13" s="1" t="n">
        <f aca="false">BA$2*TripTable!AZ11</f>
        <v>0</v>
      </c>
      <c r="BB13" s="1" t="n">
        <f aca="false">SUM(C13:BA13)</f>
        <v>2824.37133244739</v>
      </c>
      <c r="BC13" s="2" t="n">
        <f aca="false">BB13/TripTable!BA11</f>
        <v>0.0662997965363236</v>
      </c>
    </row>
    <row r="14" customFormat="false" ht="12.75" hidden="false" customHeight="false" outlineLevel="0" collapsed="false">
      <c r="A14" s="0" t="s">
        <v>11</v>
      </c>
      <c r="B14" s="1" t="n">
        <v>0.0041858290740556</v>
      </c>
      <c r="C14" s="1" t="n">
        <f aca="false">C$2*TripTable!B12</f>
        <v>0</v>
      </c>
      <c r="D14" s="1" t="n">
        <f aca="false">D$2*TripTable!C12</f>
        <v>1.25774816024626</v>
      </c>
      <c r="E14" s="1" t="n">
        <f aca="false">E$2*TripTable!D12</f>
        <v>0</v>
      </c>
      <c r="F14" s="1" t="n">
        <f aca="false">F$2*TripTable!E12</f>
        <v>0</v>
      </c>
      <c r="G14" s="1" t="n">
        <f aca="false">G$2*TripTable!F12</f>
        <v>6.46930552771731</v>
      </c>
      <c r="H14" s="1" t="n">
        <f aca="false">H$2*TripTable!G12</f>
        <v>0.251411103985514</v>
      </c>
      <c r="I14" s="1" t="n">
        <f aca="false">I$2*TripTable!H12</f>
        <v>0.0200112054650268</v>
      </c>
      <c r="J14" s="1" t="n">
        <f aca="false">J$2*TripTable!I12</f>
        <v>1.26295023836428</v>
      </c>
      <c r="K14" s="1" t="n">
        <f aca="false">K$2*TripTable!J12</f>
        <v>0</v>
      </c>
      <c r="L14" s="1" t="n">
        <f aca="false">L$2*TripTable!K12</f>
        <v>355.54367763313</v>
      </c>
      <c r="M14" s="1" t="n">
        <f aca="false">M$2*TripTable!L12</f>
        <v>39.5477130916773</v>
      </c>
      <c r="N14" s="1" t="n">
        <f aca="false">N$2*TripTable!M12</f>
        <v>0</v>
      </c>
      <c r="O14" s="1" t="n">
        <f aca="false">O$2*TripTable!N12</f>
        <v>0.0085867920966084</v>
      </c>
      <c r="P14" s="1" t="n">
        <f aca="false">P$2*TripTable!O12</f>
        <v>0</v>
      </c>
      <c r="Q14" s="1" t="n">
        <f aca="false">Q$2*TripTable!P12</f>
        <v>17.2978791423404</v>
      </c>
      <c r="R14" s="1" t="n">
        <f aca="false">R$2*TripTable!Q12</f>
        <v>0.723740203963199</v>
      </c>
      <c r="S14" s="1" t="n">
        <f aca="false">S$2*TripTable!R12</f>
        <v>0.581076202897201</v>
      </c>
      <c r="T14" s="1" t="n">
        <f aca="false">T$2*TripTable!S12</f>
        <v>2.2992929757771</v>
      </c>
      <c r="U14" s="1" t="n">
        <f aca="false">U$2*TripTable!T12</f>
        <v>8.31566190399617</v>
      </c>
      <c r="V14" s="1" t="n">
        <f aca="false">V$2*TripTable!U12</f>
        <v>4.41370937144303</v>
      </c>
      <c r="W14" s="1" t="n">
        <f aca="false">W$2*TripTable!V12</f>
        <v>7.79862869235768</v>
      </c>
      <c r="X14" s="1" t="n">
        <f aca="false">X$2*TripTable!W12</f>
        <v>9.66686790356306</v>
      </c>
      <c r="Y14" s="1" t="n">
        <f aca="false">Y$2*TripTable!X12</f>
        <v>1.91346017245121</v>
      </c>
      <c r="Z14" s="1" t="n">
        <f aca="false">Z$2*TripTable!Y12</f>
        <v>0</v>
      </c>
      <c r="AA14" s="1" t="n">
        <f aca="false">AA$2*TripTable!Z12</f>
        <v>0</v>
      </c>
      <c r="AB14" s="1" t="n">
        <f aca="false">AB$2*TripTable!AA12</f>
        <v>0.16940993275403</v>
      </c>
      <c r="AC14" s="1" t="n">
        <f aca="false">AC$2*TripTable!AB12</f>
        <v>0</v>
      </c>
      <c r="AD14" s="1" t="n">
        <f aca="false">AD$2*TripTable!AC12</f>
        <v>0.101749237363401</v>
      </c>
      <c r="AE14" s="1" t="n">
        <f aca="false">AE$2*TripTable!AD12</f>
        <v>0</v>
      </c>
      <c r="AF14" s="1" t="n">
        <f aca="false">AF$2*TripTable!AE12</f>
        <v>0.117777368981519</v>
      </c>
      <c r="AG14" s="1" t="n">
        <f aca="false">AG$2*TripTable!AF12</f>
        <v>48.1013907385979</v>
      </c>
      <c r="AH14" s="1" t="n">
        <f aca="false">AH$2*TripTable!AG12</f>
        <v>0</v>
      </c>
      <c r="AI14" s="1" t="n">
        <f aca="false">AI$2*TripTable!AH12</f>
        <v>90.2555940884247</v>
      </c>
      <c r="AJ14" s="1" t="n">
        <f aca="false">AJ$2*TripTable!AI12</f>
        <v>1.144586715161</v>
      </c>
      <c r="AK14" s="1" t="n">
        <f aca="false">AK$2*TripTable!AJ12</f>
        <v>0</v>
      </c>
      <c r="AL14" s="1" t="n">
        <f aca="false">AL$2*TripTable!AK12</f>
        <v>12.0325297345258</v>
      </c>
      <c r="AM14" s="1" t="n">
        <f aca="false">AM$2*TripTable!AL12</f>
        <v>1.21565210474748</v>
      </c>
      <c r="AN14" s="1" t="n">
        <f aca="false">AN$2*TripTable!AM12</f>
        <v>0.0953827251286711</v>
      </c>
      <c r="AO14" s="1" t="n">
        <f aca="false">AO$2*TripTable!AN12</f>
        <v>19.1842658639132</v>
      </c>
      <c r="AP14" s="1" t="n">
        <f aca="false">AP$2*TripTable!AO12</f>
        <v>0.149464471361911</v>
      </c>
      <c r="AQ14" s="1" t="n">
        <f aca="false">AQ$2*TripTable!AP12</f>
        <v>0</v>
      </c>
      <c r="AR14" s="1" t="n">
        <f aca="false">AR$2*TripTable!AQ12</f>
        <v>0</v>
      </c>
      <c r="AS14" s="1" t="n">
        <f aca="false">AS$2*TripTable!AR12</f>
        <v>0.142344674221902</v>
      </c>
      <c r="AT14" s="1" t="n">
        <f aca="false">AT$2*TripTable!AS12</f>
        <v>9.23080577090068</v>
      </c>
      <c r="AU14" s="1" t="n">
        <f aca="false">AU$2*TripTable!AT12</f>
        <v>0.0224275030962414</v>
      </c>
      <c r="AV14" s="1" t="n">
        <f aca="false">AV$2*TripTable!AU12</f>
        <v>0</v>
      </c>
      <c r="AW14" s="1" t="n">
        <f aca="false">AW$2*TripTable!AV12</f>
        <v>20.2398399728139</v>
      </c>
      <c r="AX14" s="1" t="n">
        <f aca="false">AX$2*TripTable!AW12</f>
        <v>1.57424993569029</v>
      </c>
      <c r="AY14" s="1" t="n">
        <f aca="false">AY$2*TripTable!AX12</f>
        <v>8.34701992318211</v>
      </c>
      <c r="AZ14" s="1" t="n">
        <f aca="false">AZ$2*TripTable!AY12</f>
        <v>0.000260664778295162</v>
      </c>
      <c r="BA14" s="1" t="n">
        <f aca="false">BA$2*TripTable!AZ12</f>
        <v>0</v>
      </c>
      <c r="BB14" s="1" t="n">
        <f aca="false">SUM(C14:BA14)</f>
        <v>669.496471747115</v>
      </c>
      <c r="BC14" s="2" t="n">
        <f aca="false">BB14/TripTable!BA12</f>
        <v>0.0243055535214055</v>
      </c>
    </row>
    <row r="15" customFormat="false" ht="12.75" hidden="false" customHeight="false" outlineLevel="0" collapsed="false">
      <c r="A15" s="0" t="s">
        <v>12</v>
      </c>
      <c r="B15" s="1" t="n">
        <v>0</v>
      </c>
      <c r="C15" s="1" t="n">
        <f aca="false">C$2*TripTable!B13</f>
        <v>0</v>
      </c>
      <c r="D15" s="1" t="n">
        <f aca="false">D$2*TripTable!C13</f>
        <v>0.628874080123128</v>
      </c>
      <c r="E15" s="1" t="n">
        <f aca="false">E$2*TripTable!D13</f>
        <v>0</v>
      </c>
      <c r="F15" s="1" t="n">
        <f aca="false">F$2*TripTable!E13</f>
        <v>0</v>
      </c>
      <c r="G15" s="1" t="n">
        <f aca="false">G$2*TripTable!F13</f>
        <v>4.439719479806</v>
      </c>
      <c r="H15" s="1" t="n">
        <f aca="false">H$2*TripTable!G13</f>
        <v>0.0473244431031556</v>
      </c>
      <c r="I15" s="1" t="n">
        <f aca="false">I$2*TripTable!H13</f>
        <v>0</v>
      </c>
      <c r="J15" s="1" t="n">
        <f aca="false">J$2*TripTable!I13</f>
        <v>0.252590047672857</v>
      </c>
      <c r="K15" s="1" t="n">
        <f aca="false">K$2*TripTable!J13</f>
        <v>0</v>
      </c>
      <c r="L15" s="1" t="n">
        <f aca="false">L$2*TripTable!K13</f>
        <v>2.17933953015054</v>
      </c>
      <c r="M15" s="1" t="n">
        <f aca="false">M$2*TripTable!L13</f>
        <v>0.0167433162962224</v>
      </c>
      <c r="N15" s="1" t="n">
        <f aca="false">N$2*TripTable!M13</f>
        <v>0</v>
      </c>
      <c r="O15" s="1" t="n">
        <f aca="false">O$2*TripTable!N13</f>
        <v>0.0042933960483042</v>
      </c>
      <c r="P15" s="1" t="n">
        <f aca="false">P$2*TripTable!O13</f>
        <v>0</v>
      </c>
      <c r="Q15" s="1" t="n">
        <f aca="false">Q$2*TripTable!P13</f>
        <v>0.832518247492321</v>
      </c>
      <c r="R15" s="1" t="n">
        <f aca="false">R$2*TripTable!Q13</f>
        <v>0.0425729531743058</v>
      </c>
      <c r="S15" s="1" t="n">
        <f aca="false">S$2*TripTable!R13</f>
        <v>0.0645640225441334</v>
      </c>
      <c r="T15" s="1" t="n">
        <f aca="false">T$2*TripTable!S13</f>
        <v>0.016906565998361</v>
      </c>
      <c r="U15" s="1" t="n">
        <f aca="false">U$2*TripTable!T13</f>
        <v>0.117535857300299</v>
      </c>
      <c r="V15" s="1" t="n">
        <f aca="false">V$2*TripTable!U13</f>
        <v>0.315264955103073</v>
      </c>
      <c r="W15" s="1" t="n">
        <f aca="false">W$2*TripTable!V13</f>
        <v>0.491805413031565</v>
      </c>
      <c r="X15" s="1" t="n">
        <f aca="false">X$2*TripTable!W13</f>
        <v>0.623668897004069</v>
      </c>
      <c r="Y15" s="1" t="n">
        <f aca="false">Y$2*TripTable!X13</f>
        <v>0.0221636313411338</v>
      </c>
      <c r="Z15" s="1" t="n">
        <f aca="false">Z$2*TripTable!Y13</f>
        <v>0</v>
      </c>
      <c r="AA15" s="1" t="n">
        <f aca="false">AA$2*TripTable!Z13</f>
        <v>0</v>
      </c>
      <c r="AB15" s="1" t="n">
        <f aca="false">AB$2*TripTable!AA13</f>
        <v>0.00151937159420655</v>
      </c>
      <c r="AC15" s="1" t="n">
        <f aca="false">AC$2*TripTable!AB13</f>
        <v>0</v>
      </c>
      <c r="AD15" s="1" t="n">
        <f aca="false">AD$2*TripTable!AC13</f>
        <v>0.00199508308555689</v>
      </c>
      <c r="AE15" s="1" t="n">
        <f aca="false">AE$2*TripTable!AD13</f>
        <v>0</v>
      </c>
      <c r="AF15" s="1" t="n">
        <f aca="false">AF$2*TripTable!AE13</f>
        <v>0</v>
      </c>
      <c r="AG15" s="1" t="n">
        <f aca="false">AG$2*TripTable!AF13</f>
        <v>1.63982013881584</v>
      </c>
      <c r="AH15" s="1" t="n">
        <f aca="false">AH$2*TripTable!AG13</f>
        <v>0</v>
      </c>
      <c r="AI15" s="1" t="n">
        <f aca="false">AI$2*TripTable!AH13</f>
        <v>5.30915259343675</v>
      </c>
      <c r="AJ15" s="1" t="n">
        <f aca="false">AJ$2*TripTable!AI13</f>
        <v>0.00369221521019679</v>
      </c>
      <c r="AK15" s="1" t="n">
        <f aca="false">AK$2*TripTable!AJ13</f>
        <v>0</v>
      </c>
      <c r="AL15" s="1" t="n">
        <f aca="false">AL$2*TripTable!AK13</f>
        <v>0.295881878717848</v>
      </c>
      <c r="AM15" s="1" t="n">
        <f aca="false">AM$2*TripTable!AL13</f>
        <v>0</v>
      </c>
      <c r="AN15" s="1" t="n">
        <f aca="false">AN$2*TripTable!AM13</f>
        <v>0.0423923222794094</v>
      </c>
      <c r="AO15" s="1" t="n">
        <f aca="false">AO$2*TripTable!AN13</f>
        <v>1.75465846316279</v>
      </c>
      <c r="AP15" s="1" t="n">
        <f aca="false">AP$2*TripTable!AO13</f>
        <v>0</v>
      </c>
      <c r="AQ15" s="1" t="n">
        <f aca="false">AQ$2*TripTable!AP13</f>
        <v>0</v>
      </c>
      <c r="AR15" s="1" t="n">
        <f aca="false">AR$2*TripTable!AQ13</f>
        <v>0</v>
      </c>
      <c r="AS15" s="1" t="n">
        <f aca="false">AS$2*TripTable!AR13</f>
        <v>5.80051647196015E-005</v>
      </c>
      <c r="AT15" s="1" t="n">
        <f aca="false">AT$2*TripTable!AS13</f>
        <v>0.643434182422031</v>
      </c>
      <c r="AU15" s="1" t="n">
        <f aca="false">AU$2*TripTable!AT13</f>
        <v>0.00685284816829598</v>
      </c>
      <c r="AV15" s="1" t="n">
        <f aca="false">AV$2*TripTable!AU13</f>
        <v>0</v>
      </c>
      <c r="AW15" s="1" t="n">
        <f aca="false">AW$2*TripTable!AV13</f>
        <v>0.465283677535952</v>
      </c>
      <c r="AX15" s="1" t="n">
        <f aca="false">AX$2*TripTable!AW13</f>
        <v>2.31994727364885</v>
      </c>
      <c r="AY15" s="1" t="n">
        <f aca="false">AY$2*TripTable!AX13</f>
        <v>0.0657245663242686</v>
      </c>
      <c r="AZ15" s="1" t="n">
        <f aca="false">AZ$2*TripTable!AY13</f>
        <v>3.39997536906733E-005</v>
      </c>
      <c r="BA15" s="1" t="n">
        <f aca="false">BA$2*TripTable!AZ13</f>
        <v>0</v>
      </c>
      <c r="BB15" s="1" t="n">
        <f aca="false">SUM(C15:BA15)</f>
        <v>22.6463314555099</v>
      </c>
      <c r="BC15" s="2" t="n">
        <f aca="false">BB15/TripTable!BA13</f>
        <v>0.0109138946773541</v>
      </c>
    </row>
    <row r="16" customFormat="false" ht="12.75" hidden="false" customHeight="false" outlineLevel="0" collapsed="false">
      <c r="A16" s="0" t="s">
        <v>13</v>
      </c>
      <c r="B16" s="1" t="n">
        <v>0.00107334901207605</v>
      </c>
      <c r="C16" s="1" t="n">
        <f aca="false">C$2*TripTable!B14</f>
        <v>0</v>
      </c>
      <c r="D16" s="1" t="n">
        <f aca="false">D$2*TripTable!C14</f>
        <v>0.943311120184692</v>
      </c>
      <c r="E16" s="1" t="n">
        <f aca="false">E$2*TripTable!D14</f>
        <v>0</v>
      </c>
      <c r="F16" s="1" t="n">
        <f aca="false">F$2*TripTable!E14</f>
        <v>0</v>
      </c>
      <c r="G16" s="1" t="n">
        <f aca="false">G$2*TripTable!F14</f>
        <v>6.97670203969514</v>
      </c>
      <c r="H16" s="1" t="n">
        <f aca="false">H$2*TripTable!G14</f>
        <v>0.242537770903672</v>
      </c>
      <c r="I16" s="1" t="n">
        <f aca="false">I$2*TripTable!H14</f>
        <v>0.000779657355780265</v>
      </c>
      <c r="J16" s="1" t="n">
        <f aca="false">J$2*TripTable!I14</f>
        <v>0.252590047672857</v>
      </c>
      <c r="K16" s="1" t="n">
        <f aca="false">K$2*TripTable!J14</f>
        <v>0</v>
      </c>
      <c r="L16" s="1" t="n">
        <f aca="false">L$2*TripTable!K14</f>
        <v>1.79017175690937</v>
      </c>
      <c r="M16" s="1" t="n">
        <f aca="false">M$2*TripTable!L14</f>
        <v>0.0167433162962224</v>
      </c>
      <c r="N16" s="1" t="n">
        <f aca="false">N$2*TripTable!M14</f>
        <v>0</v>
      </c>
      <c r="O16" s="1" t="n">
        <f aca="false">O$2*TripTable!N14</f>
        <v>3.30269491015801</v>
      </c>
      <c r="P16" s="1" t="n">
        <f aca="false">P$2*TripTable!O14</f>
        <v>0</v>
      </c>
      <c r="Q16" s="1" t="n">
        <f aca="false">Q$2*TripTable!P14</f>
        <v>0.555012164994881</v>
      </c>
      <c r="R16" s="1" t="n">
        <f aca="false">R$2*TripTable!Q14</f>
        <v>0.681167250788893</v>
      </c>
      <c r="S16" s="1" t="n">
        <f aca="false">S$2*TripTable!R14</f>
        <v>0.322820112720667</v>
      </c>
      <c r="T16" s="1" t="n">
        <f aca="false">T$2*TripTable!S14</f>
        <v>0.016906565998361</v>
      </c>
      <c r="U16" s="1" t="n">
        <f aca="false">U$2*TripTable!T14</f>
        <v>0.235071714600599</v>
      </c>
      <c r="V16" s="1" t="n">
        <f aca="false">V$2*TripTable!U14</f>
        <v>0</v>
      </c>
      <c r="W16" s="1" t="n">
        <f aca="false">W$2*TripTable!V14</f>
        <v>0.210773748442099</v>
      </c>
      <c r="X16" s="1" t="n">
        <f aca="false">X$2*TripTable!W14</f>
        <v>0.831558529338758</v>
      </c>
      <c r="Y16" s="1" t="n">
        <f aca="false">Y$2*TripTable!X14</f>
        <v>0.0664908940234013</v>
      </c>
      <c r="Z16" s="1" t="n">
        <f aca="false">Z$2*TripTable!Y14</f>
        <v>0</v>
      </c>
      <c r="AA16" s="1" t="n">
        <f aca="false">AA$2*TripTable!Z14</f>
        <v>0</v>
      </c>
      <c r="AB16" s="1" t="n">
        <f aca="false">AB$2*TripTable!AA14</f>
        <v>0.0121549727536524</v>
      </c>
      <c r="AC16" s="1" t="n">
        <f aca="false">AC$2*TripTable!AB14</f>
        <v>0</v>
      </c>
      <c r="AD16" s="1" t="n">
        <f aca="false">AD$2*TripTable!AC14</f>
        <v>0.0339164124544671</v>
      </c>
      <c r="AE16" s="1" t="n">
        <f aca="false">AE$2*TripTable!AD14</f>
        <v>0</v>
      </c>
      <c r="AF16" s="1" t="n">
        <f aca="false">AF$2*TripTable!AE14</f>
        <v>0.117777368981519</v>
      </c>
      <c r="AG16" s="1" t="n">
        <f aca="false">AG$2*TripTable!AF14</f>
        <v>0.819910069407919</v>
      </c>
      <c r="AH16" s="1" t="n">
        <f aca="false">AH$2*TripTable!AG14</f>
        <v>0</v>
      </c>
      <c r="AI16" s="1" t="n">
        <f aca="false">AI$2*TripTable!AH14</f>
        <v>2.98639833380817</v>
      </c>
      <c r="AJ16" s="1" t="n">
        <f aca="false">AJ$2*TripTable!AI14</f>
        <v>0.00590754433631486</v>
      </c>
      <c r="AK16" s="1" t="n">
        <f aca="false">AK$2*TripTable!AJ14</f>
        <v>0</v>
      </c>
      <c r="AL16" s="1" t="n">
        <f aca="false">AL$2*TripTable!AK14</f>
        <v>0.263006114415865</v>
      </c>
      <c r="AM16" s="1" t="n">
        <f aca="false">AM$2*TripTable!AL14</f>
        <v>0.531847795827021</v>
      </c>
      <c r="AN16" s="1" t="n">
        <f aca="false">AN$2*TripTable!AM14</f>
        <v>2.41106332964141</v>
      </c>
      <c r="AO16" s="1" t="n">
        <f aca="false">AO$2*TripTable!AN14</f>
        <v>1.28674953965271</v>
      </c>
      <c r="AP16" s="1" t="n">
        <f aca="false">AP$2*TripTable!AO14</f>
        <v>0</v>
      </c>
      <c r="AQ16" s="1" t="n">
        <f aca="false">AQ$2*TripTable!AP14</f>
        <v>0</v>
      </c>
      <c r="AR16" s="1" t="n">
        <f aca="false">AR$2*TripTable!AQ14</f>
        <v>0</v>
      </c>
      <c r="AS16" s="1" t="n">
        <f aca="false">AS$2*TripTable!AR14</f>
        <v>0.000348030988317609</v>
      </c>
      <c r="AT16" s="1" t="n">
        <f aca="false">AT$2*TripTable!AS14</f>
        <v>0.717676588086112</v>
      </c>
      <c r="AU16" s="1" t="n">
        <f aca="false">AU$2*TripTable!AT14</f>
        <v>0.63046203148323</v>
      </c>
      <c r="AV16" s="1" t="n">
        <f aca="false">AV$2*TripTable!AU14</f>
        <v>0</v>
      </c>
      <c r="AW16" s="1" t="n">
        <f aca="false">AW$2*TripTable!AV14</f>
        <v>0.186113471014381</v>
      </c>
      <c r="AX16" s="1" t="n">
        <f aca="false">AX$2*TripTable!AW14</f>
        <v>31.2778605643729</v>
      </c>
      <c r="AY16" s="1" t="n">
        <f aca="false">AY$2*TripTable!AX14</f>
        <v>0</v>
      </c>
      <c r="AZ16" s="1" t="n">
        <f aca="false">AZ$2*TripTable!AY14</f>
        <v>0.000158665517223142</v>
      </c>
      <c r="BA16" s="1" t="n">
        <f aca="false">BA$2*TripTable!AZ14</f>
        <v>0</v>
      </c>
      <c r="BB16" s="1" t="n">
        <f aca="false">SUM(C16:BA16)</f>
        <v>57.7266824328246</v>
      </c>
      <c r="BC16" s="2" t="n">
        <f aca="false">BB16/TripTable!BA14</f>
        <v>0.00845812196817943</v>
      </c>
    </row>
    <row r="17" customFormat="false" ht="12.75" hidden="false" customHeight="false" outlineLevel="0" collapsed="false">
      <c r="A17" s="0" t="s">
        <v>14</v>
      </c>
      <c r="B17" s="1" t="n">
        <v>0</v>
      </c>
      <c r="C17" s="1" t="n">
        <f aca="false">C$2*TripTable!B15</f>
        <v>0</v>
      </c>
      <c r="D17" s="1" t="n">
        <f aca="false">D$2*TripTable!C15</f>
        <v>3.14437040061564</v>
      </c>
      <c r="E17" s="1" t="n">
        <f aca="false">E$2*TripTable!D15</f>
        <v>0</v>
      </c>
      <c r="F17" s="1" t="n">
        <f aca="false">F$2*TripTable!E15</f>
        <v>0</v>
      </c>
      <c r="G17" s="1" t="n">
        <f aca="false">G$2*TripTable!F15</f>
        <v>20.4015680857752</v>
      </c>
      <c r="H17" s="1" t="n">
        <f aca="false">H$2*TripTable!G15</f>
        <v>1.08846219137258</v>
      </c>
      <c r="I17" s="1" t="n">
        <f aca="false">I$2*TripTable!H15</f>
        <v>0.00545760149046186</v>
      </c>
      <c r="J17" s="1" t="n">
        <f aca="false">J$2*TripTable!I15</f>
        <v>0</v>
      </c>
      <c r="K17" s="1" t="n">
        <f aca="false">K$2*TripTable!J15</f>
        <v>0</v>
      </c>
      <c r="L17" s="1" t="n">
        <f aca="false">L$2*TripTable!K15</f>
        <v>141.734903014433</v>
      </c>
      <c r="M17" s="1" t="n">
        <f aca="false">M$2*TripTable!L15</f>
        <v>1.29760701295724</v>
      </c>
      <c r="N17" s="1" t="n">
        <f aca="false">N$2*TripTable!M15</f>
        <v>0</v>
      </c>
      <c r="O17" s="1" t="n">
        <f aca="false">O$2*TripTable!N15</f>
        <v>0.0182469332052929</v>
      </c>
      <c r="P17" s="1" t="n">
        <f aca="false">P$2*TripTable!O15</f>
        <v>0</v>
      </c>
      <c r="Q17" s="1" t="n">
        <f aca="false">Q$2*TripTable!P15</f>
        <v>279.078616964926</v>
      </c>
      <c r="R17" s="1" t="n">
        <f aca="false">R$2*TripTable!Q15</f>
        <v>45.38276808381</v>
      </c>
      <c r="S17" s="1" t="n">
        <f aca="false">S$2*TripTable!R15</f>
        <v>19.4337707857842</v>
      </c>
      <c r="T17" s="1" t="n">
        <f aca="false">T$2*TripTable!S15</f>
        <v>5.5960733454575</v>
      </c>
      <c r="U17" s="1" t="n">
        <f aca="false">U$2*TripTable!T15</f>
        <v>3.43792382603375</v>
      </c>
      <c r="V17" s="1" t="n">
        <f aca="false">V$2*TripTable!U15</f>
        <v>11.9800682939168</v>
      </c>
      <c r="W17" s="1" t="n">
        <f aca="false">W$2*TripTable!V15</f>
        <v>4.84779621416829</v>
      </c>
      <c r="X17" s="1" t="n">
        <f aca="false">X$2*TripTable!W15</f>
        <v>10.6023712490692</v>
      </c>
      <c r="Y17" s="1" t="n">
        <f aca="false">Y$2*TripTable!X15</f>
        <v>15.0786571890847</v>
      </c>
      <c r="Z17" s="1" t="n">
        <f aca="false">Z$2*TripTable!Y15</f>
        <v>0</v>
      </c>
      <c r="AA17" s="1" t="n">
        <f aca="false">AA$2*TripTable!Z15</f>
        <v>0</v>
      </c>
      <c r="AB17" s="1" t="n">
        <f aca="false">AB$2*TripTable!AA15</f>
        <v>2.67029557681801</v>
      </c>
      <c r="AC17" s="1" t="n">
        <f aca="false">AC$2*TripTable!AB15</f>
        <v>0</v>
      </c>
      <c r="AD17" s="1" t="n">
        <f aca="false">AD$2*TripTable!AC15</f>
        <v>0.528697017672575</v>
      </c>
      <c r="AE17" s="1" t="n">
        <f aca="false">AE$2*TripTable!AD15</f>
        <v>0</v>
      </c>
      <c r="AF17" s="1" t="n">
        <f aca="false">AF$2*TripTable!AE15</f>
        <v>0.706664213889112</v>
      </c>
      <c r="AG17" s="1" t="n">
        <f aca="false">AG$2*TripTable!AF15</f>
        <v>62.8597719879405</v>
      </c>
      <c r="AH17" s="1" t="n">
        <f aca="false">AH$2*TripTable!AG15</f>
        <v>0</v>
      </c>
      <c r="AI17" s="1" t="n">
        <f aca="false">AI$2*TripTable!AH15</f>
        <v>217.343434293817</v>
      </c>
      <c r="AJ17" s="1" t="n">
        <f aca="false">AJ$2*TripTable!AI15</f>
        <v>0.219317583485689</v>
      </c>
      <c r="AK17" s="1" t="n">
        <f aca="false">AK$2*TripTable!AJ15</f>
        <v>0</v>
      </c>
      <c r="AL17" s="1" t="n">
        <f aca="false">AL$2*TripTable!AK15</f>
        <v>26.3663629701904</v>
      </c>
      <c r="AM17" s="1" t="n">
        <f aca="false">AM$2*TripTable!AL15</f>
        <v>19.0705423932261</v>
      </c>
      <c r="AN17" s="1" t="n">
        <f aca="false">AN$2*TripTable!AM15</f>
        <v>0.275550094816161</v>
      </c>
      <c r="AO17" s="1" t="n">
        <f aca="false">AO$2*TripTable!AN15</f>
        <v>51.586958816986</v>
      </c>
      <c r="AP17" s="1" t="n">
        <f aca="false">AP$2*TripTable!AO15</f>
        <v>0.485759531926211</v>
      </c>
      <c r="AQ17" s="1" t="n">
        <f aca="false">AQ$2*TripTable!AP15</f>
        <v>0</v>
      </c>
      <c r="AR17" s="1" t="n">
        <f aca="false">AR$2*TripTable!AQ15</f>
        <v>0</v>
      </c>
      <c r="AS17" s="1" t="n">
        <f aca="false">AS$2*TripTable!AR15</f>
        <v>0.0301626856541928</v>
      </c>
      <c r="AT17" s="1" t="n">
        <f aca="false">AT$2*TripTable!AS15</f>
        <v>31.2065578474685</v>
      </c>
      <c r="AU17" s="1" t="n">
        <f aca="false">AU$2*TripTable!AT15</f>
        <v>0.0355102132357155</v>
      </c>
      <c r="AV17" s="1" t="n">
        <f aca="false">AV$2*TripTable!AU15</f>
        <v>0</v>
      </c>
      <c r="AW17" s="1" t="n">
        <f aca="false">AW$2*TripTable!AV15</f>
        <v>8.88691824093669</v>
      </c>
      <c r="AX17" s="1" t="n">
        <f aca="false">AX$2*TripTable!AW15</f>
        <v>7.99553256811121</v>
      </c>
      <c r="AY17" s="1" t="n">
        <f aca="false">AY$2*TripTable!AX15</f>
        <v>3.08905461724062</v>
      </c>
      <c r="AZ17" s="1" t="n">
        <f aca="false">AZ$2*TripTable!AY15</f>
        <v>0.0554422650182579</v>
      </c>
      <c r="BA17" s="1" t="n">
        <f aca="false">BA$2*TripTable!AZ15</f>
        <v>0</v>
      </c>
      <c r="BB17" s="1" t="n">
        <f aca="false">SUM(C17:BA17)</f>
        <v>996.541194110532</v>
      </c>
      <c r="BC17" s="2" t="n">
        <f aca="false">BB17/TripTable!BA15</f>
        <v>0.0252679123230947</v>
      </c>
    </row>
    <row r="18" customFormat="false" ht="12.75" hidden="false" customHeight="false" outlineLevel="0" collapsed="false">
      <c r="A18" s="0" t="s">
        <v>15</v>
      </c>
      <c r="B18" s="1" t="n">
        <v>0.0925020274991467</v>
      </c>
      <c r="C18" s="1" t="n">
        <f aca="false">C$2*TripTable!B16</f>
        <v>0</v>
      </c>
      <c r="D18" s="1" t="n">
        <f aca="false">D$2*TripTable!C16</f>
        <v>1.13197334422163</v>
      </c>
      <c r="E18" s="1" t="n">
        <f aca="false">E$2*TripTable!D16</f>
        <v>0</v>
      </c>
      <c r="F18" s="1" t="n">
        <f aca="false">F$2*TripTable!E16</f>
        <v>0</v>
      </c>
      <c r="G18" s="1" t="n">
        <f aca="false">G$2*TripTable!F16</f>
        <v>3.61520014784203</v>
      </c>
      <c r="H18" s="1" t="n">
        <f aca="false">H$2*TripTable!G16</f>
        <v>0.446624431786031</v>
      </c>
      <c r="I18" s="1" t="n">
        <f aca="false">I$2*TripTable!H16</f>
        <v>0.008836116698843</v>
      </c>
      <c r="J18" s="1" t="n">
        <f aca="false">J$2*TripTable!I16</f>
        <v>1.76813033371</v>
      </c>
      <c r="K18" s="1" t="n">
        <f aca="false">K$2*TripTable!J16</f>
        <v>0</v>
      </c>
      <c r="L18" s="1" t="n">
        <f aca="false">L$2*TripTable!K16</f>
        <v>77.6000539842887</v>
      </c>
      <c r="M18" s="1" t="n">
        <f aca="false">M$2*TripTable!L16</f>
        <v>0.602759386664007</v>
      </c>
      <c r="N18" s="1" t="n">
        <f aca="false">N$2*TripTable!M16</f>
        <v>0</v>
      </c>
      <c r="O18" s="1" t="n">
        <f aca="false">O$2*TripTable!N16</f>
        <v>0.0246870272777492</v>
      </c>
      <c r="P18" s="1" t="n">
        <f aca="false">P$2*TripTable!O16</f>
        <v>0</v>
      </c>
      <c r="Q18" s="1" t="n">
        <f aca="false">Q$2*TripTable!P16</f>
        <v>765.731783637937</v>
      </c>
      <c r="R18" s="1" t="n">
        <f aca="false">R$2*TripTable!Q16</f>
        <v>5.32161914678822</v>
      </c>
      <c r="S18" s="1" t="n">
        <f aca="false">S$2*TripTable!R16</f>
        <v>2.7116889468536</v>
      </c>
      <c r="T18" s="1" t="n">
        <f aca="false">T$2*TripTable!S16</f>
        <v>14.4466606455995</v>
      </c>
      <c r="U18" s="1" t="n">
        <f aca="false">U$2*TripTable!T16</f>
        <v>1.43981425192867</v>
      </c>
      <c r="V18" s="1" t="n">
        <f aca="false">V$2*TripTable!U16</f>
        <v>1.36614813877998</v>
      </c>
      <c r="W18" s="1" t="n">
        <f aca="false">W$2*TripTable!V16</f>
        <v>2.88057456204202</v>
      </c>
      <c r="X18" s="1" t="n">
        <f aca="false">X$2*TripTable!W16</f>
        <v>7.27613713171413</v>
      </c>
      <c r="Y18" s="1" t="n">
        <f aca="false">Y$2*TripTable!X16</f>
        <v>15.1377602059944</v>
      </c>
      <c r="Z18" s="1" t="n">
        <f aca="false">Z$2*TripTable!Y16</f>
        <v>0</v>
      </c>
      <c r="AA18" s="1" t="n">
        <f aca="false">AA$2*TripTable!Z16</f>
        <v>0</v>
      </c>
      <c r="AB18" s="1" t="n">
        <f aca="false">AB$2*TripTable!AA16</f>
        <v>0.445935562899622</v>
      </c>
      <c r="AC18" s="1" t="n">
        <f aca="false">AC$2*TripTable!AB16</f>
        <v>0</v>
      </c>
      <c r="AD18" s="1" t="n">
        <f aca="false">AD$2*TripTable!AC16</f>
        <v>0.0399016617111377</v>
      </c>
      <c r="AE18" s="1" t="n">
        <f aca="false">AE$2*TripTable!AD16</f>
        <v>0</v>
      </c>
      <c r="AF18" s="1" t="n">
        <f aca="false">AF$2*TripTable!AE16</f>
        <v>1.05999632083367</v>
      </c>
      <c r="AG18" s="1" t="n">
        <f aca="false">AG$2*TripTable!AF16</f>
        <v>9.56561747642572</v>
      </c>
      <c r="AH18" s="1" t="n">
        <f aca="false">AH$2*TripTable!AG16</f>
        <v>0</v>
      </c>
      <c r="AI18" s="1" t="n">
        <f aca="false">AI$2*TripTable!AH16</f>
        <v>29.8639833380817</v>
      </c>
      <c r="AJ18" s="1" t="n">
        <f aca="false">AJ$2*TripTable!AI16</f>
        <v>0.0871362789606441</v>
      </c>
      <c r="AK18" s="1" t="n">
        <f aca="false">AK$2*TripTable!AJ16</f>
        <v>0</v>
      </c>
      <c r="AL18" s="1" t="n">
        <f aca="false">AL$2*TripTable!AK16</f>
        <v>64.9953860250206</v>
      </c>
      <c r="AM18" s="1" t="n">
        <f aca="false">AM$2*TripTable!AL16</f>
        <v>4.17880411006945</v>
      </c>
      <c r="AN18" s="1" t="n">
        <f aca="false">AN$2*TripTable!AM16</f>
        <v>0.121877926553302</v>
      </c>
      <c r="AO18" s="1" t="n">
        <f aca="false">AO$2*TripTable!AN16</f>
        <v>34.5082831088682</v>
      </c>
      <c r="AP18" s="1" t="n">
        <f aca="false">AP$2*TripTable!AO16</f>
        <v>0.485759531926211</v>
      </c>
      <c r="AQ18" s="1" t="n">
        <f aca="false">AQ$2*TripTable!AP16</f>
        <v>0</v>
      </c>
      <c r="AR18" s="1" t="n">
        <f aca="false">AR$2*TripTable!AQ16</f>
        <v>0</v>
      </c>
      <c r="AS18" s="1" t="n">
        <f aca="false">AS$2*TripTable!AR16</f>
        <v>0.0408936411273191</v>
      </c>
      <c r="AT18" s="1" t="n">
        <f aca="false">AT$2*TripTable!AS16</f>
        <v>5.17222092793094</v>
      </c>
      <c r="AU18" s="1" t="n">
        <f aca="false">AU$2*TripTable!AT16</f>
        <v>0.0218045168991236</v>
      </c>
      <c r="AV18" s="1" t="n">
        <f aca="false">AV$2*TripTable!AU16</f>
        <v>0</v>
      </c>
      <c r="AW18" s="1" t="n">
        <f aca="false">AW$2*TripTable!AV16</f>
        <v>5.02506371738828</v>
      </c>
      <c r="AX18" s="1" t="n">
        <f aca="false">AX$2*TripTable!AW16</f>
        <v>1.98852623455616</v>
      </c>
      <c r="AY18" s="1" t="n">
        <f aca="false">AY$2*TripTable!AX16</f>
        <v>6.70390576507539</v>
      </c>
      <c r="AZ18" s="1" t="n">
        <f aca="false">AZ$2*TripTable!AY16</f>
        <v>0.00302597807846992</v>
      </c>
      <c r="BA18" s="1" t="n">
        <f aca="false">BA$2*TripTable!AZ16</f>
        <v>0</v>
      </c>
      <c r="BB18" s="1" t="n">
        <f aca="false">SUM(C18:BA18)</f>
        <v>1065.81857356253</v>
      </c>
      <c r="BC18" s="2" t="n">
        <f aca="false">BB18/TripTable!BA16</f>
        <v>0.0485632921840129</v>
      </c>
    </row>
    <row r="19" customFormat="false" ht="12.75" hidden="false" customHeight="false" outlineLevel="0" collapsed="false">
      <c r="A19" s="0" t="s">
        <v>16</v>
      </c>
      <c r="B19" s="1" t="n">
        <v>0.0425729531743058</v>
      </c>
      <c r="C19" s="1" t="n">
        <f aca="false">C$2*TripTable!B17</f>
        <v>0</v>
      </c>
      <c r="D19" s="1" t="n">
        <f aca="false">D$2*TripTable!C17</f>
        <v>0.691761488135441</v>
      </c>
      <c r="E19" s="1" t="n">
        <f aca="false">E$2*TripTable!D17</f>
        <v>0</v>
      </c>
      <c r="F19" s="1" t="n">
        <f aca="false">F$2*TripTable!E17</f>
        <v>0</v>
      </c>
      <c r="G19" s="1" t="n">
        <f aca="false">G$2*TripTable!F17</f>
        <v>4.94711599178382</v>
      </c>
      <c r="H19" s="1" t="n">
        <f aca="false">H$2*TripTable!G17</f>
        <v>0.798599977365751</v>
      </c>
      <c r="I19" s="1" t="n">
        <f aca="false">I$2*TripTable!H17</f>
        <v>0.00129942892630044</v>
      </c>
      <c r="J19" s="1" t="n">
        <f aca="false">J$2*TripTable!I17</f>
        <v>2.77849052440143</v>
      </c>
      <c r="K19" s="1" t="n">
        <f aca="false">K$2*TripTable!J17</f>
        <v>0</v>
      </c>
      <c r="L19" s="1" t="n">
        <f aca="false">L$2*TripTable!K17</f>
        <v>12.2977016344209</v>
      </c>
      <c r="M19" s="1" t="n">
        <f aca="false">M$2*TripTable!L17</f>
        <v>0.347423813146615</v>
      </c>
      <c r="N19" s="1" t="n">
        <f aca="false">N$2*TripTable!M17</f>
        <v>0</v>
      </c>
      <c r="O19" s="1" t="n">
        <f aca="false">O$2*TripTable!N17</f>
        <v>0.0171735841932168</v>
      </c>
      <c r="P19" s="1" t="n">
        <f aca="false">P$2*TripTable!O17</f>
        <v>0</v>
      </c>
      <c r="Q19" s="1" t="n">
        <f aca="false">Q$2*TripTable!P17</f>
        <v>17.3903811698396</v>
      </c>
      <c r="R19" s="1" t="n">
        <f aca="false">R$2*TripTable!Q17</f>
        <v>247.391430895891</v>
      </c>
      <c r="S19" s="1" t="n">
        <f aca="false">S$2*TripTable!R17</f>
        <v>12.5254203735619</v>
      </c>
      <c r="T19" s="1" t="n">
        <f aca="false">T$2*TripTable!S17</f>
        <v>0.219785357978693</v>
      </c>
      <c r="U19" s="1" t="n">
        <f aca="false">U$2*TripTable!T17</f>
        <v>0.73459910812687</v>
      </c>
      <c r="V19" s="1" t="n">
        <f aca="false">V$2*TripTable!U17</f>
        <v>0.105088318367691</v>
      </c>
      <c r="W19" s="1" t="n">
        <f aca="false">W$2*TripTable!V17</f>
        <v>0.702579161473665</v>
      </c>
      <c r="X19" s="1" t="n">
        <f aca="false">X$2*TripTable!W17</f>
        <v>1.14339297784079</v>
      </c>
      <c r="Y19" s="1" t="n">
        <f aca="false">Y$2*TripTable!X17</f>
        <v>0.642745308892879</v>
      </c>
      <c r="Z19" s="1" t="n">
        <f aca="false">Z$2*TripTable!Y17</f>
        <v>0</v>
      </c>
      <c r="AA19" s="1" t="n">
        <f aca="false">AA$2*TripTable!Z17</f>
        <v>0</v>
      </c>
      <c r="AB19" s="1" t="n">
        <f aca="false">AB$2*TripTable!AA17</f>
        <v>0.534818801160706</v>
      </c>
      <c r="AC19" s="1" t="n">
        <f aca="false">AC$2*TripTable!AB17</f>
        <v>0</v>
      </c>
      <c r="AD19" s="1" t="n">
        <f aca="false">AD$2*TripTable!AC17</f>
        <v>1.27884825784196</v>
      </c>
      <c r="AE19" s="1" t="n">
        <f aca="false">AE$2*TripTable!AD17</f>
        <v>0</v>
      </c>
      <c r="AF19" s="1" t="n">
        <f aca="false">AF$2*TripTable!AE17</f>
        <v>0.588886844907593</v>
      </c>
      <c r="AG19" s="1" t="n">
        <f aca="false">AG$2*TripTable!AF17</f>
        <v>3.55294363410098</v>
      </c>
      <c r="AH19" s="1" t="n">
        <f aca="false">AH$2*TripTable!AG17</f>
        <v>0</v>
      </c>
      <c r="AI19" s="1" t="n">
        <f aca="false">AI$2*TripTable!AH17</f>
        <v>17.918390002849</v>
      </c>
      <c r="AJ19" s="1" t="n">
        <f aca="false">AJ$2*TripTable!AI17</f>
        <v>0.0251070634293381</v>
      </c>
      <c r="AK19" s="1" t="n">
        <f aca="false">AK$2*TripTable!AJ17</f>
        <v>0</v>
      </c>
      <c r="AL19" s="1" t="n">
        <f aca="false">AL$2*TripTable!AK17</f>
        <v>3.48483101601021</v>
      </c>
      <c r="AM19" s="1" t="n">
        <f aca="false">AM$2*TripTable!AL17</f>
        <v>4.55869539280304</v>
      </c>
      <c r="AN19" s="1" t="n">
        <f aca="false">AN$2*TripTable!AM17</f>
        <v>0.121877926553302</v>
      </c>
      <c r="AO19" s="1" t="n">
        <f aca="false">AO$2*TripTable!AN17</f>
        <v>4.09420308071318</v>
      </c>
      <c r="AP19" s="1" t="n">
        <f aca="false">AP$2*TripTable!AO17</f>
        <v>0</v>
      </c>
      <c r="AQ19" s="1" t="n">
        <f aca="false">AQ$2*TripTable!AP17</f>
        <v>0</v>
      </c>
      <c r="AR19" s="1" t="n">
        <f aca="false">AR$2*TripTable!AQ17</f>
        <v>0</v>
      </c>
      <c r="AS19" s="1" t="n">
        <f aca="false">AS$2*TripTable!AR17</f>
        <v>0.00336429955373689</v>
      </c>
      <c r="AT19" s="1" t="n">
        <f aca="false">AT$2*TripTable!AS17</f>
        <v>3.93484750019627</v>
      </c>
      <c r="AU19" s="1" t="n">
        <f aca="false">AU$2*TripTable!AT17</f>
        <v>0.0124597239423563</v>
      </c>
      <c r="AV19" s="1" t="n">
        <f aca="false">AV$2*TripTable!AU17</f>
        <v>0</v>
      </c>
      <c r="AW19" s="1" t="n">
        <f aca="false">AW$2*TripTable!AV17</f>
        <v>3.25698574275166</v>
      </c>
      <c r="AX19" s="1" t="n">
        <f aca="false">AX$2*TripTable!AW17</f>
        <v>2.11280912421592</v>
      </c>
      <c r="AY19" s="1" t="n">
        <f aca="false">AY$2*TripTable!AX17</f>
        <v>0.131449132648537</v>
      </c>
      <c r="AZ19" s="1" t="n">
        <f aca="false">AZ$2*TripTable!AY17</f>
        <v>0.00796727561484777</v>
      </c>
      <c r="BA19" s="1" t="n">
        <f aca="false">BA$2*TripTable!AZ17</f>
        <v>0</v>
      </c>
      <c r="BB19" s="1" t="n">
        <f aca="false">SUM(C19:BA19)</f>
        <v>348.353473933639</v>
      </c>
      <c r="BC19" s="2" t="n">
        <f aca="false">BB19/TripTable!BA17</f>
        <v>0.0273862793972987</v>
      </c>
    </row>
    <row r="20" customFormat="false" ht="12.75" hidden="false" customHeight="false" outlineLevel="0" collapsed="false">
      <c r="A20" s="0" t="s">
        <v>17</v>
      </c>
      <c r="B20" s="1" t="n">
        <v>0.0645640225441334</v>
      </c>
      <c r="C20" s="1" t="n">
        <f aca="false">C$2*TripTable!B18</f>
        <v>0</v>
      </c>
      <c r="D20" s="1" t="n">
        <f aca="false">D$2*TripTable!C18</f>
        <v>0.628874080123128</v>
      </c>
      <c r="E20" s="1" t="n">
        <f aca="false">E$2*TripTable!D18</f>
        <v>0</v>
      </c>
      <c r="F20" s="1" t="n">
        <f aca="false">F$2*TripTable!E18</f>
        <v>0</v>
      </c>
      <c r="G20" s="1" t="n">
        <f aca="false">G$2*TripTable!F18</f>
        <v>3.91118144649576</v>
      </c>
      <c r="H20" s="1" t="n">
        <f aca="false">H$2*TripTable!G18</f>
        <v>2.48749104060962</v>
      </c>
      <c r="I20" s="1" t="n">
        <f aca="false">I$2*TripTable!H18</f>
        <v>0.00129942892630044</v>
      </c>
      <c r="J20" s="1" t="n">
        <f aca="false">J$2*TripTable!I18</f>
        <v>0</v>
      </c>
      <c r="K20" s="1" t="n">
        <f aca="false">K$2*TripTable!J18</f>
        <v>0</v>
      </c>
      <c r="L20" s="1" t="n">
        <f aca="false">L$2*TripTable!K18</f>
        <v>10.2740292135668</v>
      </c>
      <c r="M20" s="1" t="n">
        <f aca="false">M$2*TripTable!L18</f>
        <v>0.297193864257948</v>
      </c>
      <c r="N20" s="1" t="n">
        <f aca="false">N$2*TripTable!M18</f>
        <v>0</v>
      </c>
      <c r="O20" s="1" t="n">
        <f aca="false">O$2*TripTable!N18</f>
        <v>0.0064400940724563</v>
      </c>
      <c r="P20" s="1" t="n">
        <f aca="false">P$2*TripTable!O18</f>
        <v>0</v>
      </c>
      <c r="Q20" s="1" t="n">
        <f aca="false">Q$2*TripTable!P18</f>
        <v>7.1226561174343</v>
      </c>
      <c r="R20" s="1" t="n">
        <f aca="false">R$2*TripTable!Q18</f>
        <v>10.7709571530994</v>
      </c>
      <c r="S20" s="1" t="n">
        <f aca="false">S$2*TripTable!R18</f>
        <v>294.411942801248</v>
      </c>
      <c r="T20" s="1" t="n">
        <f aca="false">T$2*TripTable!S18</f>
        <v>0.321224753968859</v>
      </c>
      <c r="U20" s="1" t="n">
        <f aca="false">U$2*TripTable!T18</f>
        <v>1.14597460867792</v>
      </c>
      <c r="V20" s="1" t="n">
        <f aca="false">V$2*TripTable!U18</f>
        <v>0.525441591838455</v>
      </c>
      <c r="W20" s="1" t="n">
        <f aca="false">W$2*TripTable!V18</f>
        <v>1.12412665835786</v>
      </c>
      <c r="X20" s="1" t="n">
        <f aca="false">X$2*TripTable!W18</f>
        <v>2.28678595568158</v>
      </c>
      <c r="Y20" s="1" t="n">
        <f aca="false">Y$2*TripTable!X18</f>
        <v>0.494987766618654</v>
      </c>
      <c r="Z20" s="1" t="n">
        <f aca="false">Z$2*TripTable!Y18</f>
        <v>0</v>
      </c>
      <c r="AA20" s="1" t="n">
        <f aca="false">AA$2*TripTable!Z18</f>
        <v>0</v>
      </c>
      <c r="AB20" s="1" t="n">
        <f aca="false">AB$2*TripTable!AA18</f>
        <v>1.58470457275743</v>
      </c>
      <c r="AC20" s="1" t="n">
        <f aca="false">AC$2*TripTable!AB18</f>
        <v>0</v>
      </c>
      <c r="AD20" s="1" t="n">
        <f aca="false">AD$2*TripTable!AC18</f>
        <v>1.37261716286314</v>
      </c>
      <c r="AE20" s="1" t="n">
        <f aca="false">AE$2*TripTable!AD18</f>
        <v>0</v>
      </c>
      <c r="AF20" s="1" t="n">
        <f aca="false">AF$2*TripTable!AE18</f>
        <v>0.117777368981519</v>
      </c>
      <c r="AG20" s="1" t="n">
        <f aca="false">AG$2*TripTable!AF18</f>
        <v>5.73937048585543</v>
      </c>
      <c r="AH20" s="1" t="n">
        <f aca="false">AH$2*TripTable!AG18</f>
        <v>0</v>
      </c>
      <c r="AI20" s="1" t="n">
        <f aca="false">AI$2*TripTable!AH18</f>
        <v>20.5729662995674</v>
      </c>
      <c r="AJ20" s="1" t="n">
        <f aca="false">AJ$2*TripTable!AI18</f>
        <v>0.0324914938497317</v>
      </c>
      <c r="AK20" s="1" t="n">
        <f aca="false">AK$2*TripTable!AJ18</f>
        <v>0</v>
      </c>
      <c r="AL20" s="1" t="n">
        <f aca="false">AL$2*TripTable!AK18</f>
        <v>3.51770678031219</v>
      </c>
      <c r="AM20" s="1" t="n">
        <f aca="false">AM$2*TripTable!AL18</f>
        <v>70.3558655622603</v>
      </c>
      <c r="AN20" s="1" t="n">
        <f aca="false">AN$2*TripTable!AM18</f>
        <v>0.090083684843745</v>
      </c>
      <c r="AO20" s="1" t="n">
        <f aca="false">AO$2*TripTable!AN18</f>
        <v>5.03002092773333</v>
      </c>
      <c r="AP20" s="1" t="n">
        <f aca="false">AP$2*TripTable!AO18</f>
        <v>0.0373661178404778</v>
      </c>
      <c r="AQ20" s="1" t="n">
        <f aca="false">AQ$2*TripTable!AP18</f>
        <v>0</v>
      </c>
      <c r="AR20" s="1" t="n">
        <f aca="false">AR$2*TripTable!AQ18</f>
        <v>0</v>
      </c>
      <c r="AS20" s="1" t="n">
        <f aca="false">AS$2*TripTable!AR18</f>
        <v>0.00226220142406446</v>
      </c>
      <c r="AT20" s="1" t="n">
        <f aca="false">AT$2*TripTable!AS18</f>
        <v>11.5323203464872</v>
      </c>
      <c r="AU20" s="1" t="n">
        <f aca="false">AU$2*TripTable!AT18</f>
        <v>0.0330182684472443</v>
      </c>
      <c r="AV20" s="1" t="n">
        <f aca="false">AV$2*TripTable!AU18</f>
        <v>0</v>
      </c>
      <c r="AW20" s="1" t="n">
        <f aca="false">AW$2*TripTable!AV18</f>
        <v>1.34932266485426</v>
      </c>
      <c r="AX20" s="1" t="n">
        <f aca="false">AX$2*TripTable!AW18</f>
        <v>3.52134854035986</v>
      </c>
      <c r="AY20" s="1" t="n">
        <f aca="false">AY$2*TripTable!AX18</f>
        <v>0.394347397945611</v>
      </c>
      <c r="AZ20" s="1" t="n">
        <f aca="false">AZ$2*TripTable!AY18</f>
        <v>0.000577995812741445</v>
      </c>
      <c r="BA20" s="1" t="n">
        <f aca="false">BA$2*TripTable!AZ18</f>
        <v>0</v>
      </c>
      <c r="BB20" s="1" t="n">
        <f aca="false">SUM(C20:BA20)</f>
        <v>461.094774447173</v>
      </c>
      <c r="BC20" s="2" t="n">
        <f aca="false">BB20/TripTable!BA18</f>
        <v>0.0381038570735619</v>
      </c>
    </row>
    <row r="21" customFormat="false" ht="12.75" hidden="false" customHeight="false" outlineLevel="0" collapsed="false">
      <c r="A21" s="0" t="s">
        <v>18</v>
      </c>
      <c r="B21" s="1" t="n">
        <v>0.00845328299918051</v>
      </c>
      <c r="C21" s="1" t="n">
        <f aca="false">C$2*TripTable!B19</f>
        <v>0</v>
      </c>
      <c r="D21" s="1" t="n">
        <f aca="false">D$2*TripTable!C19</f>
        <v>0.125774816024626</v>
      </c>
      <c r="E21" s="1" t="n">
        <f aca="false">E$2*TripTable!D19</f>
        <v>0</v>
      </c>
      <c r="F21" s="1" t="n">
        <f aca="false">F$2*TripTable!E19</f>
        <v>0</v>
      </c>
      <c r="G21" s="1" t="n">
        <f aca="false">G$2*TripTable!F19</f>
        <v>2.49469951722432</v>
      </c>
      <c r="H21" s="1" t="n">
        <f aca="false">H$2*TripTable!G19</f>
        <v>0.13901555161552</v>
      </c>
      <c r="I21" s="1" t="n">
        <f aca="false">I$2*TripTable!H19</f>
        <v>0.000519771570520177</v>
      </c>
      <c r="J21" s="1" t="n">
        <f aca="false">J$2*TripTable!I19</f>
        <v>0.505180095345714</v>
      </c>
      <c r="K21" s="1" t="n">
        <f aca="false">K$2*TripTable!J19</f>
        <v>0</v>
      </c>
      <c r="L21" s="1" t="n">
        <f aca="false">L$2*TripTable!K19</f>
        <v>54.016486925874</v>
      </c>
      <c r="M21" s="1" t="n">
        <f aca="false">M$2*TripTable!L19</f>
        <v>1.32690781647563</v>
      </c>
      <c r="N21" s="1" t="n">
        <f aca="false">N$2*TripTable!M19</f>
        <v>0</v>
      </c>
      <c r="O21" s="1" t="n">
        <f aca="false">O$2*TripTable!N19</f>
        <v>0.00107334901207605</v>
      </c>
      <c r="P21" s="1" t="n">
        <f aca="false">P$2*TripTable!O19</f>
        <v>0</v>
      </c>
      <c r="Q21" s="1" t="n">
        <f aca="false">Q$2*TripTable!P19</f>
        <v>128.485316196315</v>
      </c>
      <c r="R21" s="1" t="n">
        <f aca="false">R$2*TripTable!Q19</f>
        <v>0.468302484917364</v>
      </c>
      <c r="S21" s="1" t="n">
        <f aca="false">S$2*TripTable!R19</f>
        <v>2.1306127439564</v>
      </c>
      <c r="T21" s="1" t="n">
        <f aca="false">T$2*TripTable!S19</f>
        <v>47.1185994374322</v>
      </c>
      <c r="U21" s="1" t="n">
        <f aca="false">U$2*TripTable!T19</f>
        <v>1.61611803787911</v>
      </c>
      <c r="V21" s="1" t="n">
        <f aca="false">V$2*TripTable!U19</f>
        <v>1.47123645714768</v>
      </c>
      <c r="W21" s="1" t="n">
        <f aca="false">W$2*TripTable!V19</f>
        <v>4.28573288498935</v>
      </c>
      <c r="X21" s="1" t="n">
        <f aca="false">X$2*TripTable!W19</f>
        <v>2.59862040418362</v>
      </c>
      <c r="Y21" s="1" t="n">
        <f aca="false">Y$2*TripTable!X19</f>
        <v>2.54881760423038</v>
      </c>
      <c r="Z21" s="1" t="n">
        <f aca="false">Z$2*TripTable!Y19</f>
        <v>0</v>
      </c>
      <c r="AA21" s="1" t="n">
        <f aca="false">AA$2*TripTable!Z19</f>
        <v>0</v>
      </c>
      <c r="AB21" s="1" t="n">
        <f aca="false">AB$2*TripTable!AA19</f>
        <v>0.30843243362393</v>
      </c>
      <c r="AC21" s="1" t="n">
        <f aca="false">AC$2*TripTable!AB19</f>
        <v>0</v>
      </c>
      <c r="AD21" s="1" t="n">
        <f aca="false">AD$2*TripTable!AC19</f>
        <v>0.017955747770012</v>
      </c>
      <c r="AE21" s="1" t="n">
        <f aca="false">AE$2*TripTable!AD19</f>
        <v>0</v>
      </c>
      <c r="AF21" s="1" t="n">
        <f aca="false">AF$2*TripTable!AE19</f>
        <v>0.353332106944556</v>
      </c>
      <c r="AG21" s="1" t="n">
        <f aca="false">AG$2*TripTable!AF19</f>
        <v>28.6968524292772</v>
      </c>
      <c r="AH21" s="1" t="n">
        <f aca="false">AH$2*TripTable!AG19</f>
        <v>0</v>
      </c>
      <c r="AI21" s="1" t="n">
        <f aca="false">AI$2*TripTable!AH19</f>
        <v>35.8367800056981</v>
      </c>
      <c r="AJ21" s="1" t="n">
        <f aca="false">AJ$2*TripTable!AI19</f>
        <v>0.138827291903399</v>
      </c>
      <c r="AK21" s="1" t="n">
        <f aca="false">AK$2*TripTable!AJ19</f>
        <v>0</v>
      </c>
      <c r="AL21" s="1" t="n">
        <f aca="false">AL$2*TripTable!AK19</f>
        <v>58.5517362218319</v>
      </c>
      <c r="AM21" s="1" t="n">
        <f aca="false">AM$2*TripTable!AL19</f>
        <v>1.97543467021465</v>
      </c>
      <c r="AN21" s="1" t="n">
        <f aca="false">AN$2*TripTable!AM19</f>
        <v>0.0105980805698523</v>
      </c>
      <c r="AO21" s="1" t="n">
        <f aca="false">AO$2*TripTable!AN19</f>
        <v>13.1014498582822</v>
      </c>
      <c r="AP21" s="1" t="n">
        <f aca="false">AP$2*TripTable!AO19</f>
        <v>0.373661178404777</v>
      </c>
      <c r="AQ21" s="1" t="n">
        <f aca="false">AQ$2*TripTable!AP19</f>
        <v>0</v>
      </c>
      <c r="AR21" s="1" t="n">
        <f aca="false">AR$2*TripTable!AQ19</f>
        <v>0</v>
      </c>
      <c r="AS21" s="1" t="n">
        <f aca="false">AS$2*TripTable!AR19</f>
        <v>0.108933699343412</v>
      </c>
      <c r="AT21" s="1" t="n">
        <f aca="false">AT$2*TripTable!AS19</f>
        <v>3.8111101574228</v>
      </c>
      <c r="AU21" s="1" t="n">
        <f aca="false">AU$2*TripTable!AT19</f>
        <v>0.00685284816829598</v>
      </c>
      <c r="AV21" s="1" t="n">
        <f aca="false">AV$2*TripTable!AU19</f>
        <v>0</v>
      </c>
      <c r="AW21" s="1" t="n">
        <f aca="false">AW$2*TripTable!AV19</f>
        <v>9.63137212499421</v>
      </c>
      <c r="AX21" s="1" t="n">
        <f aca="false">AX$2*TripTable!AW19</f>
        <v>0.621414448298799</v>
      </c>
      <c r="AY21" s="1" t="n">
        <f aca="false">AY$2*TripTable!AX19</f>
        <v>27.4728687235443</v>
      </c>
      <c r="AZ21" s="1" t="n">
        <f aca="false">AZ$2*TripTable!AY19</f>
        <v>0.00166598793084299</v>
      </c>
      <c r="BA21" s="1" t="n">
        <f aca="false">BA$2*TripTable!AZ19</f>
        <v>0</v>
      </c>
      <c r="BB21" s="1" t="n">
        <f aca="false">SUM(C21:BA21)</f>
        <v>430.352292108416</v>
      </c>
      <c r="BC21" s="2" t="n">
        <f aca="false">BB21/TripTable!BA19</f>
        <v>0.0276309657854521</v>
      </c>
    </row>
    <row r="22" customFormat="false" ht="12.75" hidden="false" customHeight="false" outlineLevel="0" collapsed="false">
      <c r="A22" s="0" t="s">
        <v>19</v>
      </c>
      <c r="B22" s="1" t="n">
        <v>0.0293839643250748</v>
      </c>
      <c r="C22" s="1" t="n">
        <f aca="false">C$2*TripTable!B20</f>
        <v>0</v>
      </c>
      <c r="D22" s="1" t="n">
        <f aca="false">D$2*TripTable!C20</f>
        <v>0.628874080123128</v>
      </c>
      <c r="E22" s="1" t="n">
        <f aca="false">E$2*TripTable!D20</f>
        <v>0</v>
      </c>
      <c r="F22" s="1" t="n">
        <f aca="false">F$2*TripTable!E20</f>
        <v>0</v>
      </c>
      <c r="G22" s="1" t="n">
        <f aca="false">G$2*TripTable!F20</f>
        <v>3.44606797718275</v>
      </c>
      <c r="H22" s="1" t="n">
        <f aca="false">H$2*TripTable!G20</f>
        <v>0.280988880924986</v>
      </c>
      <c r="I22" s="1" t="n">
        <f aca="false">I$2*TripTable!H20</f>
        <v>0.00571748727572194</v>
      </c>
      <c r="J22" s="1" t="n">
        <f aca="false">J$2*TripTable!I20</f>
        <v>0</v>
      </c>
      <c r="K22" s="1" t="n">
        <f aca="false">K$2*TripTable!J20</f>
        <v>0</v>
      </c>
      <c r="L22" s="1" t="n">
        <f aca="false">L$2*TripTable!K20</f>
        <v>76.9773855471028</v>
      </c>
      <c r="M22" s="1" t="n">
        <f aca="false">M$2*TripTable!L20</f>
        <v>1.06320058481012</v>
      </c>
      <c r="N22" s="1" t="n">
        <f aca="false">N$2*TripTable!M20</f>
        <v>0</v>
      </c>
      <c r="O22" s="1" t="n">
        <f aca="false">O$2*TripTable!N20</f>
        <v>0.0289804233260534</v>
      </c>
      <c r="P22" s="1" t="n">
        <f aca="false">P$2*TripTable!O20</f>
        <v>0</v>
      </c>
      <c r="Q22" s="1" t="n">
        <f aca="false">Q$2*TripTable!P20</f>
        <v>1.94254257748208</v>
      </c>
      <c r="R22" s="1" t="n">
        <f aca="false">R$2*TripTable!Q20</f>
        <v>1.95835584601807</v>
      </c>
      <c r="S22" s="1" t="n">
        <f aca="false">S$2*TripTable!R20</f>
        <v>2.19517676650054</v>
      </c>
      <c r="T22" s="1" t="n">
        <f aca="false">T$2*TripTable!S20</f>
        <v>0.287411621972137</v>
      </c>
      <c r="U22" s="1" t="n">
        <f aca="false">U$2*TripTable!T20</f>
        <v>177.831752095353</v>
      </c>
      <c r="V22" s="1" t="n">
        <f aca="false">V$2*TripTable!U20</f>
        <v>0.94579486530922</v>
      </c>
      <c r="W22" s="1" t="n">
        <f aca="false">W$2*TripTable!V20</f>
        <v>2.38876914901046</v>
      </c>
      <c r="X22" s="1" t="n">
        <f aca="false">X$2*TripTable!W20</f>
        <v>2.0788963233469</v>
      </c>
      <c r="Y22" s="1" t="n">
        <f aca="false">Y$2*TripTable!X20</f>
        <v>0.317678715889584</v>
      </c>
      <c r="Z22" s="1" t="n">
        <f aca="false">Z$2*TripTable!Y20</f>
        <v>0</v>
      </c>
      <c r="AA22" s="1" t="n">
        <f aca="false">AA$2*TripTable!Z20</f>
        <v>0</v>
      </c>
      <c r="AB22" s="1" t="n">
        <f aca="false">AB$2*TripTable!AA20</f>
        <v>0.150417787826448</v>
      </c>
      <c r="AC22" s="1" t="n">
        <f aca="false">AC$2*TripTable!AB20</f>
        <v>0</v>
      </c>
      <c r="AD22" s="1" t="n">
        <f aca="false">AD$2*TripTable!AC20</f>
        <v>0.0199508308555689</v>
      </c>
      <c r="AE22" s="1" t="n">
        <f aca="false">AE$2*TripTable!AD20</f>
        <v>0</v>
      </c>
      <c r="AF22" s="1" t="n">
        <f aca="false">AF$2*TripTable!AE20</f>
        <v>0.117777368981519</v>
      </c>
      <c r="AG22" s="1" t="n">
        <f aca="false">AG$2*TripTable!AF20</f>
        <v>6.55928055526335</v>
      </c>
      <c r="AH22" s="1" t="n">
        <f aca="false">AH$2*TripTable!AG20</f>
        <v>0</v>
      </c>
      <c r="AI22" s="1" t="n">
        <f aca="false">AI$2*TripTable!AH20</f>
        <v>26.5457629671837</v>
      </c>
      <c r="AJ22" s="1" t="n">
        <f aca="false">AJ$2*TripTable!AI20</f>
        <v>0.0568601142370305</v>
      </c>
      <c r="AK22" s="1" t="n">
        <f aca="false">AK$2*TripTable!AJ20</f>
        <v>0</v>
      </c>
      <c r="AL22" s="1" t="n">
        <f aca="false">AL$2*TripTable!AK20</f>
        <v>1.54516092219321</v>
      </c>
      <c r="AM22" s="1" t="n">
        <f aca="false">AM$2*TripTable!AL20</f>
        <v>7.29391262848486</v>
      </c>
      <c r="AN22" s="1" t="n">
        <f aca="false">AN$2*TripTable!AM20</f>
        <v>0.0529904028492617</v>
      </c>
      <c r="AO22" s="1" t="n">
        <f aca="false">AO$2*TripTable!AN20</f>
        <v>6.78467939089612</v>
      </c>
      <c r="AP22" s="1" t="n">
        <f aca="false">AP$2*TripTable!AO20</f>
        <v>0.0373661178404778</v>
      </c>
      <c r="AQ22" s="1" t="n">
        <f aca="false">AQ$2*TripTable!AP20</f>
        <v>0</v>
      </c>
      <c r="AR22" s="1" t="n">
        <f aca="false">AR$2*TripTable!AQ20</f>
        <v>0</v>
      </c>
      <c r="AS22" s="1" t="n">
        <f aca="false">AS$2*TripTable!AR20</f>
        <v>0.0153133634859748</v>
      </c>
      <c r="AT22" s="1" t="n">
        <f aca="false">AT$2*TripTable!AS20</f>
        <v>71.6686689343924</v>
      </c>
      <c r="AU22" s="1" t="n">
        <f aca="false">AU$2*TripTable!AT20</f>
        <v>0.0211815307020058</v>
      </c>
      <c r="AV22" s="1" t="n">
        <f aca="false">AV$2*TripTable!AU20</f>
        <v>0</v>
      </c>
      <c r="AW22" s="1" t="n">
        <f aca="false">AW$2*TripTable!AV20</f>
        <v>4.51325167209874</v>
      </c>
      <c r="AX22" s="1" t="n">
        <f aca="false">AX$2*TripTable!AW20</f>
        <v>1.20140126671101</v>
      </c>
      <c r="AY22" s="1" t="n">
        <f aca="false">AY$2*TripTable!AX20</f>
        <v>0.46007196426988</v>
      </c>
      <c r="AZ22" s="1" t="n">
        <f aca="false">AZ$2*TripTable!AY20</f>
        <v>0.000181332019683591</v>
      </c>
      <c r="BA22" s="1" t="n">
        <f aca="false">BA$2*TripTable!AZ20</f>
        <v>0</v>
      </c>
      <c r="BB22" s="1" t="n">
        <f aca="false">SUM(C22:BA22)</f>
        <v>399.421822091919</v>
      </c>
      <c r="BC22" s="2" t="n">
        <f aca="false">BB22/TripTable!BA20</f>
        <v>0.0276588755689993</v>
      </c>
    </row>
    <row r="23" customFormat="false" ht="12.75" hidden="false" customHeight="false" outlineLevel="0" collapsed="false">
      <c r="A23" s="0" t="s">
        <v>20</v>
      </c>
      <c r="B23" s="1" t="n">
        <v>0.105088318367691</v>
      </c>
      <c r="C23" s="1" t="n">
        <f aca="false">C$2*TripTable!B21</f>
        <v>0</v>
      </c>
      <c r="D23" s="1" t="n">
        <f aca="false">D$2*TripTable!C21</f>
        <v>0.503099264098502</v>
      </c>
      <c r="E23" s="1" t="n">
        <f aca="false">E$2*TripTable!D21</f>
        <v>0</v>
      </c>
      <c r="F23" s="1" t="n">
        <f aca="false">F$2*TripTable!E21</f>
        <v>0</v>
      </c>
      <c r="G23" s="1" t="n">
        <f aca="false">G$2*TripTable!F21</f>
        <v>0.591962597307466</v>
      </c>
      <c r="H23" s="1" t="n">
        <f aca="false">H$2*TripTable!G21</f>
        <v>0.0207044438576306</v>
      </c>
      <c r="I23" s="1" t="n">
        <f aca="false">I$2*TripTable!H21</f>
        <v>0.0517172712667576</v>
      </c>
      <c r="J23" s="1" t="n">
        <f aca="false">J$2*TripTable!I21</f>
        <v>1.51554028603714</v>
      </c>
      <c r="K23" s="1" t="n">
        <f aca="false">K$2*TripTable!J21</f>
        <v>0</v>
      </c>
      <c r="L23" s="1" t="n">
        <f aca="false">L$2*TripTable!K21</f>
        <v>11.7528667518832</v>
      </c>
      <c r="M23" s="1" t="n">
        <f aca="false">M$2*TripTable!L21</f>
        <v>0.0711590942589452</v>
      </c>
      <c r="N23" s="1" t="n">
        <f aca="false">N$2*TripTable!M21</f>
        <v>0</v>
      </c>
      <c r="O23" s="1" t="n">
        <f aca="false">O$2*TripTable!N21</f>
        <v>0.00107334901207605</v>
      </c>
      <c r="P23" s="1" t="n">
        <f aca="false">P$2*TripTable!O21</f>
        <v>0</v>
      </c>
      <c r="Q23" s="1" t="n">
        <f aca="false">Q$2*TripTable!P21</f>
        <v>0.925020274991467</v>
      </c>
      <c r="R23" s="1" t="n">
        <f aca="false">R$2*TripTable!Q21</f>
        <v>0.0425729531743058</v>
      </c>
      <c r="S23" s="1" t="n">
        <f aca="false">S$2*TripTable!R21</f>
        <v>0.0645640225441334</v>
      </c>
      <c r="T23" s="1" t="n">
        <f aca="false">T$2*TripTable!S21</f>
        <v>0.0507196979950831</v>
      </c>
      <c r="U23" s="1" t="n">
        <f aca="false">U$2*TripTable!T21</f>
        <v>0.205687750275524</v>
      </c>
      <c r="V23" s="1" t="n">
        <f aca="false">V$2*TripTable!U21</f>
        <v>225.30935458033</v>
      </c>
      <c r="W23" s="1" t="n">
        <f aca="false">W$2*TripTable!V21</f>
        <v>2.10773748442099</v>
      </c>
      <c r="X23" s="1" t="n">
        <f aca="false">X$2*TripTable!W21</f>
        <v>102.801423189504</v>
      </c>
      <c r="Y23" s="1" t="n">
        <f aca="false">Y$2*TripTable!X21</f>
        <v>0.140369665160514</v>
      </c>
      <c r="Z23" s="1" t="n">
        <f aca="false">Z$2*TripTable!Y21</f>
        <v>0</v>
      </c>
      <c r="AA23" s="1" t="n">
        <f aca="false">AA$2*TripTable!Z21</f>
        <v>0</v>
      </c>
      <c r="AB23" s="1" t="n">
        <f aca="false">AB$2*TripTable!AA21</f>
        <v>0.0091162295652393</v>
      </c>
      <c r="AC23" s="1" t="n">
        <f aca="false">AC$2*TripTable!AB21</f>
        <v>0</v>
      </c>
      <c r="AD23" s="1" t="n">
        <f aca="false">AD$2*TripTable!AC21</f>
        <v>0</v>
      </c>
      <c r="AE23" s="1" t="n">
        <f aca="false">AE$2*TripTable!AD21</f>
        <v>0</v>
      </c>
      <c r="AF23" s="1" t="n">
        <f aca="false">AF$2*TripTable!AE21</f>
        <v>61.4797866083528</v>
      </c>
      <c r="AG23" s="1" t="n">
        <f aca="false">AG$2*TripTable!AF21</f>
        <v>16.944808101097</v>
      </c>
      <c r="AH23" s="1" t="n">
        <f aca="false">AH$2*TripTable!AG21</f>
        <v>0</v>
      </c>
      <c r="AI23" s="1" t="n">
        <f aca="false">AI$2*TripTable!AH21</f>
        <v>66.3644074179594</v>
      </c>
      <c r="AJ23" s="1" t="n">
        <f aca="false">AJ$2*TripTable!AI21</f>
        <v>0.0118150886726297</v>
      </c>
      <c r="AK23" s="1" t="n">
        <f aca="false">AK$2*TripTable!AJ21</f>
        <v>0</v>
      </c>
      <c r="AL23" s="1" t="n">
        <f aca="false">AL$2*TripTable!AK21</f>
        <v>0.756142578945611</v>
      </c>
      <c r="AM23" s="1" t="n">
        <f aca="false">AM$2*TripTable!AL21</f>
        <v>0.227934769640152</v>
      </c>
      <c r="AN23" s="1" t="n">
        <f aca="false">AN$2*TripTable!AM21</f>
        <v>0.0105980805698523</v>
      </c>
      <c r="AO23" s="1" t="n">
        <f aca="false">AO$2*TripTable!AN21</f>
        <v>8.53933785405891</v>
      </c>
      <c r="AP23" s="1" t="n">
        <f aca="false">AP$2*TripTable!AO21</f>
        <v>3.43768284132395</v>
      </c>
      <c r="AQ23" s="1" t="n">
        <f aca="false">AQ$2*TripTable!AP21</f>
        <v>0</v>
      </c>
      <c r="AR23" s="1" t="n">
        <f aca="false">AR$2*TripTable!AQ21</f>
        <v>0</v>
      </c>
      <c r="AS23" s="1" t="n">
        <f aca="false">AS$2*TripTable!AR21</f>
        <v>0.000696061976635218</v>
      </c>
      <c r="AT23" s="1" t="n">
        <f aca="false">AT$2*TripTable!AS21</f>
        <v>0.767171525195499</v>
      </c>
      <c r="AU23" s="1" t="n">
        <f aca="false">AU$2*TripTable!AT21</f>
        <v>0.00124597239423563</v>
      </c>
      <c r="AV23" s="1" t="n">
        <f aca="false">AV$2*TripTable!AU21</f>
        <v>0</v>
      </c>
      <c r="AW23" s="1" t="n">
        <f aca="false">AW$2*TripTable!AV21</f>
        <v>2.69864532970852</v>
      </c>
      <c r="AX23" s="1" t="n">
        <f aca="false">AX$2*TripTable!AW21</f>
        <v>0.455703928752452</v>
      </c>
      <c r="AY23" s="1" t="n">
        <f aca="false">AY$2*TripTable!AX21</f>
        <v>0.131449132648537</v>
      </c>
      <c r="AZ23" s="1" t="n">
        <f aca="false">AZ$2*TripTable!AY21</f>
        <v>0.00010199926107202</v>
      </c>
      <c r="BA23" s="1" t="n">
        <f aca="false">BA$2*TripTable!AZ21</f>
        <v>0</v>
      </c>
      <c r="BB23" s="1" t="n">
        <f aca="false">SUM(C23:BA23)</f>
        <v>507.99221619624</v>
      </c>
      <c r="BC23" s="2" t="n">
        <f aca="false">BB23/TripTable!BA21</f>
        <v>0.100812108790681</v>
      </c>
    </row>
    <row r="24" customFormat="false" ht="12.75" hidden="false" customHeight="false" outlineLevel="0" collapsed="false">
      <c r="A24" s="0" t="s">
        <v>21</v>
      </c>
      <c r="B24" s="1" t="n">
        <v>0.0702579161473665</v>
      </c>
      <c r="C24" s="1" t="n">
        <f aca="false">C$2*TripTable!B22</f>
        <v>0</v>
      </c>
      <c r="D24" s="1" t="n">
        <f aca="false">D$2*TripTable!C22</f>
        <v>1.13197334422163</v>
      </c>
      <c r="E24" s="1" t="n">
        <f aca="false">E$2*TripTable!D22</f>
        <v>0</v>
      </c>
      <c r="F24" s="1" t="n">
        <f aca="false">F$2*TripTable!E22</f>
        <v>0</v>
      </c>
      <c r="G24" s="1" t="n">
        <f aca="false">G$2*TripTable!F22</f>
        <v>5.96190901573948</v>
      </c>
      <c r="H24" s="1" t="n">
        <f aca="false">H$2*TripTable!G22</f>
        <v>0.171551106248939</v>
      </c>
      <c r="I24" s="1" t="n">
        <f aca="false">I$2*TripTable!H22</f>
        <v>0.0834233370684883</v>
      </c>
      <c r="J24" s="1" t="n">
        <f aca="false">J$2*TripTable!I22</f>
        <v>216.217080807966</v>
      </c>
      <c r="K24" s="1" t="n">
        <f aca="false">K$2*TripTable!J22</f>
        <v>0</v>
      </c>
      <c r="L24" s="1" t="n">
        <f aca="false">L$2*TripTable!K22</f>
        <v>58.2194988768786</v>
      </c>
      <c r="M24" s="1" t="n">
        <f aca="false">M$2*TripTable!L22</f>
        <v>1.25574872221668</v>
      </c>
      <c r="N24" s="1" t="n">
        <f aca="false">N$2*TripTable!M22</f>
        <v>0</v>
      </c>
      <c r="O24" s="1" t="n">
        <f aca="false">O$2*TripTable!N22</f>
        <v>0.0064400940724563</v>
      </c>
      <c r="P24" s="1" t="n">
        <f aca="false">P$2*TripTable!O22</f>
        <v>0</v>
      </c>
      <c r="Q24" s="1" t="n">
        <f aca="false">Q$2*TripTable!P22</f>
        <v>8.32518247492321</v>
      </c>
      <c r="R24" s="1" t="n">
        <f aca="false">R$2*TripTable!Q22</f>
        <v>1.31976154840348</v>
      </c>
      <c r="S24" s="1" t="n">
        <f aca="false">S$2*TripTable!R22</f>
        <v>1.29128045088267</v>
      </c>
      <c r="T24" s="1" t="n">
        <f aca="false">T$2*TripTable!S22</f>
        <v>0.405757583960665</v>
      </c>
      <c r="U24" s="1" t="n">
        <f aca="false">U$2*TripTable!T22</f>
        <v>1.67488596652926</v>
      </c>
      <c r="V24" s="1" t="n">
        <f aca="false">V$2*TripTable!U22</f>
        <v>7.98671219594452</v>
      </c>
      <c r="W24" s="1" t="n">
        <f aca="false">W$2*TripTable!V22</f>
        <v>243.232905702183</v>
      </c>
      <c r="X24" s="1" t="n">
        <f aca="false">X$2*TripTable!W22</f>
        <v>42.4094849962767</v>
      </c>
      <c r="Y24" s="1" t="n">
        <f aca="false">Y$2*TripTable!X22</f>
        <v>0.953036147668752</v>
      </c>
      <c r="Z24" s="1" t="n">
        <f aca="false">Z$2*TripTable!Y22</f>
        <v>0</v>
      </c>
      <c r="AA24" s="1" t="n">
        <f aca="false">AA$2*TripTable!Z22</f>
        <v>0</v>
      </c>
      <c r="AB24" s="1" t="n">
        <f aca="false">AB$2*TripTable!AA22</f>
        <v>0.0433020904348867</v>
      </c>
      <c r="AC24" s="1" t="n">
        <f aca="false">AC$2*TripTable!AB22</f>
        <v>0</v>
      </c>
      <c r="AD24" s="1" t="n">
        <f aca="false">AD$2*TripTable!AC22</f>
        <v>0.0139655815988982</v>
      </c>
      <c r="AE24" s="1" t="n">
        <f aca="false">AE$2*TripTable!AD22</f>
        <v>0</v>
      </c>
      <c r="AF24" s="1" t="n">
        <f aca="false">AF$2*TripTable!AE22</f>
        <v>5.29998160416834</v>
      </c>
      <c r="AG24" s="1" t="n">
        <f aca="false">AG$2*TripTable!AF22</f>
        <v>1054.13104590211</v>
      </c>
      <c r="AH24" s="1" t="n">
        <f aca="false">AH$2*TripTable!AG22</f>
        <v>0</v>
      </c>
      <c r="AI24" s="1" t="n">
        <f aca="false">AI$2*TripTable!AH22</f>
        <v>422.741275252401</v>
      </c>
      <c r="AJ24" s="1" t="n">
        <f aca="false">AJ$2*TripTable!AI22</f>
        <v>0.641707003532201</v>
      </c>
      <c r="AK24" s="1" t="n">
        <f aca="false">AK$2*TripTable!AJ22</f>
        <v>0</v>
      </c>
      <c r="AL24" s="1" t="n">
        <f aca="false">AL$2*TripTable!AK22</f>
        <v>10.7503749267485</v>
      </c>
      <c r="AM24" s="1" t="n">
        <f aca="false">AM$2*TripTable!AL22</f>
        <v>1.51956513093435</v>
      </c>
      <c r="AN24" s="1" t="n">
        <f aca="false">AN$2*TripTable!AM22</f>
        <v>0.0635884834191141</v>
      </c>
      <c r="AO24" s="1" t="n">
        <f aca="false">AO$2*TripTable!AN22</f>
        <v>312.095251981222</v>
      </c>
      <c r="AP24" s="1" t="n">
        <f aca="false">AP$2*TripTable!AO22</f>
        <v>3.32558448780252</v>
      </c>
      <c r="AQ24" s="1" t="n">
        <f aca="false">AQ$2*TripTable!AP22</f>
        <v>0</v>
      </c>
      <c r="AR24" s="1" t="n">
        <f aca="false">AR$2*TripTable!AQ22</f>
        <v>0</v>
      </c>
      <c r="AS24" s="1" t="n">
        <f aca="false">AS$2*TripTable!AR22</f>
        <v>0.00672859910747378</v>
      </c>
      <c r="AT24" s="1" t="n">
        <f aca="false">AT$2*TripTable!AS22</f>
        <v>4.60302915117299</v>
      </c>
      <c r="AU24" s="1" t="n">
        <f aca="false">AU$2*TripTable!AT22</f>
        <v>0.0149516687308276</v>
      </c>
      <c r="AV24" s="1" t="n">
        <f aca="false">AV$2*TripTable!AU22</f>
        <v>0</v>
      </c>
      <c r="AW24" s="1" t="n">
        <f aca="false">AW$2*TripTable!AV22</f>
        <v>105.572866432908</v>
      </c>
      <c r="AX24" s="1" t="n">
        <f aca="false">AX$2*TripTable!AW22</f>
        <v>2.27851964376226</v>
      </c>
      <c r="AY24" s="1" t="n">
        <f aca="false">AY$2*TripTable!AX22</f>
        <v>40.0919854578038</v>
      </c>
      <c r="AZ24" s="1" t="n">
        <f aca="false">AZ$2*TripTable!AY22</f>
        <v>0.000260664778295162</v>
      </c>
      <c r="BA24" s="1" t="n">
        <f aca="false">BA$2*TripTable!AZ22</f>
        <v>0</v>
      </c>
      <c r="BB24" s="1" t="n">
        <f aca="false">SUM(C24:BA24)</f>
        <v>2553.84061643382</v>
      </c>
      <c r="BC24" s="2" t="n">
        <f aca="false">BB24/TripTable!BA22</f>
        <v>0.123834583544287</v>
      </c>
    </row>
    <row r="25" customFormat="false" ht="12.75" hidden="false" customHeight="false" outlineLevel="0" collapsed="false">
      <c r="A25" s="0" t="s">
        <v>22</v>
      </c>
      <c r="B25" s="1" t="n">
        <v>0.103944816167345</v>
      </c>
      <c r="C25" s="1" t="n">
        <f aca="false">C$2*TripTable!B23</f>
        <v>0</v>
      </c>
      <c r="D25" s="1" t="n">
        <f aca="false">D$2*TripTable!C23</f>
        <v>1.32063556825857</v>
      </c>
      <c r="E25" s="1" t="n">
        <f aca="false">E$2*TripTable!D23</f>
        <v>0</v>
      </c>
      <c r="F25" s="1" t="n">
        <f aca="false">F$2*TripTable!E23</f>
        <v>0</v>
      </c>
      <c r="G25" s="1" t="n">
        <f aca="false">G$2*TripTable!F23</f>
        <v>9.23884482226296</v>
      </c>
      <c r="H25" s="1" t="n">
        <f aca="false">H$2*TripTable!G23</f>
        <v>0.198171105494464</v>
      </c>
      <c r="I25" s="1" t="n">
        <f aca="false">I$2*TripTable!H23</f>
        <v>0.398664794588975</v>
      </c>
      <c r="J25" s="1" t="n">
        <f aca="false">J$2*TripTable!I23</f>
        <v>12.8820924313157</v>
      </c>
      <c r="K25" s="1" t="n">
        <f aca="false">K$2*TripTable!J23</f>
        <v>0</v>
      </c>
      <c r="L25" s="1" t="n">
        <f aca="false">L$2*TripTable!K23</f>
        <v>92.3105958128048</v>
      </c>
      <c r="M25" s="1" t="n">
        <f aca="false">M$2*TripTable!L23</f>
        <v>0.753449233330008</v>
      </c>
      <c r="N25" s="1" t="n">
        <f aca="false">N$2*TripTable!M23</f>
        <v>0</v>
      </c>
      <c r="O25" s="1" t="n">
        <f aca="false">O$2*TripTable!N23</f>
        <v>0</v>
      </c>
      <c r="P25" s="1" t="n">
        <f aca="false">P$2*TripTable!O23</f>
        <v>0</v>
      </c>
      <c r="Q25" s="1" t="n">
        <f aca="false">Q$2*TripTable!P23</f>
        <v>3.88508515496416</v>
      </c>
      <c r="R25" s="1" t="n">
        <f aca="false">R$2*TripTable!Q23</f>
        <v>0.681167250788893</v>
      </c>
      <c r="S25" s="1" t="n">
        <f aca="false">S$2*TripTable!R23</f>
        <v>2.25974078904467</v>
      </c>
      <c r="T25" s="1" t="n">
        <f aca="false">T$2*TripTable!S23</f>
        <v>0.101439395990166</v>
      </c>
      <c r="U25" s="1" t="n">
        <f aca="false">U$2*TripTable!T23</f>
        <v>1.46919821625374</v>
      </c>
      <c r="V25" s="1" t="n">
        <f aca="false">V$2*TripTable!U23</f>
        <v>301.183120441803</v>
      </c>
      <c r="W25" s="1" t="n">
        <f aca="false">W$2*TripTable!V23</f>
        <v>7.86888660850504</v>
      </c>
      <c r="X25" s="1" t="n">
        <f aca="false">X$2*TripTable!W23</f>
        <v>282.937789607512</v>
      </c>
      <c r="Y25" s="1" t="n">
        <f aca="false">Y$2*TripTable!X23</f>
        <v>0.398945364140408</v>
      </c>
      <c r="Z25" s="1" t="n">
        <f aca="false">Z$2*TripTable!Y23</f>
        <v>0</v>
      </c>
      <c r="AA25" s="1" t="n">
        <f aca="false">AA$2*TripTable!Z23</f>
        <v>0</v>
      </c>
      <c r="AB25" s="1" t="n">
        <f aca="false">AB$2*TripTable!AA23</f>
        <v>0.0250696313044081</v>
      </c>
      <c r="AC25" s="1" t="n">
        <f aca="false">AC$2*TripTable!AB23</f>
        <v>0</v>
      </c>
      <c r="AD25" s="1" t="n">
        <f aca="false">AD$2*TripTable!AC23</f>
        <v>0.017955747770012</v>
      </c>
      <c r="AE25" s="1" t="n">
        <f aca="false">AE$2*TripTable!AD23</f>
        <v>0</v>
      </c>
      <c r="AF25" s="1" t="n">
        <f aca="false">AF$2*TripTable!AE23</f>
        <v>348.503234816314</v>
      </c>
      <c r="AG25" s="1" t="n">
        <f aca="false">AG$2*TripTable!AF23</f>
        <v>234.494279850665</v>
      </c>
      <c r="AH25" s="1" t="n">
        <f aca="false">AH$2*TripTable!AG23</f>
        <v>0</v>
      </c>
      <c r="AI25" s="1" t="n">
        <f aca="false">AI$2*TripTable!AH23</f>
        <v>791.063736422076</v>
      </c>
      <c r="AJ25" s="1" t="n">
        <f aca="false">AJ$2*TripTable!AI23</f>
        <v>0.0383990381860466</v>
      </c>
      <c r="AK25" s="1" t="n">
        <f aca="false">AK$2*TripTable!AJ23</f>
        <v>0</v>
      </c>
      <c r="AL25" s="1" t="n">
        <f aca="false">AL$2*TripTable!AK23</f>
        <v>5.16149499541135</v>
      </c>
      <c r="AM25" s="1" t="n">
        <f aca="false">AM$2*TripTable!AL23</f>
        <v>1.59554338748106</v>
      </c>
      <c r="AN25" s="1" t="n">
        <f aca="false">AN$2*TripTable!AM23</f>
        <v>0.11127984598345</v>
      </c>
      <c r="AO25" s="1" t="n">
        <f aca="false">AO$2*TripTable!AN23</f>
        <v>65.1563175987783</v>
      </c>
      <c r="AP25" s="1" t="n">
        <f aca="false">AP$2*TripTable!AO23</f>
        <v>9.229431106598</v>
      </c>
      <c r="AQ25" s="1" t="n">
        <f aca="false">AQ$2*TripTable!AP23</f>
        <v>0</v>
      </c>
      <c r="AR25" s="1" t="n">
        <f aca="false">AR$2*TripTable!AQ23</f>
        <v>0</v>
      </c>
      <c r="AS25" s="1" t="n">
        <f aca="false">AS$2*TripTable!AR23</f>
        <v>0.00307427373013888</v>
      </c>
      <c r="AT25" s="1" t="n">
        <f aca="false">AT$2*TripTable!AS23</f>
        <v>2.59848419824282</v>
      </c>
      <c r="AU25" s="1" t="n">
        <f aca="false">AU$2*TripTable!AT23</f>
        <v>0.00622986197117817</v>
      </c>
      <c r="AV25" s="1" t="n">
        <f aca="false">AV$2*TripTable!AU23</f>
        <v>0</v>
      </c>
      <c r="AW25" s="1" t="n">
        <f aca="false">AW$2*TripTable!AV23</f>
        <v>14.0515670615858</v>
      </c>
      <c r="AX25" s="1" t="n">
        <f aca="false">AX$2*TripTable!AW23</f>
        <v>2.89993409206106</v>
      </c>
      <c r="AY25" s="1" t="n">
        <f aca="false">AY$2*TripTable!AX23</f>
        <v>1.38021589280964</v>
      </c>
      <c r="AZ25" s="1" t="n">
        <f aca="false">AZ$2*TripTable!AY23</f>
        <v>0.000373997290597406</v>
      </c>
      <c r="BA25" s="1" t="n">
        <f aca="false">BA$2*TripTable!AZ23</f>
        <v>0</v>
      </c>
      <c r="BB25" s="1" t="n">
        <f aca="false">SUM(C25:BA25)</f>
        <v>2194.22444841532</v>
      </c>
      <c r="BC25" s="2" t="n">
        <f aca="false">BB25/TripTable!BA23</f>
        <v>0.116596229789857</v>
      </c>
    </row>
    <row r="26" customFormat="false" ht="12.75" hidden="false" customHeight="false" outlineLevel="0" collapsed="false">
      <c r="A26" s="0" t="s">
        <v>23</v>
      </c>
      <c r="B26" s="1" t="n">
        <v>0.00738787711371125</v>
      </c>
      <c r="C26" s="1" t="n">
        <f aca="false">C$2*TripTable!B24</f>
        <v>0</v>
      </c>
      <c r="D26" s="1" t="n">
        <f aca="false">D$2*TripTable!C24</f>
        <v>5.34542968104659</v>
      </c>
      <c r="E26" s="1" t="n">
        <f aca="false">E$2*TripTable!D24</f>
        <v>0</v>
      </c>
      <c r="F26" s="1" t="n">
        <f aca="false">F$2*TripTable!E24</f>
        <v>0</v>
      </c>
      <c r="G26" s="1" t="n">
        <f aca="false">G$2*TripTable!F24</f>
        <v>10.9513080501881</v>
      </c>
      <c r="H26" s="1" t="n">
        <f aca="false">H$2*TripTable!G24</f>
        <v>0.346059990191825</v>
      </c>
      <c r="I26" s="1" t="n">
        <f aca="false">I$2*TripTable!H24</f>
        <v>0.0067570304167623</v>
      </c>
      <c r="J26" s="1" t="n">
        <f aca="false">J$2*TripTable!I24</f>
        <v>4.54662085811142</v>
      </c>
      <c r="K26" s="1" t="n">
        <f aca="false">K$2*TripTable!J24</f>
        <v>0</v>
      </c>
      <c r="L26" s="1" t="n">
        <f aca="false">L$2*TripTable!K24</f>
        <v>105.697967212301</v>
      </c>
      <c r="M26" s="1" t="n">
        <f aca="false">M$2*TripTable!L24</f>
        <v>2.08454287887969</v>
      </c>
      <c r="N26" s="1" t="n">
        <f aca="false">N$2*TripTable!M24</f>
        <v>0</v>
      </c>
      <c r="O26" s="1" t="n">
        <f aca="false">O$2*TripTable!N24</f>
        <v>0.0128801881449126</v>
      </c>
      <c r="P26" s="1" t="n">
        <f aca="false">P$2*TripTable!O24</f>
        <v>0</v>
      </c>
      <c r="Q26" s="1" t="n">
        <f aca="false">Q$2*TripTable!P24</f>
        <v>93.1495416916408</v>
      </c>
      <c r="R26" s="1" t="n">
        <f aca="false">R$2*TripTable!Q24</f>
        <v>7.49283975867782</v>
      </c>
      <c r="S26" s="1" t="n">
        <f aca="false">S$2*TripTable!R24</f>
        <v>10.3948076296055</v>
      </c>
      <c r="T26" s="1" t="n">
        <f aca="false">T$2*TripTable!S24</f>
        <v>4.39570715957387</v>
      </c>
      <c r="U26" s="1" t="n">
        <f aca="false">U$2*TripTable!T24</f>
        <v>3.20285211143315</v>
      </c>
      <c r="V26" s="1" t="n">
        <f aca="false">V$2*TripTable!U24</f>
        <v>4.09844441633995</v>
      </c>
      <c r="W26" s="1" t="n">
        <f aca="false">W$2*TripTable!V24</f>
        <v>5.83140704023142</v>
      </c>
      <c r="X26" s="1" t="n">
        <f aca="false">X$2*TripTable!W24</f>
        <v>29.0006037106892</v>
      </c>
      <c r="Y26" s="1" t="n">
        <f aca="false">Y$2*TripTable!X24</f>
        <v>162.533296501648</v>
      </c>
      <c r="Z26" s="1" t="n">
        <f aca="false">Z$2*TripTable!Y24</f>
        <v>0</v>
      </c>
      <c r="AA26" s="1" t="n">
        <f aca="false">AA$2*TripTable!Z24</f>
        <v>0</v>
      </c>
      <c r="AB26" s="1" t="n">
        <f aca="false">AB$2*TripTable!AA24</f>
        <v>0.275006258551385</v>
      </c>
      <c r="AC26" s="1" t="n">
        <f aca="false">AC$2*TripTable!AB24</f>
        <v>0</v>
      </c>
      <c r="AD26" s="1" t="n">
        <f aca="false">AD$2*TripTable!AC24</f>
        <v>0.0558623263955928</v>
      </c>
      <c r="AE26" s="1" t="n">
        <f aca="false">AE$2*TripTable!AD24</f>
        <v>0</v>
      </c>
      <c r="AF26" s="1" t="n">
        <f aca="false">AF$2*TripTable!AE24</f>
        <v>4.82887212824227</v>
      </c>
      <c r="AG26" s="1" t="n">
        <f aca="false">AG$2*TripTable!AF24</f>
        <v>36.3493464104177</v>
      </c>
      <c r="AH26" s="1" t="n">
        <f aca="false">AH$2*TripTable!AG24</f>
        <v>0</v>
      </c>
      <c r="AI26" s="1" t="n">
        <f aca="false">AI$2*TripTable!AH24</f>
        <v>182.502120399388</v>
      </c>
      <c r="AJ26" s="1" t="n">
        <f aca="false">AJ$2*TripTable!AI24</f>
        <v>0.0863978359186048</v>
      </c>
      <c r="AK26" s="1" t="n">
        <f aca="false">AK$2*TripTable!AJ24</f>
        <v>0</v>
      </c>
      <c r="AL26" s="1" t="n">
        <f aca="false">AL$2*TripTable!AK24</f>
        <v>121.245818745714</v>
      </c>
      <c r="AM26" s="1" t="n">
        <f aca="false">AM$2*TripTable!AL24</f>
        <v>5.09054318863006</v>
      </c>
      <c r="AN26" s="1" t="n">
        <f aca="false">AN$2*TripTable!AM24</f>
        <v>0.11127984598345</v>
      </c>
      <c r="AO26" s="1" t="n">
        <f aca="false">AO$2*TripTable!AN24</f>
        <v>56.7339569755969</v>
      </c>
      <c r="AP26" s="1" t="n">
        <f aca="false">AP$2*TripTable!AO24</f>
        <v>0</v>
      </c>
      <c r="AQ26" s="1" t="n">
        <f aca="false">AQ$2*TripTable!AP24</f>
        <v>0</v>
      </c>
      <c r="AR26" s="1" t="n">
        <f aca="false">AR$2*TripTable!AQ24</f>
        <v>0</v>
      </c>
      <c r="AS26" s="1" t="n">
        <f aca="false">AS$2*TripTable!AR24</f>
        <v>0.0302206908189124</v>
      </c>
      <c r="AT26" s="1" t="n">
        <f aca="false">AT$2*TripTable!AS24</f>
        <v>4.87525130527462</v>
      </c>
      <c r="AU26" s="1" t="n">
        <f aca="false">AU$2*TripTable!AT24</f>
        <v>0.0218045168991236</v>
      </c>
      <c r="AV26" s="1" t="n">
        <f aca="false">AV$2*TripTable!AU24</f>
        <v>0</v>
      </c>
      <c r="AW26" s="1" t="n">
        <f aca="false">AW$2*TripTable!AV24</f>
        <v>8.04940762137197</v>
      </c>
      <c r="AX26" s="1" t="n">
        <f aca="false">AX$2*TripTable!AW24</f>
        <v>3.02421698172082</v>
      </c>
      <c r="AY26" s="1" t="n">
        <f aca="false">AY$2*TripTable!AX24</f>
        <v>6.24383380080551</v>
      </c>
      <c r="AZ26" s="1" t="n">
        <f aca="false">AZ$2*TripTable!AY24</f>
        <v>0.0108119216736341</v>
      </c>
      <c r="BA26" s="1" t="n">
        <f aca="false">BA$2*TripTable!AZ24</f>
        <v>0</v>
      </c>
      <c r="BB26" s="1" t="n">
        <f aca="false">SUM(C26:BA26)</f>
        <v>878.625816862522</v>
      </c>
      <c r="BC26" s="2" t="n">
        <f aca="false">BB26/TripTable!BA24</f>
        <v>0.0221115818618513</v>
      </c>
    </row>
    <row r="27" customFormat="false" ht="12.75" hidden="false" customHeight="false" outlineLevel="0" collapsed="false">
      <c r="A27" s="0" t="s">
        <v>24</v>
      </c>
      <c r="B27" s="1" t="n">
        <v>0</v>
      </c>
      <c r="C27" s="1" t="n">
        <f aca="false">C$2*TripTable!B25</f>
        <v>0</v>
      </c>
      <c r="D27" s="1" t="n">
        <f aca="false">D$2*TripTable!C25</f>
        <v>1.38352297627088</v>
      </c>
      <c r="E27" s="1" t="n">
        <f aca="false">E$2*TripTable!D25</f>
        <v>0</v>
      </c>
      <c r="F27" s="1" t="n">
        <f aca="false">F$2*TripTable!E25</f>
        <v>0</v>
      </c>
      <c r="G27" s="1" t="n">
        <f aca="false">G$2*TripTable!F25</f>
        <v>9.28112786492777</v>
      </c>
      <c r="H27" s="1" t="n">
        <f aca="false">H$2*TripTable!G25</f>
        <v>0.641837759586548</v>
      </c>
      <c r="I27" s="1" t="n">
        <f aca="false">I$2*TripTable!H25</f>
        <v>0.00571748727572194</v>
      </c>
      <c r="J27" s="1" t="n">
        <f aca="false">J$2*TripTable!I25</f>
        <v>0</v>
      </c>
      <c r="K27" s="1" t="n">
        <f aca="false">K$2*TripTable!J25</f>
        <v>0</v>
      </c>
      <c r="L27" s="1" t="n">
        <f aca="false">L$2*TripTable!K25</f>
        <v>32.690092952258</v>
      </c>
      <c r="M27" s="1" t="n">
        <f aca="false">M$2*TripTable!L25</f>
        <v>0.138132359443835</v>
      </c>
      <c r="N27" s="1" t="n">
        <f aca="false">N$2*TripTable!M25</f>
        <v>0</v>
      </c>
      <c r="O27" s="1" t="n">
        <f aca="false">O$2*TripTable!N25</f>
        <v>0.0139535371569887</v>
      </c>
      <c r="P27" s="1" t="n">
        <f aca="false">P$2*TripTable!O25</f>
        <v>0</v>
      </c>
      <c r="Q27" s="1" t="n">
        <f aca="false">Q$2*TripTable!P25</f>
        <v>9.52770883241212</v>
      </c>
      <c r="R27" s="1" t="n">
        <f aca="false">R$2*TripTable!Q25</f>
        <v>34.4415191180134</v>
      </c>
      <c r="S27" s="1" t="n">
        <f aca="false">S$2*TripTable!R25</f>
        <v>6.71465834458987</v>
      </c>
      <c r="T27" s="1" t="n">
        <f aca="false">T$2*TripTable!S25</f>
        <v>0.253598489975415</v>
      </c>
      <c r="U27" s="1" t="n">
        <f aca="false">U$2*TripTable!T25</f>
        <v>1.58673407355404</v>
      </c>
      <c r="V27" s="1" t="n">
        <f aca="false">V$2*TripTable!U25</f>
        <v>0.420353273470764</v>
      </c>
      <c r="W27" s="1" t="n">
        <f aca="false">W$2*TripTable!V25</f>
        <v>0.98361082606313</v>
      </c>
      <c r="X27" s="1" t="n">
        <f aca="false">X$2*TripTable!W25</f>
        <v>5.19724080836724</v>
      </c>
      <c r="Y27" s="1" t="n">
        <f aca="false">Y$2*TripTable!X25</f>
        <v>2.44538732463842</v>
      </c>
      <c r="Z27" s="1" t="n">
        <f aca="false">Z$2*TripTable!Y25</f>
        <v>0</v>
      </c>
      <c r="AA27" s="1" t="n">
        <f aca="false">AA$2*TripTable!Z25</f>
        <v>0</v>
      </c>
      <c r="AB27" s="1" t="n">
        <f aca="false">AB$2*TripTable!AA25</f>
        <v>0.21119265159471</v>
      </c>
      <c r="AC27" s="1" t="n">
        <f aca="false">AC$2*TripTable!AB25</f>
        <v>0</v>
      </c>
      <c r="AD27" s="1" t="n">
        <f aca="false">AD$2*TripTable!AC25</f>
        <v>0.337169041459114</v>
      </c>
      <c r="AE27" s="1" t="n">
        <f aca="false">AE$2*TripTable!AD25</f>
        <v>0</v>
      </c>
      <c r="AF27" s="1" t="n">
        <f aca="false">AF$2*TripTable!AE25</f>
        <v>0.824441582870631</v>
      </c>
      <c r="AG27" s="1" t="n">
        <f aca="false">AG$2*TripTable!AF25</f>
        <v>5.19276377291682</v>
      </c>
      <c r="AH27" s="1" t="n">
        <f aca="false">AH$2*TripTable!AG25</f>
        <v>0</v>
      </c>
      <c r="AI27" s="1" t="n">
        <f aca="false">AI$2*TripTable!AH25</f>
        <v>75.3236024193839</v>
      </c>
      <c r="AJ27" s="1" t="n">
        <f aca="false">AJ$2*TripTable!AI25</f>
        <v>0.0472603546905189</v>
      </c>
      <c r="AK27" s="1" t="n">
        <f aca="false">AK$2*TripTable!AJ25</f>
        <v>0</v>
      </c>
      <c r="AL27" s="1" t="n">
        <f aca="false">AL$2*TripTable!AK25</f>
        <v>1.90679432951502</v>
      </c>
      <c r="AM27" s="1" t="n">
        <f aca="false">AM$2*TripTable!AL25</f>
        <v>2.12739118330809</v>
      </c>
      <c r="AN27" s="1" t="n">
        <f aca="false">AN$2*TripTable!AM25</f>
        <v>0.275550094816161</v>
      </c>
      <c r="AO27" s="1" t="n">
        <f aca="false">AO$2*TripTable!AN25</f>
        <v>4.91304369685581</v>
      </c>
      <c r="AP27" s="1" t="n">
        <f aca="false">AP$2*TripTable!AO25</f>
        <v>0.186830589202389</v>
      </c>
      <c r="AQ27" s="1" t="n">
        <f aca="false">AQ$2*TripTable!AP25</f>
        <v>0</v>
      </c>
      <c r="AR27" s="1" t="n">
        <f aca="false">AR$2*TripTable!AQ25</f>
        <v>0</v>
      </c>
      <c r="AS27" s="1" t="n">
        <f aca="false">AS$2*TripTable!AR25</f>
        <v>0.00203018076518605</v>
      </c>
      <c r="AT27" s="1" t="n">
        <f aca="false">AT$2*TripTable!AS25</f>
        <v>6.23636207578276</v>
      </c>
      <c r="AU27" s="1" t="n">
        <f aca="false">AU$2*TripTable!AT25</f>
        <v>0.0074758343654138</v>
      </c>
      <c r="AV27" s="1" t="n">
        <f aca="false">AV$2*TripTable!AU25</f>
        <v>0</v>
      </c>
      <c r="AW27" s="1" t="n">
        <f aca="false">AW$2*TripTable!AV25</f>
        <v>2.18683328441897</v>
      </c>
      <c r="AX27" s="1" t="n">
        <f aca="false">AX$2*TripTable!AW25</f>
        <v>3.81134194956597</v>
      </c>
      <c r="AY27" s="1" t="n">
        <f aca="false">AY$2*TripTable!AX25</f>
        <v>0</v>
      </c>
      <c r="AZ27" s="1" t="n">
        <f aca="false">AZ$2*TripTable!AY25</f>
        <v>0.0329910943311833</v>
      </c>
      <c r="BA27" s="1" t="n">
        <f aca="false">BA$2*TripTable!AZ25</f>
        <v>0</v>
      </c>
      <c r="BB27" s="1" t="n">
        <f aca="false">SUM(C27:BA27)</f>
        <v>209.348270163847</v>
      </c>
      <c r="BC27" s="2" t="n">
        <f aca="false">BB27/TripTable!BA25</f>
        <v>0.00813887995349688</v>
      </c>
    </row>
    <row r="28" customFormat="false" ht="12.75" hidden="false" customHeight="false" outlineLevel="0" collapsed="false">
      <c r="A28" s="0" t="s">
        <v>25</v>
      </c>
      <c r="B28" s="1" t="n">
        <v>0</v>
      </c>
      <c r="C28" s="1" t="n">
        <f aca="false">C$2*TripTable!B26</f>
        <v>0</v>
      </c>
      <c r="D28" s="1" t="n">
        <f aca="false">D$2*TripTable!C26</f>
        <v>1.63507260832013</v>
      </c>
      <c r="E28" s="1" t="n">
        <f aca="false">E$2*TripTable!D26</f>
        <v>0</v>
      </c>
      <c r="F28" s="1" t="n">
        <f aca="false">F$2*TripTable!E26</f>
        <v>0</v>
      </c>
      <c r="G28" s="1" t="n">
        <f aca="false">G$2*TripTable!F26</f>
        <v>1.52218953593348</v>
      </c>
      <c r="H28" s="1" t="n">
        <f aca="false">H$2*TripTable!G26</f>
        <v>0.091691108512364</v>
      </c>
      <c r="I28" s="1" t="n">
        <f aca="false">I$2*TripTable!H26</f>
        <v>0.000779657355780265</v>
      </c>
      <c r="J28" s="1" t="n">
        <f aca="false">J$2*TripTable!I26</f>
        <v>0.252590047672857</v>
      </c>
      <c r="K28" s="1" t="n">
        <f aca="false">K$2*TripTable!J26</f>
        <v>0</v>
      </c>
      <c r="L28" s="1" t="n">
        <f aca="false">L$2*TripTable!K26</f>
        <v>43.5867906030107</v>
      </c>
      <c r="M28" s="1" t="n">
        <f aca="false">M$2*TripTable!L26</f>
        <v>1.05482892666201</v>
      </c>
      <c r="N28" s="1" t="n">
        <f aca="false">N$2*TripTable!M26</f>
        <v>0</v>
      </c>
      <c r="O28" s="1" t="n">
        <f aca="false">O$2*TripTable!N26</f>
        <v>0.0021466980241521</v>
      </c>
      <c r="P28" s="1" t="n">
        <f aca="false">P$2*TripTable!O26</f>
        <v>0</v>
      </c>
      <c r="Q28" s="1" t="n">
        <f aca="false">Q$2*TripTable!P26</f>
        <v>3.51507704496758</v>
      </c>
      <c r="R28" s="1" t="n">
        <f aca="false">R$2*TripTable!Q26</f>
        <v>0.425729531743058</v>
      </c>
      <c r="S28" s="1" t="n">
        <f aca="false">S$2*TripTable!R26</f>
        <v>2.06604872141227</v>
      </c>
      <c r="T28" s="1" t="n">
        <f aca="false">T$2*TripTable!S26</f>
        <v>0.32967803696804</v>
      </c>
      <c r="U28" s="1" t="n">
        <f aca="false">U$2*TripTable!T26</f>
        <v>49.7470516023517</v>
      </c>
      <c r="V28" s="1" t="n">
        <f aca="false">V$2*TripTable!U26</f>
        <v>0</v>
      </c>
      <c r="W28" s="1" t="n">
        <f aca="false">W$2*TripTable!V26</f>
        <v>0.421547496884199</v>
      </c>
      <c r="X28" s="1" t="n">
        <f aca="false">X$2*TripTable!W26</f>
        <v>1.55917224251017</v>
      </c>
      <c r="Y28" s="1" t="n">
        <f aca="false">Y$2*TripTable!X26</f>
        <v>0.465436258163809</v>
      </c>
      <c r="Z28" s="1" t="n">
        <f aca="false">Z$2*TripTable!Y26</f>
        <v>0</v>
      </c>
      <c r="AA28" s="1" t="n">
        <f aca="false">AA$2*TripTable!Z26</f>
        <v>0</v>
      </c>
      <c r="AB28" s="1" t="n">
        <f aca="false">AB$2*TripTable!AA26</f>
        <v>0.116231926956801</v>
      </c>
      <c r="AC28" s="1" t="n">
        <f aca="false">AC$2*TripTable!AB26</f>
        <v>0</v>
      </c>
      <c r="AD28" s="1" t="n">
        <f aca="false">AD$2*TripTable!AC26</f>
        <v>0.00199508308555689</v>
      </c>
      <c r="AE28" s="1" t="n">
        <f aca="false">AE$2*TripTable!AD26</f>
        <v>0</v>
      </c>
      <c r="AF28" s="1" t="n">
        <f aca="false">AF$2*TripTable!AE26</f>
        <v>1.41332842777822</v>
      </c>
      <c r="AG28" s="1" t="n">
        <f aca="false">AG$2*TripTable!AF26</f>
        <v>3.27964027763168</v>
      </c>
      <c r="AH28" s="1" t="n">
        <f aca="false">AH$2*TripTable!AG26</f>
        <v>0</v>
      </c>
      <c r="AI28" s="1" t="n">
        <f aca="false">AI$2*TripTable!AH26</f>
        <v>12.2774153723225</v>
      </c>
      <c r="AJ28" s="1" t="n">
        <f aca="false">AJ$2*TripTable!AI26</f>
        <v>0.0546447851109124</v>
      </c>
      <c r="AK28" s="1" t="n">
        <f aca="false">AK$2*TripTable!AJ26</f>
        <v>0</v>
      </c>
      <c r="AL28" s="1" t="n">
        <f aca="false">AL$2*TripTable!AK26</f>
        <v>1.21640327917337</v>
      </c>
      <c r="AM28" s="1" t="n">
        <f aca="false">AM$2*TripTable!AL26</f>
        <v>1.44358687438763</v>
      </c>
      <c r="AN28" s="1" t="n">
        <f aca="false">AN$2*TripTable!AM26</f>
        <v>0.0158971208547785</v>
      </c>
      <c r="AO28" s="1" t="n">
        <f aca="false">AO$2*TripTable!AN26</f>
        <v>3.74327138808062</v>
      </c>
      <c r="AP28" s="1" t="n">
        <f aca="false">AP$2*TripTable!AO26</f>
        <v>0.0373661178404778</v>
      </c>
      <c r="AQ28" s="1" t="n">
        <f aca="false">AQ$2*TripTable!AP26</f>
        <v>0</v>
      </c>
      <c r="AR28" s="1" t="n">
        <f aca="false">AR$2*TripTable!AQ26</f>
        <v>0</v>
      </c>
      <c r="AS28" s="1" t="n">
        <f aca="false">AS$2*TripTable!AR26</f>
        <v>0.0592812783434328</v>
      </c>
      <c r="AT28" s="1" t="n">
        <f aca="false">AT$2*TripTable!AS26</f>
        <v>10.2454519816431</v>
      </c>
      <c r="AU28" s="1" t="n">
        <f aca="false">AU$2*TripTable!AT26</f>
        <v>0.00249194478847127</v>
      </c>
      <c r="AV28" s="1" t="n">
        <f aca="false">AV$2*TripTable!AU26</f>
        <v>0</v>
      </c>
      <c r="AW28" s="1" t="n">
        <f aca="false">AW$2*TripTable!AV26</f>
        <v>1.9076630778974</v>
      </c>
      <c r="AX28" s="1" t="n">
        <f aca="false">AX$2*TripTable!AW26</f>
        <v>0.662842078185385</v>
      </c>
      <c r="AY28" s="1" t="n">
        <f aca="false">AY$2*TripTable!AX26</f>
        <v>0.46007196426988</v>
      </c>
      <c r="AZ28" s="1" t="n">
        <f aca="false">AZ$2*TripTable!AY26</f>
        <v>0.000158665517223142</v>
      </c>
      <c r="BA28" s="1" t="n">
        <f aca="false">BA$2*TripTable!AZ26</f>
        <v>0</v>
      </c>
      <c r="BB28" s="1" t="n">
        <f aca="false">SUM(C28:BA28)</f>
        <v>143.61357176436</v>
      </c>
      <c r="BC28" s="2" t="n">
        <f aca="false">BB28/TripTable!BA26</f>
        <v>0.0132607176144376</v>
      </c>
    </row>
    <row r="29" customFormat="false" ht="12.75" hidden="false" customHeight="false" outlineLevel="0" collapsed="false">
      <c r="A29" s="0" t="s">
        <v>26</v>
      </c>
      <c r="B29" s="1" t="n">
        <v>0.000759685797103275</v>
      </c>
      <c r="C29" s="1" t="n">
        <f aca="false">C$2*TripTable!B27</f>
        <v>0</v>
      </c>
      <c r="D29" s="1" t="n">
        <f aca="false">D$2*TripTable!C27</f>
        <v>0.943311120184692</v>
      </c>
      <c r="E29" s="1" t="n">
        <f aca="false">E$2*TripTable!D27</f>
        <v>0</v>
      </c>
      <c r="F29" s="1" t="n">
        <f aca="false">F$2*TripTable!E27</f>
        <v>0</v>
      </c>
      <c r="G29" s="1" t="n">
        <f aca="false">G$2*TripTable!F27</f>
        <v>5.62364467442093</v>
      </c>
      <c r="H29" s="1" t="n">
        <f aca="false">H$2*TripTable!G27</f>
        <v>1.40790218231888</v>
      </c>
      <c r="I29" s="1" t="n">
        <f aca="false">I$2*TripTable!H27</f>
        <v>0.00233897206734079</v>
      </c>
      <c r="J29" s="1" t="n">
        <f aca="false">J$2*TripTable!I27</f>
        <v>0.505180095345714</v>
      </c>
      <c r="K29" s="1" t="n">
        <f aca="false">K$2*TripTable!J27</f>
        <v>0</v>
      </c>
      <c r="L29" s="1" t="n">
        <f aca="false">L$2*TripTable!K27</f>
        <v>40.7847826356743</v>
      </c>
      <c r="M29" s="1" t="n">
        <f aca="false">M$2*TripTable!L27</f>
        <v>0.899953250921954</v>
      </c>
      <c r="N29" s="1" t="n">
        <f aca="false">N$2*TripTable!M27</f>
        <v>0</v>
      </c>
      <c r="O29" s="1" t="n">
        <f aca="false">O$2*TripTable!N27</f>
        <v>0.0042933960483042</v>
      </c>
      <c r="P29" s="1" t="n">
        <f aca="false">P$2*TripTable!O27</f>
        <v>0</v>
      </c>
      <c r="Q29" s="1" t="n">
        <f aca="false">Q$2*TripTable!P27</f>
        <v>35.3357745046741</v>
      </c>
      <c r="R29" s="1" t="n">
        <f aca="false">R$2*TripTable!Q27</f>
        <v>38.1027930910037</v>
      </c>
      <c r="S29" s="1" t="n">
        <f aca="false">S$2*TripTable!R27</f>
        <v>98.1373142670828</v>
      </c>
      <c r="T29" s="1" t="n">
        <f aca="false">T$2*TripTable!S27</f>
        <v>1.71601644883364</v>
      </c>
      <c r="U29" s="1" t="n">
        <f aca="false">U$2*TripTable!T27</f>
        <v>8.5213496542717</v>
      </c>
      <c r="V29" s="1" t="n">
        <f aca="false">V$2*TripTable!U27</f>
        <v>0.315264955103073</v>
      </c>
      <c r="W29" s="1" t="n">
        <f aca="false">W$2*TripTable!V27</f>
        <v>2.52928498130519</v>
      </c>
      <c r="X29" s="1" t="n">
        <f aca="false">X$2*TripTable!W27</f>
        <v>6.54852341854272</v>
      </c>
      <c r="Y29" s="1" t="n">
        <f aca="false">Y$2*TripTable!X27</f>
        <v>1.78047838440441</v>
      </c>
      <c r="Z29" s="1" t="n">
        <f aca="false">Z$2*TripTable!Y27</f>
        <v>0</v>
      </c>
      <c r="AA29" s="1" t="n">
        <f aca="false">AA$2*TripTable!Z27</f>
        <v>0</v>
      </c>
      <c r="AB29" s="1" t="n">
        <f aca="false">AB$2*TripTable!AA27</f>
        <v>9.3251431594427</v>
      </c>
      <c r="AC29" s="1" t="n">
        <f aca="false">AC$2*TripTable!AB27</f>
        <v>0</v>
      </c>
      <c r="AD29" s="1" t="n">
        <f aca="false">AD$2*TripTable!AC27</f>
        <v>0.668352833661557</v>
      </c>
      <c r="AE29" s="1" t="n">
        <f aca="false">AE$2*TripTable!AD27</f>
        <v>0</v>
      </c>
      <c r="AF29" s="1" t="n">
        <f aca="false">AF$2*TripTable!AE27</f>
        <v>0</v>
      </c>
      <c r="AG29" s="1" t="n">
        <f aca="false">AG$2*TripTable!AF27</f>
        <v>12.8452577540574</v>
      </c>
      <c r="AH29" s="1" t="n">
        <f aca="false">AH$2*TripTable!AG27</f>
        <v>0</v>
      </c>
      <c r="AI29" s="1" t="n">
        <f aca="false">AI$2*TripTable!AH27</f>
        <v>32.1867375977103</v>
      </c>
      <c r="AJ29" s="1" t="n">
        <f aca="false">AJ$2*TripTable!AI27</f>
        <v>0.0834440637504473</v>
      </c>
      <c r="AK29" s="1" t="n">
        <f aca="false">AK$2*TripTable!AJ27</f>
        <v>0</v>
      </c>
      <c r="AL29" s="1" t="n">
        <f aca="false">AL$2*TripTable!AK27</f>
        <v>4.79986158808953</v>
      </c>
      <c r="AM29" s="1" t="n">
        <f aca="false">AM$2*TripTable!AL27</f>
        <v>77.8777129603853</v>
      </c>
      <c r="AN29" s="1" t="n">
        <f aca="false">AN$2*TripTable!AM27</f>
        <v>0.105980805698523</v>
      </c>
      <c r="AO29" s="1" t="n">
        <f aca="false">AO$2*TripTable!AN27</f>
        <v>12.0486547803845</v>
      </c>
      <c r="AP29" s="1" t="n">
        <f aca="false">AP$2*TripTable!AO27</f>
        <v>0.112098353521433</v>
      </c>
      <c r="AQ29" s="1" t="n">
        <f aca="false">AQ$2*TripTable!AP27</f>
        <v>0</v>
      </c>
      <c r="AR29" s="1" t="n">
        <f aca="false">AR$2*TripTable!AQ27</f>
        <v>0</v>
      </c>
      <c r="AS29" s="1" t="n">
        <f aca="false">AS$2*TripTable!AR27</f>
        <v>0.0392694965151702</v>
      </c>
      <c r="AT29" s="1" t="n">
        <f aca="false">AT$2*TripTable!AS27</f>
        <v>18.5853488845748</v>
      </c>
      <c r="AU29" s="1" t="n">
        <f aca="false">AU$2*TripTable!AT27</f>
        <v>0.044232019995365</v>
      </c>
      <c r="AV29" s="1" t="n">
        <f aca="false">AV$2*TripTable!AU27</f>
        <v>0</v>
      </c>
      <c r="AW29" s="1" t="n">
        <f aca="false">AW$2*TripTable!AV27</f>
        <v>2.46600349094055</v>
      </c>
      <c r="AX29" s="1" t="n">
        <f aca="false">AX$2*TripTable!AW27</f>
        <v>3.35563802081351</v>
      </c>
      <c r="AY29" s="1" t="n">
        <f aca="false">AY$2*TripTable!AX27</f>
        <v>1.38021589280964</v>
      </c>
      <c r="AZ29" s="1" t="n">
        <f aca="false">AZ$2*TripTable!AY27</f>
        <v>0.00205131847267062</v>
      </c>
      <c r="BA29" s="1" t="n">
        <f aca="false">BA$2*TripTable!AZ27</f>
        <v>0</v>
      </c>
      <c r="BB29" s="1" t="n">
        <f aca="false">SUM(C29:BA29)</f>
        <v>419.084209053027</v>
      </c>
      <c r="BC29" s="2" t="n">
        <f aca="false">BB29/TripTable!BA27</f>
        <v>0.0166832885769517</v>
      </c>
    </row>
    <row r="30" customFormat="false" ht="12.75" hidden="false" customHeight="false" outlineLevel="0" collapsed="false">
      <c r="A30" s="0" t="s">
        <v>27</v>
      </c>
      <c r="B30" s="1" t="n">
        <v>0</v>
      </c>
      <c r="C30" s="1" t="n">
        <f aca="false">C$2*TripTable!B28</f>
        <v>0</v>
      </c>
      <c r="D30" s="1" t="n">
        <f aca="false">D$2*TripTable!C28</f>
        <v>0.565986672110815</v>
      </c>
      <c r="E30" s="1" t="n">
        <f aca="false">E$2*TripTable!D28</f>
        <v>0</v>
      </c>
      <c r="F30" s="1" t="n">
        <f aca="false">F$2*TripTable!E28</f>
        <v>0</v>
      </c>
      <c r="G30" s="1" t="n">
        <f aca="false">G$2*TripTable!F28</f>
        <v>1.88159539858445</v>
      </c>
      <c r="H30" s="1" t="n">
        <f aca="false">H$2*TripTable!G28</f>
        <v>0.257326659373409</v>
      </c>
      <c r="I30" s="1" t="n">
        <f aca="false">I$2*TripTable!H28</f>
        <v>0.000519771570520177</v>
      </c>
      <c r="J30" s="1" t="n">
        <f aca="false">J$2*TripTable!I28</f>
        <v>0</v>
      </c>
      <c r="K30" s="1" t="n">
        <f aca="false">K$2*TripTable!J28</f>
        <v>0</v>
      </c>
      <c r="L30" s="1" t="n">
        <f aca="false">L$2*TripTable!K28</f>
        <v>1.71233820226114</v>
      </c>
      <c r="M30" s="1" t="n">
        <f aca="false">M$2*TripTable!L28</f>
        <v>0.020929145370278</v>
      </c>
      <c r="N30" s="1" t="n">
        <f aca="false">N$2*TripTable!M28</f>
        <v>0</v>
      </c>
      <c r="O30" s="1" t="n">
        <f aca="false">O$2*TripTable!N28</f>
        <v>0.264043856970708</v>
      </c>
      <c r="P30" s="1" t="n">
        <f aca="false">P$2*TripTable!O28</f>
        <v>0</v>
      </c>
      <c r="Q30" s="1" t="n">
        <f aca="false">Q$2*TripTable!P28</f>
        <v>0.462510137495734</v>
      </c>
      <c r="R30" s="1" t="n">
        <f aca="false">R$2*TripTable!Q28</f>
        <v>0.51087543809167</v>
      </c>
      <c r="S30" s="1" t="n">
        <f aca="false">S$2*TripTable!R28</f>
        <v>0.710204247985467</v>
      </c>
      <c r="T30" s="1" t="n">
        <f aca="false">T$2*TripTable!S28</f>
        <v>0.0338131319967221</v>
      </c>
      <c r="U30" s="1" t="n">
        <f aca="false">U$2*TripTable!T28</f>
        <v>0.205687750275524</v>
      </c>
      <c r="V30" s="1" t="n">
        <f aca="false">V$2*TripTable!U28</f>
        <v>0.210176636735382</v>
      </c>
      <c r="W30" s="1" t="n">
        <f aca="false">W$2*TripTable!V28</f>
        <v>0.140515832294733</v>
      </c>
      <c r="X30" s="1" t="n">
        <f aca="false">X$2*TripTable!W28</f>
        <v>0.727613713171413</v>
      </c>
      <c r="Y30" s="1" t="n">
        <f aca="false">Y$2*TripTable!X28</f>
        <v>0.192084804956493</v>
      </c>
      <c r="Z30" s="1" t="n">
        <f aca="false">Z$2*TripTable!Y28</f>
        <v>0</v>
      </c>
      <c r="AA30" s="1" t="n">
        <f aca="false">AA$2*TripTable!Z28</f>
        <v>0</v>
      </c>
      <c r="AB30" s="1" t="n">
        <f aca="false">AB$2*TripTable!AA28</f>
        <v>0.0189921449275819</v>
      </c>
      <c r="AC30" s="1" t="n">
        <f aca="false">AC$2*TripTable!AB28</f>
        <v>0</v>
      </c>
      <c r="AD30" s="1" t="n">
        <f aca="false">AD$2*TripTable!AC28</f>
        <v>0.0239409970266826</v>
      </c>
      <c r="AE30" s="1" t="n">
        <f aca="false">AE$2*TripTable!AD28</f>
        <v>0</v>
      </c>
      <c r="AF30" s="1" t="n">
        <f aca="false">AF$2*TripTable!AE28</f>
        <v>0.117777368981519</v>
      </c>
      <c r="AG30" s="1" t="n">
        <f aca="false">AG$2*TripTable!AF28</f>
        <v>0.819910069407919</v>
      </c>
      <c r="AH30" s="1" t="n">
        <f aca="false">AH$2*TripTable!AG28</f>
        <v>0</v>
      </c>
      <c r="AI30" s="1" t="n">
        <f aca="false">AI$2*TripTable!AH28</f>
        <v>4.31368648216736</v>
      </c>
      <c r="AJ30" s="1" t="n">
        <f aca="false">AJ$2*TripTable!AI28</f>
        <v>0.00295377216815743</v>
      </c>
      <c r="AK30" s="1" t="n">
        <f aca="false">AK$2*TripTable!AJ28</f>
        <v>0</v>
      </c>
      <c r="AL30" s="1" t="n">
        <f aca="false">AL$2*TripTable!AK28</f>
        <v>0.263006114415865</v>
      </c>
      <c r="AM30" s="1" t="n">
        <f aca="false">AM$2*TripTable!AL28</f>
        <v>0.379891282733587</v>
      </c>
      <c r="AN30" s="1" t="n">
        <f aca="false">AN$2*TripTable!AM28</f>
        <v>0.408026101939315</v>
      </c>
      <c r="AO30" s="1" t="n">
        <f aca="false">AO$2*TripTable!AN28</f>
        <v>0.467908923510077</v>
      </c>
      <c r="AP30" s="1" t="n">
        <f aca="false">AP$2*TripTable!AO28</f>
        <v>0</v>
      </c>
      <c r="AQ30" s="1" t="n">
        <f aca="false">AQ$2*TripTable!AP28</f>
        <v>0</v>
      </c>
      <c r="AR30" s="1" t="n">
        <f aca="false">AR$2*TripTable!AQ28</f>
        <v>0</v>
      </c>
      <c r="AS30" s="1" t="n">
        <f aca="false">AS$2*TripTable!AR28</f>
        <v>0.000290025823598008</v>
      </c>
      <c r="AT30" s="1" t="n">
        <f aca="false">AT$2*TripTable!AS28</f>
        <v>0.841413930859579</v>
      </c>
      <c r="AU30" s="1" t="n">
        <f aca="false">AU$2*TripTable!AT28</f>
        <v>0.0411170890097759</v>
      </c>
      <c r="AV30" s="1" t="n">
        <f aca="false">AV$2*TripTable!AU28</f>
        <v>0</v>
      </c>
      <c r="AW30" s="1" t="n">
        <f aca="false">AW$2*TripTable!AV28</f>
        <v>0.279170206521571</v>
      </c>
      <c r="AX30" s="1" t="n">
        <f aca="false">AX$2*TripTable!AW28</f>
        <v>15.1210849086041</v>
      </c>
      <c r="AY30" s="1" t="n">
        <f aca="false">AY$2*TripTable!AX28</f>
        <v>0.262898265297074</v>
      </c>
      <c r="AZ30" s="1" t="n">
        <f aca="false">AZ$2*TripTable!AY28</f>
        <v>0.00010199926107202</v>
      </c>
      <c r="BA30" s="1" t="n">
        <f aca="false">BA$2*TripTable!AZ28</f>
        <v>0</v>
      </c>
      <c r="BB30" s="1" t="n">
        <f aca="false">SUM(C30:BA30)</f>
        <v>31.2583910818993</v>
      </c>
      <c r="BC30" s="2" t="n">
        <f aca="false">BB30/TripTable!BA28</f>
        <v>0.00524469649025156</v>
      </c>
    </row>
    <row r="31" customFormat="false" ht="12.75" hidden="false" customHeight="false" outlineLevel="0" collapsed="false">
      <c r="A31" s="0" t="s">
        <v>28</v>
      </c>
      <c r="B31" s="1" t="n">
        <v>0.00199508308555689</v>
      </c>
      <c r="C31" s="1" t="n">
        <f aca="false">C$2*TripTable!B29</f>
        <v>0</v>
      </c>
      <c r="D31" s="1" t="n">
        <f aca="false">D$2*TripTable!C29</f>
        <v>0.440211856086189</v>
      </c>
      <c r="E31" s="1" t="n">
        <f aca="false">E$2*TripTable!D29</f>
        <v>0</v>
      </c>
      <c r="F31" s="1" t="n">
        <f aca="false">F$2*TripTable!E29</f>
        <v>0</v>
      </c>
      <c r="G31" s="1" t="n">
        <f aca="false">G$2*TripTable!F29</f>
        <v>2.74839777321324</v>
      </c>
      <c r="H31" s="1" t="n">
        <f aca="false">H$2*TripTable!G29</f>
        <v>1.76283550559255</v>
      </c>
      <c r="I31" s="1" t="n">
        <f aca="false">I$2*TripTable!H29</f>
        <v>0.00181920049682062</v>
      </c>
      <c r="J31" s="1" t="n">
        <f aca="false">J$2*TripTable!I29</f>
        <v>0.505180095345714</v>
      </c>
      <c r="K31" s="1" t="n">
        <f aca="false">K$2*TripTable!J29</f>
        <v>0</v>
      </c>
      <c r="L31" s="1" t="n">
        <f aca="false">L$2*TripTable!K29</f>
        <v>6.84935280904454</v>
      </c>
      <c r="M31" s="1" t="n">
        <f aca="false">M$2*TripTable!L29</f>
        <v>0.121389043147612</v>
      </c>
      <c r="N31" s="1" t="n">
        <f aca="false">N$2*TripTable!M29</f>
        <v>0</v>
      </c>
      <c r="O31" s="1" t="n">
        <f aca="false">O$2*TripTable!N29</f>
        <v>0.0107334901207605</v>
      </c>
      <c r="P31" s="1" t="n">
        <f aca="false">P$2*TripTable!O29</f>
        <v>0</v>
      </c>
      <c r="Q31" s="1" t="n">
        <f aca="false">Q$2*TripTable!P29</f>
        <v>6.10513381494368</v>
      </c>
      <c r="R31" s="1" t="n">
        <f aca="false">R$2*TripTable!Q29</f>
        <v>40.9126080005079</v>
      </c>
      <c r="S31" s="1" t="n">
        <f aca="false">S$2*TripTable!R29</f>
        <v>26.2775571754623</v>
      </c>
      <c r="T31" s="1" t="n">
        <f aca="false">T$2*TripTable!S29</f>
        <v>0.135252527986888</v>
      </c>
      <c r="U31" s="1" t="n">
        <f aca="false">U$2*TripTable!T29</f>
        <v>0.323223607575823</v>
      </c>
      <c r="V31" s="1" t="n">
        <f aca="false">V$2*TripTable!U29</f>
        <v>0.105088318367691</v>
      </c>
      <c r="W31" s="1" t="n">
        <f aca="false">W$2*TripTable!V29</f>
        <v>0.702579161473665</v>
      </c>
      <c r="X31" s="1" t="n">
        <f aca="false">X$2*TripTable!W29</f>
        <v>0.831558529338758</v>
      </c>
      <c r="Y31" s="1" t="n">
        <f aca="false">Y$2*TripTable!X29</f>
        <v>0.206860559183915</v>
      </c>
      <c r="Z31" s="1" t="n">
        <f aca="false">Z$2*TripTable!Y29</f>
        <v>0</v>
      </c>
      <c r="AA31" s="1" t="n">
        <f aca="false">AA$2*TripTable!Z29</f>
        <v>0</v>
      </c>
      <c r="AB31" s="1" t="n">
        <f aca="false">AB$2*TripTable!AA29</f>
        <v>0.442896819711209</v>
      </c>
      <c r="AC31" s="1" t="n">
        <f aca="false">AC$2*TripTable!AB29</f>
        <v>0</v>
      </c>
      <c r="AD31" s="1" t="n">
        <f aca="false">AD$2*TripTable!AC29</f>
        <v>7.2880385115393</v>
      </c>
      <c r="AE31" s="1" t="n">
        <f aca="false">AE$2*TripTable!AD29</f>
        <v>0</v>
      </c>
      <c r="AF31" s="1" t="n">
        <f aca="false">AF$2*TripTable!AE29</f>
        <v>0.235554737963037</v>
      </c>
      <c r="AG31" s="1" t="n">
        <f aca="false">AG$2*TripTable!AF29</f>
        <v>3.27964027763168</v>
      </c>
      <c r="AH31" s="1" t="n">
        <f aca="false">AH$2*TripTable!AG29</f>
        <v>0</v>
      </c>
      <c r="AI31" s="1" t="n">
        <f aca="false">AI$2*TripTable!AH29</f>
        <v>7.96372889015512</v>
      </c>
      <c r="AJ31" s="1" t="n">
        <f aca="false">AJ$2*TripTable!AI29</f>
        <v>0.00812287346243293</v>
      </c>
      <c r="AK31" s="1" t="n">
        <f aca="false">AK$2*TripTable!AJ29</f>
        <v>0</v>
      </c>
      <c r="AL31" s="1" t="n">
        <f aca="false">AL$2*TripTable!AK29</f>
        <v>0.789018343247594</v>
      </c>
      <c r="AM31" s="1" t="n">
        <f aca="false">AM$2*TripTable!AL29</f>
        <v>3.72293457078915</v>
      </c>
      <c r="AN31" s="1" t="n">
        <f aca="false">AN$2*TripTable!AM29</f>
        <v>0.127176966838228</v>
      </c>
      <c r="AO31" s="1" t="n">
        <f aca="false">AO$2*TripTable!AN29</f>
        <v>1.63768123228527</v>
      </c>
      <c r="AP31" s="1" t="n">
        <f aca="false">AP$2*TripTable!AO29</f>
        <v>0</v>
      </c>
      <c r="AQ31" s="1" t="n">
        <f aca="false">AQ$2*TripTable!AP29</f>
        <v>0</v>
      </c>
      <c r="AR31" s="1" t="n">
        <f aca="false">AR$2*TripTable!AQ29</f>
        <v>0</v>
      </c>
      <c r="AS31" s="1" t="n">
        <f aca="false">AS$2*TripTable!AR29</f>
        <v>0.00220419625934486</v>
      </c>
      <c r="AT31" s="1" t="n">
        <f aca="false">AT$2*TripTable!AS29</f>
        <v>4.65252408828238</v>
      </c>
      <c r="AU31" s="1" t="n">
        <f aca="false">AU$2*TripTable!AT29</f>
        <v>0.0130827101394741</v>
      </c>
      <c r="AV31" s="1" t="n">
        <f aca="false">AV$2*TripTable!AU29</f>
        <v>0</v>
      </c>
      <c r="AW31" s="1" t="n">
        <f aca="false">AW$2*TripTable!AV29</f>
        <v>0.977095722825499</v>
      </c>
      <c r="AX31" s="1" t="n">
        <f aca="false">AX$2*TripTable!AW29</f>
        <v>1.36711178625736</v>
      </c>
      <c r="AY31" s="1" t="n">
        <f aca="false">AY$2*TripTable!AX29</f>
        <v>0.262898265297074</v>
      </c>
      <c r="AZ31" s="1" t="n">
        <f aca="false">AZ$2*TripTable!AY29</f>
        <v>0.000917993349648178</v>
      </c>
      <c r="BA31" s="1" t="n">
        <f aca="false">BA$2*TripTable!AZ29</f>
        <v>0</v>
      </c>
      <c r="BB31" s="1" t="n">
        <f aca="false">SUM(C31:BA31)</f>
        <v>120.810409453922</v>
      </c>
      <c r="BC31" s="2" t="n">
        <f aca="false">BB31/TripTable!BA29</f>
        <v>0.0140509897015494</v>
      </c>
    </row>
    <row r="32" customFormat="false" ht="12.75" hidden="false" customHeight="false" outlineLevel="0" collapsed="false">
      <c r="A32" s="0" t="s">
        <v>29</v>
      </c>
      <c r="B32" s="1" t="n">
        <v>0</v>
      </c>
      <c r="C32" s="1" t="n">
        <f aca="false">C$2*TripTable!B30</f>
        <v>0</v>
      </c>
      <c r="D32" s="1" t="n">
        <f aca="false">D$2*TripTable!C30</f>
        <v>1.006198528197</v>
      </c>
      <c r="E32" s="1" t="n">
        <f aca="false">E$2*TripTable!D30</f>
        <v>0</v>
      </c>
      <c r="F32" s="1" t="n">
        <f aca="false">F$2*TripTable!E30</f>
        <v>0</v>
      </c>
      <c r="G32" s="1" t="n">
        <f aca="false">G$2*TripTable!F30</f>
        <v>61.7755253333006</v>
      </c>
      <c r="H32" s="1" t="n">
        <f aca="false">H$2*TripTable!G30</f>
        <v>0.310566657864459</v>
      </c>
      <c r="I32" s="1" t="n">
        <f aca="false">I$2*TripTable!H30</f>
        <v>0.00103954314104035</v>
      </c>
      <c r="J32" s="1" t="n">
        <f aca="false">J$2*TripTable!I30</f>
        <v>0</v>
      </c>
      <c r="K32" s="1" t="n">
        <f aca="false">K$2*TripTable!J30</f>
        <v>0</v>
      </c>
      <c r="L32" s="1" t="n">
        <f aca="false">L$2*TripTable!K30</f>
        <v>3.81384417776344</v>
      </c>
      <c r="M32" s="1" t="n">
        <f aca="false">M$2*TripTable!L30</f>
        <v>0.0502299488886672</v>
      </c>
      <c r="N32" s="1" t="n">
        <f aca="false">N$2*TripTable!M30</f>
        <v>0</v>
      </c>
      <c r="O32" s="1" t="n">
        <f aca="false">O$2*TripTable!N30</f>
        <v>0.348838428924716</v>
      </c>
      <c r="P32" s="1" t="n">
        <f aca="false">P$2*TripTable!O30</f>
        <v>0</v>
      </c>
      <c r="Q32" s="1" t="n">
        <f aca="false">Q$2*TripTable!P30</f>
        <v>1.20252635748891</v>
      </c>
      <c r="R32" s="1" t="n">
        <f aca="false">R$2*TripTable!Q30</f>
        <v>0.425729531743058</v>
      </c>
      <c r="S32" s="1" t="n">
        <f aca="false">S$2*TripTable!R30</f>
        <v>0.581076202897201</v>
      </c>
      <c r="T32" s="1" t="n">
        <f aca="false">T$2*TripTable!S30</f>
        <v>0.118345961988527</v>
      </c>
      <c r="U32" s="1" t="n">
        <f aca="false">U$2*TripTable!T30</f>
        <v>0.999054787052544</v>
      </c>
      <c r="V32" s="1" t="n">
        <f aca="false">V$2*TripTable!U30</f>
        <v>0.105088318367691</v>
      </c>
      <c r="W32" s="1" t="n">
        <f aca="false">W$2*TripTable!V30</f>
        <v>0.0702579161473665</v>
      </c>
      <c r="X32" s="1" t="n">
        <f aca="false">X$2*TripTable!W30</f>
        <v>1.03944816167345</v>
      </c>
      <c r="Y32" s="1" t="n">
        <f aca="false">Y$2*TripTable!X30</f>
        <v>0.17730905072907</v>
      </c>
      <c r="Z32" s="1" t="n">
        <f aca="false">Z$2*TripTable!Y30</f>
        <v>0</v>
      </c>
      <c r="AA32" s="1" t="n">
        <f aca="false">AA$2*TripTable!Z30</f>
        <v>0</v>
      </c>
      <c r="AB32" s="1" t="n">
        <f aca="false">AB$2*TripTable!AA30</f>
        <v>0.0205115165217884</v>
      </c>
      <c r="AC32" s="1" t="n">
        <f aca="false">AC$2*TripTable!AB30</f>
        <v>0</v>
      </c>
      <c r="AD32" s="1" t="n">
        <f aca="false">AD$2*TripTable!AC30</f>
        <v>0.0219459139411257</v>
      </c>
      <c r="AE32" s="1" t="n">
        <f aca="false">AE$2*TripTable!AD30</f>
        <v>0</v>
      </c>
      <c r="AF32" s="1" t="n">
        <f aca="false">AF$2*TripTable!AE30</f>
        <v>0.235554737963037</v>
      </c>
      <c r="AG32" s="1" t="n">
        <f aca="false">AG$2*TripTable!AF30</f>
        <v>2.73303356469306</v>
      </c>
      <c r="AH32" s="1" t="n">
        <f aca="false">AH$2*TripTable!AG30</f>
        <v>0</v>
      </c>
      <c r="AI32" s="1" t="n">
        <f aca="false">AI$2*TripTable!AH30</f>
        <v>5.30915259343675</v>
      </c>
      <c r="AJ32" s="1" t="n">
        <f aca="false">AJ$2*TripTable!AI30</f>
        <v>0.00443065825223614</v>
      </c>
      <c r="AK32" s="1" t="n">
        <f aca="false">AK$2*TripTable!AJ30</f>
        <v>0</v>
      </c>
      <c r="AL32" s="1" t="n">
        <f aca="false">AL$2*TripTable!AK30</f>
        <v>1.31503057207932</v>
      </c>
      <c r="AM32" s="1" t="n">
        <f aca="false">AM$2*TripTable!AL30</f>
        <v>1.13967384820076</v>
      </c>
      <c r="AN32" s="1" t="n">
        <f aca="false">AN$2*TripTable!AM30</f>
        <v>0.392128981084537</v>
      </c>
      <c r="AO32" s="1" t="n">
        <f aca="false">AO$2*TripTable!AN30</f>
        <v>1.52070400140775</v>
      </c>
      <c r="AP32" s="1" t="n">
        <f aca="false">AP$2*TripTable!AO30</f>
        <v>0.0373661178404778</v>
      </c>
      <c r="AQ32" s="1" t="n">
        <f aca="false">AQ$2*TripTable!AP30</f>
        <v>0</v>
      </c>
      <c r="AR32" s="1" t="n">
        <f aca="false">AR$2*TripTable!AQ30</f>
        <v>0</v>
      </c>
      <c r="AS32" s="1" t="n">
        <f aca="false">AS$2*TripTable!AR30</f>
        <v>0.000812072306074421</v>
      </c>
      <c r="AT32" s="1" t="n">
        <f aca="false">AT$2*TripTable!AS30</f>
        <v>2.10353482714895</v>
      </c>
      <c r="AU32" s="1" t="n">
        <f aca="false">AU$2*TripTable!AT30</f>
        <v>0.51645555741067</v>
      </c>
      <c r="AV32" s="1" t="n">
        <f aca="false">AV$2*TripTable!AU30</f>
        <v>0</v>
      </c>
      <c r="AW32" s="1" t="n">
        <f aca="false">AW$2*TripTable!AV30</f>
        <v>0.279170206521571</v>
      </c>
      <c r="AX32" s="1" t="n">
        <f aca="false">AX$2*TripTable!AW30</f>
        <v>2.27851964376226</v>
      </c>
      <c r="AY32" s="1" t="n">
        <f aca="false">AY$2*TripTable!AX30</f>
        <v>0.262898265297074</v>
      </c>
      <c r="AZ32" s="1" t="n">
        <f aca="false">AZ$2*TripTable!AY30</f>
        <v>0.000124665763532469</v>
      </c>
      <c r="BA32" s="1" t="n">
        <f aca="false">BA$2*TripTable!AZ30</f>
        <v>0</v>
      </c>
      <c r="BB32" s="1" t="n">
        <f aca="false">SUM(C32:BA32)</f>
        <v>90.1961266497987</v>
      </c>
      <c r="BC32" s="2" t="n">
        <f aca="false">BB32/TripTable!BA30</f>
        <v>0.0135368642728199</v>
      </c>
    </row>
    <row r="33" customFormat="false" ht="12.75" hidden="false" customHeight="false" outlineLevel="0" collapsed="false">
      <c r="A33" s="0" t="s">
        <v>30</v>
      </c>
      <c r="B33" s="1" t="n">
        <v>0.117777368981519</v>
      </c>
      <c r="C33" s="1" t="n">
        <f aca="false">C$2*TripTable!B31</f>
        <v>0</v>
      </c>
      <c r="D33" s="1" t="n">
        <f aca="false">D$2*TripTable!C31</f>
        <v>0.125774816024626</v>
      </c>
      <c r="E33" s="1" t="n">
        <f aca="false">E$2*TripTable!D31</f>
        <v>0</v>
      </c>
      <c r="F33" s="1" t="n">
        <f aca="false">F$2*TripTable!E31</f>
        <v>0</v>
      </c>
      <c r="G33" s="1" t="n">
        <f aca="false">G$2*TripTable!F31</f>
        <v>1.22620823727975</v>
      </c>
      <c r="H33" s="1" t="n">
        <f aca="false">H$2*TripTable!G31</f>
        <v>0.0680288869607862</v>
      </c>
      <c r="I33" s="1" t="n">
        <f aca="false">I$2*TripTable!H31</f>
        <v>0.164247816284376</v>
      </c>
      <c r="J33" s="1" t="n">
        <f aca="false">J$2*TripTable!I31</f>
        <v>2.52590047672857</v>
      </c>
      <c r="K33" s="1" t="n">
        <f aca="false">K$2*TripTable!J31</f>
        <v>0</v>
      </c>
      <c r="L33" s="1" t="n">
        <f aca="false">L$2*TripTable!K31</f>
        <v>14.5548747192196</v>
      </c>
      <c r="M33" s="1" t="n">
        <f aca="false">M$2*TripTable!L31</f>
        <v>0.0920882396292232</v>
      </c>
      <c r="N33" s="1" t="n">
        <f aca="false">N$2*TripTable!M31</f>
        <v>0</v>
      </c>
      <c r="O33" s="1" t="n">
        <f aca="false">O$2*TripTable!N31</f>
        <v>0.0021466980241521</v>
      </c>
      <c r="P33" s="1" t="n">
        <f aca="false">P$2*TripTable!O31</f>
        <v>0</v>
      </c>
      <c r="Q33" s="1" t="n">
        <f aca="false">Q$2*TripTable!P31</f>
        <v>0.925020274991467</v>
      </c>
      <c r="R33" s="1" t="n">
        <f aca="false">R$2*TripTable!Q31</f>
        <v>0.0851459063486116</v>
      </c>
      <c r="S33" s="1" t="n">
        <f aca="false">S$2*TripTable!R31</f>
        <v>0.322820112720667</v>
      </c>
      <c r="T33" s="1" t="n">
        <f aca="false">T$2*TripTable!S31</f>
        <v>0.0422664149959026</v>
      </c>
      <c r="U33" s="1" t="n">
        <f aca="false">U$2*TripTable!T31</f>
        <v>0.0881518929752244</v>
      </c>
      <c r="V33" s="1" t="n">
        <f aca="false">V$2*TripTable!U31</f>
        <v>68.72776021247</v>
      </c>
      <c r="W33" s="1" t="n">
        <f aca="false">W$2*TripTable!V31</f>
        <v>2.17799540056836</v>
      </c>
      <c r="X33" s="1" t="n">
        <f aca="false">X$2*TripTable!W31</f>
        <v>83.5716321985452</v>
      </c>
      <c r="Y33" s="1" t="n">
        <f aca="false">Y$2*TripTable!X31</f>
        <v>0.103430279591958</v>
      </c>
      <c r="Z33" s="1" t="n">
        <f aca="false">Z$2*TripTable!Y31</f>
        <v>0</v>
      </c>
      <c r="AA33" s="1" t="n">
        <f aca="false">AA$2*TripTable!Z31</f>
        <v>0</v>
      </c>
      <c r="AB33" s="1" t="n">
        <f aca="false">AB$2*TripTable!AA31</f>
        <v>0.0205115165217884</v>
      </c>
      <c r="AC33" s="1" t="n">
        <f aca="false">AC$2*TripTable!AB31</f>
        <v>0</v>
      </c>
      <c r="AD33" s="1" t="n">
        <f aca="false">AD$2*TripTable!AC31</f>
        <v>0.00199508308555689</v>
      </c>
      <c r="AE33" s="1" t="n">
        <f aca="false">AE$2*TripTable!AD31</f>
        <v>0</v>
      </c>
      <c r="AF33" s="1" t="n">
        <f aca="false">AF$2*TripTable!AE31</f>
        <v>95.8707783509562</v>
      </c>
      <c r="AG33" s="1" t="n">
        <f aca="false">AG$2*TripTable!AF31</f>
        <v>39.3556833315801</v>
      </c>
      <c r="AH33" s="1" t="n">
        <f aca="false">AH$2*TripTable!AG31</f>
        <v>0</v>
      </c>
      <c r="AI33" s="1" t="n">
        <f aca="false">AI$2*TripTable!AH31</f>
        <v>152.638137061307</v>
      </c>
      <c r="AJ33" s="1" t="n">
        <f aca="false">AJ$2*TripTable!AI31</f>
        <v>0.020676405177102</v>
      </c>
      <c r="AK33" s="1" t="n">
        <f aca="false">AK$2*TripTable!AJ31</f>
        <v>0</v>
      </c>
      <c r="AL33" s="1" t="n">
        <f aca="false">AL$2*TripTable!AK31</f>
        <v>1.05202445766346</v>
      </c>
      <c r="AM33" s="1" t="n">
        <f aca="false">AM$2*TripTable!AL31</f>
        <v>0.379891282733587</v>
      </c>
      <c r="AN33" s="1" t="n">
        <f aca="false">AN$2*TripTable!AM31</f>
        <v>0.0423923222794094</v>
      </c>
      <c r="AO33" s="1" t="n">
        <f aca="false">AO$2*TripTable!AN31</f>
        <v>10.9958597024868</v>
      </c>
      <c r="AP33" s="1" t="n">
        <f aca="false">AP$2*TripTable!AO31</f>
        <v>5.34335485118832</v>
      </c>
      <c r="AQ33" s="1" t="n">
        <f aca="false">AQ$2*TripTable!AP31</f>
        <v>0</v>
      </c>
      <c r="AR33" s="1" t="n">
        <f aca="false">AR$2*TripTable!AQ31</f>
        <v>0</v>
      </c>
      <c r="AS33" s="1" t="n">
        <f aca="false">AS$2*TripTable!AR31</f>
        <v>0.00127611362383123</v>
      </c>
      <c r="AT33" s="1" t="n">
        <f aca="false">AT$2*TripTable!AS31</f>
        <v>0.890908867968966</v>
      </c>
      <c r="AU33" s="1" t="n">
        <f aca="false">AU$2*TripTable!AT31</f>
        <v>0.00249194478847127</v>
      </c>
      <c r="AV33" s="1" t="n">
        <f aca="false">AV$2*TripTable!AU31</f>
        <v>0</v>
      </c>
      <c r="AW33" s="1" t="n">
        <f aca="false">AW$2*TripTable!AV31</f>
        <v>2.41947512318695</v>
      </c>
      <c r="AX33" s="1" t="n">
        <f aca="false">AX$2*TripTable!AW31</f>
        <v>0.455703928752452</v>
      </c>
      <c r="AY33" s="1" t="n">
        <f aca="false">AY$2*TripTable!AX31</f>
        <v>0.394347397945611</v>
      </c>
      <c r="AZ33" s="1" t="n">
        <f aca="false">AZ$2*TripTable!AY31</f>
        <v>5.66662561511221E-005</v>
      </c>
      <c r="BA33" s="1" t="n">
        <f aca="false">BA$2*TripTable!AZ31</f>
        <v>0</v>
      </c>
      <c r="BB33" s="1" t="n">
        <f aca="false">SUM(C33:BA33)</f>
        <v>484.68905699086</v>
      </c>
      <c r="BC33" s="2" t="n">
        <f aca="false">BB33/TripTable!BA31</f>
        <v>0.101782666314754</v>
      </c>
    </row>
    <row r="34" customFormat="false" ht="12.75" hidden="false" customHeight="false" outlineLevel="0" collapsed="false">
      <c r="A34" s="0" t="s">
        <v>31</v>
      </c>
      <c r="B34" s="1" t="n">
        <v>0.273303356469306</v>
      </c>
      <c r="C34" s="1" t="n">
        <f aca="false">C$2*TripTable!B32</f>
        <v>0</v>
      </c>
      <c r="D34" s="1" t="n">
        <f aca="false">D$2*TripTable!C32</f>
        <v>1.50929779229551</v>
      </c>
      <c r="E34" s="1" t="n">
        <f aca="false">E$2*TripTable!D32</f>
        <v>0</v>
      </c>
      <c r="F34" s="1" t="n">
        <f aca="false">F$2*TripTable!E32</f>
        <v>0</v>
      </c>
      <c r="G34" s="1" t="n">
        <f aca="false">G$2*TripTable!F32</f>
        <v>11.3952799981687</v>
      </c>
      <c r="H34" s="1" t="n">
        <f aca="false">H$2*TripTable!G32</f>
        <v>0.37267998943735</v>
      </c>
      <c r="I34" s="1" t="n">
        <f aca="false">I$2*TripTable!H32</f>
        <v>0.191275937951425</v>
      </c>
      <c r="J34" s="1" t="n">
        <f aca="false">J$2*TripTable!I32</f>
        <v>42.9403081043857</v>
      </c>
      <c r="K34" s="1" t="n">
        <f aca="false">K$2*TripTable!J32</f>
        <v>0</v>
      </c>
      <c r="L34" s="1" t="n">
        <f aca="false">L$2*TripTable!K32</f>
        <v>153.721270430261</v>
      </c>
      <c r="M34" s="1" t="n">
        <f aca="false">M$2*TripTable!L32</f>
        <v>1.40643856888268</v>
      </c>
      <c r="N34" s="1" t="n">
        <f aca="false">N$2*TripTable!M32</f>
        <v>0</v>
      </c>
      <c r="O34" s="1" t="n">
        <f aca="false">O$2*TripTable!N32</f>
        <v>0.0021466980241521</v>
      </c>
      <c r="P34" s="1" t="n">
        <f aca="false">P$2*TripTable!O32</f>
        <v>0</v>
      </c>
      <c r="Q34" s="1" t="n">
        <f aca="false">Q$2*TripTable!P32</f>
        <v>9.62021085991126</v>
      </c>
      <c r="R34" s="1" t="n">
        <f aca="false">R$2*TripTable!Q32</f>
        <v>0</v>
      </c>
      <c r="S34" s="1" t="n">
        <f aca="false">S$2*TripTable!R32</f>
        <v>0.839332293073734</v>
      </c>
      <c r="T34" s="1" t="n">
        <f aca="false">T$2*TripTable!S32</f>
        <v>0.262051772974596</v>
      </c>
      <c r="U34" s="1" t="n">
        <f aca="false">U$2*TripTable!T32</f>
        <v>3.14408418278301</v>
      </c>
      <c r="V34" s="1" t="n">
        <f aca="false">V$2*TripTable!U32</f>
        <v>26.0619029551874</v>
      </c>
      <c r="W34" s="1" t="n">
        <f aca="false">W$2*TripTable!V32</f>
        <v>115.012208733239</v>
      </c>
      <c r="X34" s="1" t="n">
        <f aca="false">X$2*TripTable!W32</f>
        <v>89.1846522715818</v>
      </c>
      <c r="Y34" s="1" t="n">
        <f aca="false">Y$2*TripTable!X32</f>
        <v>1.52190268542452</v>
      </c>
      <c r="Z34" s="1" t="n">
        <f aca="false">Z$2*TripTable!Y32</f>
        <v>0</v>
      </c>
      <c r="AA34" s="1" t="n">
        <f aca="false">AA$2*TripTable!Z32</f>
        <v>0</v>
      </c>
      <c r="AB34" s="1" t="n">
        <f aca="false">AB$2*TripTable!AA32</f>
        <v>0.0683717217392947</v>
      </c>
      <c r="AC34" s="1" t="n">
        <f aca="false">AC$2*TripTable!AB32</f>
        <v>0</v>
      </c>
      <c r="AD34" s="1" t="n">
        <f aca="false">AD$2*TripTable!AC32</f>
        <v>0.00997541542778443</v>
      </c>
      <c r="AE34" s="1" t="n">
        <f aca="false">AE$2*TripTable!AD32</f>
        <v>0</v>
      </c>
      <c r="AF34" s="1" t="n">
        <f aca="false">AF$2*TripTable!AE32</f>
        <v>21.1999264166734</v>
      </c>
      <c r="AG34" s="1" t="n">
        <f aca="false">AG$2*TripTable!AF32</f>
        <v>937.70381604619</v>
      </c>
      <c r="AH34" s="1" t="n">
        <f aca="false">AH$2*TripTable!AG32</f>
        <v>0</v>
      </c>
      <c r="AI34" s="1" t="n">
        <f aca="false">AI$2*TripTable!AH32</f>
        <v>1114.25840054754</v>
      </c>
      <c r="AJ34" s="1" t="n">
        <f aca="false">AJ$2*TripTable!AI32</f>
        <v>0.524294559847944</v>
      </c>
      <c r="AK34" s="1" t="n">
        <f aca="false">AK$2*TripTable!AJ32</f>
        <v>0</v>
      </c>
      <c r="AL34" s="1" t="n">
        <f aca="false">AL$2*TripTable!AK32</f>
        <v>19.1665705880561</v>
      </c>
      <c r="AM34" s="1" t="n">
        <f aca="false">AM$2*TripTable!AL32</f>
        <v>1.7474999005745</v>
      </c>
      <c r="AN34" s="1" t="n">
        <f aca="false">AN$2*TripTable!AM32</f>
        <v>0.11127984598345</v>
      </c>
      <c r="AO34" s="1" t="n">
        <f aca="false">AO$2*TripTable!AN32</f>
        <v>468.610786895342</v>
      </c>
      <c r="AP34" s="1" t="n">
        <f aca="false">AP$2*TripTable!AO32</f>
        <v>7.47322356809555</v>
      </c>
      <c r="AQ34" s="1" t="n">
        <f aca="false">AQ$2*TripTable!AP32</f>
        <v>0</v>
      </c>
      <c r="AR34" s="1" t="n">
        <f aca="false">AR$2*TripTable!AQ32</f>
        <v>0</v>
      </c>
      <c r="AS34" s="1" t="n">
        <f aca="false">AS$2*TripTable!AR32</f>
        <v>0.00632256295443657</v>
      </c>
      <c r="AT34" s="1" t="n">
        <f aca="false">AT$2*TripTable!AS32</f>
        <v>5.84040257890767</v>
      </c>
      <c r="AU34" s="1" t="n">
        <f aca="false">AU$2*TripTable!AT32</f>
        <v>0.0218045168991236</v>
      </c>
      <c r="AV34" s="1" t="n">
        <f aca="false">AV$2*TripTable!AU32</f>
        <v>0</v>
      </c>
      <c r="AW34" s="1" t="n">
        <f aca="false">AW$2*TripTable!AV32</f>
        <v>31.7788751757055</v>
      </c>
      <c r="AX34" s="1" t="n">
        <f aca="false">AX$2*TripTable!AW32</f>
        <v>2.44423016330861</v>
      </c>
      <c r="AY34" s="1" t="n">
        <f aca="false">AY$2*TripTable!AX32</f>
        <v>6.44100749977832</v>
      </c>
      <c r="AZ34" s="1" t="n">
        <f aca="false">AZ$2*TripTable!AY32</f>
        <v>0.00020399852214404</v>
      </c>
      <c r="BA34" s="1" t="n">
        <f aca="false">BA$2*TripTable!AZ32</f>
        <v>0</v>
      </c>
      <c r="BB34" s="1" t="n">
        <f aca="false">SUM(C34:BA34)</f>
        <v>3074.59203527513</v>
      </c>
      <c r="BC34" s="2" t="n">
        <f aca="false">BB34/TripTable!BA32</f>
        <v>0.134797318395157</v>
      </c>
    </row>
    <row r="35" customFormat="false" ht="12.75" hidden="false" customHeight="false" outlineLevel="0" collapsed="false">
      <c r="A35" s="0" t="s">
        <v>32</v>
      </c>
      <c r="B35" s="1" t="n">
        <v>0</v>
      </c>
      <c r="C35" s="1" t="n">
        <f aca="false">C$2*TripTable!B33</f>
        <v>0</v>
      </c>
      <c r="D35" s="1" t="n">
        <f aca="false">D$2*TripTable!C33</f>
        <v>0.377324448073877</v>
      </c>
      <c r="E35" s="1" t="n">
        <f aca="false">E$2*TripTable!D33</f>
        <v>0</v>
      </c>
      <c r="F35" s="1" t="n">
        <f aca="false">F$2*TripTable!E33</f>
        <v>0</v>
      </c>
      <c r="G35" s="1" t="n">
        <f aca="false">G$2*TripTable!F33</f>
        <v>6.78642834770345</v>
      </c>
      <c r="H35" s="1" t="n">
        <f aca="false">H$2*TripTable!G33</f>
        <v>2.20945993737858</v>
      </c>
      <c r="I35" s="1" t="n">
        <f aca="false">I$2*TripTable!H33</f>
        <v>0.000259885785260088</v>
      </c>
      <c r="J35" s="1" t="n">
        <f aca="false">J$2*TripTable!I33</f>
        <v>0.252590047672857</v>
      </c>
      <c r="K35" s="1" t="n">
        <f aca="false">K$2*TripTable!J33</f>
        <v>0</v>
      </c>
      <c r="L35" s="1" t="n">
        <f aca="false">L$2*TripTable!K33</f>
        <v>4.90351394283871</v>
      </c>
      <c r="M35" s="1" t="n">
        <f aca="false">M$2*TripTable!L33</f>
        <v>0.083716581481112</v>
      </c>
      <c r="N35" s="1" t="n">
        <f aca="false">N$2*TripTable!M33</f>
        <v>0</v>
      </c>
      <c r="O35" s="1" t="n">
        <f aca="false">O$2*TripTable!N33</f>
        <v>0.0236136782656731</v>
      </c>
      <c r="P35" s="1" t="n">
        <f aca="false">P$2*TripTable!O33</f>
        <v>0</v>
      </c>
      <c r="Q35" s="1" t="n">
        <f aca="false">Q$2*TripTable!P33</f>
        <v>1.75753852248379</v>
      </c>
      <c r="R35" s="1" t="n">
        <f aca="false">R$2*TripTable!Q33</f>
        <v>0.596021344440281</v>
      </c>
      <c r="S35" s="1" t="n">
        <f aca="false">S$2*TripTable!R33</f>
        <v>1.3558444734268</v>
      </c>
      <c r="T35" s="1" t="n">
        <f aca="false">T$2*TripTable!S33</f>
        <v>0.397304300961484</v>
      </c>
      <c r="U35" s="1" t="n">
        <f aca="false">U$2*TripTable!T33</f>
        <v>0.85213496542717</v>
      </c>
      <c r="V35" s="1" t="n">
        <f aca="false">V$2*TripTable!U33</f>
        <v>0.630529910206147</v>
      </c>
      <c r="W35" s="1" t="n">
        <f aca="false">W$2*TripTable!V33</f>
        <v>1.12412665835786</v>
      </c>
      <c r="X35" s="1" t="n">
        <f aca="false">X$2*TripTable!W33</f>
        <v>2.18284113951424</v>
      </c>
      <c r="Y35" s="1" t="n">
        <f aca="false">Y$2*TripTable!X33</f>
        <v>0.251187821866183</v>
      </c>
      <c r="Z35" s="1" t="n">
        <f aca="false">Z$2*TripTable!Y33</f>
        <v>0</v>
      </c>
      <c r="AA35" s="1" t="n">
        <f aca="false">AA$2*TripTable!Z33</f>
        <v>0</v>
      </c>
      <c r="AB35" s="1" t="n">
        <f aca="false">AB$2*TripTable!AA33</f>
        <v>0.0425424046377834</v>
      </c>
      <c r="AC35" s="1" t="n">
        <f aca="false">AC$2*TripTable!AB33</f>
        <v>0</v>
      </c>
      <c r="AD35" s="1" t="n">
        <f aca="false">AD$2*TripTable!AC33</f>
        <v>0.0199508308555689</v>
      </c>
      <c r="AE35" s="1" t="n">
        <f aca="false">AE$2*TripTable!AD33</f>
        <v>0</v>
      </c>
      <c r="AF35" s="1" t="n">
        <f aca="false">AF$2*TripTable!AE33</f>
        <v>0.235554737963037</v>
      </c>
      <c r="AG35" s="1" t="n">
        <f aca="false">AG$2*TripTable!AF33</f>
        <v>1.91312349528514</v>
      </c>
      <c r="AH35" s="1" t="n">
        <f aca="false">AH$2*TripTable!AG33</f>
        <v>0</v>
      </c>
      <c r="AI35" s="1" t="n">
        <f aca="false">AI$2*TripTable!AH33</f>
        <v>13.6047035206817</v>
      </c>
      <c r="AJ35" s="1" t="n">
        <f aca="false">AJ$2*TripTable!AI33</f>
        <v>0.00738443042039357</v>
      </c>
      <c r="AK35" s="1" t="n">
        <f aca="false">AK$2*TripTable!AJ33</f>
        <v>0</v>
      </c>
      <c r="AL35" s="1" t="n">
        <f aca="false">AL$2*TripTable!AK33</f>
        <v>0.887645636153543</v>
      </c>
      <c r="AM35" s="1" t="n">
        <f aca="false">AM$2*TripTable!AL33</f>
        <v>6.91402134575128</v>
      </c>
      <c r="AN35" s="1" t="n">
        <f aca="false">AN$2*TripTable!AM33</f>
        <v>0.174868329402564</v>
      </c>
      <c r="AO35" s="1" t="n">
        <f aca="false">AO$2*TripTable!AN33</f>
        <v>1.87163569404031</v>
      </c>
      <c r="AP35" s="1" t="n">
        <f aca="false">AP$2*TripTable!AO33</f>
        <v>0</v>
      </c>
      <c r="AQ35" s="1" t="n">
        <f aca="false">AQ$2*TripTable!AP33</f>
        <v>0</v>
      </c>
      <c r="AR35" s="1" t="n">
        <f aca="false">AR$2*TripTable!AQ33</f>
        <v>0</v>
      </c>
      <c r="AS35" s="1" t="n">
        <f aca="false">AS$2*TripTable!AR33</f>
        <v>0.00133411878855084</v>
      </c>
      <c r="AT35" s="1" t="n">
        <f aca="false">AT$2*TripTable!AS33</f>
        <v>36.9232230836027</v>
      </c>
      <c r="AU35" s="1" t="n">
        <f aca="false">AU$2*TripTable!AT33</f>
        <v>0.0660365368944886</v>
      </c>
      <c r="AV35" s="1" t="n">
        <f aca="false">AV$2*TripTable!AU33</f>
        <v>0</v>
      </c>
      <c r="AW35" s="1" t="n">
        <f aca="false">AW$2*TripTable!AV33</f>
        <v>0.558340413043143</v>
      </c>
      <c r="AX35" s="1" t="n">
        <f aca="false">AX$2*TripTable!AW33</f>
        <v>1.44996704603053</v>
      </c>
      <c r="AY35" s="1" t="n">
        <f aca="false">AY$2*TripTable!AX33</f>
        <v>0.0657245663242686</v>
      </c>
      <c r="AZ35" s="1" t="n">
        <f aca="false">AZ$2*TripTable!AY33</f>
        <v>0.000328664285676508</v>
      </c>
      <c r="BA35" s="1" t="n">
        <f aca="false">BA$2*TripTable!AZ33</f>
        <v>0</v>
      </c>
      <c r="BB35" s="1" t="n">
        <f aca="false">SUM(C35:BA35)</f>
        <v>88.5208208600441</v>
      </c>
      <c r="BC35" s="2" t="n">
        <f aca="false">BB35/TripTable!BA33</f>
        <v>0.00880716554174153</v>
      </c>
    </row>
    <row r="36" customFormat="false" ht="12.75" hidden="false" customHeight="false" outlineLevel="0" collapsed="false">
      <c r="A36" s="0" t="s">
        <v>33</v>
      </c>
      <c r="B36" s="1" t="n">
        <v>0.331822037089797</v>
      </c>
      <c r="C36" s="1" t="n">
        <f aca="false">C$2*TripTable!B34</f>
        <v>0</v>
      </c>
      <c r="D36" s="1" t="n">
        <f aca="false">D$2*TripTable!C34</f>
        <v>2.57838372850482</v>
      </c>
      <c r="E36" s="1" t="n">
        <f aca="false">E$2*TripTable!D34</f>
        <v>0</v>
      </c>
      <c r="F36" s="1" t="n">
        <f aca="false">F$2*TripTable!E34</f>
        <v>0</v>
      </c>
      <c r="G36" s="1" t="n">
        <f aca="false">G$2*TripTable!F34</f>
        <v>17.8434440045536</v>
      </c>
      <c r="H36" s="1" t="n">
        <f aca="false">H$2*TripTable!G34</f>
        <v>0.360848878661561</v>
      </c>
      <c r="I36" s="1" t="n">
        <f aca="false">I$2*TripTable!H34</f>
        <v>0.360201698370482</v>
      </c>
      <c r="J36" s="1" t="n">
        <f aca="false">J$2*TripTable!I34</f>
        <v>125.53725369341</v>
      </c>
      <c r="K36" s="1" t="n">
        <f aca="false">K$2*TripTable!J34</f>
        <v>0</v>
      </c>
      <c r="L36" s="1" t="n">
        <f aca="false">L$2*TripTable!K34</f>
        <v>243.541192494322</v>
      </c>
      <c r="M36" s="1" t="n">
        <f aca="false">M$2*TripTable!L34</f>
        <v>1.83339313443635</v>
      </c>
      <c r="N36" s="1" t="n">
        <f aca="false">N$2*TripTable!M34</f>
        <v>0</v>
      </c>
      <c r="O36" s="1" t="n">
        <f aca="false">O$2*TripTable!N34</f>
        <v>0</v>
      </c>
      <c r="P36" s="1" t="n">
        <f aca="false">P$2*TripTable!O34</f>
        <v>0</v>
      </c>
      <c r="Q36" s="1" t="n">
        <f aca="false">Q$2*TripTable!P34</f>
        <v>13.3202919598771</v>
      </c>
      <c r="R36" s="1" t="n">
        <f aca="false">R$2*TripTable!Q34</f>
        <v>1.4474804079264</v>
      </c>
      <c r="S36" s="1" t="n">
        <f aca="false">S$2*TripTable!R34</f>
        <v>3.03450905957427</v>
      </c>
      <c r="T36" s="1" t="n">
        <f aca="false">T$2*TripTable!S34</f>
        <v>0.439570715957387</v>
      </c>
      <c r="U36" s="1" t="n">
        <f aca="false">U$2*TripTable!T34</f>
        <v>5.08342582823794</v>
      </c>
      <c r="V36" s="1" t="n">
        <f aca="false">V$2*TripTable!U34</f>
        <v>67.5717887104254</v>
      </c>
      <c r="W36" s="1" t="n">
        <f aca="false">W$2*TripTable!V34</f>
        <v>77.4944815105452</v>
      </c>
      <c r="X36" s="1" t="n">
        <f aca="false">X$2*TripTable!W34</f>
        <v>355.283381659984</v>
      </c>
      <c r="Y36" s="1" t="n">
        <f aca="false">Y$2*TripTable!X34</f>
        <v>2.29024190525049</v>
      </c>
      <c r="Z36" s="1" t="n">
        <f aca="false">Z$2*TripTable!Y34</f>
        <v>0</v>
      </c>
      <c r="AA36" s="1" t="n">
        <f aca="false">AA$2*TripTable!Z34</f>
        <v>0</v>
      </c>
      <c r="AB36" s="1" t="n">
        <f aca="false">AB$2*TripTable!AA34</f>
        <v>0.139022500869899</v>
      </c>
      <c r="AC36" s="1" t="n">
        <f aca="false">AC$2*TripTable!AB34</f>
        <v>0</v>
      </c>
      <c r="AD36" s="1" t="n">
        <f aca="false">AD$2*TripTable!AC34</f>
        <v>0.0478819940533653</v>
      </c>
      <c r="AE36" s="1" t="n">
        <f aca="false">AE$2*TripTable!AD34</f>
        <v>0</v>
      </c>
      <c r="AF36" s="1" t="n">
        <f aca="false">AF$2*TripTable!AE34</f>
        <v>56.6509144801105</v>
      </c>
      <c r="AG36" s="1" t="n">
        <f aca="false">AG$2*TripTable!AF34</f>
        <v>807.6114183668</v>
      </c>
      <c r="AH36" s="1" t="n">
        <f aca="false">AH$2*TripTable!AG34</f>
        <v>0</v>
      </c>
      <c r="AI36" s="1" t="n">
        <f aca="false">AI$2*TripTable!AH34</f>
        <v>5303.51161880622</v>
      </c>
      <c r="AJ36" s="1" t="n">
        <f aca="false">AJ$2*TripTable!AI34</f>
        <v>0.62029215531306</v>
      </c>
      <c r="AK36" s="1" t="n">
        <f aca="false">AK$2*TripTable!AJ34</f>
        <v>0</v>
      </c>
      <c r="AL36" s="1" t="n">
        <f aca="false">AL$2*TripTable!AK34</f>
        <v>32.3168763088494</v>
      </c>
      <c r="AM36" s="1" t="n">
        <f aca="false">AM$2*TripTable!AL34</f>
        <v>5.01456493208334</v>
      </c>
      <c r="AN36" s="1" t="n">
        <f aca="false">AN$2*TripTable!AM34</f>
        <v>0.164270248832711</v>
      </c>
      <c r="AO36" s="1" t="n">
        <f aca="false">AO$2*TripTable!AN34</f>
        <v>561.724662673848</v>
      </c>
      <c r="AP36" s="1" t="n">
        <f aca="false">AP$2*TripTable!AO34</f>
        <v>15.4695727859578</v>
      </c>
      <c r="AQ36" s="1" t="n">
        <f aca="false">AQ$2*TripTable!AP34</f>
        <v>0</v>
      </c>
      <c r="AR36" s="1" t="n">
        <f aca="false">AR$2*TripTable!AQ34</f>
        <v>0</v>
      </c>
      <c r="AS36" s="1" t="n">
        <f aca="false">AS$2*TripTable!AR34</f>
        <v>0.00353831504789569</v>
      </c>
      <c r="AT36" s="1" t="n">
        <f aca="false">AT$2*TripTable!AS34</f>
        <v>16.0116121548867</v>
      </c>
      <c r="AU36" s="1" t="n">
        <f aca="false">AU$2*TripTable!AT34</f>
        <v>0.0560687577406035</v>
      </c>
      <c r="AV36" s="1" t="n">
        <f aca="false">AV$2*TripTable!AU34</f>
        <v>0</v>
      </c>
      <c r="AW36" s="1" t="n">
        <f aca="false">AW$2*TripTable!AV34</f>
        <v>61.4639738024993</v>
      </c>
      <c r="AX36" s="1" t="n">
        <f aca="false">AX$2*TripTable!AW34</f>
        <v>4.05990772888549</v>
      </c>
      <c r="AY36" s="1" t="n">
        <f aca="false">AY$2*TripTable!AX34</f>
        <v>3.41767744886197</v>
      </c>
      <c r="AZ36" s="1" t="n">
        <f aca="false">AZ$2*TripTable!AY34</f>
        <v>0.00124665763532469</v>
      </c>
      <c r="BA36" s="1" t="n">
        <f aca="false">BA$2*TripTable!AZ34</f>
        <v>0</v>
      </c>
      <c r="BB36" s="1" t="n">
        <f aca="false">SUM(C36:BA36)</f>
        <v>7786.30500950854</v>
      </c>
      <c r="BC36" s="2" t="n">
        <f aca="false">BB36/TripTable!BA34</f>
        <v>0.173522575537274</v>
      </c>
    </row>
    <row r="37" customFormat="false" ht="12.75" hidden="false" customHeight="false" outlineLevel="0" collapsed="false">
      <c r="A37" s="0" t="s">
        <v>34</v>
      </c>
      <c r="B37" s="1" t="n">
        <v>0.000738443042039357</v>
      </c>
      <c r="C37" s="1" t="n">
        <f aca="false">C$2*TripTable!B35</f>
        <v>0</v>
      </c>
      <c r="D37" s="1" t="n">
        <f aca="false">D$2*TripTable!C35</f>
        <v>0.691761488135441</v>
      </c>
      <c r="E37" s="1" t="n">
        <f aca="false">E$2*TripTable!D35</f>
        <v>0</v>
      </c>
      <c r="F37" s="1" t="n">
        <f aca="false">F$2*TripTable!E35</f>
        <v>0</v>
      </c>
      <c r="G37" s="1" t="n">
        <f aca="false">G$2*TripTable!F35</f>
        <v>3.76319079716889</v>
      </c>
      <c r="H37" s="1" t="n">
        <f aca="false">H$2*TripTable!G35</f>
        <v>0.201128883188411</v>
      </c>
      <c r="I37" s="1" t="n">
        <f aca="false">I$2*TripTable!H35</f>
        <v>0.0215705201765873</v>
      </c>
      <c r="J37" s="1" t="n">
        <f aca="false">J$2*TripTable!I35</f>
        <v>11.3665521452786</v>
      </c>
      <c r="K37" s="1" t="n">
        <f aca="false">K$2*TripTable!J35</f>
        <v>0</v>
      </c>
      <c r="L37" s="1" t="n">
        <f aca="false">L$2*TripTable!K35</f>
        <v>91.4544267116743</v>
      </c>
      <c r="M37" s="1" t="n">
        <f aca="false">M$2*TripTable!L35</f>
        <v>7.67681052181797</v>
      </c>
      <c r="N37" s="1" t="n">
        <f aca="false">N$2*TripTable!M35</f>
        <v>0</v>
      </c>
      <c r="O37" s="1" t="n">
        <f aca="false">O$2*TripTable!N35</f>
        <v>0</v>
      </c>
      <c r="P37" s="1" t="n">
        <f aca="false">P$2*TripTable!O35</f>
        <v>0</v>
      </c>
      <c r="Q37" s="1" t="n">
        <f aca="false">Q$2*TripTable!P35</f>
        <v>13.0427858773797</v>
      </c>
      <c r="R37" s="1" t="n">
        <f aca="false">R$2*TripTable!Q35</f>
        <v>2.08607470554098</v>
      </c>
      <c r="S37" s="1" t="n">
        <f aca="false">S$2*TripTable!R35</f>
        <v>6.77922236713401</v>
      </c>
      <c r="T37" s="1" t="n">
        <f aca="false">T$2*TripTable!S35</f>
        <v>2.55289146575251</v>
      </c>
      <c r="U37" s="1" t="n">
        <f aca="false">U$2*TripTable!T35</f>
        <v>2.67394075358181</v>
      </c>
      <c r="V37" s="1" t="n">
        <f aca="false">V$2*TripTable!U35</f>
        <v>1.78650141225075</v>
      </c>
      <c r="W37" s="1" t="n">
        <f aca="false">W$2*TripTable!V35</f>
        <v>38.7823697133463</v>
      </c>
      <c r="X37" s="1" t="n">
        <f aca="false">X$2*TripTable!W35</f>
        <v>25.9862040418362</v>
      </c>
      <c r="Y37" s="1" t="n">
        <f aca="false">Y$2*TripTable!X35</f>
        <v>1.44063603717369</v>
      </c>
      <c r="Z37" s="1" t="n">
        <f aca="false">Z$2*TripTable!Y35</f>
        <v>0</v>
      </c>
      <c r="AA37" s="1" t="n">
        <f aca="false">AA$2*TripTable!Z35</f>
        <v>0</v>
      </c>
      <c r="AB37" s="1" t="n">
        <f aca="false">AB$2*TripTable!AA35</f>
        <v>0.0919219814494963</v>
      </c>
      <c r="AC37" s="1" t="n">
        <f aca="false">AC$2*TripTable!AB35</f>
        <v>0</v>
      </c>
      <c r="AD37" s="1" t="n">
        <f aca="false">AD$2*TripTable!AC35</f>
        <v>0.0758131572511617</v>
      </c>
      <c r="AE37" s="1" t="n">
        <f aca="false">AE$2*TripTable!AD35</f>
        <v>0</v>
      </c>
      <c r="AF37" s="1" t="n">
        <f aca="false">AF$2*TripTable!AE35</f>
        <v>0.471109475926075</v>
      </c>
      <c r="AG37" s="1" t="n">
        <f aca="false">AG$2*TripTable!AF35</f>
        <v>40.4488967574573</v>
      </c>
      <c r="AH37" s="1" t="n">
        <f aca="false">AH$2*TripTable!AG35</f>
        <v>0</v>
      </c>
      <c r="AI37" s="1" t="n">
        <f aca="false">AI$2*TripTable!AH35</f>
        <v>172.215637249605</v>
      </c>
      <c r="AJ37" s="1" t="n">
        <f aca="false">AJ$2*TripTable!AI35</f>
        <v>9.35238112742846</v>
      </c>
      <c r="AK37" s="1" t="n">
        <f aca="false">AK$2*TripTable!AJ35</f>
        <v>0</v>
      </c>
      <c r="AL37" s="1" t="n">
        <f aca="false">AL$2*TripTable!AK35</f>
        <v>6.77240744620852</v>
      </c>
      <c r="AM37" s="1" t="n">
        <f aca="false">AM$2*TripTable!AL35</f>
        <v>1.97543467021465</v>
      </c>
      <c r="AN37" s="1" t="n">
        <f aca="false">AN$2*TripTable!AM35</f>
        <v>0.0423923222794094</v>
      </c>
      <c r="AO37" s="1" t="n">
        <f aca="false">AO$2*TripTable!AN35</f>
        <v>58.3716382078822</v>
      </c>
      <c r="AP37" s="1" t="n">
        <f aca="false">AP$2*TripTable!AO35</f>
        <v>0.448393414085733</v>
      </c>
      <c r="AQ37" s="1" t="n">
        <f aca="false">AQ$2*TripTable!AP35</f>
        <v>0</v>
      </c>
      <c r="AR37" s="1" t="n">
        <f aca="false">AR$2*TripTable!AQ35</f>
        <v>0</v>
      </c>
      <c r="AS37" s="1" t="n">
        <f aca="false">AS$2*TripTable!AR35</f>
        <v>0.0638056811915617</v>
      </c>
      <c r="AT37" s="1" t="n">
        <f aca="false">AT$2*TripTable!AS35</f>
        <v>5.3454532078138</v>
      </c>
      <c r="AU37" s="1" t="n">
        <f aca="false">AU$2*TripTable!AT35</f>
        <v>0.0130827101394741</v>
      </c>
      <c r="AV37" s="1" t="n">
        <f aca="false">AV$2*TripTable!AU35</f>
        <v>0</v>
      </c>
      <c r="AW37" s="1" t="n">
        <f aca="false">AW$2*TripTable!AV35</f>
        <v>123.532816385795</v>
      </c>
      <c r="AX37" s="1" t="n">
        <f aca="false">AX$2*TripTable!AW35</f>
        <v>1.2428288965976</v>
      </c>
      <c r="AY37" s="1" t="n">
        <f aca="false">AY$2*TripTable!AX35</f>
        <v>45.6128490290424</v>
      </c>
      <c r="AZ37" s="1" t="n">
        <f aca="false">AZ$2*TripTable!AY35</f>
        <v>0.00288997906370723</v>
      </c>
      <c r="BA37" s="1" t="n">
        <f aca="false">BA$2*TripTable!AZ35</f>
        <v>0</v>
      </c>
      <c r="BB37" s="1" t="n">
        <f aca="false">SUM(C37:BA37)</f>
        <v>676.385819140867</v>
      </c>
      <c r="BC37" s="2" t="n">
        <f aca="false">BB37/TripTable!BA35</f>
        <v>0.0233164128077792</v>
      </c>
    </row>
    <row r="38" customFormat="false" ht="12.75" hidden="false" customHeight="false" outlineLevel="0" collapsed="false">
      <c r="A38" s="0" t="s">
        <v>35</v>
      </c>
      <c r="B38" s="1" t="n">
        <v>0</v>
      </c>
      <c r="C38" s="1" t="n">
        <f aca="false">C$2*TripTable!B36</f>
        <v>0</v>
      </c>
      <c r="D38" s="1" t="n">
        <f aca="false">D$2*TripTable!C36</f>
        <v>0.0628874080123128</v>
      </c>
      <c r="E38" s="1" t="n">
        <f aca="false">E$2*TripTable!D36</f>
        <v>0</v>
      </c>
      <c r="F38" s="1" t="n">
        <f aca="false">F$2*TripTable!E36</f>
        <v>0</v>
      </c>
      <c r="G38" s="1" t="n">
        <f aca="false">G$2*TripTable!F36</f>
        <v>0.655387161304695</v>
      </c>
      <c r="H38" s="1" t="n">
        <f aca="false">H$2*TripTable!G36</f>
        <v>0.141973329309467</v>
      </c>
      <c r="I38" s="1" t="n">
        <f aca="false">I$2*TripTable!H36</f>
        <v>0.000519771570520177</v>
      </c>
      <c r="J38" s="1" t="n">
        <f aca="false">J$2*TripTable!I36</f>
        <v>0</v>
      </c>
      <c r="K38" s="1" t="n">
        <f aca="false">K$2*TripTable!J36</f>
        <v>0</v>
      </c>
      <c r="L38" s="1" t="n">
        <f aca="false">L$2*TripTable!K36</f>
        <v>2.41284019409524</v>
      </c>
      <c r="M38" s="1" t="n">
        <f aca="false">M$2*TripTable!L36</f>
        <v>0.020929145370278</v>
      </c>
      <c r="N38" s="1" t="n">
        <f aca="false">N$2*TripTable!M36</f>
        <v>0</v>
      </c>
      <c r="O38" s="1" t="n">
        <f aca="false">O$2*TripTable!N36</f>
        <v>0.00966014110868445</v>
      </c>
      <c r="P38" s="1" t="n">
        <f aca="false">P$2*TripTable!O36</f>
        <v>0</v>
      </c>
      <c r="Q38" s="1" t="n">
        <f aca="false">Q$2*TripTable!P36</f>
        <v>1.01752230249061</v>
      </c>
      <c r="R38" s="1" t="n">
        <f aca="false">R$2*TripTable!Q36</f>
        <v>0.936604969834728</v>
      </c>
      <c r="S38" s="1" t="n">
        <f aca="false">S$2*TripTable!R36</f>
        <v>0.968460338162001</v>
      </c>
      <c r="T38" s="1" t="n">
        <f aca="false">T$2*TripTable!S36</f>
        <v>0.016906565998361</v>
      </c>
      <c r="U38" s="1" t="n">
        <f aca="false">U$2*TripTable!T36</f>
        <v>0.117535857300299</v>
      </c>
      <c r="V38" s="1" t="n">
        <f aca="false">V$2*TripTable!U36</f>
        <v>0.420353273470764</v>
      </c>
      <c r="W38" s="1" t="n">
        <f aca="false">W$2*TripTable!V36</f>
        <v>0.210773748442099</v>
      </c>
      <c r="X38" s="1" t="n">
        <f aca="false">X$2*TripTable!W36</f>
        <v>0.20788963233469</v>
      </c>
      <c r="Y38" s="1" t="n">
        <f aca="false">Y$2*TripTable!X36</f>
        <v>0.110818156705669</v>
      </c>
      <c r="Z38" s="1" t="n">
        <f aca="false">Z$2*TripTable!Y36</f>
        <v>0</v>
      </c>
      <c r="AA38" s="1" t="n">
        <f aca="false">AA$2*TripTable!Z36</f>
        <v>0</v>
      </c>
      <c r="AB38" s="1" t="n">
        <f aca="false">AB$2*TripTable!AA36</f>
        <v>0.0113952869565491</v>
      </c>
      <c r="AC38" s="1" t="n">
        <f aca="false">AC$2*TripTable!AB36</f>
        <v>0</v>
      </c>
      <c r="AD38" s="1" t="n">
        <f aca="false">AD$2*TripTable!AC36</f>
        <v>0.0498770771389221</v>
      </c>
      <c r="AE38" s="1" t="n">
        <f aca="false">AE$2*TripTable!AD36</f>
        <v>0</v>
      </c>
      <c r="AF38" s="1" t="n">
        <f aca="false">AF$2*TripTable!AE36</f>
        <v>0.235554737963037</v>
      </c>
      <c r="AG38" s="1" t="n">
        <f aca="false">AG$2*TripTable!AF36</f>
        <v>0.546606712938613</v>
      </c>
      <c r="AH38" s="1" t="n">
        <f aca="false">AH$2*TripTable!AG36</f>
        <v>0</v>
      </c>
      <c r="AI38" s="1" t="n">
        <f aca="false">AI$2*TripTable!AH36</f>
        <v>0.663644074179594</v>
      </c>
      <c r="AJ38" s="1" t="n">
        <f aca="false">AJ$2*TripTable!AI36</f>
        <v>0.00221532912611807</v>
      </c>
      <c r="AK38" s="1" t="n">
        <f aca="false">AK$2*TripTable!AJ36</f>
        <v>0</v>
      </c>
      <c r="AL38" s="1" t="n">
        <f aca="false">AL$2*TripTable!AK36</f>
        <v>0.164378821509915</v>
      </c>
      <c r="AM38" s="1" t="n">
        <f aca="false">AM$2*TripTable!AL36</f>
        <v>0.303913026186869</v>
      </c>
      <c r="AN38" s="1" t="n">
        <f aca="false">AN$2*TripTable!AM36</f>
        <v>0.0264952014246309</v>
      </c>
      <c r="AO38" s="1" t="n">
        <f aca="false">AO$2*TripTable!AN36</f>
        <v>0.584886154387597</v>
      </c>
      <c r="AP38" s="1" t="n">
        <f aca="false">AP$2*TripTable!AO36</f>
        <v>0</v>
      </c>
      <c r="AQ38" s="1" t="n">
        <f aca="false">AQ$2*TripTable!AP36</f>
        <v>0</v>
      </c>
      <c r="AR38" s="1" t="n">
        <f aca="false">AR$2*TripTable!AQ36</f>
        <v>0</v>
      </c>
      <c r="AS38" s="1" t="n">
        <f aca="false">AS$2*TripTable!AR36</f>
        <v>0.000232020658878406</v>
      </c>
      <c r="AT38" s="1" t="n">
        <f aca="false">AT$2*TripTable!AS36</f>
        <v>0.668181650976725</v>
      </c>
      <c r="AU38" s="1" t="n">
        <f aca="false">AU$2*TripTable!AT36</f>
        <v>0.00186895859135345</v>
      </c>
      <c r="AV38" s="1" t="n">
        <f aca="false">AV$2*TripTable!AU36</f>
        <v>0</v>
      </c>
      <c r="AW38" s="1" t="n">
        <f aca="false">AW$2*TripTable!AV36</f>
        <v>0.0930567355071904</v>
      </c>
      <c r="AX38" s="1" t="n">
        <f aca="false">AX$2*TripTable!AW36</f>
        <v>0.745697337958559</v>
      </c>
      <c r="AY38" s="1" t="n">
        <f aca="false">AY$2*TripTable!AX36</f>
        <v>0.0657245663242686</v>
      </c>
      <c r="AZ38" s="1" t="n">
        <f aca="false">AZ$2*TripTable!AY36</f>
        <v>0.000577995812741445</v>
      </c>
      <c r="BA38" s="1" t="n">
        <f aca="false">BA$2*TripTable!AZ36</f>
        <v>0</v>
      </c>
      <c r="BB38" s="1" t="n">
        <f aca="false">SUM(C38:BA38)</f>
        <v>11.475367683152</v>
      </c>
      <c r="BC38" s="2" t="n">
        <f aca="false">BB38/TripTable!BA36</f>
        <v>0.00280639953121839</v>
      </c>
    </row>
    <row r="39" customFormat="false" ht="12.75" hidden="false" customHeight="false" outlineLevel="0" collapsed="false">
      <c r="A39" s="0" t="s">
        <v>36</v>
      </c>
      <c r="B39" s="1" t="n">
        <v>0.0328757643019831</v>
      </c>
      <c r="C39" s="1" t="n">
        <f aca="false">C$2*TripTable!B37</f>
        <v>0</v>
      </c>
      <c r="D39" s="1" t="n">
        <f aca="false">D$2*TripTable!C37</f>
        <v>2.07528446440632</v>
      </c>
      <c r="E39" s="1" t="n">
        <f aca="false">E$2*TripTable!D37</f>
        <v>0</v>
      </c>
      <c r="F39" s="1" t="n">
        <f aca="false">F$2*TripTable!E37</f>
        <v>0</v>
      </c>
      <c r="G39" s="1" t="n">
        <f aca="false">G$2*TripTable!F37</f>
        <v>11.3741384768363</v>
      </c>
      <c r="H39" s="1" t="n">
        <f aca="false">H$2*TripTable!G37</f>
        <v>0.689162202689703</v>
      </c>
      <c r="I39" s="1" t="n">
        <f aca="false">I$2*TripTable!H37</f>
        <v>0.0634121316034615</v>
      </c>
      <c r="J39" s="1" t="n">
        <f aca="false">J$2*TripTable!I37</f>
        <v>15.4079929080443</v>
      </c>
      <c r="K39" s="1" t="n">
        <f aca="false">K$2*TripTable!J37</f>
        <v>0</v>
      </c>
      <c r="L39" s="1" t="n">
        <f aca="false">L$2*TripTable!K37</f>
        <v>126.86869407662</v>
      </c>
      <c r="M39" s="1" t="n">
        <f aca="false">M$2*TripTable!L37</f>
        <v>2.18918860573108</v>
      </c>
      <c r="N39" s="1" t="n">
        <f aca="false">N$2*TripTable!M37</f>
        <v>0</v>
      </c>
      <c r="O39" s="1" t="n">
        <f aca="false">O$2*TripTable!N37</f>
        <v>0.00966014110868445</v>
      </c>
      <c r="P39" s="1" t="n">
        <f aca="false">P$2*TripTable!O37</f>
        <v>0</v>
      </c>
      <c r="Q39" s="1" t="n">
        <f aca="false">Q$2*TripTable!P37</f>
        <v>211.644638918048</v>
      </c>
      <c r="R39" s="1" t="n">
        <f aca="false">R$2*TripTable!Q37</f>
        <v>5.61962981900837</v>
      </c>
      <c r="S39" s="1" t="n">
        <f aca="false">S$2*TripTable!R37</f>
        <v>1.67866458614747</v>
      </c>
      <c r="T39" s="1" t="n">
        <f aca="false">T$2*TripTable!S37</f>
        <v>17.8702402602676</v>
      </c>
      <c r="U39" s="1" t="n">
        <f aca="false">U$2*TripTable!T37</f>
        <v>6.84646368774243</v>
      </c>
      <c r="V39" s="1" t="n">
        <f aca="false">V$2*TripTable!U37</f>
        <v>5.25441591838455</v>
      </c>
      <c r="W39" s="1" t="n">
        <f aca="false">W$2*TripTable!V37</f>
        <v>12.9977144872628</v>
      </c>
      <c r="X39" s="1" t="n">
        <f aca="false">X$2*TripTable!W37</f>
        <v>19.8534598879629</v>
      </c>
      <c r="Y39" s="1" t="n">
        <f aca="false">Y$2*TripTable!X37</f>
        <v>14.4654633886466</v>
      </c>
      <c r="Z39" s="1" t="n">
        <f aca="false">Z$2*TripTable!Y37</f>
        <v>0</v>
      </c>
      <c r="AA39" s="1" t="n">
        <f aca="false">AA$2*TripTable!Z37</f>
        <v>0</v>
      </c>
      <c r="AB39" s="1" t="n">
        <f aca="false">AB$2*TripTable!AA37</f>
        <v>0.312990548406549</v>
      </c>
      <c r="AC39" s="1" t="n">
        <f aca="false">AC$2*TripTable!AB37</f>
        <v>0</v>
      </c>
      <c r="AD39" s="1" t="n">
        <f aca="false">AD$2*TripTable!AC37</f>
        <v>0.12170006821897</v>
      </c>
      <c r="AE39" s="1" t="n">
        <f aca="false">AE$2*TripTable!AD37</f>
        <v>0</v>
      </c>
      <c r="AF39" s="1" t="n">
        <f aca="false">AF$2*TripTable!AE37</f>
        <v>5.29998160416834</v>
      </c>
      <c r="AG39" s="1" t="n">
        <f aca="false">AG$2*TripTable!AF37</f>
        <v>72.1520861078969</v>
      </c>
      <c r="AH39" s="1" t="n">
        <f aca="false">AH$2*TripTable!AG37</f>
        <v>0</v>
      </c>
      <c r="AI39" s="1" t="n">
        <f aca="false">AI$2*TripTable!AH37</f>
        <v>350.072249129736</v>
      </c>
      <c r="AJ39" s="1" t="n">
        <f aca="false">AJ$2*TripTable!AI37</f>
        <v>0.443065825223614</v>
      </c>
      <c r="AK39" s="1" t="n">
        <f aca="false">AK$2*TripTable!AJ37</f>
        <v>0</v>
      </c>
      <c r="AL39" s="1" t="n">
        <f aca="false">AL$2*TripTable!AK37</f>
        <v>525.913601538823</v>
      </c>
      <c r="AM39" s="1" t="n">
        <f aca="false">AM$2*TripTable!AL37</f>
        <v>4.86260841898991</v>
      </c>
      <c r="AN39" s="1" t="n">
        <f aca="false">AN$2*TripTable!AM37</f>
        <v>0.143074087693007</v>
      </c>
      <c r="AO39" s="1" t="n">
        <f aca="false">AO$2*TripTable!AN37</f>
        <v>234.305393447671</v>
      </c>
      <c r="AP39" s="1" t="n">
        <f aca="false">AP$2*TripTable!AO37</f>
        <v>1.94303812770484</v>
      </c>
      <c r="AQ39" s="1" t="n">
        <f aca="false">AQ$2*TripTable!AP37</f>
        <v>0</v>
      </c>
      <c r="AR39" s="1" t="n">
        <f aca="false">AR$2*TripTable!AQ37</f>
        <v>0</v>
      </c>
      <c r="AS39" s="1" t="n">
        <f aca="false">AS$2*TripTable!AR37</f>
        <v>0.0594552938375916</v>
      </c>
      <c r="AT39" s="1" t="n">
        <f aca="false">AT$2*TripTable!AS37</f>
        <v>7.52323044062683</v>
      </c>
      <c r="AU39" s="1" t="n">
        <f aca="false">AU$2*TripTable!AT37</f>
        <v>0.0535768129521322</v>
      </c>
      <c r="AV39" s="1" t="n">
        <f aca="false">AV$2*TripTable!AU37</f>
        <v>0</v>
      </c>
      <c r="AW39" s="1" t="n">
        <f aca="false">AW$2*TripTable!AV37</f>
        <v>21.5426342699146</v>
      </c>
      <c r="AX39" s="1" t="n">
        <f aca="false">AX$2*TripTable!AW37</f>
        <v>4.59846691741111</v>
      </c>
      <c r="AY39" s="1" t="n">
        <f aca="false">AY$2*TripTable!AX37</f>
        <v>110.877343389041</v>
      </c>
      <c r="AZ39" s="1" t="n">
        <f aca="false">AZ$2*TripTable!AY37</f>
        <v>0.00298064507354902</v>
      </c>
      <c r="BA39" s="1" t="n">
        <f aca="false">BA$2*TripTable!AZ37</f>
        <v>0</v>
      </c>
      <c r="BB39" s="1" t="n">
        <f aca="false">SUM(C39:BA39)</f>
        <v>1795.1357006339</v>
      </c>
      <c r="BC39" s="2" t="n">
        <f aca="false">BB39/TripTable!BA37</f>
        <v>0.0472267422754966</v>
      </c>
    </row>
    <row r="40" customFormat="false" ht="12.75" hidden="false" customHeight="false" outlineLevel="0" collapsed="false">
      <c r="A40" s="0" t="s">
        <v>37</v>
      </c>
      <c r="B40" s="1" t="n">
        <v>0.0759782565467173</v>
      </c>
      <c r="C40" s="1" t="n">
        <f aca="false">C$2*TripTable!B38</f>
        <v>0</v>
      </c>
      <c r="D40" s="1" t="n">
        <f aca="false">D$2*TripTable!C38</f>
        <v>0.628874080123128</v>
      </c>
      <c r="E40" s="1" t="n">
        <f aca="false">E$2*TripTable!D38</f>
        <v>0</v>
      </c>
      <c r="F40" s="1" t="n">
        <f aca="false">F$2*TripTable!E38</f>
        <v>0</v>
      </c>
      <c r="G40" s="1" t="n">
        <f aca="false">G$2*TripTable!F38</f>
        <v>3.57291710517721</v>
      </c>
      <c r="H40" s="1" t="n">
        <f aca="false">H$2*TripTable!G38</f>
        <v>0.964235528226795</v>
      </c>
      <c r="I40" s="1" t="n">
        <f aca="false">I$2*TripTable!H38</f>
        <v>0.00103954314104035</v>
      </c>
      <c r="J40" s="1" t="n">
        <f aca="false">J$2*TripTable!I38</f>
        <v>0</v>
      </c>
      <c r="K40" s="1" t="n">
        <f aca="false">K$2*TripTable!J38</f>
        <v>0</v>
      </c>
      <c r="L40" s="1" t="n">
        <f aca="false">L$2*TripTable!K38</f>
        <v>9.41786011243624</v>
      </c>
      <c r="M40" s="1" t="n">
        <f aca="false">M$2*TripTable!L38</f>
        <v>0.263707231665503</v>
      </c>
      <c r="N40" s="1" t="n">
        <f aca="false">N$2*TripTable!M38</f>
        <v>0</v>
      </c>
      <c r="O40" s="1" t="n">
        <f aca="false">O$2*TripTable!N38</f>
        <v>0.0139535371569887</v>
      </c>
      <c r="P40" s="1" t="n">
        <f aca="false">P$2*TripTable!O38</f>
        <v>0</v>
      </c>
      <c r="Q40" s="1" t="n">
        <f aca="false">Q$2*TripTable!P38</f>
        <v>6.29013786994198</v>
      </c>
      <c r="R40" s="1" t="n">
        <f aca="false">R$2*TripTable!Q38</f>
        <v>1.70291812697223</v>
      </c>
      <c r="S40" s="1" t="n">
        <f aca="false">S$2*TripTable!R38</f>
        <v>74.4423179933858</v>
      </c>
      <c r="T40" s="1" t="n">
        <f aca="false">T$2*TripTable!S38</f>
        <v>0.777702035924607</v>
      </c>
      <c r="U40" s="1" t="n">
        <f aca="false">U$2*TripTable!T38</f>
        <v>6.20001647259079</v>
      </c>
      <c r="V40" s="1" t="n">
        <f aca="false">V$2*TripTable!U38</f>
        <v>0.630529910206147</v>
      </c>
      <c r="W40" s="1" t="n">
        <f aca="false">W$2*TripTable!V38</f>
        <v>1.19438457450523</v>
      </c>
      <c r="X40" s="1" t="n">
        <f aca="false">X$2*TripTable!W38</f>
        <v>4.26173746286114</v>
      </c>
      <c r="Y40" s="1" t="n">
        <f aca="false">Y$2*TripTable!X38</f>
        <v>0.406333241254119</v>
      </c>
      <c r="Z40" s="1" t="n">
        <f aca="false">Z$2*TripTable!Y38</f>
        <v>0</v>
      </c>
      <c r="AA40" s="1" t="n">
        <f aca="false">AA$2*TripTable!Z38</f>
        <v>0</v>
      </c>
      <c r="AB40" s="1" t="n">
        <f aca="false">AB$2*TripTable!AA38</f>
        <v>0.794631343770025</v>
      </c>
      <c r="AC40" s="1" t="n">
        <f aca="false">AC$2*TripTable!AB38</f>
        <v>0</v>
      </c>
      <c r="AD40" s="1" t="n">
        <f aca="false">AD$2*TripTable!AC38</f>
        <v>0.183547643871233</v>
      </c>
      <c r="AE40" s="1" t="n">
        <f aca="false">AE$2*TripTable!AD38</f>
        <v>0</v>
      </c>
      <c r="AF40" s="1" t="n">
        <f aca="false">AF$2*TripTable!AE38</f>
        <v>0.471109475926075</v>
      </c>
      <c r="AG40" s="1" t="n">
        <f aca="false">AG$2*TripTable!AF38</f>
        <v>2.18642685175445</v>
      </c>
      <c r="AH40" s="1" t="n">
        <f aca="false">AH$2*TripTable!AG38</f>
        <v>0</v>
      </c>
      <c r="AI40" s="1" t="n">
        <f aca="false">AI$2*TripTable!AH38</f>
        <v>8.29555092724492</v>
      </c>
      <c r="AJ40" s="1" t="n">
        <f aca="false">AJ$2*TripTable!AI38</f>
        <v>0.0273223925554562</v>
      </c>
      <c r="AK40" s="1" t="n">
        <f aca="false">AK$2*TripTable!AJ38</f>
        <v>0</v>
      </c>
      <c r="AL40" s="1" t="n">
        <f aca="false">AL$2*TripTable!AK38</f>
        <v>3.09032184438641</v>
      </c>
      <c r="AM40" s="1" t="n">
        <f aca="false">AM$2*TripTable!AL38</f>
        <v>560.567576801681</v>
      </c>
      <c r="AN40" s="1" t="n">
        <f aca="false">AN$2*TripTable!AM38</f>
        <v>0.153672168262859</v>
      </c>
      <c r="AO40" s="1" t="n">
        <f aca="false">AO$2*TripTable!AN38</f>
        <v>8.89026954669147</v>
      </c>
      <c r="AP40" s="1" t="n">
        <f aca="false">AP$2*TripTable!AO38</f>
        <v>0.112098353521433</v>
      </c>
      <c r="AQ40" s="1" t="n">
        <f aca="false">AQ$2*TripTable!AP38</f>
        <v>0</v>
      </c>
      <c r="AR40" s="1" t="n">
        <f aca="false">AR$2*TripTable!AQ38</f>
        <v>0</v>
      </c>
      <c r="AS40" s="1" t="n">
        <f aca="false">AS$2*TripTable!AR38</f>
        <v>0.00701862493107179</v>
      </c>
      <c r="AT40" s="1" t="n">
        <f aca="false">AT$2*TripTable!AS38</f>
        <v>70.2580632267749</v>
      </c>
      <c r="AU40" s="1" t="n">
        <f aca="false">AU$2*TripTable!AT38</f>
        <v>0.00872180675964943</v>
      </c>
      <c r="AV40" s="1" t="n">
        <f aca="false">AV$2*TripTable!AU38</f>
        <v>0</v>
      </c>
      <c r="AW40" s="1" t="n">
        <f aca="false">AW$2*TripTable!AV38</f>
        <v>3.48962758151964</v>
      </c>
      <c r="AX40" s="1" t="n">
        <f aca="false">AX$2*TripTable!AW38</f>
        <v>3.85276957945255</v>
      </c>
      <c r="AY40" s="1" t="n">
        <f aca="false">AY$2*TripTable!AX38</f>
        <v>0.92014392853976</v>
      </c>
      <c r="AZ40" s="1" t="n">
        <f aca="false">AZ$2*TripTable!AY38</f>
        <v>0.00100865935948997</v>
      </c>
      <c r="BA40" s="1" t="n">
        <f aca="false">BA$2*TripTable!AZ38</f>
        <v>0</v>
      </c>
      <c r="BB40" s="1" t="n">
        <f aca="false">SUM(C40:BA40)</f>
        <v>774.078545582571</v>
      </c>
      <c r="BC40" s="2" t="n">
        <f aca="false">BB40/TripTable!BA38</f>
        <v>0.0484010845734115</v>
      </c>
    </row>
    <row r="41" customFormat="false" ht="12.75" hidden="false" customHeight="false" outlineLevel="0" collapsed="false">
      <c r="A41" s="0" t="s">
        <v>38</v>
      </c>
      <c r="B41" s="1" t="n">
        <v>0.00529904028492617</v>
      </c>
      <c r="C41" s="1" t="n">
        <f aca="false">C$2*TripTable!B39</f>
        <v>0</v>
      </c>
      <c r="D41" s="1" t="n">
        <f aca="false">D$2*TripTable!C39</f>
        <v>3.01859558459101</v>
      </c>
      <c r="E41" s="1" t="n">
        <f aca="false">E$2*TripTable!D39</f>
        <v>0</v>
      </c>
      <c r="F41" s="1" t="n">
        <f aca="false">F$2*TripTable!E39</f>
        <v>0</v>
      </c>
      <c r="G41" s="1" t="n">
        <f aca="false">G$2*TripTable!F39</f>
        <v>35.3063406251239</v>
      </c>
      <c r="H41" s="1" t="n">
        <f aca="false">H$2*TripTable!G39</f>
        <v>0.322397768640247</v>
      </c>
      <c r="I41" s="1" t="n">
        <f aca="false">I$2*TripTable!H39</f>
        <v>0.00311862942312106</v>
      </c>
      <c r="J41" s="1" t="n">
        <f aca="false">J$2*TripTable!I39</f>
        <v>0</v>
      </c>
      <c r="K41" s="1" t="n">
        <f aca="false">K$2*TripTable!J39</f>
        <v>0</v>
      </c>
      <c r="L41" s="1" t="n">
        <f aca="false">L$2*TripTable!K39</f>
        <v>6.07101726256221</v>
      </c>
      <c r="M41" s="1" t="n">
        <f aca="false">M$2*TripTable!L39</f>
        <v>0.0669732651848896</v>
      </c>
      <c r="N41" s="1" t="n">
        <f aca="false">N$2*TripTable!M39</f>
        <v>0</v>
      </c>
      <c r="O41" s="1" t="n">
        <f aca="false">O$2*TripTable!N39</f>
        <v>0.403579228540595</v>
      </c>
      <c r="P41" s="1" t="n">
        <f aca="false">P$2*TripTable!O39</f>
        <v>0</v>
      </c>
      <c r="Q41" s="1" t="n">
        <f aca="false">Q$2*TripTable!P39</f>
        <v>1.3875304124872</v>
      </c>
      <c r="R41" s="1" t="n">
        <f aca="false">R$2*TripTable!Q39</f>
        <v>0.596021344440281</v>
      </c>
      <c r="S41" s="1" t="n">
        <f aca="false">S$2*TripTable!R39</f>
        <v>0.581076202897201</v>
      </c>
      <c r="T41" s="1" t="n">
        <f aca="false">T$2*TripTable!S39</f>
        <v>0.0253598489975415</v>
      </c>
      <c r="U41" s="1" t="n">
        <f aca="false">U$2*TripTable!T39</f>
        <v>0.411375500551047</v>
      </c>
      <c r="V41" s="1" t="n">
        <f aca="false">V$2*TripTable!U39</f>
        <v>1.26105982041229</v>
      </c>
      <c r="W41" s="1" t="n">
        <f aca="false">W$2*TripTable!V39</f>
        <v>0.421547496884199</v>
      </c>
      <c r="X41" s="1" t="n">
        <f aca="false">X$2*TripTable!W39</f>
        <v>5.19724080836724</v>
      </c>
      <c r="Y41" s="1" t="n">
        <f aca="false">Y$2*TripTable!X39</f>
        <v>0.391557487026696</v>
      </c>
      <c r="Z41" s="1" t="n">
        <f aca="false">Z$2*TripTable!Y39</f>
        <v>0</v>
      </c>
      <c r="AA41" s="1" t="n">
        <f aca="false">AA$2*TripTable!Z39</f>
        <v>0</v>
      </c>
      <c r="AB41" s="1" t="n">
        <f aca="false">AB$2*TripTable!AA39</f>
        <v>0.022030888115995</v>
      </c>
      <c r="AC41" s="1" t="n">
        <f aca="false">AC$2*TripTable!AB39</f>
        <v>0</v>
      </c>
      <c r="AD41" s="1" t="n">
        <f aca="false">AD$2*TripTable!AC39</f>
        <v>0.00997541542778443</v>
      </c>
      <c r="AE41" s="1" t="n">
        <f aca="false">AE$2*TripTable!AD39</f>
        <v>0</v>
      </c>
      <c r="AF41" s="1" t="n">
        <f aca="false">AF$2*TripTable!AE39</f>
        <v>0.353332106944556</v>
      </c>
      <c r="AG41" s="1" t="n">
        <f aca="false">AG$2*TripTable!AF39</f>
        <v>1.91312349528514</v>
      </c>
      <c r="AH41" s="1" t="n">
        <f aca="false">AH$2*TripTable!AG39</f>
        <v>0</v>
      </c>
      <c r="AI41" s="1" t="n">
        <f aca="false">AI$2*TripTable!AH39</f>
        <v>14.2683475948613</v>
      </c>
      <c r="AJ41" s="1" t="n">
        <f aca="false">AJ$2*TripTable!AI39</f>
        <v>0.0110766456305904</v>
      </c>
      <c r="AK41" s="1" t="n">
        <f aca="false">AK$2*TripTable!AJ39</f>
        <v>0</v>
      </c>
      <c r="AL41" s="1" t="n">
        <f aca="false">AL$2*TripTable!AK39</f>
        <v>0.526012228831729</v>
      </c>
      <c r="AM41" s="1" t="n">
        <f aca="false">AM$2*TripTable!AL39</f>
        <v>1.51956513093435</v>
      </c>
      <c r="AN41" s="1" t="n">
        <f aca="false">AN$2*TripTable!AM39</f>
        <v>39.3188789141522</v>
      </c>
      <c r="AO41" s="1" t="n">
        <f aca="false">AO$2*TripTable!AN39</f>
        <v>6.08281600563101</v>
      </c>
      <c r="AP41" s="1" t="n">
        <f aca="false">AP$2*TripTable!AO39</f>
        <v>0.0373661178404778</v>
      </c>
      <c r="AQ41" s="1" t="n">
        <f aca="false">AQ$2*TripTable!AP39</f>
        <v>0</v>
      </c>
      <c r="AR41" s="1" t="n">
        <f aca="false">AR$2*TripTable!AQ39</f>
        <v>0</v>
      </c>
      <c r="AS41" s="1" t="n">
        <f aca="false">AS$2*TripTable!AR39</f>
        <v>0.00139212395327044</v>
      </c>
      <c r="AT41" s="1" t="n">
        <f aca="false">AT$2*TripTable!AS39</f>
        <v>3.26666584921954</v>
      </c>
      <c r="AU41" s="1" t="n">
        <f aca="false">AU$2*TripTable!AT39</f>
        <v>0.0473469509809541</v>
      </c>
      <c r="AV41" s="1" t="n">
        <f aca="false">AV$2*TripTable!AU39</f>
        <v>0</v>
      </c>
      <c r="AW41" s="1" t="n">
        <f aca="false">AW$2*TripTable!AV39</f>
        <v>0.232641838767976</v>
      </c>
      <c r="AX41" s="1" t="n">
        <f aca="false">AX$2*TripTable!AW39</f>
        <v>124.117179140213</v>
      </c>
      <c r="AY41" s="1" t="n">
        <f aca="false">AY$2*TripTable!AX39</f>
        <v>0.328622831621343</v>
      </c>
      <c r="AZ41" s="1" t="n">
        <f aca="false">AZ$2*TripTable!AY39</f>
        <v>0.000226665024604488</v>
      </c>
      <c r="BA41" s="1" t="n">
        <f aca="false">BA$2*TripTable!AZ39</f>
        <v>0</v>
      </c>
      <c r="BB41" s="1" t="n">
        <f aca="false">SUM(C41:BA41)</f>
        <v>247.521391229566</v>
      </c>
      <c r="BC41" s="2" t="n">
        <f aca="false">BB41/TripTable!BA39</f>
        <v>0.0170692635838608</v>
      </c>
    </row>
    <row r="42" customFormat="false" ht="12.75" hidden="false" customHeight="false" outlineLevel="0" collapsed="false">
      <c r="A42" s="0" t="s">
        <v>39</v>
      </c>
      <c r="B42" s="1" t="n">
        <v>0.116977230877519</v>
      </c>
      <c r="C42" s="1" t="n">
        <f aca="false">C$2*TripTable!B40</f>
        <v>0</v>
      </c>
      <c r="D42" s="1" t="n">
        <f aca="false">D$2*TripTable!C40</f>
        <v>2.07528446440632</v>
      </c>
      <c r="E42" s="1" t="n">
        <f aca="false">E$2*TripTable!D40</f>
        <v>0</v>
      </c>
      <c r="F42" s="1" t="n">
        <f aca="false">F$2*TripTable!E40</f>
        <v>0</v>
      </c>
      <c r="G42" s="1" t="n">
        <f aca="false">G$2*TripTable!F40</f>
        <v>10.3593454528807</v>
      </c>
      <c r="H42" s="1" t="n">
        <f aca="false">H$2*TripTable!G40</f>
        <v>0.709866646547334</v>
      </c>
      <c r="I42" s="1" t="n">
        <f aca="false">I$2*TripTable!H40</f>
        <v>0.138259237758367</v>
      </c>
      <c r="J42" s="1" t="n">
        <f aca="false">J$2*TripTable!I40</f>
        <v>679.972408335331</v>
      </c>
      <c r="K42" s="1" t="n">
        <f aca="false">K$2*TripTable!J40</f>
        <v>0</v>
      </c>
      <c r="L42" s="1" t="n">
        <f aca="false">L$2*TripTable!K40</f>
        <v>119.085338611797</v>
      </c>
      <c r="M42" s="1" t="n">
        <f aca="false">M$2*TripTable!L40</f>
        <v>0.90413907999601</v>
      </c>
      <c r="N42" s="1" t="n">
        <f aca="false">N$2*TripTable!M40</f>
        <v>0</v>
      </c>
      <c r="O42" s="1" t="n">
        <f aca="false">O$2*TripTable!N40</f>
        <v>0.00536674506038025</v>
      </c>
      <c r="P42" s="1" t="n">
        <f aca="false">P$2*TripTable!O40</f>
        <v>0</v>
      </c>
      <c r="Q42" s="1" t="n">
        <f aca="false">Q$2*TripTable!P40</f>
        <v>27.10309405725</v>
      </c>
      <c r="R42" s="1" t="n">
        <f aca="false">R$2*TripTable!Q40</f>
        <v>0.170291812697223</v>
      </c>
      <c r="S42" s="1" t="n">
        <f aca="false">S$2*TripTable!R40</f>
        <v>2.7116889468536</v>
      </c>
      <c r="T42" s="1" t="n">
        <f aca="false">T$2*TripTable!S40</f>
        <v>1.31025886487298</v>
      </c>
      <c r="U42" s="1" t="n">
        <f aca="false">U$2*TripTable!T40</f>
        <v>3.02654832548271</v>
      </c>
      <c r="V42" s="1" t="n">
        <f aca="false">V$2*TripTable!U40</f>
        <v>27.7433160490704</v>
      </c>
      <c r="W42" s="1" t="n">
        <f aca="false">W$2*TripTable!V40</f>
        <v>172.764215806374</v>
      </c>
      <c r="X42" s="1" t="n">
        <f aca="false">X$2*TripTable!W40</f>
        <v>87.5215352129043</v>
      </c>
      <c r="Y42" s="1" t="n">
        <f aca="false">Y$2*TripTable!X40</f>
        <v>2.17942374854482</v>
      </c>
      <c r="Z42" s="1" t="n">
        <f aca="false">Z$2*TripTable!Y40</f>
        <v>0</v>
      </c>
      <c r="AA42" s="1" t="n">
        <f aca="false">AA$2*TripTable!Z40</f>
        <v>0</v>
      </c>
      <c r="AB42" s="1" t="n">
        <f aca="false">AB$2*TripTable!AA40</f>
        <v>0.104076954203149</v>
      </c>
      <c r="AC42" s="1" t="n">
        <f aca="false">AC$2*TripTable!AB40</f>
        <v>0</v>
      </c>
      <c r="AD42" s="1" t="n">
        <f aca="false">AD$2*TripTable!AC40</f>
        <v>0.0598524925667066</v>
      </c>
      <c r="AE42" s="1" t="n">
        <f aca="false">AE$2*TripTable!AD40</f>
        <v>0</v>
      </c>
      <c r="AF42" s="1" t="n">
        <f aca="false">AF$2*TripTable!AE40</f>
        <v>28.148791186583</v>
      </c>
      <c r="AG42" s="1" t="n">
        <f aca="false">AG$2*TripTable!AF40</f>
        <v>1212.37368929784</v>
      </c>
      <c r="AH42" s="1" t="n">
        <f aca="false">AH$2*TripTable!AG40</f>
        <v>0</v>
      </c>
      <c r="AI42" s="1" t="n">
        <f aca="false">AI$2*TripTable!AH40</f>
        <v>1333.2609450268</v>
      </c>
      <c r="AJ42" s="1" t="n">
        <f aca="false">AJ$2*TripTable!AI40</f>
        <v>0.831486865336316</v>
      </c>
      <c r="AK42" s="1" t="n">
        <f aca="false">AK$2*TripTable!AJ40</f>
        <v>0</v>
      </c>
      <c r="AL42" s="1" t="n">
        <f aca="false">AL$2*TripTable!AK40</f>
        <v>67.3624410547633</v>
      </c>
      <c r="AM42" s="1" t="n">
        <f aca="false">AM$2*TripTable!AL40</f>
        <v>1.51956513093435</v>
      </c>
      <c r="AN42" s="1" t="n">
        <f aca="false">AN$2*TripTable!AM40</f>
        <v>0.381530900514685</v>
      </c>
      <c r="AO42" s="1" t="n">
        <f aca="false">AO$2*TripTable!AN40</f>
        <v>1467.83029305111</v>
      </c>
      <c r="AP42" s="1" t="n">
        <f aca="false">AP$2*TripTable!AO40</f>
        <v>1.23308188873577</v>
      </c>
      <c r="AQ42" s="1" t="n">
        <f aca="false">AQ$2*TripTable!AP40</f>
        <v>0</v>
      </c>
      <c r="AR42" s="1" t="n">
        <f aca="false">AR$2*TripTable!AQ40</f>
        <v>0</v>
      </c>
      <c r="AS42" s="1" t="n">
        <f aca="false">AS$2*TripTable!AR40</f>
        <v>0.0177495804041981</v>
      </c>
      <c r="AT42" s="1" t="n">
        <f aca="false">AT$2*TripTable!AS40</f>
        <v>9.45353298789292</v>
      </c>
      <c r="AU42" s="1" t="n">
        <f aca="false">AU$2*TripTable!AT40</f>
        <v>0.00809882056253162</v>
      </c>
      <c r="AV42" s="1" t="n">
        <f aca="false">AV$2*TripTable!AU40</f>
        <v>0</v>
      </c>
      <c r="AW42" s="1" t="n">
        <f aca="false">AW$2*TripTable!AV40</f>
        <v>74.9106720832883</v>
      </c>
      <c r="AX42" s="1" t="n">
        <f aca="false">AX$2*TripTable!AW40</f>
        <v>2.1542367541025</v>
      </c>
      <c r="AY42" s="1" t="n">
        <f aca="false">AY$2*TripTable!AX40</f>
        <v>55.5372585440069</v>
      </c>
      <c r="AZ42" s="1" t="n">
        <f aca="false">AZ$2*TripTable!AY40</f>
        <v>0.00069132832504369</v>
      </c>
      <c r="BA42" s="1" t="n">
        <f aca="false">BA$2*TripTable!AZ40</f>
        <v>0</v>
      </c>
      <c r="BB42" s="1" t="n">
        <f aca="false">SUM(C42:BA42)</f>
        <v>5392.96837534581</v>
      </c>
      <c r="BC42" s="2" t="n">
        <f aca="false">BB42/TripTable!BA40</f>
        <v>0.134020088850542</v>
      </c>
    </row>
    <row r="43" customFormat="false" ht="12.75" hidden="false" customHeight="false" outlineLevel="0" collapsed="false">
      <c r="A43" s="0" t="s">
        <v>40</v>
      </c>
      <c r="B43" s="1" t="n">
        <v>0.0373661178404778</v>
      </c>
      <c r="C43" s="1" t="n">
        <f aca="false">C$2*TripTable!B41</f>
        <v>0</v>
      </c>
      <c r="D43" s="1" t="n">
        <f aca="false">D$2*TripTable!C41</f>
        <v>0.0628874080123128</v>
      </c>
      <c r="E43" s="1" t="n">
        <f aca="false">E$2*TripTable!D41</f>
        <v>0</v>
      </c>
      <c r="F43" s="1" t="n">
        <f aca="false">F$2*TripTable!E41</f>
        <v>0</v>
      </c>
      <c r="G43" s="1" t="n">
        <f aca="false">G$2*TripTable!F41</f>
        <v>1.1205006306177</v>
      </c>
      <c r="H43" s="1" t="n">
        <f aca="false">H$2*TripTable!G41</f>
        <v>0.0354933323273667</v>
      </c>
      <c r="I43" s="1" t="n">
        <f aca="false">I$2*TripTable!H41</f>
        <v>0.0350845810101119</v>
      </c>
      <c r="J43" s="1" t="n">
        <f aca="false">J$2*TripTable!I41</f>
        <v>1.51554028603714</v>
      </c>
      <c r="K43" s="1" t="n">
        <f aca="false">K$2*TripTable!J41</f>
        <v>0</v>
      </c>
      <c r="L43" s="1" t="n">
        <f aca="false">L$2*TripTable!K41</f>
        <v>12.8425365169585</v>
      </c>
      <c r="M43" s="1" t="n">
        <f aca="false">M$2*TripTable!L41</f>
        <v>0.0460441198146116</v>
      </c>
      <c r="N43" s="1" t="n">
        <f aca="false">N$2*TripTable!M41</f>
        <v>0</v>
      </c>
      <c r="O43" s="1" t="n">
        <f aca="false">O$2*TripTable!N41</f>
        <v>0.00107334901207605</v>
      </c>
      <c r="P43" s="1" t="n">
        <f aca="false">P$2*TripTable!O41</f>
        <v>0</v>
      </c>
      <c r="Q43" s="1" t="n">
        <f aca="false">Q$2*TripTable!P41</f>
        <v>0.27750608249744</v>
      </c>
      <c r="R43" s="1" t="n">
        <f aca="false">R$2*TripTable!Q41</f>
        <v>0.0851459063486116</v>
      </c>
      <c r="S43" s="1" t="n">
        <f aca="false">S$2*TripTable!R41</f>
        <v>0.258256090176534</v>
      </c>
      <c r="T43" s="1" t="n">
        <f aca="false">T$2*TripTable!S41</f>
        <v>0.0507196979950831</v>
      </c>
      <c r="U43" s="1" t="n">
        <f aca="false">U$2*TripTable!T41</f>
        <v>0.235071714600599</v>
      </c>
      <c r="V43" s="1" t="n">
        <f aca="false">V$2*TripTable!U41</f>
        <v>24.6957548164074</v>
      </c>
      <c r="W43" s="1" t="n">
        <f aca="false">W$2*TripTable!V41</f>
        <v>1.54567415524206</v>
      </c>
      <c r="X43" s="1" t="n">
        <f aca="false">X$2*TripTable!W41</f>
        <v>13.4088812855875</v>
      </c>
      <c r="Y43" s="1" t="n">
        <f aca="false">Y$2*TripTable!X41</f>
        <v>0.0960424024782463</v>
      </c>
      <c r="Z43" s="1" t="n">
        <f aca="false">Z$2*TripTable!Y41</f>
        <v>0</v>
      </c>
      <c r="AA43" s="1" t="n">
        <f aca="false">AA$2*TripTable!Z41</f>
        <v>0</v>
      </c>
      <c r="AB43" s="1" t="n">
        <f aca="false">AB$2*TripTable!AA41</f>
        <v>0.0091162295652393</v>
      </c>
      <c r="AC43" s="1" t="n">
        <f aca="false">AC$2*TripTable!AB41</f>
        <v>0</v>
      </c>
      <c r="AD43" s="1" t="n">
        <f aca="false">AD$2*TripTable!AC41</f>
        <v>0.00399016617111377</v>
      </c>
      <c r="AE43" s="1" t="n">
        <f aca="false">AE$2*TripTable!AD41</f>
        <v>0</v>
      </c>
      <c r="AF43" s="1" t="n">
        <f aca="false">AF$2*TripTable!AE41</f>
        <v>40.6331922986239</v>
      </c>
      <c r="AG43" s="1" t="n">
        <f aca="false">AG$2*TripTable!AF41</f>
        <v>36.3493464104177</v>
      </c>
      <c r="AH43" s="1" t="n">
        <f aca="false">AH$2*TripTable!AG41</f>
        <v>0</v>
      </c>
      <c r="AI43" s="1" t="n">
        <f aca="false">AI$2*TripTable!AH41</f>
        <v>125.096907982853</v>
      </c>
      <c r="AJ43" s="1" t="n">
        <f aca="false">AJ$2*TripTable!AI41</f>
        <v>0.0184610760509839</v>
      </c>
      <c r="AK43" s="1" t="n">
        <f aca="false">AK$2*TripTable!AJ41</f>
        <v>0</v>
      </c>
      <c r="AL43" s="1" t="n">
        <f aca="false">AL$2*TripTable!AK41</f>
        <v>1.18352751487139</v>
      </c>
      <c r="AM43" s="1" t="n">
        <f aca="false">AM$2*TripTable!AL41</f>
        <v>0.0759782565467173</v>
      </c>
      <c r="AN43" s="1" t="n">
        <f aca="false">AN$2*TripTable!AM41</f>
        <v>0.0105980805698523</v>
      </c>
      <c r="AO43" s="1" t="n">
        <f aca="false">AO$2*TripTable!AN41</f>
        <v>12.7505181656496</v>
      </c>
      <c r="AP43" s="1" t="n">
        <f aca="false">AP$2*TripTable!AO41</f>
        <v>0</v>
      </c>
      <c r="AQ43" s="1" t="n">
        <f aca="false">AQ$2*TripTable!AP41</f>
        <v>0</v>
      </c>
      <c r="AR43" s="1" t="n">
        <f aca="false">AR$2*TripTable!AQ41</f>
        <v>0</v>
      </c>
      <c r="AS43" s="1" t="n">
        <f aca="false">AS$2*TripTable!AR41</f>
        <v>0.000870077470794023</v>
      </c>
      <c r="AT43" s="1" t="n">
        <f aca="false">AT$2*TripTable!AS41</f>
        <v>0.445454433984483</v>
      </c>
      <c r="AU43" s="1" t="n">
        <f aca="false">AU$2*TripTable!AT41</f>
        <v>0.00249194478847127</v>
      </c>
      <c r="AV43" s="1" t="n">
        <f aca="false">AV$2*TripTable!AU41</f>
        <v>0</v>
      </c>
      <c r="AW43" s="1" t="n">
        <f aca="false">AW$2*TripTable!AV41</f>
        <v>2.55906022644774</v>
      </c>
      <c r="AX43" s="1" t="n">
        <f aca="false">AX$2*TripTable!AW41</f>
        <v>0.414276298865866</v>
      </c>
      <c r="AY43" s="1" t="n">
        <f aca="false">AY$2*TripTable!AX41</f>
        <v>0.262898265297074</v>
      </c>
      <c r="AZ43" s="1" t="n">
        <f aca="false">AZ$2*TripTable!AY41</f>
        <v>7.9332758611571E-005</v>
      </c>
      <c r="BA43" s="1" t="n">
        <f aca="false">BA$2*TripTable!AZ41</f>
        <v>0</v>
      </c>
      <c r="BB43" s="1" t="n">
        <f aca="false">SUM(C43:BA43)</f>
        <v>276.128979136056</v>
      </c>
      <c r="BC43" s="2" t="n">
        <f aca="false">BB43/TripTable!BA41</f>
        <v>0.124494580313822</v>
      </c>
    </row>
    <row r="44" customFormat="false" ht="12.75" hidden="false" customHeight="false" outlineLevel="0" collapsed="false">
      <c r="A44" s="0" t="s">
        <v>41</v>
      </c>
      <c r="B44" s="1" t="n">
        <v>0</v>
      </c>
      <c r="C44" s="1" t="n">
        <f aca="false">C$2*TripTable!B42</f>
        <v>0</v>
      </c>
      <c r="D44" s="1" t="n">
        <f aca="false">D$2*TripTable!C42</f>
        <v>0</v>
      </c>
      <c r="E44" s="1" t="n">
        <f aca="false">E$2*TripTable!D42</f>
        <v>0</v>
      </c>
      <c r="F44" s="1" t="n">
        <f aca="false">F$2*TripTable!E42</f>
        <v>0</v>
      </c>
      <c r="G44" s="1" t="n">
        <f aca="false">G$2*TripTable!F42</f>
        <v>1.09935910928529</v>
      </c>
      <c r="H44" s="1" t="n">
        <f aca="false">H$2*TripTable!G42</f>
        <v>0.115353330063942</v>
      </c>
      <c r="I44" s="1" t="n">
        <f aca="false">I$2*TripTable!H42</f>
        <v>0.0122146319072242</v>
      </c>
      <c r="J44" s="1" t="n">
        <f aca="false">J$2*TripTable!I42</f>
        <v>2.27331042905571</v>
      </c>
      <c r="K44" s="1" t="n">
        <f aca="false">K$2*TripTable!J42</f>
        <v>0</v>
      </c>
      <c r="L44" s="1" t="n">
        <f aca="false">L$2*TripTable!K42</f>
        <v>74.0975440251182</v>
      </c>
      <c r="M44" s="1" t="n">
        <f aca="false">M$2*TripTable!L42</f>
        <v>8.93255924403465</v>
      </c>
      <c r="N44" s="1" t="n">
        <f aca="false">N$2*TripTable!M42</f>
        <v>0</v>
      </c>
      <c r="O44" s="1" t="n">
        <f aca="false">O$2*TripTable!N42</f>
        <v>0.00322004703622815</v>
      </c>
      <c r="P44" s="1" t="n">
        <f aca="false">P$2*TripTable!O42</f>
        <v>0</v>
      </c>
      <c r="Q44" s="1" t="n">
        <f aca="false">Q$2*TripTable!P42</f>
        <v>7.30766017243259</v>
      </c>
      <c r="R44" s="1" t="n">
        <f aca="false">R$2*TripTable!Q42</f>
        <v>0.298010672220141</v>
      </c>
      <c r="S44" s="1" t="n">
        <f aca="false">S$2*TripTable!R42</f>
        <v>0.129128045088267</v>
      </c>
      <c r="T44" s="1" t="n">
        <f aca="false">T$2*TripTable!S42</f>
        <v>0.388851017962304</v>
      </c>
      <c r="U44" s="1" t="n">
        <f aca="false">U$2*TripTable!T42</f>
        <v>5.08342582823794</v>
      </c>
      <c r="V44" s="1" t="n">
        <f aca="false">V$2*TripTable!U42</f>
        <v>1.47123645714768</v>
      </c>
      <c r="W44" s="1" t="n">
        <f aca="false">W$2*TripTable!V42</f>
        <v>13.5597778164417</v>
      </c>
      <c r="X44" s="1" t="n">
        <f aca="false">X$2*TripTable!W42</f>
        <v>2.70256522035096</v>
      </c>
      <c r="Y44" s="1" t="n">
        <f aca="false">Y$2*TripTable!X42</f>
        <v>0.583642291983189</v>
      </c>
      <c r="Z44" s="1" t="n">
        <f aca="false">Z$2*TripTable!Y42</f>
        <v>0</v>
      </c>
      <c r="AA44" s="1" t="n">
        <f aca="false">AA$2*TripTable!Z42</f>
        <v>0</v>
      </c>
      <c r="AB44" s="1" t="n">
        <f aca="false">AB$2*TripTable!AA42</f>
        <v>0.0189921449275819</v>
      </c>
      <c r="AC44" s="1" t="n">
        <f aca="false">AC$2*TripTable!AB42</f>
        <v>0</v>
      </c>
      <c r="AD44" s="1" t="n">
        <f aca="false">AD$2*TripTable!AC42</f>
        <v>0.00798033234222754</v>
      </c>
      <c r="AE44" s="1" t="n">
        <f aca="false">AE$2*TripTable!AD42</f>
        <v>0</v>
      </c>
      <c r="AF44" s="1" t="n">
        <f aca="false">AF$2*TripTable!AE42</f>
        <v>1.76666053472278</v>
      </c>
      <c r="AG44" s="1" t="n">
        <f aca="false">AG$2*TripTable!AF42</f>
        <v>21.0443584481366</v>
      </c>
      <c r="AH44" s="1" t="n">
        <f aca="false">AH$2*TripTable!AG42</f>
        <v>0</v>
      </c>
      <c r="AI44" s="1" t="n">
        <f aca="false">AI$2*TripTable!AH42</f>
        <v>77.6463566790125</v>
      </c>
      <c r="AJ44" s="1" t="n">
        <f aca="false">AJ$2*TripTable!AI42</f>
        <v>2.0713327329204</v>
      </c>
      <c r="AK44" s="1" t="n">
        <f aca="false">AK$2*TripTable!AJ42</f>
        <v>0</v>
      </c>
      <c r="AL44" s="1" t="n">
        <f aca="false">AL$2*TripTable!AK42</f>
        <v>0.328757643019831</v>
      </c>
      <c r="AM44" s="1" t="n">
        <f aca="false">AM$2*TripTable!AL42</f>
        <v>1.21565210474748</v>
      </c>
      <c r="AN44" s="1" t="n">
        <f aca="false">AN$2*TripTable!AM42</f>
        <v>0.090083684843745</v>
      </c>
      <c r="AO44" s="1" t="n">
        <f aca="false">AO$2*TripTable!AN42</f>
        <v>11.931677549507</v>
      </c>
      <c r="AP44" s="1" t="n">
        <f aca="false">AP$2*TripTable!AO42</f>
        <v>0.0373661178404778</v>
      </c>
      <c r="AQ44" s="1" t="n">
        <f aca="false">AQ$2*TripTable!AP42</f>
        <v>0</v>
      </c>
      <c r="AR44" s="1" t="n">
        <f aca="false">AR$2*TripTable!AQ42</f>
        <v>0</v>
      </c>
      <c r="AS44" s="1" t="n">
        <f aca="false">AS$2*TripTable!AR42</f>
        <v>0.0298726598305948</v>
      </c>
      <c r="AT44" s="1" t="n">
        <f aca="false">AT$2*TripTable!AS42</f>
        <v>4.1823221857432</v>
      </c>
      <c r="AU44" s="1" t="n">
        <f aca="false">AU$2*TripTable!AT42</f>
        <v>0.0149516687308276</v>
      </c>
      <c r="AV44" s="1" t="n">
        <f aca="false">AV$2*TripTable!AU42</f>
        <v>0</v>
      </c>
      <c r="AW44" s="1" t="n">
        <f aca="false">AW$2*TripTable!AV42</f>
        <v>15.633531565208</v>
      </c>
      <c r="AX44" s="1" t="n">
        <f aca="false">AX$2*TripTable!AW42</f>
        <v>0.745697337958559</v>
      </c>
      <c r="AY44" s="1" t="n">
        <f aca="false">AY$2*TripTable!AX42</f>
        <v>4.86361790799587</v>
      </c>
      <c r="AZ44" s="1" t="n">
        <f aca="false">AZ$2*TripTable!AY42</f>
        <v>0.000283331280755611</v>
      </c>
      <c r="BA44" s="1" t="n">
        <f aca="false">BA$2*TripTable!AZ42</f>
        <v>0</v>
      </c>
      <c r="BB44" s="1" t="n">
        <f aca="false">SUM(C44:BA44)</f>
        <v>259.687352967134</v>
      </c>
      <c r="BC44" s="2" t="n">
        <f aca="false">BB44/TripTable!BA42</f>
        <v>0.0175050457005146</v>
      </c>
    </row>
    <row r="45" customFormat="false" ht="12.75" hidden="false" customHeight="false" outlineLevel="0" collapsed="false">
      <c r="A45" s="0" t="s">
        <v>42</v>
      </c>
      <c r="B45" s="1" t="n">
        <v>0</v>
      </c>
      <c r="C45" s="1" t="n">
        <f aca="false">C$2*TripTable!B43</f>
        <v>0</v>
      </c>
      <c r="D45" s="1" t="n">
        <f aca="false">D$2*TripTable!C43</f>
        <v>0.125774816024626</v>
      </c>
      <c r="E45" s="1" t="n">
        <f aca="false">E$2*TripTable!D43</f>
        <v>0</v>
      </c>
      <c r="F45" s="1" t="n">
        <f aca="false">F$2*TripTable!E43</f>
        <v>0</v>
      </c>
      <c r="G45" s="1" t="n">
        <f aca="false">G$2*TripTable!F43</f>
        <v>0.761094767966742</v>
      </c>
      <c r="H45" s="1" t="n">
        <f aca="false">H$2*TripTable!G43</f>
        <v>0.340144434803931</v>
      </c>
      <c r="I45" s="1" t="n">
        <f aca="false">I$2*TripTable!H43</f>
        <v>0.000259885785260088</v>
      </c>
      <c r="J45" s="1" t="n">
        <f aca="false">J$2*TripTable!I43</f>
        <v>0</v>
      </c>
      <c r="K45" s="1" t="n">
        <f aca="false">K$2*TripTable!J43</f>
        <v>0</v>
      </c>
      <c r="L45" s="1" t="n">
        <f aca="false">L$2*TripTable!K43</f>
        <v>1.94583886620584</v>
      </c>
      <c r="M45" s="1" t="n">
        <f aca="false">M$2*TripTable!L43</f>
        <v>0.0125574872221668</v>
      </c>
      <c r="N45" s="1" t="n">
        <f aca="false">N$2*TripTable!M43</f>
        <v>0</v>
      </c>
      <c r="O45" s="1" t="n">
        <f aca="false">O$2*TripTable!N43</f>
        <v>0.0042933960483042</v>
      </c>
      <c r="P45" s="1" t="n">
        <f aca="false">P$2*TripTable!O43</f>
        <v>0</v>
      </c>
      <c r="Q45" s="1" t="n">
        <f aca="false">Q$2*TripTable!P43</f>
        <v>1.11002432998976</v>
      </c>
      <c r="R45" s="1" t="n">
        <f aca="false">R$2*TripTable!Q43</f>
        <v>9.83435218326464</v>
      </c>
      <c r="S45" s="1" t="n">
        <f aca="false">S$2*TripTable!R43</f>
        <v>2.19517676650054</v>
      </c>
      <c r="T45" s="1" t="n">
        <f aca="false">T$2*TripTable!S43</f>
        <v>0.0253598489975415</v>
      </c>
      <c r="U45" s="1" t="n">
        <f aca="false">U$2*TripTable!T43</f>
        <v>0.117535857300299</v>
      </c>
      <c r="V45" s="1" t="n">
        <f aca="false">V$2*TripTable!U43</f>
        <v>0.210176636735382</v>
      </c>
      <c r="W45" s="1" t="n">
        <f aca="false">W$2*TripTable!V43</f>
        <v>0.140515832294733</v>
      </c>
      <c r="X45" s="1" t="n">
        <f aca="false">X$2*TripTable!W43</f>
        <v>0.20788963233469</v>
      </c>
      <c r="Y45" s="1" t="n">
        <f aca="false">Y$2*TripTable!X43</f>
        <v>0.103430279591958</v>
      </c>
      <c r="Z45" s="1" t="n">
        <f aca="false">Z$2*TripTable!Y43</f>
        <v>0</v>
      </c>
      <c r="AA45" s="1" t="n">
        <f aca="false">AA$2*TripTable!Z43</f>
        <v>0</v>
      </c>
      <c r="AB45" s="1" t="n">
        <f aca="false">AB$2*TripTable!AA43</f>
        <v>0.0212712023188917</v>
      </c>
      <c r="AC45" s="1" t="n">
        <f aca="false">AC$2*TripTable!AB43</f>
        <v>0</v>
      </c>
      <c r="AD45" s="1" t="n">
        <f aca="false">AD$2*TripTable!AC43</f>
        <v>0.546652765442587</v>
      </c>
      <c r="AE45" s="1" t="n">
        <f aca="false">AE$2*TripTable!AD43</f>
        <v>0</v>
      </c>
      <c r="AF45" s="1" t="n">
        <f aca="false">AF$2*TripTable!AE43</f>
        <v>0.117777368981519</v>
      </c>
      <c r="AG45" s="1" t="n">
        <f aca="false">AG$2*TripTable!AF43</f>
        <v>0.546606712938613</v>
      </c>
      <c r="AH45" s="1" t="n">
        <f aca="false">AH$2*TripTable!AG43</f>
        <v>0</v>
      </c>
      <c r="AI45" s="1" t="n">
        <f aca="false">AI$2*TripTable!AH43</f>
        <v>2.32275425962858</v>
      </c>
      <c r="AJ45" s="1" t="n">
        <f aca="false">AJ$2*TripTable!AI43</f>
        <v>0.00369221521019679</v>
      </c>
      <c r="AK45" s="1" t="n">
        <f aca="false">AK$2*TripTable!AJ43</f>
        <v>0</v>
      </c>
      <c r="AL45" s="1" t="n">
        <f aca="false">AL$2*TripTable!AK43</f>
        <v>0.230130350113882</v>
      </c>
      <c r="AM45" s="1" t="n">
        <f aca="false">AM$2*TripTable!AL43</f>
        <v>0.303913026186869</v>
      </c>
      <c r="AN45" s="1" t="n">
        <f aca="false">AN$2*TripTable!AM43</f>
        <v>0.0423923222794094</v>
      </c>
      <c r="AO45" s="1" t="n">
        <f aca="false">AO$2*TripTable!AN43</f>
        <v>0.584886154387597</v>
      </c>
      <c r="AP45" s="1" t="n">
        <f aca="false">AP$2*TripTable!AO43</f>
        <v>0</v>
      </c>
      <c r="AQ45" s="1" t="n">
        <f aca="false">AQ$2*TripTable!AP43</f>
        <v>0</v>
      </c>
      <c r="AR45" s="1" t="n">
        <f aca="false">AR$2*TripTable!AQ43</f>
        <v>0</v>
      </c>
      <c r="AS45" s="1" t="n">
        <f aca="false">AS$2*TripTable!AR43</f>
        <v>0.000580051647196015</v>
      </c>
      <c r="AT45" s="1" t="n">
        <f aca="false">AT$2*TripTable!AS43</f>
        <v>0.445454433984483</v>
      </c>
      <c r="AU45" s="1" t="n">
        <f aca="false">AU$2*TripTable!AT43</f>
        <v>0.00436090337982472</v>
      </c>
      <c r="AV45" s="1" t="n">
        <f aca="false">AV$2*TripTable!AU43</f>
        <v>0</v>
      </c>
      <c r="AW45" s="1" t="n">
        <f aca="false">AW$2*TripTable!AV43</f>
        <v>0.232641838767976</v>
      </c>
      <c r="AX45" s="1" t="n">
        <f aca="false">AX$2*TripTable!AW43</f>
        <v>0.787124967845145</v>
      </c>
      <c r="AY45" s="1" t="n">
        <f aca="false">AY$2*TripTable!AX43</f>
        <v>0.0657245663242686</v>
      </c>
      <c r="AZ45" s="1" t="n">
        <f aca="false">AZ$2*TripTable!AY43</f>
        <v>0.000396663793057855</v>
      </c>
      <c r="BA45" s="1" t="n">
        <f aca="false">BA$2*TripTable!AZ43</f>
        <v>0</v>
      </c>
      <c r="BB45" s="1" t="n">
        <f aca="false">SUM(C45:BA45)</f>
        <v>23.3907848242965</v>
      </c>
      <c r="BC45" s="2" t="n">
        <f aca="false">BB45/TripTable!BA43</f>
        <v>0.00250597651856616</v>
      </c>
    </row>
    <row r="46" customFormat="false" ht="12.75" hidden="false" customHeight="false" outlineLevel="0" collapsed="false">
      <c r="A46" s="0" t="s">
        <v>43</v>
      </c>
      <c r="B46" s="1" t="n">
        <v>5.80051647196015E-005</v>
      </c>
      <c r="C46" s="1" t="n">
        <f aca="false">C$2*TripTable!B44</f>
        <v>0</v>
      </c>
      <c r="D46" s="1" t="n">
        <f aca="false">D$2*TripTable!C44</f>
        <v>1.69796001633244</v>
      </c>
      <c r="E46" s="1" t="n">
        <f aca="false">E$2*TripTable!D44</f>
        <v>0</v>
      </c>
      <c r="F46" s="1" t="n">
        <f aca="false">F$2*TripTable!E44</f>
        <v>0</v>
      </c>
      <c r="G46" s="1" t="n">
        <f aca="false">G$2*TripTable!F44</f>
        <v>4.77798382112455</v>
      </c>
      <c r="H46" s="1" t="n">
        <f aca="false">H$2*TripTable!G44</f>
        <v>0.171551106248939</v>
      </c>
      <c r="I46" s="1" t="n">
        <f aca="false">I$2*TripTable!H44</f>
        <v>0.00181920049682062</v>
      </c>
      <c r="J46" s="1" t="n">
        <f aca="false">J$2*TripTable!I44</f>
        <v>13.3872725266614</v>
      </c>
      <c r="K46" s="1" t="n">
        <f aca="false">K$2*TripTable!J44</f>
        <v>0</v>
      </c>
      <c r="L46" s="1" t="n">
        <f aca="false">L$2*TripTable!K44</f>
        <v>92.7775971406942</v>
      </c>
      <c r="M46" s="1" t="n">
        <f aca="false">M$2*TripTable!L44</f>
        <v>12.4444698371673</v>
      </c>
      <c r="N46" s="1" t="n">
        <f aca="false">N$2*TripTable!M44</f>
        <v>0</v>
      </c>
      <c r="O46" s="1" t="n">
        <f aca="false">O$2*TripTable!N44</f>
        <v>0.0300537723381294</v>
      </c>
      <c r="P46" s="1" t="n">
        <f aca="false">P$2*TripTable!O44</f>
        <v>0</v>
      </c>
      <c r="Q46" s="1" t="n">
        <f aca="false">Q$2*TripTable!P44</f>
        <v>27.5656041947457</v>
      </c>
      <c r="R46" s="1" t="n">
        <f aca="false">R$2*TripTable!Q44</f>
        <v>1.40490745475209</v>
      </c>
      <c r="S46" s="1" t="n">
        <f aca="false">S$2*TripTable!R44</f>
        <v>0.516512180353067</v>
      </c>
      <c r="T46" s="1" t="n">
        <f aca="false">T$2*TripTable!S44</f>
        <v>7.86155318923788</v>
      </c>
      <c r="U46" s="1" t="n">
        <f aca="false">U$2*TripTable!T44</f>
        <v>8.638885511572</v>
      </c>
      <c r="V46" s="1" t="n">
        <f aca="false">V$2*TripTable!U44</f>
        <v>1.78650141225075</v>
      </c>
      <c r="W46" s="1" t="n">
        <f aca="false">W$2*TripTable!V44</f>
        <v>9.13352909915764</v>
      </c>
      <c r="X46" s="1" t="n">
        <f aca="false">X$2*TripTable!W44</f>
        <v>6.028799337706</v>
      </c>
      <c r="Y46" s="1" t="n">
        <f aca="false">Y$2*TripTable!X44</f>
        <v>1.81741776997297</v>
      </c>
      <c r="Z46" s="1" t="n">
        <f aca="false">Z$2*TripTable!Y44</f>
        <v>0</v>
      </c>
      <c r="AA46" s="1" t="n">
        <f aca="false">AA$2*TripTable!Z44</f>
        <v>0</v>
      </c>
      <c r="AB46" s="1" t="n">
        <f aca="false">AB$2*TripTable!AA44</f>
        <v>0.309192119421033</v>
      </c>
      <c r="AC46" s="1" t="n">
        <f aca="false">AC$2*TripTable!AB44</f>
        <v>0</v>
      </c>
      <c r="AD46" s="1" t="n">
        <f aca="false">AD$2*TripTable!AC44</f>
        <v>0.0279311631977964</v>
      </c>
      <c r="AE46" s="1" t="n">
        <f aca="false">AE$2*TripTable!AD44</f>
        <v>0</v>
      </c>
      <c r="AF46" s="1" t="n">
        <f aca="false">AF$2*TripTable!AE44</f>
        <v>0.824441582870631</v>
      </c>
      <c r="AG46" s="1" t="n">
        <f aca="false">AG$2*TripTable!AF44</f>
        <v>17.4914148140356</v>
      </c>
      <c r="AH46" s="1" t="n">
        <f aca="false">AH$2*TripTable!AG44</f>
        <v>0</v>
      </c>
      <c r="AI46" s="1" t="n">
        <f aca="false">AI$2*TripTable!AH44</f>
        <v>35.1731359315185</v>
      </c>
      <c r="AJ46" s="1" t="n">
        <f aca="false">AJ$2*TripTable!AI44</f>
        <v>0.454142470854205</v>
      </c>
      <c r="AK46" s="1" t="n">
        <f aca="false">AK$2*TripTable!AJ44</f>
        <v>0</v>
      </c>
      <c r="AL46" s="1" t="n">
        <f aca="false">AL$2*TripTable!AK44</f>
        <v>10.7174991624465</v>
      </c>
      <c r="AM46" s="1" t="n">
        <f aca="false">AM$2*TripTable!AL44</f>
        <v>4.02684759697602</v>
      </c>
      <c r="AN46" s="1" t="n">
        <f aca="false">AN$2*TripTable!AM44</f>
        <v>0.0582894431341879</v>
      </c>
      <c r="AO46" s="1" t="n">
        <f aca="false">AO$2*TripTable!AN44</f>
        <v>23.8633550990139</v>
      </c>
      <c r="AP46" s="1" t="n">
        <f aca="false">AP$2*TripTable!AO44</f>
        <v>0.112098353521433</v>
      </c>
      <c r="AQ46" s="1" t="n">
        <f aca="false">AQ$2*TripTable!AP44</f>
        <v>0</v>
      </c>
      <c r="AR46" s="1" t="n">
        <f aca="false">AR$2*TripTable!AQ44</f>
        <v>0</v>
      </c>
      <c r="AS46" s="1" t="n">
        <f aca="false">AS$2*TripTable!AR44</f>
        <v>0.340142285915743</v>
      </c>
      <c r="AT46" s="1" t="n">
        <f aca="false">AT$2*TripTable!AS44</f>
        <v>7.17676588086112</v>
      </c>
      <c r="AU46" s="1" t="n">
        <f aca="false">AU$2*TripTable!AT44</f>
        <v>0.0118367377452385</v>
      </c>
      <c r="AV46" s="1" t="n">
        <f aca="false">AV$2*TripTable!AU44</f>
        <v>0</v>
      </c>
      <c r="AW46" s="1" t="n">
        <f aca="false">AW$2*TripTable!AV44</f>
        <v>17.8668932173806</v>
      </c>
      <c r="AX46" s="1" t="n">
        <f aca="false">AX$2*TripTable!AW44</f>
        <v>2.65136831274154</v>
      </c>
      <c r="AY46" s="1" t="n">
        <f aca="false">AY$2*TripTable!AX44</f>
        <v>6.96680403037247</v>
      </c>
      <c r="AZ46" s="1" t="n">
        <f aca="false">AZ$2*TripTable!AY44</f>
        <v>0.000475996551669426</v>
      </c>
      <c r="BA46" s="1" t="n">
        <f aca="false">BA$2*TripTable!AZ44</f>
        <v>0</v>
      </c>
      <c r="BB46" s="1" t="n">
        <f aca="false">SUM(C46:BA46)</f>
        <v>318.11505176937</v>
      </c>
      <c r="BC46" s="2" t="n">
        <f aca="false">BB46/TripTable!BA44</f>
        <v>0.0161537120687234</v>
      </c>
    </row>
    <row r="47" customFormat="false" ht="12.75" hidden="false" customHeight="false" outlineLevel="0" collapsed="false">
      <c r="A47" s="0" t="s">
        <v>44</v>
      </c>
      <c r="B47" s="1" t="n">
        <v>0.0247474685546935</v>
      </c>
      <c r="C47" s="1" t="n">
        <f aca="false">C$2*TripTable!B45</f>
        <v>0</v>
      </c>
      <c r="D47" s="1" t="n">
        <f aca="false">D$2*TripTable!C45</f>
        <v>9.18156156979766</v>
      </c>
      <c r="E47" s="1" t="n">
        <f aca="false">E$2*TripTable!D45</f>
        <v>0</v>
      </c>
      <c r="F47" s="1" t="n">
        <f aca="false">F$2*TripTable!E45</f>
        <v>0</v>
      </c>
      <c r="G47" s="1" t="n">
        <f aca="false">G$2*TripTable!F45</f>
        <v>32.0505463399328</v>
      </c>
      <c r="H47" s="1" t="n">
        <f aca="false">H$2*TripTable!G45</f>
        <v>4.12905766075033</v>
      </c>
      <c r="I47" s="1" t="n">
        <f aca="false">I$2*TripTable!H45</f>
        <v>0.017672233397686</v>
      </c>
      <c r="J47" s="1" t="n">
        <f aca="false">J$2*TripTable!I45</f>
        <v>0</v>
      </c>
      <c r="K47" s="1" t="n">
        <f aca="false">K$2*TripTable!J45</f>
        <v>0</v>
      </c>
      <c r="L47" s="1" t="n">
        <f aca="false">L$2*TripTable!K45</f>
        <v>132.861877784534</v>
      </c>
      <c r="M47" s="1" t="n">
        <f aca="false">M$2*TripTable!L45</f>
        <v>1.57805756091896</v>
      </c>
      <c r="N47" s="1" t="n">
        <f aca="false">N$2*TripTable!M45</f>
        <v>0</v>
      </c>
      <c r="O47" s="1" t="n">
        <f aca="false">O$2*TripTable!N45</f>
        <v>0.126655183424974</v>
      </c>
      <c r="P47" s="1" t="n">
        <f aca="false">P$2*TripTable!O45</f>
        <v>0</v>
      </c>
      <c r="Q47" s="1" t="n">
        <f aca="false">Q$2*TripTable!P45</f>
        <v>16.0953527848515</v>
      </c>
      <c r="R47" s="1" t="n">
        <f aca="false">R$2*TripTable!Q45</f>
        <v>6.04535935075142</v>
      </c>
      <c r="S47" s="1" t="n">
        <f aca="false">S$2*TripTable!R45</f>
        <v>36.3495446923471</v>
      </c>
      <c r="T47" s="1" t="n">
        <f aca="false">T$2*TripTable!S45</f>
        <v>0.921407846910676</v>
      </c>
      <c r="U47" s="1" t="n">
        <f aca="false">U$2*TripTable!T45</f>
        <v>107.692229251399</v>
      </c>
      <c r="V47" s="1" t="n">
        <f aca="false">V$2*TripTable!U45</f>
        <v>2.73229627755997</v>
      </c>
      <c r="W47" s="1" t="n">
        <f aca="false">W$2*TripTable!V45</f>
        <v>9.06327118301027</v>
      </c>
      <c r="X47" s="1" t="n">
        <f aca="false">X$2*TripTable!W45</f>
        <v>12.2654883077467</v>
      </c>
      <c r="Y47" s="1" t="n">
        <f aca="false">Y$2*TripTable!X45</f>
        <v>1.81741776997297</v>
      </c>
      <c r="Z47" s="1" t="n">
        <f aca="false">Z$2*TripTable!Y45</f>
        <v>0</v>
      </c>
      <c r="AA47" s="1" t="n">
        <f aca="false">AA$2*TripTable!Z45</f>
        <v>0</v>
      </c>
      <c r="AB47" s="1" t="n">
        <f aca="false">AB$2*TripTable!AA45</f>
        <v>0.825018775654156</v>
      </c>
      <c r="AC47" s="1" t="n">
        <f aca="false">AC$2*TripTable!AB45</f>
        <v>0</v>
      </c>
      <c r="AD47" s="1" t="n">
        <f aca="false">AD$2*TripTable!AC45</f>
        <v>0.135665649817868</v>
      </c>
      <c r="AE47" s="1" t="n">
        <f aca="false">AE$2*TripTable!AD45</f>
        <v>0</v>
      </c>
      <c r="AF47" s="1" t="n">
        <f aca="false">AF$2*TripTable!AE45</f>
        <v>0.824441582870631</v>
      </c>
      <c r="AG47" s="1" t="n">
        <f aca="false">AG$2*TripTable!AF45</f>
        <v>19.9511450222594</v>
      </c>
      <c r="AH47" s="1" t="n">
        <f aca="false">AH$2*TripTable!AG45</f>
        <v>0</v>
      </c>
      <c r="AI47" s="1" t="n">
        <f aca="false">AI$2*TripTable!AH45</f>
        <v>177.192967805952</v>
      </c>
      <c r="AJ47" s="1" t="n">
        <f aca="false">AJ$2*TripTable!AI45</f>
        <v>0.175011000963328</v>
      </c>
      <c r="AK47" s="1" t="n">
        <f aca="false">AK$2*TripTable!AJ45</f>
        <v>0</v>
      </c>
      <c r="AL47" s="1" t="n">
        <f aca="false">AL$2*TripTable!AK45</f>
        <v>15.615988043442</v>
      </c>
      <c r="AM47" s="1" t="n">
        <f aca="false">AM$2*TripTable!AL45</f>
        <v>209.851944582033</v>
      </c>
      <c r="AN47" s="1" t="n">
        <f aca="false">AN$2*TripTable!AM45</f>
        <v>0.238456812821678</v>
      </c>
      <c r="AO47" s="1" t="n">
        <f aca="false">AO$2*TripTable!AN45</f>
        <v>29.8291938737674</v>
      </c>
      <c r="AP47" s="1" t="n">
        <f aca="false">AP$2*TripTable!AO45</f>
        <v>0.672590121128599</v>
      </c>
      <c r="AQ47" s="1" t="n">
        <f aca="false">AQ$2*TripTable!AP45</f>
        <v>0</v>
      </c>
      <c r="AR47" s="1" t="n">
        <f aca="false">AR$2*TripTable!AQ45</f>
        <v>0</v>
      </c>
      <c r="AS47" s="1" t="n">
        <f aca="false">AS$2*TripTable!AR45</f>
        <v>0.0355571659731157</v>
      </c>
      <c r="AT47" s="1" t="n">
        <f aca="false">AT$2*TripTable!AS45</f>
        <v>1405.85419365503</v>
      </c>
      <c r="AU47" s="1" t="n">
        <f aca="false">AU$2*TripTable!AT45</f>
        <v>0.067905495485842</v>
      </c>
      <c r="AV47" s="1" t="n">
        <f aca="false">AV$2*TripTable!AU45</f>
        <v>0</v>
      </c>
      <c r="AW47" s="1" t="n">
        <f aca="false">AW$2*TripTable!AV45</f>
        <v>8.97997497644388</v>
      </c>
      <c r="AX47" s="1" t="n">
        <f aca="false">AX$2*TripTable!AW45</f>
        <v>6.13128922321482</v>
      </c>
      <c r="AY47" s="1" t="n">
        <f aca="false">AY$2*TripTable!AX45</f>
        <v>0</v>
      </c>
      <c r="AZ47" s="1" t="n">
        <f aca="false">AZ$2*TripTable!AY45</f>
        <v>0.000940659852108627</v>
      </c>
      <c r="BA47" s="1" t="n">
        <f aca="false">BA$2*TripTable!AZ45</f>
        <v>0</v>
      </c>
      <c r="BB47" s="1" t="n">
        <f aca="false">SUM(C47:BA47)</f>
        <v>2249.31008024402</v>
      </c>
      <c r="BC47" s="2" t="n">
        <f aca="false">BB47/TripTable!BA45</f>
        <v>0.0281244617858136</v>
      </c>
    </row>
    <row r="48" customFormat="false" ht="12.75" hidden="false" customHeight="false" outlineLevel="0" collapsed="false">
      <c r="A48" s="0" t="s">
        <v>45</v>
      </c>
      <c r="B48" s="1" t="n">
        <v>0.000622986197117817</v>
      </c>
      <c r="C48" s="1" t="n">
        <f aca="false">C$2*TripTable!B46</f>
        <v>0</v>
      </c>
      <c r="D48" s="1" t="n">
        <f aca="false">D$2*TripTable!C46</f>
        <v>1.25774816024626</v>
      </c>
      <c r="E48" s="1" t="n">
        <f aca="false">E$2*TripTable!D46</f>
        <v>0</v>
      </c>
      <c r="F48" s="1" t="n">
        <f aca="false">F$2*TripTable!E46</f>
        <v>0</v>
      </c>
      <c r="G48" s="1" t="n">
        <f aca="false">G$2*TripTable!F46</f>
        <v>21.0569552470799</v>
      </c>
      <c r="H48" s="1" t="n">
        <f aca="false">H$2*TripTable!G46</f>
        <v>0.83113553199917</v>
      </c>
      <c r="I48" s="1" t="n">
        <f aca="false">I$2*TripTable!H46</f>
        <v>0.000519771570520177</v>
      </c>
      <c r="J48" s="1" t="n">
        <f aca="false">J$2*TripTable!I46</f>
        <v>0</v>
      </c>
      <c r="K48" s="1" t="n">
        <f aca="false">K$2*TripTable!J46</f>
        <v>0</v>
      </c>
      <c r="L48" s="1" t="n">
        <f aca="false">L$2*TripTable!K46</f>
        <v>5.05918105213517</v>
      </c>
      <c r="M48" s="1" t="n">
        <f aca="false">M$2*TripTable!L46</f>
        <v>0.108831555925446</v>
      </c>
      <c r="N48" s="1" t="n">
        <f aca="false">N$2*TripTable!M46</f>
        <v>0</v>
      </c>
      <c r="O48" s="1" t="n">
        <f aca="false">O$2*TripTable!N46</f>
        <v>1.0754957101002</v>
      </c>
      <c r="P48" s="1" t="n">
        <f aca="false">P$2*TripTable!O46</f>
        <v>0</v>
      </c>
      <c r="Q48" s="1" t="n">
        <f aca="false">Q$2*TripTable!P46</f>
        <v>1.11002432998976</v>
      </c>
      <c r="R48" s="1" t="n">
        <f aca="false">R$2*TripTable!Q46</f>
        <v>0.212864765871529</v>
      </c>
      <c r="S48" s="1" t="n">
        <f aca="false">S$2*TripTable!R46</f>
        <v>0.968460338162001</v>
      </c>
      <c r="T48" s="1" t="n">
        <f aca="false">T$2*TripTable!S46</f>
        <v>0.101439395990166</v>
      </c>
      <c r="U48" s="1" t="n">
        <f aca="false">U$2*TripTable!T46</f>
        <v>0.411375500551047</v>
      </c>
      <c r="V48" s="1" t="n">
        <f aca="false">V$2*TripTable!U46</f>
        <v>0.315264955103073</v>
      </c>
      <c r="W48" s="1" t="n">
        <f aca="false">W$2*TripTable!V46</f>
        <v>0.772837077621031</v>
      </c>
      <c r="X48" s="1" t="n">
        <f aca="false">X$2*TripTable!W46</f>
        <v>1.97495150717955</v>
      </c>
      <c r="Y48" s="1" t="n">
        <f aca="false">Y$2*TripTable!X46</f>
        <v>0.0960424024782463</v>
      </c>
      <c r="Z48" s="1" t="n">
        <f aca="false">Z$2*TripTable!Y46</f>
        <v>0</v>
      </c>
      <c r="AA48" s="1" t="n">
        <f aca="false">AA$2*TripTable!Z46</f>
        <v>0</v>
      </c>
      <c r="AB48" s="1" t="n">
        <f aca="false">AB$2*TripTable!AA46</f>
        <v>0.0440617762319899</v>
      </c>
      <c r="AC48" s="1" t="n">
        <f aca="false">AC$2*TripTable!AB46</f>
        <v>0</v>
      </c>
      <c r="AD48" s="1" t="n">
        <f aca="false">AD$2*TripTable!AC46</f>
        <v>0.0738180741656048</v>
      </c>
      <c r="AE48" s="1" t="n">
        <f aca="false">AE$2*TripTable!AD46</f>
        <v>0</v>
      </c>
      <c r="AF48" s="1" t="n">
        <f aca="false">AF$2*TripTable!AE46</f>
        <v>1.41332842777822</v>
      </c>
      <c r="AG48" s="1" t="n">
        <f aca="false">AG$2*TripTable!AF46</f>
        <v>2.73303356469306</v>
      </c>
      <c r="AH48" s="1" t="n">
        <f aca="false">AH$2*TripTable!AG46</f>
        <v>0</v>
      </c>
      <c r="AI48" s="1" t="n">
        <f aca="false">AI$2*TripTable!AH46</f>
        <v>15.5956357432205</v>
      </c>
      <c r="AJ48" s="1" t="n">
        <f aca="false">AJ$2*TripTable!AI46</f>
        <v>0.00812287346243293</v>
      </c>
      <c r="AK48" s="1" t="n">
        <f aca="false">AK$2*TripTable!AJ46</f>
        <v>0</v>
      </c>
      <c r="AL48" s="1" t="n">
        <f aca="false">AL$2*TripTable!AK46</f>
        <v>0.657515286039662</v>
      </c>
      <c r="AM48" s="1" t="n">
        <f aca="false">AM$2*TripTable!AL46</f>
        <v>0.987717335107325</v>
      </c>
      <c r="AN48" s="1" t="n">
        <f aca="false">AN$2*TripTable!AM46</f>
        <v>0.625286753621289</v>
      </c>
      <c r="AO48" s="1" t="n">
        <f aca="false">AO$2*TripTable!AN46</f>
        <v>2.45652184842791</v>
      </c>
      <c r="AP48" s="1" t="n">
        <f aca="false">AP$2*TripTable!AO46</f>
        <v>0</v>
      </c>
      <c r="AQ48" s="1" t="n">
        <f aca="false">AQ$2*TripTable!AP46</f>
        <v>0</v>
      </c>
      <c r="AR48" s="1" t="n">
        <f aca="false">AR$2*TripTable!AQ46</f>
        <v>0</v>
      </c>
      <c r="AS48" s="1" t="n">
        <f aca="false">AS$2*TripTable!AR46</f>
        <v>0.000870077470794023</v>
      </c>
      <c r="AT48" s="1" t="n">
        <f aca="false">AT$2*TripTable!AS46</f>
        <v>2.20252470136772</v>
      </c>
      <c r="AU48" s="1" t="n">
        <f aca="false">AU$2*TripTable!AT46</f>
        <v>2.80032295604459</v>
      </c>
      <c r="AV48" s="1" t="n">
        <f aca="false">AV$2*TripTable!AU46</f>
        <v>0</v>
      </c>
      <c r="AW48" s="1" t="n">
        <f aca="false">AW$2*TripTable!AV46</f>
        <v>0.604868780796738</v>
      </c>
      <c r="AX48" s="1" t="n">
        <f aca="false">AX$2*TripTable!AW46</f>
        <v>5.96557870366847</v>
      </c>
      <c r="AY48" s="1" t="n">
        <f aca="false">AY$2*TripTable!AX46</f>
        <v>0.131449132648537</v>
      </c>
      <c r="AZ48" s="1" t="n">
        <f aca="false">AZ$2*TripTable!AY46</f>
        <v>0.000124665763532469</v>
      </c>
      <c r="BA48" s="1" t="n">
        <f aca="false">BA$2*TripTable!AZ46</f>
        <v>0</v>
      </c>
      <c r="BB48" s="1" t="n">
        <f aca="false">SUM(C48:BA48)</f>
        <v>71.6539080025114</v>
      </c>
      <c r="BC48" s="2" t="n">
        <f aca="false">BB48/TripTable!BA46</f>
        <v>0.00671734395823675</v>
      </c>
    </row>
    <row r="49" customFormat="false" ht="12.75" hidden="false" customHeight="false" outlineLevel="0" collapsed="false">
      <c r="A49" s="0" t="s">
        <v>46</v>
      </c>
      <c r="B49" s="1" t="n">
        <v>0</v>
      </c>
      <c r="C49" s="1" t="n">
        <f aca="false">C$2*TripTable!B47</f>
        <v>0</v>
      </c>
      <c r="D49" s="1" t="n">
        <f aca="false">D$2*TripTable!C47</f>
        <v>0.188662224036938</v>
      </c>
      <c r="E49" s="1" t="n">
        <f aca="false">E$2*TripTable!D47</f>
        <v>0</v>
      </c>
      <c r="F49" s="1" t="n">
        <f aca="false">F$2*TripTable!E47</f>
        <v>0</v>
      </c>
      <c r="G49" s="1" t="n">
        <f aca="false">G$2*TripTable!F47</f>
        <v>0.676528682637104</v>
      </c>
      <c r="H49" s="1" t="n">
        <f aca="false">H$2*TripTable!G47</f>
        <v>0.0384511100213139</v>
      </c>
      <c r="I49" s="1" t="n">
        <f aca="false">I$2*TripTable!H47</f>
        <v>0.0379433246479729</v>
      </c>
      <c r="J49" s="1" t="n">
        <f aca="false">J$2*TripTable!I47</f>
        <v>1.26295023836428</v>
      </c>
      <c r="K49" s="1" t="n">
        <f aca="false">K$2*TripTable!J47</f>
        <v>0</v>
      </c>
      <c r="L49" s="1" t="n">
        <f aca="false">L$2*TripTable!K47</f>
        <v>7.54985480087864</v>
      </c>
      <c r="M49" s="1" t="n">
        <f aca="false">M$2*TripTable!L47</f>
        <v>0.0251149744443336</v>
      </c>
      <c r="N49" s="1" t="n">
        <f aca="false">N$2*TripTable!M47</f>
        <v>0</v>
      </c>
      <c r="O49" s="1" t="n">
        <f aca="false">O$2*TripTable!N47</f>
        <v>0</v>
      </c>
      <c r="P49" s="1" t="n">
        <f aca="false">P$2*TripTable!O47</f>
        <v>0</v>
      </c>
      <c r="Q49" s="1" t="n">
        <f aca="false">Q$2*TripTable!P47</f>
        <v>0.462510137495734</v>
      </c>
      <c r="R49" s="1" t="n">
        <f aca="false">R$2*TripTable!Q47</f>
        <v>0.0851459063486116</v>
      </c>
      <c r="S49" s="1" t="n">
        <f aca="false">S$2*TripTable!R47</f>
        <v>0.0645640225441334</v>
      </c>
      <c r="T49" s="1" t="n">
        <f aca="false">T$2*TripTable!S47</f>
        <v>0.0760795469926246</v>
      </c>
      <c r="U49" s="1" t="n">
        <f aca="false">U$2*TripTable!T47</f>
        <v>0.0881518929752244</v>
      </c>
      <c r="V49" s="1" t="n">
        <f aca="false">V$2*TripTable!U47</f>
        <v>26.2720795919228</v>
      </c>
      <c r="W49" s="1" t="n">
        <f aca="false">W$2*TripTable!V47</f>
        <v>1.19438457450523</v>
      </c>
      <c r="X49" s="1" t="n">
        <f aca="false">X$2*TripTable!W47</f>
        <v>59.9761589285579</v>
      </c>
      <c r="Y49" s="1" t="n">
        <f aca="false">Y$2*TripTable!X47</f>
        <v>0.0738787711371125</v>
      </c>
      <c r="Z49" s="1" t="n">
        <f aca="false">Z$2*TripTable!Y47</f>
        <v>0</v>
      </c>
      <c r="AA49" s="1" t="n">
        <f aca="false">AA$2*TripTable!Z47</f>
        <v>0</v>
      </c>
      <c r="AB49" s="1" t="n">
        <f aca="false">AB$2*TripTable!AA47</f>
        <v>0.0030387431884131</v>
      </c>
      <c r="AC49" s="1" t="n">
        <f aca="false">AC$2*TripTable!AB47</f>
        <v>0</v>
      </c>
      <c r="AD49" s="1" t="n">
        <f aca="false">AD$2*TripTable!AC47</f>
        <v>0</v>
      </c>
      <c r="AE49" s="1" t="n">
        <f aca="false">AE$2*TripTable!AD47</f>
        <v>0</v>
      </c>
      <c r="AF49" s="1" t="n">
        <f aca="false">AF$2*TripTable!AE47</f>
        <v>39.3376412398272</v>
      </c>
      <c r="AG49" s="1" t="n">
        <f aca="false">AG$2*TripTable!AF47</f>
        <v>39.3556833315801</v>
      </c>
      <c r="AH49" s="1" t="n">
        <f aca="false">AH$2*TripTable!AG47</f>
        <v>0</v>
      </c>
      <c r="AI49" s="1" t="n">
        <f aca="false">AI$2*TripTable!AH47</f>
        <v>181.506654288119</v>
      </c>
      <c r="AJ49" s="1" t="n">
        <f aca="false">AJ$2*TripTable!AI47</f>
        <v>0.0155073038828265</v>
      </c>
      <c r="AK49" s="1" t="n">
        <f aca="false">AK$2*TripTable!AJ47</f>
        <v>0</v>
      </c>
      <c r="AL49" s="1" t="n">
        <f aca="false">AL$2*TripTable!AK47</f>
        <v>0.723266814643628</v>
      </c>
      <c r="AM49" s="1" t="n">
        <f aca="false">AM$2*TripTable!AL47</f>
        <v>0.227934769640152</v>
      </c>
      <c r="AN49" s="1" t="n">
        <f aca="false">AN$2*TripTable!AM47</f>
        <v>0.0211961611397047</v>
      </c>
      <c r="AO49" s="1" t="n">
        <f aca="false">AO$2*TripTable!AN47</f>
        <v>8.65631508493643</v>
      </c>
      <c r="AP49" s="1" t="n">
        <f aca="false">AP$2*TripTable!AO47</f>
        <v>1.90567200986437</v>
      </c>
      <c r="AQ49" s="1" t="n">
        <f aca="false">AQ$2*TripTable!AP47</f>
        <v>0</v>
      </c>
      <c r="AR49" s="1" t="n">
        <f aca="false">AR$2*TripTable!AQ47</f>
        <v>0</v>
      </c>
      <c r="AS49" s="1" t="n">
        <f aca="false">AS$2*TripTable!AR47</f>
        <v>0.000522046482476414</v>
      </c>
      <c r="AT49" s="1" t="n">
        <f aca="false">AT$2*TripTable!AS47</f>
        <v>0.247474685546935</v>
      </c>
      <c r="AU49" s="1" t="n">
        <f aca="false">AU$2*TripTable!AT47</f>
        <v>0.00249194478847127</v>
      </c>
      <c r="AV49" s="1" t="n">
        <f aca="false">AV$2*TripTable!AU47</f>
        <v>0</v>
      </c>
      <c r="AW49" s="1" t="n">
        <f aca="false">AW$2*TripTable!AV47</f>
        <v>2.09377654891178</v>
      </c>
      <c r="AX49" s="1" t="n">
        <f aca="false">AX$2*TripTable!AW47</f>
        <v>0.24856577931952</v>
      </c>
      <c r="AY49" s="1" t="n">
        <f aca="false">AY$2*TripTable!AX47</f>
        <v>0.0657245663242686</v>
      </c>
      <c r="AZ49" s="1" t="n">
        <f aca="false">AZ$2*TripTable!AY47</f>
        <v>3.39997536906733E-005</v>
      </c>
      <c r="BA49" s="1" t="n">
        <f aca="false">BA$2*TripTable!AZ47</f>
        <v>0</v>
      </c>
      <c r="BB49" s="1" t="n">
        <f aca="false">SUM(C49:BA49)</f>
        <v>372.483958045459</v>
      </c>
      <c r="BC49" s="2" t="n">
        <f aca="false">BB49/TripTable!BA47</f>
        <v>0.131248751954002</v>
      </c>
    </row>
    <row r="50" customFormat="false" ht="12.75" hidden="false" customHeight="false" outlineLevel="0" collapsed="false">
      <c r="A50" s="0" t="s">
        <v>47</v>
      </c>
      <c r="B50" s="1" t="n">
        <v>0.0465283677535952</v>
      </c>
      <c r="C50" s="1" t="n">
        <f aca="false">C$2*TripTable!B48</f>
        <v>0</v>
      </c>
      <c r="D50" s="1" t="n">
        <f aca="false">D$2*TripTable!C48</f>
        <v>0.251549632049251</v>
      </c>
      <c r="E50" s="1" t="n">
        <f aca="false">E$2*TripTable!D48</f>
        <v>0</v>
      </c>
      <c r="F50" s="1" t="n">
        <f aca="false">F$2*TripTable!E48</f>
        <v>0</v>
      </c>
      <c r="G50" s="1" t="n">
        <f aca="false">G$2*TripTable!F48</f>
        <v>7.58980615833501</v>
      </c>
      <c r="H50" s="1" t="n">
        <f aca="false">H$2*TripTable!G48</f>
        <v>0.295777769394722</v>
      </c>
      <c r="I50" s="1" t="n">
        <f aca="false">I$2*TripTable!H48</f>
        <v>0.0434009261384348</v>
      </c>
      <c r="J50" s="1" t="n">
        <f aca="false">J$2*TripTable!I48</f>
        <v>90.1746470192099</v>
      </c>
      <c r="K50" s="1" t="n">
        <f aca="false">K$2*TripTable!J48</f>
        <v>0</v>
      </c>
      <c r="L50" s="1" t="n">
        <f aca="false">L$2*TripTable!K48</f>
        <v>92.4662629221013</v>
      </c>
      <c r="M50" s="1" t="n">
        <f aca="false">M$2*TripTable!L48</f>
        <v>2.54498407702581</v>
      </c>
      <c r="N50" s="1" t="n">
        <f aca="false">N$2*TripTable!M48</f>
        <v>0</v>
      </c>
      <c r="O50" s="1" t="n">
        <f aca="false">O$2*TripTable!N48</f>
        <v>0.021466980241521</v>
      </c>
      <c r="P50" s="1" t="n">
        <f aca="false">P$2*TripTable!O48</f>
        <v>0</v>
      </c>
      <c r="Q50" s="1" t="n">
        <f aca="false">Q$2*TripTable!P48</f>
        <v>8.88019463991809</v>
      </c>
      <c r="R50" s="1" t="n">
        <f aca="false">R$2*TripTable!Q48</f>
        <v>2.34151242458682</v>
      </c>
      <c r="S50" s="1" t="n">
        <f aca="false">S$2*TripTable!R48</f>
        <v>2.25974078904467</v>
      </c>
      <c r="T50" s="1" t="n">
        <f aca="false">T$2*TripTable!S48</f>
        <v>1.3440719968697</v>
      </c>
      <c r="U50" s="1" t="n">
        <f aca="false">U$2*TripTable!T48</f>
        <v>4.17252293416062</v>
      </c>
      <c r="V50" s="1" t="n">
        <f aca="false">V$2*TripTable!U48</f>
        <v>9.35286033472451</v>
      </c>
      <c r="W50" s="1" t="n">
        <f aca="false">W$2*TripTable!V48</f>
        <v>77.2837077621031</v>
      </c>
      <c r="X50" s="1" t="n">
        <f aca="false">X$2*TripTable!W48</f>
        <v>37.1082993717421</v>
      </c>
      <c r="Y50" s="1" t="n">
        <f aca="false">Y$2*TripTable!X48</f>
        <v>1.16728458396638</v>
      </c>
      <c r="Z50" s="1" t="n">
        <f aca="false">Z$2*TripTable!Y48</f>
        <v>0</v>
      </c>
      <c r="AA50" s="1" t="n">
        <f aca="false">AA$2*TripTable!Z48</f>
        <v>0</v>
      </c>
      <c r="AB50" s="1" t="n">
        <f aca="false">AB$2*TripTable!AA48</f>
        <v>0.168650246956927</v>
      </c>
      <c r="AC50" s="1" t="n">
        <f aca="false">AC$2*TripTable!AB48</f>
        <v>0</v>
      </c>
      <c r="AD50" s="1" t="n">
        <f aca="false">AD$2*TripTable!AC48</f>
        <v>0.0259360801122395</v>
      </c>
      <c r="AE50" s="1" t="n">
        <f aca="false">AE$2*TripTable!AD48</f>
        <v>0</v>
      </c>
      <c r="AF50" s="1" t="n">
        <f aca="false">AF$2*TripTable!AE48</f>
        <v>7.65552898379871</v>
      </c>
      <c r="AG50" s="1" t="n">
        <f aca="false">AG$2*TripTable!AF48</f>
        <v>153.049879622812</v>
      </c>
      <c r="AH50" s="1" t="n">
        <f aca="false">AH$2*TripTable!AG48</f>
        <v>0</v>
      </c>
      <c r="AI50" s="1" t="n">
        <f aca="false">AI$2*TripTable!AH48</f>
        <v>335.803901534874</v>
      </c>
      <c r="AJ50" s="1" t="n">
        <f aca="false">AJ$2*TripTable!AI48</f>
        <v>2.77728428111002</v>
      </c>
      <c r="AK50" s="1" t="n">
        <f aca="false">AK$2*TripTable!AJ48</f>
        <v>0</v>
      </c>
      <c r="AL50" s="1" t="n">
        <f aca="false">AL$2*TripTable!AK48</f>
        <v>17.489906608655</v>
      </c>
      <c r="AM50" s="1" t="n">
        <f aca="false">AM$2*TripTable!AL48</f>
        <v>2.73521723568182</v>
      </c>
      <c r="AN50" s="1" t="n">
        <f aca="false">AN$2*TripTable!AM48</f>
        <v>0</v>
      </c>
      <c r="AO50" s="1" t="n">
        <f aca="false">AO$2*TripTable!AN48</f>
        <v>281.564194722189</v>
      </c>
      <c r="AP50" s="1" t="n">
        <f aca="false">AP$2*TripTable!AO48</f>
        <v>2.54089601315249</v>
      </c>
      <c r="AQ50" s="1" t="n">
        <f aca="false">AQ$2*TripTable!AP48</f>
        <v>0</v>
      </c>
      <c r="AR50" s="1" t="n">
        <f aca="false">AR$2*TripTable!AQ48</f>
        <v>0</v>
      </c>
      <c r="AS50" s="1" t="n">
        <f aca="false">AS$2*TripTable!AR48</f>
        <v>0.0517406069298846</v>
      </c>
      <c r="AT50" s="1" t="n">
        <f aca="false">AT$2*TripTable!AS48</f>
        <v>7.6222203148456</v>
      </c>
      <c r="AU50" s="1" t="n">
        <f aca="false">AU$2*TripTable!AT48</f>
        <v>0.0211815307020058</v>
      </c>
      <c r="AV50" s="1" t="n">
        <f aca="false">AV$2*TripTable!AU48</f>
        <v>0</v>
      </c>
      <c r="AW50" s="1" t="n">
        <f aca="false">AW$2*TripTable!AV48</f>
        <v>419.3136501954</v>
      </c>
      <c r="AX50" s="1" t="n">
        <f aca="false">AX$2*TripTable!AW48</f>
        <v>1.44996704603053</v>
      </c>
      <c r="AY50" s="1" t="n">
        <f aca="false">AY$2*TripTable!AX48</f>
        <v>72.428472089344</v>
      </c>
      <c r="AZ50" s="1" t="n">
        <f aca="false">AZ$2*TripTable!AY48</f>
        <v>0.000600662315201894</v>
      </c>
      <c r="BA50" s="1" t="n">
        <f aca="false">BA$2*TripTable!AZ48</f>
        <v>0</v>
      </c>
      <c r="BB50" s="1" t="n">
        <f aca="false">SUM(C50:BA50)</f>
        <v>1641.99731809652</v>
      </c>
      <c r="BC50" s="2" t="n">
        <f aca="false">BB50/TripTable!BA48</f>
        <v>0.0611225922459992</v>
      </c>
    </row>
    <row r="51" customFormat="false" ht="12.75" hidden="false" customHeight="false" outlineLevel="0" collapsed="false">
      <c r="A51" s="0" t="s">
        <v>48</v>
      </c>
      <c r="B51" s="1" t="n">
        <v>0.0414276298865866</v>
      </c>
      <c r="C51" s="1" t="n">
        <f aca="false">C$2*TripTable!B49</f>
        <v>0</v>
      </c>
      <c r="D51" s="1" t="n">
        <f aca="false">D$2*TripTable!C49</f>
        <v>7.16916451340366</v>
      </c>
      <c r="E51" s="1" t="n">
        <f aca="false">E$2*TripTable!D49</f>
        <v>0</v>
      </c>
      <c r="F51" s="1" t="n">
        <f aca="false">F$2*TripTable!E49</f>
        <v>0</v>
      </c>
      <c r="G51" s="1" t="n">
        <f aca="false">G$2*TripTable!F49</f>
        <v>36.3422751704119</v>
      </c>
      <c r="H51" s="1" t="n">
        <f aca="false">H$2*TripTable!G49</f>
        <v>0.485075541807345</v>
      </c>
      <c r="I51" s="1" t="n">
        <f aca="false">I$2*TripTable!H49</f>
        <v>0.008836116698843</v>
      </c>
      <c r="J51" s="1" t="n">
        <f aca="false">J$2*TripTable!I49</f>
        <v>0.252590047672857</v>
      </c>
      <c r="K51" s="1" t="n">
        <f aca="false">K$2*TripTable!J49</f>
        <v>0</v>
      </c>
      <c r="L51" s="1" t="n">
        <f aca="false">L$2*TripTable!K49</f>
        <v>13.6208720634408</v>
      </c>
      <c r="M51" s="1" t="n">
        <f aca="false">M$2*TripTable!L49</f>
        <v>0.339052154998504</v>
      </c>
      <c r="N51" s="1" t="n">
        <f aca="false">N$2*TripTable!M49</f>
        <v>0</v>
      </c>
      <c r="O51" s="1" t="n">
        <f aca="false">O$2*TripTable!N49</f>
        <v>0.874779444841981</v>
      </c>
      <c r="P51" s="1" t="n">
        <f aca="false">P$2*TripTable!O49</f>
        <v>0</v>
      </c>
      <c r="Q51" s="1" t="n">
        <f aca="false">Q$2*TripTable!P49</f>
        <v>2.03504460498123</v>
      </c>
      <c r="R51" s="1" t="n">
        <f aca="false">R$2*TripTable!Q49</f>
        <v>2.89496081585279</v>
      </c>
      <c r="S51" s="1" t="n">
        <f aca="false">S$2*TripTable!R49</f>
        <v>1.03302436070613</v>
      </c>
      <c r="T51" s="1" t="n">
        <f aca="false">T$2*TripTable!S49</f>
        <v>0.118345961988527</v>
      </c>
      <c r="U51" s="1" t="n">
        <f aca="false">U$2*TripTable!T49</f>
        <v>1.38104632327852</v>
      </c>
      <c r="V51" s="1" t="n">
        <f aca="false">V$2*TripTable!U49</f>
        <v>0.735618228573838</v>
      </c>
      <c r="W51" s="1" t="n">
        <f aca="false">W$2*TripTable!V49</f>
        <v>2.81031664589466</v>
      </c>
      <c r="X51" s="1" t="n">
        <f aca="false">X$2*TripTable!W49</f>
        <v>12.8891572047508</v>
      </c>
      <c r="Y51" s="1" t="n">
        <f aca="false">Y$2*TripTable!X49</f>
        <v>0.465436258163809</v>
      </c>
      <c r="Z51" s="1" t="n">
        <f aca="false">Z$2*TripTable!Y49</f>
        <v>0</v>
      </c>
      <c r="AA51" s="1" t="n">
        <f aca="false">AA$2*TripTable!Z49</f>
        <v>0</v>
      </c>
      <c r="AB51" s="1" t="n">
        <f aca="false">AB$2*TripTable!AA49</f>
        <v>0.0812863802900504</v>
      </c>
      <c r="AC51" s="1" t="n">
        <f aca="false">AC$2*TripTable!AB49</f>
        <v>0</v>
      </c>
      <c r="AD51" s="1" t="n">
        <f aca="false">AD$2*TripTable!AC49</f>
        <v>0.0399016617111377</v>
      </c>
      <c r="AE51" s="1" t="n">
        <f aca="false">AE$2*TripTable!AD49</f>
        <v>0</v>
      </c>
      <c r="AF51" s="1" t="n">
        <f aca="false">AF$2*TripTable!AE49</f>
        <v>0.588886844907593</v>
      </c>
      <c r="AG51" s="1" t="n">
        <f aca="false">AG$2*TripTable!AF49</f>
        <v>18.5846282399128</v>
      </c>
      <c r="AH51" s="1" t="n">
        <f aca="false">AH$2*TripTable!AG49</f>
        <v>0</v>
      </c>
      <c r="AI51" s="1" t="n">
        <f aca="false">AI$2*TripTable!AH49</f>
        <v>43.8005088958532</v>
      </c>
      <c r="AJ51" s="1" t="n">
        <f aca="false">AJ$2*TripTable!AI49</f>
        <v>0.0302761647236136</v>
      </c>
      <c r="AK51" s="1" t="n">
        <f aca="false">AK$2*TripTable!AJ49</f>
        <v>0</v>
      </c>
      <c r="AL51" s="1" t="n">
        <f aca="false">AL$2*TripTable!AK49</f>
        <v>1.15065175056941</v>
      </c>
      <c r="AM51" s="1" t="n">
        <f aca="false">AM$2*TripTable!AL49</f>
        <v>3.03913026186869</v>
      </c>
      <c r="AN51" s="1" t="n">
        <f aca="false">AN$2*TripTable!AM49</f>
        <v>20.7934340780503</v>
      </c>
      <c r="AO51" s="1" t="n">
        <f aca="false">AO$2*TripTable!AN49</f>
        <v>6.43374769826356</v>
      </c>
      <c r="AP51" s="1" t="n">
        <f aca="false">AP$2*TripTable!AO49</f>
        <v>0.0373661178404778</v>
      </c>
      <c r="AQ51" s="1" t="n">
        <f aca="false">AQ$2*TripTable!AP49</f>
        <v>0</v>
      </c>
      <c r="AR51" s="1" t="n">
        <f aca="false">AR$2*TripTable!AQ49</f>
        <v>0</v>
      </c>
      <c r="AS51" s="1" t="n">
        <f aca="false">AS$2*TripTable!AR49</f>
        <v>0.000812072306074421</v>
      </c>
      <c r="AT51" s="1" t="n">
        <f aca="false">AT$2*TripTable!AS49</f>
        <v>5.46919055058726</v>
      </c>
      <c r="AU51" s="1" t="n">
        <f aca="false">AU$2*TripTable!AT49</f>
        <v>0.0897100123849656</v>
      </c>
      <c r="AV51" s="1" t="n">
        <f aca="false">AV$2*TripTable!AU49</f>
        <v>0</v>
      </c>
      <c r="AW51" s="1" t="n">
        <f aca="false">AW$2*TripTable!AV49</f>
        <v>1.48890776811505</v>
      </c>
      <c r="AX51" s="1" t="n">
        <f aca="false">AX$2*TripTable!AW49</f>
        <v>569.381345161246</v>
      </c>
      <c r="AY51" s="1" t="n">
        <f aca="false">AY$2*TripTable!AX49</f>
        <v>0.328622831621343</v>
      </c>
      <c r="AZ51" s="1" t="n">
        <f aca="false">AZ$2*TripTable!AY49</f>
        <v>0.000543996059050772</v>
      </c>
      <c r="BA51" s="1" t="n">
        <f aca="false">BA$2*TripTable!AZ49</f>
        <v>0</v>
      </c>
      <c r="BB51" s="1" t="n">
        <f aca="false">SUM(C51:BA51)</f>
        <v>754.794545943777</v>
      </c>
      <c r="BC51" s="2" t="n">
        <f aca="false">BB51/TripTable!BA49</f>
        <v>0.0311679624207696</v>
      </c>
    </row>
    <row r="52" customFormat="false" ht="12.75" hidden="false" customHeight="false" outlineLevel="0" collapsed="false">
      <c r="A52" s="0" t="s">
        <v>49</v>
      </c>
      <c r="B52" s="1" t="n">
        <v>0.0657245663242686</v>
      </c>
      <c r="C52" s="1" t="n">
        <f aca="false">C$2*TripTable!B50</f>
        <v>0</v>
      </c>
      <c r="D52" s="1" t="n">
        <f aca="false">D$2*TripTable!C50</f>
        <v>0.125774816024626</v>
      </c>
      <c r="E52" s="1" t="n">
        <f aca="false">E$2*TripTable!D50</f>
        <v>0</v>
      </c>
      <c r="F52" s="1" t="n">
        <f aca="false">F$2*TripTable!E50</f>
        <v>0</v>
      </c>
      <c r="G52" s="1" t="n">
        <f aca="false">G$2*TripTable!F50</f>
        <v>0.528538033310238</v>
      </c>
      <c r="H52" s="1" t="n">
        <f aca="false">H$2*TripTable!G50</f>
        <v>0.0295777769394722</v>
      </c>
      <c r="I52" s="1" t="n">
        <f aca="false">I$2*TripTable!H50</f>
        <v>0.00181920049682062</v>
      </c>
      <c r="J52" s="1" t="n">
        <f aca="false">J$2*TripTable!I50</f>
        <v>5.55698104880285</v>
      </c>
      <c r="K52" s="1" t="n">
        <f aca="false">K$2*TripTable!J50</f>
        <v>0</v>
      </c>
      <c r="L52" s="1" t="n">
        <f aca="false">L$2*TripTable!K50</f>
        <v>12.8425365169585</v>
      </c>
      <c r="M52" s="1" t="n">
        <f aca="false">M$2*TripTable!L50</f>
        <v>0.259521402591447</v>
      </c>
      <c r="N52" s="1" t="n">
        <f aca="false">N$2*TripTable!M50</f>
        <v>0</v>
      </c>
      <c r="O52" s="1" t="n">
        <f aca="false">O$2*TripTable!N50</f>
        <v>0.0042933960483042</v>
      </c>
      <c r="P52" s="1" t="n">
        <f aca="false">P$2*TripTable!O50</f>
        <v>0</v>
      </c>
      <c r="Q52" s="1" t="n">
        <f aca="false">Q$2*TripTable!P50</f>
        <v>7.86267233742747</v>
      </c>
      <c r="R52" s="1" t="n">
        <f aca="false">R$2*TripTable!Q50</f>
        <v>0.212864765871529</v>
      </c>
      <c r="S52" s="1" t="n">
        <f aca="false">S$2*TripTable!R50</f>
        <v>0.129128045088267</v>
      </c>
      <c r="T52" s="1" t="n">
        <f aca="false">T$2*TripTable!S50</f>
        <v>1.29335229887462</v>
      </c>
      <c r="U52" s="1" t="n">
        <f aca="false">U$2*TripTable!T50</f>
        <v>0.411375500551047</v>
      </c>
      <c r="V52" s="1" t="n">
        <f aca="false">V$2*TripTable!U50</f>
        <v>0.840706546941529</v>
      </c>
      <c r="W52" s="1" t="n">
        <f aca="false">W$2*TripTable!V50</f>
        <v>13.8408094810312</v>
      </c>
      <c r="X52" s="1" t="n">
        <f aca="false">X$2*TripTable!W50</f>
        <v>2.59862040418362</v>
      </c>
      <c r="Y52" s="1" t="n">
        <f aca="false">Y$2*TripTable!X50</f>
        <v>0.251187821866183</v>
      </c>
      <c r="Z52" s="1" t="n">
        <f aca="false">Z$2*TripTable!Y50</f>
        <v>0</v>
      </c>
      <c r="AA52" s="1" t="n">
        <f aca="false">AA$2*TripTable!Z50</f>
        <v>0</v>
      </c>
      <c r="AB52" s="1" t="n">
        <f aca="false">AB$2*TripTable!AA50</f>
        <v>0.0197518307246851</v>
      </c>
      <c r="AC52" s="1" t="n">
        <f aca="false">AC$2*TripTable!AB50</f>
        <v>0</v>
      </c>
      <c r="AD52" s="1" t="n">
        <f aca="false">AD$2*TripTable!AC50</f>
        <v>0.00199508308555689</v>
      </c>
      <c r="AE52" s="1" t="n">
        <f aca="false">AE$2*TripTable!AD50</f>
        <v>0</v>
      </c>
      <c r="AF52" s="1" t="n">
        <f aca="false">AF$2*TripTable!AE50</f>
        <v>0.235554737963037</v>
      </c>
      <c r="AG52" s="1" t="n">
        <f aca="false">AG$2*TripTable!AF50</f>
        <v>16.6715047446277</v>
      </c>
      <c r="AH52" s="1" t="n">
        <f aca="false">AH$2*TripTable!AG50</f>
        <v>0</v>
      </c>
      <c r="AI52" s="1" t="n">
        <f aca="false">AI$2*TripTable!AH50</f>
        <v>38.8231783395062</v>
      </c>
      <c r="AJ52" s="1" t="n">
        <f aca="false">AJ$2*TripTable!AI50</f>
        <v>0.257716621671736</v>
      </c>
      <c r="AK52" s="1" t="n">
        <f aca="false">AK$2*TripTable!AJ50</f>
        <v>0</v>
      </c>
      <c r="AL52" s="1" t="n">
        <f aca="false">AL$2*TripTable!AK50</f>
        <v>38.6290230548301</v>
      </c>
      <c r="AM52" s="1" t="n">
        <f aca="false">AM$2*TripTable!AL50</f>
        <v>0.151956513093435</v>
      </c>
      <c r="AN52" s="1" t="n">
        <f aca="false">AN$2*TripTable!AM50</f>
        <v>0</v>
      </c>
      <c r="AO52" s="1" t="n">
        <f aca="false">AO$2*TripTable!AN50</f>
        <v>53.9265034345364</v>
      </c>
      <c r="AP52" s="1" t="n">
        <f aca="false">AP$2*TripTable!AO50</f>
        <v>0.0747322356809555</v>
      </c>
      <c r="AQ52" s="1" t="n">
        <f aca="false">AQ$2*TripTable!AP50</f>
        <v>0</v>
      </c>
      <c r="AR52" s="1" t="n">
        <f aca="false">AR$2*TripTable!AQ50</f>
        <v>0</v>
      </c>
      <c r="AS52" s="1" t="n">
        <f aca="false">AS$2*TripTable!AR50</f>
        <v>0.00870077470794023</v>
      </c>
      <c r="AT52" s="1" t="n">
        <f aca="false">AT$2*TripTable!AS50</f>
        <v>0.692929119531418</v>
      </c>
      <c r="AU52" s="1" t="n">
        <f aca="false">AU$2*TripTable!AT50</f>
        <v>0.000622986197117817</v>
      </c>
      <c r="AV52" s="1" t="n">
        <f aca="false">AV$2*TripTable!AU50</f>
        <v>0</v>
      </c>
      <c r="AW52" s="1" t="n">
        <f aca="false">AW$2*TripTable!AV50</f>
        <v>26.6607547228101</v>
      </c>
      <c r="AX52" s="1" t="n">
        <f aca="false">AX$2*TripTable!AW50</f>
        <v>0.0828552597731732</v>
      </c>
      <c r="AY52" s="1" t="n">
        <f aca="false">AY$2*TripTable!AX50</f>
        <v>121.853345965194</v>
      </c>
      <c r="AZ52" s="1" t="n">
        <f aca="false">AZ$2*TripTable!AY50</f>
        <v>0.000339997536906733</v>
      </c>
      <c r="BA52" s="1" t="n">
        <f aca="false">BA$2*TripTable!AZ50</f>
        <v>0</v>
      </c>
      <c r="BB52" s="1" t="n">
        <f aca="false">SUM(C52:BA52)</f>
        <v>344.881224814478</v>
      </c>
      <c r="BC52" s="2" t="n">
        <f aca="false">BB52/TripTable!BA50</f>
        <v>0.0578077815646125</v>
      </c>
    </row>
    <row r="53" customFormat="false" ht="12.75" hidden="false" customHeight="false" outlineLevel="0" collapsed="false">
      <c r="A53" s="0" t="s">
        <v>50</v>
      </c>
      <c r="B53" s="1" t="n">
        <v>1.13332512302244E-005</v>
      </c>
      <c r="C53" s="1" t="n">
        <f aca="false">C$2*TripTable!B51</f>
        <v>0</v>
      </c>
      <c r="D53" s="1" t="n">
        <f aca="false">D$2*TripTable!C51</f>
        <v>1.32063556825857</v>
      </c>
      <c r="E53" s="1" t="n">
        <f aca="false">E$2*TripTable!D51</f>
        <v>0</v>
      </c>
      <c r="F53" s="1" t="n">
        <f aca="false">F$2*TripTable!E51</f>
        <v>0</v>
      </c>
      <c r="G53" s="1" t="n">
        <f aca="false">G$2*TripTable!F51</f>
        <v>4.77798382112455</v>
      </c>
      <c r="H53" s="1" t="n">
        <f aca="false">H$2*TripTable!G51</f>
        <v>0.440708876398136</v>
      </c>
      <c r="I53" s="1" t="n">
        <f aca="false">I$2*TripTable!H51</f>
        <v>0.00805645934306274</v>
      </c>
      <c r="J53" s="1" t="n">
        <f aca="false">J$2*TripTable!I51</f>
        <v>2.27331042905571</v>
      </c>
      <c r="K53" s="1" t="n">
        <f aca="false">K$2*TripTable!J51</f>
        <v>0</v>
      </c>
      <c r="L53" s="1" t="n">
        <f aca="false">L$2*TripTable!K51</f>
        <v>39.695112870599</v>
      </c>
      <c r="M53" s="1" t="n">
        <f aca="false">M$2*TripTable!L51</f>
        <v>0.385096274813115</v>
      </c>
      <c r="N53" s="1" t="n">
        <f aca="false">N$2*TripTable!M51</f>
        <v>0</v>
      </c>
      <c r="O53" s="1" t="n">
        <f aca="false">O$2*TripTable!N51</f>
        <v>0.0150268861690647</v>
      </c>
      <c r="P53" s="1" t="n">
        <f aca="false">P$2*TripTable!O51</f>
        <v>0</v>
      </c>
      <c r="Q53" s="1" t="n">
        <f aca="false">Q$2*TripTable!P51</f>
        <v>42.3659285946092</v>
      </c>
      <c r="R53" s="1" t="n">
        <f aca="false">R$2*TripTable!Q51</f>
        <v>27.3318359379043</v>
      </c>
      <c r="S53" s="1" t="n">
        <f aca="false">S$2*TripTable!R51</f>
        <v>4.32578951045694</v>
      </c>
      <c r="T53" s="1" t="n">
        <f aca="false">T$2*TripTable!S51</f>
        <v>0.422664149959026</v>
      </c>
      <c r="U53" s="1" t="n">
        <f aca="false">U$2*TripTable!T51</f>
        <v>1.88057371680479</v>
      </c>
      <c r="V53" s="1" t="n">
        <f aca="false">V$2*TripTable!U51</f>
        <v>2.83738459592766</v>
      </c>
      <c r="W53" s="1" t="n">
        <f aca="false">W$2*TripTable!V51</f>
        <v>1.82670581983153</v>
      </c>
      <c r="X53" s="1" t="n">
        <f aca="false">X$2*TripTable!W51</f>
        <v>10.8102608814039</v>
      </c>
      <c r="Y53" s="1" t="n">
        <f aca="false">Y$2*TripTable!X51</f>
        <v>9.43431907420927</v>
      </c>
      <c r="Z53" s="1" t="n">
        <f aca="false">Z$2*TripTable!Y51</f>
        <v>0</v>
      </c>
      <c r="AA53" s="1" t="n">
        <f aca="false">AA$2*TripTable!Z51</f>
        <v>0</v>
      </c>
      <c r="AB53" s="1" t="n">
        <f aca="false">AB$2*TripTable!AA51</f>
        <v>0.189161763478715</v>
      </c>
      <c r="AC53" s="1" t="n">
        <f aca="false">AC$2*TripTable!AB51</f>
        <v>0</v>
      </c>
      <c r="AD53" s="1" t="n">
        <f aca="false">AD$2*TripTable!AC51</f>
        <v>0.161601729930108</v>
      </c>
      <c r="AE53" s="1" t="n">
        <f aca="false">AE$2*TripTable!AD51</f>
        <v>0</v>
      </c>
      <c r="AF53" s="1" t="n">
        <f aca="false">AF$2*TripTable!AE51</f>
        <v>0.706664213889112</v>
      </c>
      <c r="AG53" s="1" t="n">
        <f aca="false">AG$2*TripTable!AF51</f>
        <v>6.28597719879405</v>
      </c>
      <c r="AH53" s="1" t="n">
        <f aca="false">AH$2*TripTable!AG51</f>
        <v>0</v>
      </c>
      <c r="AI53" s="1" t="n">
        <f aca="false">AI$2*TripTable!AH51</f>
        <v>33.5140257460695</v>
      </c>
      <c r="AJ53" s="1" t="n">
        <f aca="false">AJ$2*TripTable!AI51</f>
        <v>0.0605523294472273</v>
      </c>
      <c r="AK53" s="1" t="n">
        <f aca="false">AK$2*TripTable!AJ51</f>
        <v>0</v>
      </c>
      <c r="AL53" s="1" t="n">
        <f aca="false">AL$2*TripTable!AK51</f>
        <v>7.26554391073826</v>
      </c>
      <c r="AM53" s="1" t="n">
        <f aca="false">AM$2*TripTable!AL51</f>
        <v>1.97543467021465</v>
      </c>
      <c r="AN53" s="1" t="n">
        <f aca="false">AN$2*TripTable!AM51</f>
        <v>0.148373127977933</v>
      </c>
      <c r="AO53" s="1" t="n">
        <f aca="false">AO$2*TripTable!AN51</f>
        <v>19.6521747874233</v>
      </c>
      <c r="AP53" s="1" t="n">
        <f aca="false">AP$2*TripTable!AO51</f>
        <v>0.112098353521433</v>
      </c>
      <c r="AQ53" s="1" t="n">
        <f aca="false">AQ$2*TripTable!AP51</f>
        <v>0</v>
      </c>
      <c r="AR53" s="1" t="n">
        <f aca="false">AR$2*TripTable!AQ51</f>
        <v>0</v>
      </c>
      <c r="AS53" s="1" t="n">
        <f aca="false">AS$2*TripTable!AR51</f>
        <v>0.00545248548364254</v>
      </c>
      <c r="AT53" s="1" t="n">
        <f aca="false">AT$2*TripTable!AS51</f>
        <v>4.42979687129014</v>
      </c>
      <c r="AU53" s="1" t="n">
        <f aca="false">AU$2*TripTable!AT51</f>
        <v>0.0161976411250632</v>
      </c>
      <c r="AV53" s="1" t="n">
        <f aca="false">AV$2*TripTable!AU51</f>
        <v>0</v>
      </c>
      <c r="AW53" s="1" t="n">
        <f aca="false">AW$2*TripTable!AV51</f>
        <v>2.9312871684765</v>
      </c>
      <c r="AX53" s="1" t="n">
        <f aca="false">AX$2*TripTable!AW51</f>
        <v>1.2428288965976</v>
      </c>
      <c r="AY53" s="1" t="n">
        <f aca="false">AY$2*TripTable!AX51</f>
        <v>0.525796530594149</v>
      </c>
      <c r="AZ53" s="1" t="n">
        <f aca="false">AZ$2*TripTable!AY51</f>
        <v>0.158926182001437</v>
      </c>
      <c r="BA53" s="1" t="n">
        <f aca="false">BA$2*TripTable!AZ51</f>
        <v>0</v>
      </c>
      <c r="BB53" s="1" t="n">
        <f aca="false">SUM(C53:BA53)</f>
        <v>229.533287073921</v>
      </c>
      <c r="BC53" s="2" t="n">
        <f aca="false">BB53/TripTable!BA51</f>
        <v>0.00892014950543761</v>
      </c>
    </row>
    <row r="54" customFormat="false" ht="12.75" hidden="false" customHeight="false" outlineLevel="0" collapsed="false">
      <c r="A54" s="0" t="s">
        <v>51</v>
      </c>
      <c r="B54" s="1" t="n">
        <v>0</v>
      </c>
      <c r="C54" s="1" t="n">
        <f aca="false">C$2*TripTable!B52</f>
        <v>0</v>
      </c>
      <c r="D54" s="1" t="n">
        <f aca="false">D$2*TripTable!C52</f>
        <v>0.314437040061564</v>
      </c>
      <c r="E54" s="1" t="n">
        <f aca="false">E$2*TripTable!D52</f>
        <v>0</v>
      </c>
      <c r="F54" s="1" t="n">
        <f aca="false">F$2*TripTable!E52</f>
        <v>0</v>
      </c>
      <c r="G54" s="1" t="n">
        <f aca="false">G$2*TripTable!F52</f>
        <v>0.86680237462879</v>
      </c>
      <c r="H54" s="1" t="n">
        <f aca="false">H$2*TripTable!G52</f>
        <v>2.04678216421148</v>
      </c>
      <c r="I54" s="1" t="n">
        <f aca="false">I$2*TripTable!H52</f>
        <v>0.000259885785260088</v>
      </c>
      <c r="J54" s="1" t="n">
        <f aca="false">J$2*TripTable!I52</f>
        <v>0</v>
      </c>
      <c r="K54" s="1" t="n">
        <f aca="false">K$2*TripTable!J52</f>
        <v>0</v>
      </c>
      <c r="L54" s="1" t="n">
        <f aca="false">L$2*TripTable!K52</f>
        <v>1.01183621042703</v>
      </c>
      <c r="M54" s="1" t="n">
        <f aca="false">M$2*TripTable!L52</f>
        <v>0.0167433162962224</v>
      </c>
      <c r="N54" s="1" t="n">
        <f aca="false">N$2*TripTable!M52</f>
        <v>0</v>
      </c>
      <c r="O54" s="1" t="n">
        <f aca="false">O$2*TripTable!N52</f>
        <v>0.0332738193743576</v>
      </c>
      <c r="P54" s="1" t="n">
        <f aca="false">P$2*TripTable!O52</f>
        <v>0</v>
      </c>
      <c r="Q54" s="1" t="n">
        <f aca="false">Q$2*TripTable!P52</f>
        <v>0.647514192494027</v>
      </c>
      <c r="R54" s="1" t="n">
        <f aca="false">R$2*TripTable!Q52</f>
        <v>0.723740203963199</v>
      </c>
      <c r="S54" s="1" t="n">
        <f aca="false">S$2*TripTable!R52</f>
        <v>1.80779263123574</v>
      </c>
      <c r="T54" s="1" t="n">
        <f aca="false">T$2*TripTable!S52</f>
        <v>0.00845328299918051</v>
      </c>
      <c r="U54" s="1" t="n">
        <f aca="false">U$2*TripTable!T52</f>
        <v>0.205687750275524</v>
      </c>
      <c r="V54" s="1" t="n">
        <f aca="false">V$2*TripTable!U52</f>
        <v>0.105088318367691</v>
      </c>
      <c r="W54" s="1" t="n">
        <f aca="false">W$2*TripTable!V52</f>
        <v>0.0702579161473665</v>
      </c>
      <c r="X54" s="1" t="n">
        <f aca="false">X$2*TripTable!W52</f>
        <v>0.20788963233469</v>
      </c>
      <c r="Y54" s="1" t="n">
        <f aca="false">Y$2*TripTable!X52</f>
        <v>0.0369393855685563</v>
      </c>
      <c r="Z54" s="1" t="n">
        <f aca="false">Z$2*TripTable!Y52</f>
        <v>0</v>
      </c>
      <c r="AA54" s="1" t="n">
        <f aca="false">AA$2*TripTable!Z52</f>
        <v>0</v>
      </c>
      <c r="AB54" s="1" t="n">
        <f aca="false">AB$2*TripTable!AA52</f>
        <v>0.0273486886957179</v>
      </c>
      <c r="AC54" s="1" t="n">
        <f aca="false">AC$2*TripTable!AB52</f>
        <v>0</v>
      </c>
      <c r="AD54" s="1" t="n">
        <f aca="false">AD$2*TripTable!AC52</f>
        <v>0.181552560785677</v>
      </c>
      <c r="AE54" s="1" t="n">
        <f aca="false">AE$2*TripTable!AD52</f>
        <v>0</v>
      </c>
      <c r="AF54" s="1" t="n">
        <f aca="false">AF$2*TripTable!AE52</f>
        <v>0</v>
      </c>
      <c r="AG54" s="1" t="n">
        <f aca="false">AG$2*TripTable!AF52</f>
        <v>1.36651678234653</v>
      </c>
      <c r="AH54" s="1" t="n">
        <f aca="false">AH$2*TripTable!AG52</f>
        <v>0</v>
      </c>
      <c r="AI54" s="1" t="n">
        <f aca="false">AI$2*TripTable!AH52</f>
        <v>2.98639833380817</v>
      </c>
      <c r="AJ54" s="1" t="n">
        <f aca="false">AJ$2*TripTable!AI52</f>
        <v>0.00147688608407871</v>
      </c>
      <c r="AK54" s="1" t="n">
        <f aca="false">AK$2*TripTable!AJ52</f>
        <v>0</v>
      </c>
      <c r="AL54" s="1" t="n">
        <f aca="false">AL$2*TripTable!AK52</f>
        <v>0.230130350113882</v>
      </c>
      <c r="AM54" s="1" t="n">
        <f aca="false">AM$2*TripTable!AL52</f>
        <v>0.531847795827021</v>
      </c>
      <c r="AN54" s="1" t="n">
        <f aca="false">AN$2*TripTable!AM52</f>
        <v>0.0635884834191141</v>
      </c>
      <c r="AO54" s="1" t="n">
        <f aca="false">AO$2*TripTable!AN52</f>
        <v>0.818840616142635</v>
      </c>
      <c r="AP54" s="1" t="n">
        <f aca="false">AP$2*TripTable!AO52</f>
        <v>0</v>
      </c>
      <c r="AQ54" s="1" t="n">
        <f aca="false">AQ$2*TripTable!AP52</f>
        <v>0</v>
      </c>
      <c r="AR54" s="1" t="n">
        <f aca="false">AR$2*TripTable!AQ52</f>
        <v>0</v>
      </c>
      <c r="AS54" s="1" t="n">
        <f aca="false">AS$2*TripTable!AR52</f>
        <v>0.000290025823598008</v>
      </c>
      <c r="AT54" s="1" t="n">
        <f aca="false">AT$2*TripTable!AS52</f>
        <v>0.91565633652366</v>
      </c>
      <c r="AU54" s="1" t="n">
        <f aca="false">AU$2*TripTable!AT52</f>
        <v>0.127712170409152</v>
      </c>
      <c r="AV54" s="1" t="n">
        <f aca="false">AV$2*TripTable!AU52</f>
        <v>0</v>
      </c>
      <c r="AW54" s="1" t="n">
        <f aca="false">AW$2*TripTable!AV52</f>
        <v>0.0930567355071904</v>
      </c>
      <c r="AX54" s="1" t="n">
        <f aca="false">AX$2*TripTable!AW52</f>
        <v>1.07711837705125</v>
      </c>
      <c r="AY54" s="1" t="n">
        <f aca="false">AY$2*TripTable!AX52</f>
        <v>0.131449132648537</v>
      </c>
      <c r="AZ54" s="1" t="n">
        <f aca="false">AZ$2*TripTable!AY52</f>
        <v>0.000113332512302244</v>
      </c>
      <c r="BA54" s="1" t="n">
        <f aca="false">BA$2*TripTable!AZ52</f>
        <v>0</v>
      </c>
      <c r="BB54" s="1" t="n">
        <f aca="false">SUM(C54:BA54)</f>
        <v>16.6565947318692</v>
      </c>
      <c r="BC54" s="2" t="n">
        <f aca="false">BB54/TripTable!BA52</f>
        <v>0.0040755064183678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53"/>
  <sheetViews>
    <sheetView showFormulas="false" showGridLines="true" showRowColHeaders="true" showZeros="true" rightToLeft="false" tabSelected="false" showOutlineSymbols="true" defaultGridColor="true" view="normal" topLeftCell="AM1" colorId="64" zoomScale="100" zoomScaleNormal="100" zoomScalePageLayoutView="100" workbookViewId="0">
      <selection pane="topLeft" activeCell="AQ13" activeCellId="0" sqref="AQ13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6.56"/>
    <col collapsed="false" customWidth="true" hidden="false" outlineLevel="0" max="10" min="10" style="0" width="2.56"/>
  </cols>
  <sheetData>
    <row r="1" customFormat="false" ht="12.75" hidden="false" customHeight="false" outlineLevel="0" collapsed="false">
      <c r="A1" s="0" t="s">
        <v>218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219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220</v>
      </c>
      <c r="AF1" s="0" t="s">
        <v>221</v>
      </c>
      <c r="AG1" s="0" t="s">
        <v>222</v>
      </c>
      <c r="AH1" s="0" t="s">
        <v>223</v>
      </c>
      <c r="AI1" s="0" t="s">
        <v>224</v>
      </c>
      <c r="AJ1" s="0" t="s">
        <v>225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226</v>
      </c>
      <c r="AP1" s="0" t="s">
        <v>227</v>
      </c>
      <c r="AQ1" s="0" t="s">
        <v>228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229</v>
      </c>
      <c r="AY1" s="0" t="s">
        <v>50</v>
      </c>
      <c r="AZ1" s="0" t="s">
        <v>51</v>
      </c>
      <c r="BA1" s="0" t="s">
        <v>57</v>
      </c>
    </row>
    <row r="2" customFormat="false" ht="12.75" hidden="false" customHeight="false" outlineLevel="0" collapsed="false">
      <c r="A2" s="0" t="s">
        <v>1</v>
      </c>
      <c r="B2" s="3" t="n">
        <v>7205</v>
      </c>
      <c r="C2" s="3" t="n">
        <v>9</v>
      </c>
      <c r="D2" s="0" t="n">
        <v>27</v>
      </c>
      <c r="E2" s="0" t="n">
        <v>55</v>
      </c>
      <c r="F2" s="0" t="n">
        <v>152</v>
      </c>
      <c r="G2" s="0" t="n">
        <v>50</v>
      </c>
      <c r="H2" s="0" t="n">
        <v>10</v>
      </c>
      <c r="I2" s="0" t="n">
        <v>5</v>
      </c>
      <c r="J2" s="0" t="n">
        <v>0</v>
      </c>
      <c r="K2" s="3" t="n">
        <v>1934</v>
      </c>
      <c r="L2" s="3" t="n">
        <v>2539</v>
      </c>
      <c r="M2" s="0" t="n">
        <v>3</v>
      </c>
      <c r="N2" s="0" t="n">
        <v>2</v>
      </c>
      <c r="O2" s="0" t="n">
        <v>128</v>
      </c>
      <c r="P2" s="0" t="n">
        <v>76</v>
      </c>
      <c r="Q2" s="0" t="n">
        <v>35</v>
      </c>
      <c r="R2" s="0" t="n">
        <v>17</v>
      </c>
      <c r="S2" s="0" t="n">
        <v>107</v>
      </c>
      <c r="T2" s="0" t="n">
        <v>510</v>
      </c>
      <c r="U2" s="0" t="n">
        <v>3</v>
      </c>
      <c r="V2" s="0" t="n">
        <v>32</v>
      </c>
      <c r="W2" s="0" t="n">
        <v>69</v>
      </c>
      <c r="X2" s="0" t="n">
        <v>56</v>
      </c>
      <c r="Y2" s="0" t="n">
        <v>18</v>
      </c>
      <c r="Z2" s="0" t="n">
        <v>985</v>
      </c>
      <c r="AA2" s="0" t="n">
        <v>197</v>
      </c>
      <c r="AB2" s="0" t="n">
        <v>10</v>
      </c>
      <c r="AC2" s="0" t="n">
        <v>3</v>
      </c>
      <c r="AD2" s="0" t="n">
        <v>25</v>
      </c>
      <c r="AE2" s="0" t="n">
        <v>2</v>
      </c>
      <c r="AF2" s="0" t="n">
        <v>40</v>
      </c>
      <c r="AG2" s="0" t="n">
        <v>10</v>
      </c>
      <c r="AH2" s="0" t="n">
        <v>37</v>
      </c>
      <c r="AI2" s="0" t="n">
        <v>284</v>
      </c>
      <c r="AJ2" s="0" t="n">
        <v>2</v>
      </c>
      <c r="AK2" s="0" t="n">
        <v>96</v>
      </c>
      <c r="AL2" s="0" t="n">
        <v>20</v>
      </c>
      <c r="AM2" s="0" t="n">
        <v>1</v>
      </c>
      <c r="AN2" s="0" t="n">
        <v>50</v>
      </c>
      <c r="AO2" s="0" t="n">
        <v>2</v>
      </c>
      <c r="AP2" s="0" t="n">
        <v>203</v>
      </c>
      <c r="AQ2" s="0" t="n">
        <v>4</v>
      </c>
      <c r="AR2" s="3" t="n">
        <v>1831</v>
      </c>
      <c r="AS2" s="0" t="n">
        <v>231</v>
      </c>
      <c r="AT2" s="0" t="n">
        <v>26</v>
      </c>
      <c r="AU2" s="0" t="n">
        <v>0</v>
      </c>
      <c r="AV2" s="0" t="n">
        <v>166</v>
      </c>
      <c r="AW2" s="0" t="n">
        <v>11</v>
      </c>
      <c r="AX2" s="0" t="n">
        <v>37</v>
      </c>
      <c r="AY2" s="0" t="n">
        <v>4</v>
      </c>
      <c r="AZ2" s="0" t="n">
        <v>2</v>
      </c>
      <c r="BA2" s="3" t="n">
        <f aca="false">SUM(B2:AZ2)</f>
        <v>17321</v>
      </c>
    </row>
    <row r="3" customFormat="false" ht="12.75" hidden="false" customHeight="false" outlineLevel="0" collapsed="false">
      <c r="A3" s="0" t="s">
        <v>2</v>
      </c>
      <c r="B3" s="0" t="n">
        <v>6</v>
      </c>
      <c r="C3" s="0" t="n">
        <v>1798</v>
      </c>
      <c r="D3" s="0" t="n">
        <v>37</v>
      </c>
      <c r="E3" s="0" t="n">
        <v>10</v>
      </c>
      <c r="F3" s="0" t="n">
        <v>98</v>
      </c>
      <c r="G3" s="0" t="n">
        <v>22</v>
      </c>
      <c r="H3" s="0" t="n">
        <v>6</v>
      </c>
      <c r="I3" s="0" t="n">
        <v>0</v>
      </c>
      <c r="J3" s="0" t="n">
        <v>0</v>
      </c>
      <c r="K3" s="0" t="n">
        <v>16</v>
      </c>
      <c r="L3" s="0" t="n">
        <v>4</v>
      </c>
      <c r="M3" s="0" t="n">
        <v>23</v>
      </c>
      <c r="N3" s="0" t="n">
        <v>7</v>
      </c>
      <c r="O3" s="0" t="n">
        <v>19</v>
      </c>
      <c r="P3" s="0" t="n">
        <v>2</v>
      </c>
      <c r="Q3" s="0" t="n">
        <v>1</v>
      </c>
      <c r="R3" s="0" t="n">
        <v>3</v>
      </c>
      <c r="S3" s="0" t="n">
        <v>1</v>
      </c>
      <c r="T3" s="0" t="n">
        <v>6</v>
      </c>
      <c r="U3" s="0" t="n">
        <v>1</v>
      </c>
      <c r="V3" s="0" t="n">
        <v>3</v>
      </c>
      <c r="W3" s="0" t="n">
        <v>7</v>
      </c>
      <c r="X3" s="0" t="n">
        <v>8</v>
      </c>
      <c r="Y3" s="0" t="n">
        <v>11</v>
      </c>
      <c r="Z3" s="0" t="n">
        <v>1</v>
      </c>
      <c r="AA3" s="0" t="n">
        <v>10</v>
      </c>
      <c r="AB3" s="0" t="n">
        <v>10</v>
      </c>
      <c r="AC3" s="0" t="n">
        <v>3</v>
      </c>
      <c r="AD3" s="0" t="n">
        <v>36</v>
      </c>
      <c r="AE3" s="0" t="n">
        <v>0</v>
      </c>
      <c r="AF3" s="0" t="n">
        <v>2</v>
      </c>
      <c r="AG3" s="0" t="n">
        <v>5</v>
      </c>
      <c r="AH3" s="0" t="n">
        <v>12</v>
      </c>
      <c r="AI3" s="0" t="n">
        <v>3</v>
      </c>
      <c r="AJ3" s="0" t="n">
        <v>1</v>
      </c>
      <c r="AK3" s="0" t="n">
        <v>8</v>
      </c>
      <c r="AL3" s="0" t="n">
        <v>5</v>
      </c>
      <c r="AM3" s="0" t="n">
        <v>60</v>
      </c>
      <c r="AN3" s="0" t="n">
        <v>6</v>
      </c>
      <c r="AO3" s="0" t="n">
        <v>0</v>
      </c>
      <c r="AP3" s="0" t="n">
        <v>1</v>
      </c>
      <c r="AQ3" s="0" t="n">
        <v>2</v>
      </c>
      <c r="AR3" s="0" t="n">
        <v>3</v>
      </c>
      <c r="AS3" s="0" t="n">
        <v>25</v>
      </c>
      <c r="AT3" s="0" t="n">
        <v>9</v>
      </c>
      <c r="AU3" s="0" t="n">
        <v>1</v>
      </c>
      <c r="AV3" s="0" t="n">
        <v>5</v>
      </c>
      <c r="AW3" s="0" t="n">
        <v>113</v>
      </c>
      <c r="AX3" s="0" t="n">
        <v>1</v>
      </c>
      <c r="AY3" s="0" t="n">
        <v>9</v>
      </c>
      <c r="AZ3" s="0" t="n">
        <v>5</v>
      </c>
      <c r="BA3" s="3" t="n">
        <f aca="false">SUM(B3:AZ3)</f>
        <v>2425</v>
      </c>
    </row>
    <row r="4" customFormat="false" ht="12.75" hidden="false" customHeight="false" outlineLevel="0" collapsed="false">
      <c r="A4" s="0" t="s">
        <v>3</v>
      </c>
      <c r="B4" s="0" t="n">
        <v>29</v>
      </c>
      <c r="C4" s="0" t="n">
        <v>39</v>
      </c>
      <c r="D4" s="3" t="n">
        <v>10895</v>
      </c>
      <c r="E4" s="0" t="n">
        <v>15</v>
      </c>
      <c r="F4" s="3" t="n">
        <v>4076</v>
      </c>
      <c r="G4" s="0" t="n">
        <v>346</v>
      </c>
      <c r="H4" s="0" t="n">
        <v>27</v>
      </c>
      <c r="I4" s="0" t="n">
        <v>5</v>
      </c>
      <c r="J4" s="0" t="n">
        <v>0</v>
      </c>
      <c r="K4" s="0" t="n">
        <v>94</v>
      </c>
      <c r="L4" s="0" t="n">
        <v>51</v>
      </c>
      <c r="M4" s="0" t="n">
        <v>89</v>
      </c>
      <c r="N4" s="0" t="n">
        <v>33</v>
      </c>
      <c r="O4" s="0" t="n">
        <v>215</v>
      </c>
      <c r="P4" s="0" t="n">
        <v>45</v>
      </c>
      <c r="Q4" s="0" t="n">
        <v>58</v>
      </c>
      <c r="R4" s="0" t="n">
        <v>74</v>
      </c>
      <c r="S4" s="0" t="n">
        <v>12</v>
      </c>
      <c r="T4" s="0" t="n">
        <v>29</v>
      </c>
      <c r="U4" s="0" t="n">
        <v>0</v>
      </c>
      <c r="V4" s="0" t="n">
        <v>36</v>
      </c>
      <c r="W4" s="0" t="n">
        <v>41</v>
      </c>
      <c r="X4" s="0" t="n">
        <v>68</v>
      </c>
      <c r="Y4" s="0" t="n">
        <v>111</v>
      </c>
      <c r="Z4" s="0" t="n">
        <v>1</v>
      </c>
      <c r="AA4" s="0" t="n">
        <v>64</v>
      </c>
      <c r="AB4" s="0" t="n">
        <v>36</v>
      </c>
      <c r="AC4" s="0" t="n">
        <v>61</v>
      </c>
      <c r="AD4" s="3" t="n">
        <v>1046</v>
      </c>
      <c r="AE4" s="0" t="n">
        <v>40</v>
      </c>
      <c r="AF4" s="0" t="n">
        <v>23</v>
      </c>
      <c r="AG4" s="0" t="n">
        <v>339</v>
      </c>
      <c r="AH4" s="0" t="n">
        <v>96</v>
      </c>
      <c r="AI4" s="0" t="n">
        <v>51</v>
      </c>
      <c r="AJ4" s="0" t="n">
        <v>9</v>
      </c>
      <c r="AK4" s="0" t="n">
        <v>64</v>
      </c>
      <c r="AL4" s="0" t="n">
        <v>65</v>
      </c>
      <c r="AM4" s="0" t="n">
        <v>114</v>
      </c>
      <c r="AN4" s="0" t="n">
        <v>82</v>
      </c>
      <c r="AO4" s="0" t="n">
        <v>1</v>
      </c>
      <c r="AP4" s="0" t="n">
        <v>17</v>
      </c>
      <c r="AQ4" s="0" t="n">
        <v>21</v>
      </c>
      <c r="AR4" s="0" t="n">
        <v>12</v>
      </c>
      <c r="AS4" s="0" t="n">
        <v>362</v>
      </c>
      <c r="AT4" s="0" t="n">
        <v>273</v>
      </c>
      <c r="AU4" s="0" t="n">
        <v>8</v>
      </c>
      <c r="AV4" s="0" t="n">
        <v>35</v>
      </c>
      <c r="AW4" s="0" t="n">
        <v>188</v>
      </c>
      <c r="AX4" s="0" t="n">
        <v>0</v>
      </c>
      <c r="AY4" s="0" t="n">
        <v>47</v>
      </c>
      <c r="AZ4" s="0" t="n">
        <v>56</v>
      </c>
      <c r="BA4" s="3" t="n">
        <f aca="false">SUM(B4:AZ4)</f>
        <v>19499</v>
      </c>
    </row>
    <row r="5" customFormat="false" ht="12.75" hidden="false" customHeight="false" outlineLevel="0" collapsed="false">
      <c r="A5" s="0" t="s">
        <v>4</v>
      </c>
      <c r="B5" s="0" t="n">
        <v>122</v>
      </c>
      <c r="C5" s="0" t="n">
        <v>24</v>
      </c>
      <c r="D5" s="0" t="n">
        <v>37</v>
      </c>
      <c r="E5" s="3" t="n">
        <v>4485</v>
      </c>
      <c r="F5" s="0" t="n">
        <v>97</v>
      </c>
      <c r="G5" s="0" t="n">
        <v>106</v>
      </c>
      <c r="H5" s="0" t="n">
        <v>6</v>
      </c>
      <c r="I5" s="0" t="n">
        <v>0</v>
      </c>
      <c r="J5" s="0" t="n">
        <v>0</v>
      </c>
      <c r="K5" s="0" t="n">
        <v>159</v>
      </c>
      <c r="L5" s="0" t="n">
        <v>73</v>
      </c>
      <c r="M5" s="0" t="n">
        <v>4</v>
      </c>
      <c r="N5" s="0" t="n">
        <v>13</v>
      </c>
      <c r="O5" s="0" t="n">
        <v>146</v>
      </c>
      <c r="P5" s="0" t="n">
        <v>40</v>
      </c>
      <c r="Q5" s="0" t="n">
        <v>32</v>
      </c>
      <c r="R5" s="0" t="n">
        <v>131</v>
      </c>
      <c r="S5" s="0" t="n">
        <v>65</v>
      </c>
      <c r="T5" s="0" t="n">
        <v>519</v>
      </c>
      <c r="U5" s="0" t="n">
        <v>3</v>
      </c>
      <c r="V5" s="0" t="n">
        <v>11</v>
      </c>
      <c r="W5" s="0" t="n">
        <v>11</v>
      </c>
      <c r="X5" s="0" t="n">
        <v>48</v>
      </c>
      <c r="Y5" s="0" t="n">
        <v>16</v>
      </c>
      <c r="Z5" s="0" t="n">
        <v>475</v>
      </c>
      <c r="AA5" s="0" t="n">
        <v>923</v>
      </c>
      <c r="AB5" s="0" t="n">
        <v>5</v>
      </c>
      <c r="AC5" s="0" t="n">
        <v>31</v>
      </c>
      <c r="AD5" s="0" t="n">
        <v>56</v>
      </c>
      <c r="AE5" s="0" t="n">
        <v>0</v>
      </c>
      <c r="AF5" s="0" t="n">
        <v>10</v>
      </c>
      <c r="AG5" s="0" t="n">
        <v>28</v>
      </c>
      <c r="AH5" s="0" t="n">
        <v>38</v>
      </c>
      <c r="AI5" s="0" t="n">
        <v>36</v>
      </c>
      <c r="AJ5" s="0" t="n">
        <v>5</v>
      </c>
      <c r="AK5" s="0" t="n">
        <v>57</v>
      </c>
      <c r="AL5" s="0" t="n">
        <v>784</v>
      </c>
      <c r="AM5" s="0" t="n">
        <v>9</v>
      </c>
      <c r="AN5" s="0" t="n">
        <v>14</v>
      </c>
      <c r="AO5" s="0" t="n">
        <v>4</v>
      </c>
      <c r="AP5" s="0" t="n">
        <v>19</v>
      </c>
      <c r="AQ5" s="0" t="n">
        <v>9</v>
      </c>
      <c r="AR5" s="0" t="n">
        <v>505</v>
      </c>
      <c r="AS5" s="0" t="n">
        <v>997</v>
      </c>
      <c r="AT5" s="0" t="n">
        <v>5</v>
      </c>
      <c r="AU5" s="0" t="n">
        <v>2</v>
      </c>
      <c r="AV5" s="0" t="n">
        <v>30</v>
      </c>
      <c r="AW5" s="0" t="n">
        <v>17</v>
      </c>
      <c r="AX5" s="0" t="n">
        <v>7</v>
      </c>
      <c r="AY5" s="0" t="n">
        <v>53</v>
      </c>
      <c r="AZ5" s="0" t="n">
        <v>19</v>
      </c>
      <c r="BA5" s="3" t="n">
        <f aca="false">SUM(B5:AZ5)</f>
        <v>10286</v>
      </c>
    </row>
    <row r="6" customFormat="false" ht="12.75" hidden="false" customHeight="false" outlineLevel="0" collapsed="false">
      <c r="A6" s="0" t="s">
        <v>5</v>
      </c>
      <c r="B6" s="0" t="n">
        <v>97</v>
      </c>
      <c r="C6" s="0" t="n">
        <v>101</v>
      </c>
      <c r="D6" s="3" t="n">
        <v>3832</v>
      </c>
      <c r="E6" s="0" t="n">
        <v>226</v>
      </c>
      <c r="F6" s="3" t="n">
        <v>64843</v>
      </c>
      <c r="G6" s="3" t="n">
        <v>1408</v>
      </c>
      <c r="H6" s="0" t="n">
        <v>190</v>
      </c>
      <c r="I6" s="0" t="n">
        <v>13</v>
      </c>
      <c r="J6" s="0" t="n">
        <v>0</v>
      </c>
      <c r="K6" s="0" t="n">
        <v>949</v>
      </c>
      <c r="L6" s="0" t="n">
        <v>315</v>
      </c>
      <c r="M6" s="3" t="n">
        <v>1530</v>
      </c>
      <c r="N6" s="0" t="n">
        <v>329</v>
      </c>
      <c r="O6" s="0" t="n">
        <v>594</v>
      </c>
      <c r="P6" s="0" t="n">
        <v>247</v>
      </c>
      <c r="Q6" s="0" t="n">
        <v>69</v>
      </c>
      <c r="R6" s="0" t="n">
        <v>141</v>
      </c>
      <c r="S6" s="0" t="n">
        <v>45</v>
      </c>
      <c r="T6" s="0" t="n">
        <v>139</v>
      </c>
      <c r="U6" s="0" t="n">
        <v>284</v>
      </c>
      <c r="V6" s="0" t="n">
        <v>133</v>
      </c>
      <c r="W6" s="0" t="n">
        <v>377</v>
      </c>
      <c r="X6" s="0" t="n">
        <v>452</v>
      </c>
      <c r="Y6" s="0" t="n">
        <v>493</v>
      </c>
      <c r="Z6" s="0" t="n">
        <v>106</v>
      </c>
      <c r="AA6" s="0" t="n">
        <v>477</v>
      </c>
      <c r="AB6" s="0" t="n">
        <v>533</v>
      </c>
      <c r="AC6" s="0" t="n">
        <v>17</v>
      </c>
      <c r="AD6" s="3" t="n">
        <v>15175</v>
      </c>
      <c r="AE6" s="0" t="n">
        <v>39</v>
      </c>
      <c r="AF6" s="0" t="n">
        <v>314</v>
      </c>
      <c r="AG6" s="0" t="n">
        <v>526</v>
      </c>
      <c r="AH6" s="3" t="n">
        <v>1441</v>
      </c>
      <c r="AI6" s="0" t="n">
        <v>286</v>
      </c>
      <c r="AJ6" s="0" t="n">
        <v>22</v>
      </c>
      <c r="AK6" s="0" t="n">
        <v>651</v>
      </c>
      <c r="AL6" s="0" t="n">
        <v>114</v>
      </c>
      <c r="AM6" s="3" t="n">
        <v>1172</v>
      </c>
      <c r="AN6" s="0" t="n">
        <v>686</v>
      </c>
      <c r="AO6" s="0" t="n">
        <v>24</v>
      </c>
      <c r="AP6" s="0" t="n">
        <v>71</v>
      </c>
      <c r="AQ6" s="0" t="n">
        <v>122</v>
      </c>
      <c r="AR6" s="0" t="n">
        <v>183</v>
      </c>
      <c r="AS6" s="0" t="n">
        <v>911</v>
      </c>
      <c r="AT6" s="0" t="n">
        <v>615</v>
      </c>
      <c r="AU6" s="0" t="n">
        <v>126</v>
      </c>
      <c r="AV6" s="0" t="n">
        <v>187</v>
      </c>
      <c r="AW6" s="3" t="n">
        <v>1102</v>
      </c>
      <c r="AX6" s="0" t="n">
        <v>118</v>
      </c>
      <c r="AY6" s="0" t="n">
        <v>59</v>
      </c>
      <c r="AZ6" s="0" t="n">
        <v>60</v>
      </c>
      <c r="BA6" s="3" t="n">
        <f aca="false">SUM(B6:AZ6)</f>
        <v>101944</v>
      </c>
    </row>
    <row r="7" customFormat="false" ht="12.75" hidden="false" customHeight="false" outlineLevel="0" collapsed="false">
      <c r="A7" s="0" t="s">
        <v>6</v>
      </c>
      <c r="B7" s="0" t="n">
        <v>43</v>
      </c>
      <c r="C7" s="0" t="n">
        <v>43</v>
      </c>
      <c r="D7" s="0" t="n">
        <v>532</v>
      </c>
      <c r="E7" s="0" t="n">
        <v>21</v>
      </c>
      <c r="F7" s="3" t="n">
        <v>1048</v>
      </c>
      <c r="G7" s="3" t="n">
        <v>6982</v>
      </c>
      <c r="H7" s="0" t="n">
        <v>13</v>
      </c>
      <c r="I7" s="0" t="n">
        <v>1</v>
      </c>
      <c r="J7" s="0" t="n">
        <v>0</v>
      </c>
      <c r="K7" s="0" t="n">
        <v>315</v>
      </c>
      <c r="L7" s="0" t="n">
        <v>141</v>
      </c>
      <c r="M7" s="0" t="n">
        <v>38</v>
      </c>
      <c r="N7" s="0" t="n">
        <v>79</v>
      </c>
      <c r="O7" s="0" t="n">
        <v>215</v>
      </c>
      <c r="P7" s="0" t="n">
        <v>40</v>
      </c>
      <c r="Q7" s="0" t="n">
        <v>107</v>
      </c>
      <c r="R7" s="0" t="n">
        <v>333</v>
      </c>
      <c r="S7" s="0" t="n">
        <v>7</v>
      </c>
      <c r="T7" s="0" t="n">
        <v>33</v>
      </c>
      <c r="U7" s="0" t="n">
        <v>12</v>
      </c>
      <c r="V7" s="0" t="n">
        <v>43</v>
      </c>
      <c r="W7" s="0" t="n">
        <v>77</v>
      </c>
      <c r="X7" s="0" t="n">
        <v>106</v>
      </c>
      <c r="Y7" s="0" t="n">
        <v>226</v>
      </c>
      <c r="Z7" s="0" t="n">
        <v>14</v>
      </c>
      <c r="AA7" s="0" t="n">
        <v>205</v>
      </c>
      <c r="AB7" s="0" t="n">
        <v>105</v>
      </c>
      <c r="AC7" s="0" t="n">
        <v>439</v>
      </c>
      <c r="AD7" s="0" t="n">
        <v>463</v>
      </c>
      <c r="AE7" s="0" t="n">
        <v>5</v>
      </c>
      <c r="AF7" s="0" t="n">
        <v>78</v>
      </c>
      <c r="AG7" s="0" t="n">
        <v>969</v>
      </c>
      <c r="AH7" s="0" t="n">
        <v>216</v>
      </c>
      <c r="AI7" s="0" t="n">
        <v>114</v>
      </c>
      <c r="AJ7" s="0" t="n">
        <v>55</v>
      </c>
      <c r="AK7" s="0" t="n">
        <v>119</v>
      </c>
      <c r="AL7" s="0" t="n">
        <v>168</v>
      </c>
      <c r="AM7" s="0" t="n">
        <v>103</v>
      </c>
      <c r="AN7" s="0" t="n">
        <v>66</v>
      </c>
      <c r="AO7" s="0" t="n">
        <v>25</v>
      </c>
      <c r="AP7" s="0" t="n">
        <v>20</v>
      </c>
      <c r="AQ7" s="0" t="n">
        <v>135</v>
      </c>
      <c r="AR7" s="0" t="n">
        <v>72</v>
      </c>
      <c r="AS7" s="0" t="n">
        <v>504</v>
      </c>
      <c r="AT7" s="0" t="n">
        <v>655</v>
      </c>
      <c r="AU7" s="0" t="n">
        <v>2</v>
      </c>
      <c r="AV7" s="0" t="n">
        <v>36</v>
      </c>
      <c r="AW7" s="0" t="n">
        <v>129</v>
      </c>
      <c r="AX7" s="0" t="n">
        <v>10</v>
      </c>
      <c r="AY7" s="0" t="n">
        <v>56</v>
      </c>
      <c r="AZ7" s="0" t="n">
        <v>703</v>
      </c>
      <c r="BA7" s="3" t="n">
        <f aca="false">SUM(B7:AZ7)</f>
        <v>15921</v>
      </c>
    </row>
    <row r="8" customFormat="false" ht="12.75" hidden="false" customHeight="false" outlineLevel="0" collapsed="false">
      <c r="A8" s="0" t="s">
        <v>7</v>
      </c>
      <c r="B8" s="0" t="n">
        <v>7</v>
      </c>
      <c r="C8" s="0" t="n">
        <v>13</v>
      </c>
      <c r="D8" s="0" t="n">
        <v>45</v>
      </c>
      <c r="E8" s="0" t="n">
        <v>12</v>
      </c>
      <c r="F8" s="0" t="n">
        <v>196</v>
      </c>
      <c r="G8" s="0" t="n">
        <v>66</v>
      </c>
      <c r="H8" s="0" t="n">
        <v>177</v>
      </c>
      <c r="I8" s="0" t="n">
        <v>51</v>
      </c>
      <c r="J8" s="0" t="n">
        <v>0</v>
      </c>
      <c r="K8" s="0" t="n">
        <v>700</v>
      </c>
      <c r="L8" s="0" t="n">
        <v>105</v>
      </c>
      <c r="M8" s="0" t="n">
        <v>27</v>
      </c>
      <c r="N8" s="0" t="n">
        <v>5</v>
      </c>
      <c r="O8" s="0" t="n">
        <v>122</v>
      </c>
      <c r="P8" s="0" t="n">
        <v>30</v>
      </c>
      <c r="Q8" s="0" t="n">
        <v>24</v>
      </c>
      <c r="R8" s="0" t="n">
        <v>3</v>
      </c>
      <c r="S8" s="0" t="n">
        <v>11</v>
      </c>
      <c r="T8" s="0" t="n">
        <v>51</v>
      </c>
      <c r="U8" s="0" t="n">
        <v>832</v>
      </c>
      <c r="V8" s="0" t="n">
        <v>166</v>
      </c>
      <c r="W8" s="3" t="n">
        <v>2613</v>
      </c>
      <c r="X8" s="0" t="n">
        <v>88</v>
      </c>
      <c r="Y8" s="0" t="n">
        <v>42</v>
      </c>
      <c r="Z8" s="0" t="n">
        <v>18</v>
      </c>
      <c r="AA8" s="0" t="n">
        <v>44</v>
      </c>
      <c r="AB8" s="0" t="n">
        <v>11</v>
      </c>
      <c r="AC8" s="0" t="n">
        <v>6</v>
      </c>
      <c r="AD8" s="0" t="n">
        <v>60</v>
      </c>
      <c r="AE8" s="0" t="n">
        <v>576</v>
      </c>
      <c r="AF8" s="0" t="n">
        <v>677</v>
      </c>
      <c r="AG8" s="0" t="n">
        <v>4</v>
      </c>
      <c r="AH8" s="3" t="n">
        <v>1981</v>
      </c>
      <c r="AI8" s="0" t="n">
        <v>160</v>
      </c>
      <c r="AJ8" s="0" t="n">
        <v>10</v>
      </c>
      <c r="AK8" s="0" t="n">
        <v>123</v>
      </c>
      <c r="AL8" s="0" t="n">
        <v>7</v>
      </c>
      <c r="AM8" s="0" t="n">
        <v>7</v>
      </c>
      <c r="AN8" s="0" t="n">
        <v>841</v>
      </c>
      <c r="AO8" s="0" t="n">
        <v>473</v>
      </c>
      <c r="AP8" s="0" t="n">
        <v>117</v>
      </c>
      <c r="AQ8" s="0" t="n">
        <v>4</v>
      </c>
      <c r="AR8" s="0" t="n">
        <v>73</v>
      </c>
      <c r="AS8" s="0" t="n">
        <v>99</v>
      </c>
      <c r="AT8" s="0" t="n">
        <v>27</v>
      </c>
      <c r="AU8" s="0" t="n">
        <v>833</v>
      </c>
      <c r="AV8" s="0" t="n">
        <v>181</v>
      </c>
      <c r="AW8" s="0" t="n">
        <v>25</v>
      </c>
      <c r="AX8" s="0" t="n">
        <v>28</v>
      </c>
      <c r="AY8" s="0" t="n">
        <v>39</v>
      </c>
      <c r="AZ8" s="0" t="n">
        <v>4</v>
      </c>
      <c r="BA8" s="3" t="n">
        <f aca="false">SUM(B8:AZ8)</f>
        <v>11814</v>
      </c>
    </row>
    <row r="9" customFormat="false" ht="12.75" hidden="false" customHeight="false" outlineLevel="0" collapsed="false">
      <c r="A9" s="0" t="s">
        <v>8</v>
      </c>
      <c r="B9" s="0" t="n">
        <v>11</v>
      </c>
      <c r="C9" s="0" t="n">
        <v>2</v>
      </c>
      <c r="D9" s="0" t="n">
        <v>2</v>
      </c>
      <c r="E9" s="0" t="n">
        <v>2</v>
      </c>
      <c r="F9" s="0" t="n">
        <v>28</v>
      </c>
      <c r="G9" s="0" t="n">
        <v>10</v>
      </c>
      <c r="H9" s="0" t="n">
        <v>32</v>
      </c>
      <c r="I9" s="0" t="n">
        <v>82</v>
      </c>
      <c r="J9" s="0" t="n">
        <v>0</v>
      </c>
      <c r="K9" s="0" t="n">
        <v>101</v>
      </c>
      <c r="L9" s="0" t="n">
        <v>29</v>
      </c>
      <c r="M9" s="0" t="n">
        <v>3</v>
      </c>
      <c r="N9" s="0" t="n">
        <v>1</v>
      </c>
      <c r="O9" s="0" t="n">
        <v>24</v>
      </c>
      <c r="P9" s="0" t="n">
        <v>12</v>
      </c>
      <c r="Q9" s="0" t="n">
        <v>3</v>
      </c>
      <c r="R9" s="0" t="n">
        <v>1</v>
      </c>
      <c r="S9" s="0" t="n">
        <v>5</v>
      </c>
      <c r="T9" s="0" t="n">
        <v>8</v>
      </c>
      <c r="U9" s="0" t="n">
        <v>16</v>
      </c>
      <c r="V9" s="0" t="n">
        <v>225</v>
      </c>
      <c r="W9" s="0" t="n">
        <v>74</v>
      </c>
      <c r="X9" s="0" t="n">
        <v>17</v>
      </c>
      <c r="Y9" s="0" t="n">
        <v>10</v>
      </c>
      <c r="Z9" s="0" t="n">
        <v>1</v>
      </c>
      <c r="AA9" s="0" t="n">
        <v>7</v>
      </c>
      <c r="AB9" s="0" t="n">
        <v>0</v>
      </c>
      <c r="AC9" s="0" t="n">
        <v>0</v>
      </c>
      <c r="AD9" s="0" t="n">
        <v>10</v>
      </c>
      <c r="AE9" s="0" t="n">
        <v>7</v>
      </c>
      <c r="AF9" s="0" t="n">
        <v>257</v>
      </c>
      <c r="AG9" s="0" t="n">
        <v>3</v>
      </c>
      <c r="AH9" s="0" t="n">
        <v>237</v>
      </c>
      <c r="AI9" s="0" t="n">
        <v>88</v>
      </c>
      <c r="AJ9" s="0" t="n">
        <v>0</v>
      </c>
      <c r="AK9" s="0" t="n">
        <v>35</v>
      </c>
      <c r="AL9" s="0" t="n">
        <v>1</v>
      </c>
      <c r="AM9" s="0" t="n">
        <v>1</v>
      </c>
      <c r="AN9" s="0" t="n">
        <v>347</v>
      </c>
      <c r="AO9" s="0" t="n">
        <v>8</v>
      </c>
      <c r="AP9" s="0" t="n">
        <v>31</v>
      </c>
      <c r="AQ9" s="0" t="n">
        <v>1</v>
      </c>
      <c r="AR9" s="0" t="n">
        <v>26</v>
      </c>
      <c r="AS9" s="0" t="n">
        <v>27</v>
      </c>
      <c r="AT9" s="0" t="n">
        <v>2</v>
      </c>
      <c r="AU9" s="0" t="n">
        <v>19</v>
      </c>
      <c r="AV9" s="0" t="n">
        <v>365</v>
      </c>
      <c r="AW9" s="0" t="n">
        <v>4</v>
      </c>
      <c r="AX9" s="0" t="n">
        <v>24</v>
      </c>
      <c r="AY9" s="0" t="n">
        <v>3</v>
      </c>
      <c r="AZ9" s="0" t="n">
        <v>0</v>
      </c>
      <c r="BA9" s="3" t="n">
        <f aca="false">SUM(B9:AZ9)</f>
        <v>2202</v>
      </c>
    </row>
    <row r="10" customFormat="false" ht="12.75" hidden="false" customHeight="false" outlineLevel="0" collapsed="false">
      <c r="A10" s="0" t="s">
        <v>219</v>
      </c>
      <c r="B10" s="0" t="n">
        <v>12</v>
      </c>
      <c r="C10" s="0" t="n">
        <v>1</v>
      </c>
      <c r="D10" s="0" t="n">
        <v>11</v>
      </c>
      <c r="E10" s="0" t="n">
        <v>7</v>
      </c>
      <c r="F10" s="0" t="n">
        <v>93</v>
      </c>
      <c r="G10" s="0" t="n">
        <v>24</v>
      </c>
      <c r="H10" s="0" t="n">
        <v>44</v>
      </c>
      <c r="I10" s="0" t="n">
        <v>103</v>
      </c>
      <c r="J10" s="0" t="n">
        <v>0</v>
      </c>
      <c r="K10" s="0" t="n">
        <v>104</v>
      </c>
      <c r="L10" s="0" t="n">
        <v>48</v>
      </c>
      <c r="M10" s="0" t="n">
        <v>4</v>
      </c>
      <c r="N10" s="0" t="n">
        <v>1</v>
      </c>
      <c r="O10" s="0" t="n">
        <v>45</v>
      </c>
      <c r="P10" s="0" t="n">
        <v>12</v>
      </c>
      <c r="Q10" s="0" t="n">
        <v>2</v>
      </c>
      <c r="R10" s="0" t="n">
        <v>4</v>
      </c>
      <c r="S10" s="0" t="n">
        <v>9</v>
      </c>
      <c r="T10" s="0" t="n">
        <v>17</v>
      </c>
      <c r="U10" s="0" t="n">
        <v>17</v>
      </c>
      <c r="V10" s="0" t="n">
        <v>45</v>
      </c>
      <c r="W10" s="0" t="n">
        <v>92</v>
      </c>
      <c r="X10" s="0" t="n">
        <v>15</v>
      </c>
      <c r="Y10" s="0" t="n">
        <v>12</v>
      </c>
      <c r="Z10" s="0" t="n">
        <v>6</v>
      </c>
      <c r="AA10" s="0" t="n">
        <v>11</v>
      </c>
      <c r="AB10" s="0" t="n">
        <v>4</v>
      </c>
      <c r="AC10" s="0" t="n">
        <v>2</v>
      </c>
      <c r="AD10" s="0" t="n">
        <v>12</v>
      </c>
      <c r="AE10" s="0" t="n">
        <v>9</v>
      </c>
      <c r="AF10" s="0" t="n">
        <v>131</v>
      </c>
      <c r="AG10" s="0" t="n">
        <v>4</v>
      </c>
      <c r="AH10" s="0" t="n">
        <v>368</v>
      </c>
      <c r="AI10" s="0" t="n">
        <v>150</v>
      </c>
      <c r="AJ10" s="0" t="n">
        <v>1</v>
      </c>
      <c r="AK10" s="0" t="n">
        <v>39</v>
      </c>
      <c r="AL10" s="0" t="n">
        <v>1</v>
      </c>
      <c r="AM10" s="0" t="n">
        <v>5</v>
      </c>
      <c r="AN10" s="0" t="n">
        <v>231</v>
      </c>
      <c r="AO10" s="0" t="n">
        <v>4</v>
      </c>
      <c r="AP10" s="0" t="n">
        <v>57</v>
      </c>
      <c r="AQ10" s="0" t="n">
        <v>1</v>
      </c>
      <c r="AR10" s="0" t="n">
        <v>16</v>
      </c>
      <c r="AS10" s="0" t="n">
        <v>45</v>
      </c>
      <c r="AT10" s="0" t="n">
        <v>2</v>
      </c>
      <c r="AU10" s="0" t="n">
        <v>10</v>
      </c>
      <c r="AV10" s="0" t="n">
        <v>262</v>
      </c>
      <c r="AW10" s="0" t="n">
        <v>13</v>
      </c>
      <c r="AX10" s="0" t="n">
        <v>64</v>
      </c>
      <c r="AY10" s="0" t="n">
        <v>4</v>
      </c>
      <c r="AZ10" s="0" t="n">
        <v>1</v>
      </c>
      <c r="BA10" s="3" t="n">
        <f aca="false">SUM(B10:AZ10)</f>
        <v>2175</v>
      </c>
    </row>
    <row r="11" customFormat="false" ht="12.75" hidden="false" customHeight="false" outlineLevel="0" collapsed="false">
      <c r="A11" s="0" t="s">
        <v>10</v>
      </c>
      <c r="B11" s="3" t="n">
        <v>1514</v>
      </c>
      <c r="C11" s="0" t="n">
        <v>83</v>
      </c>
      <c r="D11" s="0" t="n">
        <v>118</v>
      </c>
      <c r="E11" s="0" t="n">
        <v>231</v>
      </c>
      <c r="F11" s="0" t="n">
        <v>669</v>
      </c>
      <c r="G11" s="0" t="n">
        <v>219</v>
      </c>
      <c r="H11" s="0" t="n">
        <v>246</v>
      </c>
      <c r="I11" s="0" t="n">
        <v>53</v>
      </c>
      <c r="J11" s="0" t="n">
        <v>0</v>
      </c>
      <c r="K11" s="3" t="n">
        <v>24083</v>
      </c>
      <c r="L11" s="3" t="n">
        <v>3302</v>
      </c>
      <c r="M11" s="0" t="n">
        <v>24</v>
      </c>
      <c r="N11" s="0" t="n">
        <v>15</v>
      </c>
      <c r="O11" s="0" t="n">
        <v>512</v>
      </c>
      <c r="P11" s="0" t="n">
        <v>252</v>
      </c>
      <c r="Q11" s="0" t="n">
        <v>73</v>
      </c>
      <c r="R11" s="0" t="n">
        <v>52</v>
      </c>
      <c r="S11" s="0" t="n">
        <v>321</v>
      </c>
      <c r="T11" s="0" t="n">
        <v>710</v>
      </c>
      <c r="U11" s="0" t="n">
        <v>68</v>
      </c>
      <c r="V11" s="0" t="n">
        <v>190</v>
      </c>
      <c r="W11" s="0" t="n">
        <v>336</v>
      </c>
      <c r="X11" s="0" t="n">
        <v>556</v>
      </c>
      <c r="Y11" s="0" t="n">
        <v>42</v>
      </c>
      <c r="Z11" s="3" t="n">
        <v>1162</v>
      </c>
      <c r="AA11" s="0" t="n">
        <v>216</v>
      </c>
      <c r="AB11" s="0" t="n">
        <v>38</v>
      </c>
      <c r="AC11" s="0" t="n">
        <v>34</v>
      </c>
      <c r="AD11" s="0" t="n">
        <v>274</v>
      </c>
      <c r="AE11" s="0" t="n">
        <v>64</v>
      </c>
      <c r="AF11" s="0" t="n">
        <v>659</v>
      </c>
      <c r="AG11" s="0" t="n">
        <v>86</v>
      </c>
      <c r="AH11" s="3" t="n">
        <v>1484</v>
      </c>
      <c r="AI11" s="3" t="n">
        <v>1227</v>
      </c>
      <c r="AJ11" s="0" t="n">
        <v>10</v>
      </c>
      <c r="AK11" s="0" t="n">
        <v>653</v>
      </c>
      <c r="AL11" s="0" t="n">
        <v>21</v>
      </c>
      <c r="AM11" s="0" t="n">
        <v>55</v>
      </c>
      <c r="AN11" s="0" t="n">
        <v>411</v>
      </c>
      <c r="AO11" s="0" t="n">
        <v>23</v>
      </c>
      <c r="AP11" s="0" t="n">
        <v>467</v>
      </c>
      <c r="AQ11" s="0" t="n">
        <v>0</v>
      </c>
      <c r="AR11" s="0" t="n">
        <v>609</v>
      </c>
      <c r="AS11" s="0" t="n">
        <v>471</v>
      </c>
      <c r="AT11" s="0" t="n">
        <v>190</v>
      </c>
      <c r="AU11" s="0" t="n">
        <v>85</v>
      </c>
      <c r="AV11" s="0" t="n">
        <v>265</v>
      </c>
      <c r="AW11" s="0" t="n">
        <v>95</v>
      </c>
      <c r="AX11" s="0" t="n">
        <v>124</v>
      </c>
      <c r="AY11" s="0" t="n">
        <v>194</v>
      </c>
      <c r="AZ11" s="0" t="n">
        <v>14</v>
      </c>
      <c r="BA11" s="3" t="n">
        <f aca="false">SUM(B11:AZ11)</f>
        <v>42600</v>
      </c>
    </row>
    <row r="12" customFormat="false" ht="12.75" hidden="false" customHeight="false" outlineLevel="0" collapsed="false">
      <c r="A12" s="0" t="s">
        <v>11</v>
      </c>
      <c r="B12" s="3" t="n">
        <v>2477</v>
      </c>
      <c r="C12" s="0" t="n">
        <v>20</v>
      </c>
      <c r="D12" s="0" t="n">
        <v>33</v>
      </c>
      <c r="E12" s="0" t="n">
        <v>37</v>
      </c>
      <c r="F12" s="0" t="n">
        <v>306</v>
      </c>
      <c r="G12" s="0" t="n">
        <v>85</v>
      </c>
      <c r="H12" s="0" t="n">
        <v>77</v>
      </c>
      <c r="I12" s="0" t="n">
        <v>5</v>
      </c>
      <c r="J12" s="0" t="n">
        <v>0</v>
      </c>
      <c r="K12" s="3" t="n">
        <v>4568</v>
      </c>
      <c r="L12" s="3" t="n">
        <v>9448</v>
      </c>
      <c r="M12" s="0" t="n">
        <v>26</v>
      </c>
      <c r="N12" s="0" t="n">
        <v>8</v>
      </c>
      <c r="O12" s="0" t="n">
        <v>307</v>
      </c>
      <c r="P12" s="0" t="n">
        <v>187</v>
      </c>
      <c r="Q12" s="0" t="n">
        <v>17</v>
      </c>
      <c r="R12" s="0" t="n">
        <v>9</v>
      </c>
      <c r="S12" s="0" t="n">
        <v>272</v>
      </c>
      <c r="T12" s="0" t="n">
        <v>283</v>
      </c>
      <c r="U12" s="0" t="n">
        <v>42</v>
      </c>
      <c r="V12" s="0" t="n">
        <v>111</v>
      </c>
      <c r="W12" s="0" t="n">
        <v>93</v>
      </c>
      <c r="X12" s="0" t="n">
        <v>259</v>
      </c>
      <c r="Y12" s="0" t="n">
        <v>28</v>
      </c>
      <c r="Z12" s="0" t="n">
        <v>514</v>
      </c>
      <c r="AA12" s="0" t="n">
        <v>223</v>
      </c>
      <c r="AB12" s="0" t="n">
        <v>15</v>
      </c>
      <c r="AC12" s="0" t="n">
        <v>51</v>
      </c>
      <c r="AD12" s="0" t="n">
        <v>57</v>
      </c>
      <c r="AE12" s="0" t="n">
        <v>1</v>
      </c>
      <c r="AF12" s="0" t="n">
        <v>176</v>
      </c>
      <c r="AG12" s="0" t="n">
        <v>6</v>
      </c>
      <c r="AH12" s="0" t="n">
        <v>272</v>
      </c>
      <c r="AI12" s="3" t="n">
        <v>1550</v>
      </c>
      <c r="AJ12" s="0" t="n">
        <v>10</v>
      </c>
      <c r="AK12" s="0" t="n">
        <v>366</v>
      </c>
      <c r="AL12" s="0" t="n">
        <v>16</v>
      </c>
      <c r="AM12" s="0" t="n">
        <v>18</v>
      </c>
      <c r="AN12" s="0" t="n">
        <v>164</v>
      </c>
      <c r="AO12" s="0" t="n">
        <v>4</v>
      </c>
      <c r="AP12" s="3" t="n">
        <v>1900</v>
      </c>
      <c r="AQ12" s="0" t="n">
        <v>6</v>
      </c>
      <c r="AR12" s="3" t="n">
        <v>2454</v>
      </c>
      <c r="AS12" s="0" t="n">
        <v>373</v>
      </c>
      <c r="AT12" s="0" t="n">
        <v>36</v>
      </c>
      <c r="AU12" s="0" t="n">
        <v>3</v>
      </c>
      <c r="AV12" s="0" t="n">
        <v>435</v>
      </c>
      <c r="AW12" s="0" t="n">
        <v>38</v>
      </c>
      <c r="AX12" s="0" t="n">
        <v>127</v>
      </c>
      <c r="AY12" s="0" t="n">
        <v>23</v>
      </c>
      <c r="AZ12" s="0" t="n">
        <v>9</v>
      </c>
      <c r="BA12" s="3" t="n">
        <f aca="false">SUM(B12:AZ12)</f>
        <v>27545</v>
      </c>
    </row>
    <row r="13" customFormat="false" ht="12.75" hidden="false" customHeight="false" outlineLevel="0" collapsed="false">
      <c r="A13" s="0" t="s">
        <v>12</v>
      </c>
      <c r="B13" s="0" t="n">
        <v>9</v>
      </c>
      <c r="C13" s="0" t="n">
        <v>10</v>
      </c>
      <c r="D13" s="0" t="n">
        <v>10</v>
      </c>
      <c r="E13" s="0" t="n">
        <v>2</v>
      </c>
      <c r="F13" s="0" t="n">
        <v>210</v>
      </c>
      <c r="G13" s="0" t="n">
        <v>16</v>
      </c>
      <c r="H13" s="0" t="n">
        <v>0</v>
      </c>
      <c r="I13" s="0" t="n">
        <v>1</v>
      </c>
      <c r="J13" s="0" t="n">
        <v>0</v>
      </c>
      <c r="K13" s="0" t="n">
        <v>28</v>
      </c>
      <c r="L13" s="0" t="n">
        <v>4</v>
      </c>
      <c r="M13" s="3" t="n">
        <v>1322</v>
      </c>
      <c r="N13" s="0" t="n">
        <v>4</v>
      </c>
      <c r="O13" s="0" t="n">
        <v>13</v>
      </c>
      <c r="P13" s="0" t="n">
        <v>9</v>
      </c>
      <c r="Q13" s="0" t="n">
        <v>1</v>
      </c>
      <c r="R13" s="0" t="n">
        <v>1</v>
      </c>
      <c r="S13" s="0" t="n">
        <v>2</v>
      </c>
      <c r="T13" s="0" t="n">
        <v>4</v>
      </c>
      <c r="U13" s="0" t="n">
        <v>3</v>
      </c>
      <c r="V13" s="0" t="n">
        <v>7</v>
      </c>
      <c r="W13" s="0" t="n">
        <v>6</v>
      </c>
      <c r="X13" s="0" t="n">
        <v>3</v>
      </c>
      <c r="Y13" s="0" t="n">
        <v>13</v>
      </c>
      <c r="Z13" s="0" t="n">
        <v>0</v>
      </c>
      <c r="AA13" s="0" t="n">
        <v>2</v>
      </c>
      <c r="AB13" s="0" t="n">
        <v>2</v>
      </c>
      <c r="AC13" s="0" t="n">
        <v>1</v>
      </c>
      <c r="AD13" s="0" t="n">
        <v>218</v>
      </c>
      <c r="AE13" s="0" t="n">
        <v>0</v>
      </c>
      <c r="AF13" s="0" t="n">
        <v>6</v>
      </c>
      <c r="AG13" s="0" t="n">
        <v>3</v>
      </c>
      <c r="AH13" s="0" t="n">
        <v>16</v>
      </c>
      <c r="AI13" s="0" t="n">
        <v>5</v>
      </c>
      <c r="AJ13" s="0" t="n">
        <v>0</v>
      </c>
      <c r="AK13" s="0" t="n">
        <v>9</v>
      </c>
      <c r="AL13" s="0" t="n">
        <v>0</v>
      </c>
      <c r="AM13" s="0" t="n">
        <v>8</v>
      </c>
      <c r="AN13" s="0" t="n">
        <v>15</v>
      </c>
      <c r="AO13" s="0" t="n">
        <v>0</v>
      </c>
      <c r="AP13" s="0" t="n">
        <v>4</v>
      </c>
      <c r="AQ13" s="0" t="n">
        <v>0</v>
      </c>
      <c r="AR13" s="0" t="n">
        <v>1</v>
      </c>
      <c r="AS13" s="0" t="n">
        <v>26</v>
      </c>
      <c r="AT13" s="0" t="n">
        <v>11</v>
      </c>
      <c r="AU13" s="0" t="n">
        <v>0</v>
      </c>
      <c r="AV13" s="0" t="n">
        <v>10</v>
      </c>
      <c r="AW13" s="0" t="n">
        <v>56</v>
      </c>
      <c r="AX13" s="0" t="n">
        <v>1</v>
      </c>
      <c r="AY13" s="0" t="n">
        <v>3</v>
      </c>
      <c r="AZ13" s="0" t="n">
        <v>0</v>
      </c>
      <c r="BA13" s="3" t="n">
        <f aca="false">SUM(B13:AZ13)</f>
        <v>2075</v>
      </c>
    </row>
    <row r="14" customFormat="false" ht="12.75" hidden="false" customHeight="false" outlineLevel="0" collapsed="false">
      <c r="A14" s="0" t="s">
        <v>13</v>
      </c>
      <c r="B14" s="0" t="n">
        <v>2</v>
      </c>
      <c r="C14" s="0" t="n">
        <v>15</v>
      </c>
      <c r="D14" s="0" t="n">
        <v>69</v>
      </c>
      <c r="E14" s="0" t="n">
        <v>7</v>
      </c>
      <c r="F14" s="0" t="n">
        <v>330</v>
      </c>
      <c r="G14" s="0" t="n">
        <v>82</v>
      </c>
      <c r="H14" s="0" t="n">
        <v>3</v>
      </c>
      <c r="I14" s="0" t="n">
        <v>1</v>
      </c>
      <c r="J14" s="0" t="n">
        <v>0</v>
      </c>
      <c r="K14" s="0" t="n">
        <v>23</v>
      </c>
      <c r="L14" s="0" t="n">
        <v>4</v>
      </c>
      <c r="M14" s="0" t="n">
        <v>17</v>
      </c>
      <c r="N14" s="3" t="n">
        <v>3077</v>
      </c>
      <c r="O14" s="0" t="n">
        <v>24</v>
      </c>
      <c r="P14" s="0" t="n">
        <v>6</v>
      </c>
      <c r="Q14" s="0" t="n">
        <v>16</v>
      </c>
      <c r="R14" s="0" t="n">
        <v>5</v>
      </c>
      <c r="S14" s="0" t="n">
        <v>2</v>
      </c>
      <c r="T14" s="0" t="n">
        <v>8</v>
      </c>
      <c r="U14" s="0" t="n">
        <v>0</v>
      </c>
      <c r="V14" s="0" t="n">
        <v>3</v>
      </c>
      <c r="W14" s="0" t="n">
        <v>8</v>
      </c>
      <c r="X14" s="0" t="n">
        <v>9</v>
      </c>
      <c r="Y14" s="0" t="n">
        <v>16</v>
      </c>
      <c r="Z14" s="0" t="n">
        <v>6</v>
      </c>
      <c r="AA14" s="0" t="n">
        <v>16</v>
      </c>
      <c r="AB14" s="0" t="n">
        <v>297</v>
      </c>
      <c r="AC14" s="0" t="n">
        <v>17</v>
      </c>
      <c r="AD14" s="0" t="n">
        <v>232</v>
      </c>
      <c r="AE14" s="0" t="n">
        <v>1</v>
      </c>
      <c r="AF14" s="0" t="n">
        <v>3</v>
      </c>
      <c r="AG14" s="0" t="n">
        <v>18</v>
      </c>
      <c r="AH14" s="0" t="n">
        <v>9</v>
      </c>
      <c r="AI14" s="0" t="n">
        <v>8</v>
      </c>
      <c r="AJ14" s="0" t="n">
        <v>5</v>
      </c>
      <c r="AK14" s="0" t="n">
        <v>8</v>
      </c>
      <c r="AL14" s="0" t="n">
        <v>7</v>
      </c>
      <c r="AM14" s="0" t="n">
        <v>455</v>
      </c>
      <c r="AN14" s="0" t="n">
        <v>11</v>
      </c>
      <c r="AO14" s="0" t="n">
        <v>0</v>
      </c>
      <c r="AP14" s="0" t="n">
        <v>5</v>
      </c>
      <c r="AQ14" s="0" t="n">
        <v>15</v>
      </c>
      <c r="AR14" s="0" t="n">
        <v>6</v>
      </c>
      <c r="AS14" s="0" t="n">
        <v>29</v>
      </c>
      <c r="AT14" s="0" t="n">
        <v>1012</v>
      </c>
      <c r="AU14" s="0" t="n">
        <v>1</v>
      </c>
      <c r="AV14" s="0" t="n">
        <v>4</v>
      </c>
      <c r="AW14" s="0" t="n">
        <v>755</v>
      </c>
      <c r="AX14" s="0" t="n">
        <v>0</v>
      </c>
      <c r="AY14" s="0" t="n">
        <v>14</v>
      </c>
      <c r="AZ14" s="0" t="n">
        <v>164</v>
      </c>
      <c r="BA14" s="3" t="n">
        <f aca="false">SUM(B14:AZ14)</f>
        <v>6825</v>
      </c>
    </row>
    <row r="15" customFormat="false" ht="12.75" hidden="false" customHeight="false" outlineLevel="0" collapsed="false">
      <c r="A15" s="0" t="s">
        <v>14</v>
      </c>
      <c r="B15" s="0" t="n">
        <v>130</v>
      </c>
      <c r="C15" s="0" t="n">
        <v>50</v>
      </c>
      <c r="D15" s="0" t="n">
        <v>449</v>
      </c>
      <c r="E15" s="0" t="n">
        <v>192</v>
      </c>
      <c r="F15" s="0" t="n">
        <v>965</v>
      </c>
      <c r="G15" s="0" t="n">
        <v>368</v>
      </c>
      <c r="H15" s="0" t="n">
        <v>21</v>
      </c>
      <c r="I15" s="0" t="n">
        <v>0</v>
      </c>
      <c r="J15" s="0" t="n">
        <v>0</v>
      </c>
      <c r="K15" s="3" t="n">
        <v>1821</v>
      </c>
      <c r="L15" s="0" t="n">
        <v>310</v>
      </c>
      <c r="M15" s="0" t="n">
        <v>142</v>
      </c>
      <c r="N15" s="0" t="n">
        <v>17</v>
      </c>
      <c r="O15" s="3" t="n">
        <v>11964</v>
      </c>
      <c r="P15" s="3" t="n">
        <v>3017</v>
      </c>
      <c r="Q15" s="3" t="n">
        <v>1066</v>
      </c>
      <c r="R15" s="0" t="n">
        <v>301</v>
      </c>
      <c r="S15" s="0" t="n">
        <v>662</v>
      </c>
      <c r="T15" s="0" t="n">
        <v>117</v>
      </c>
      <c r="U15" s="0" t="n">
        <v>114</v>
      </c>
      <c r="V15" s="0" t="n">
        <v>69</v>
      </c>
      <c r="W15" s="0" t="n">
        <v>102</v>
      </c>
      <c r="X15" s="3" t="n">
        <v>2041</v>
      </c>
      <c r="Y15" s="0" t="n">
        <v>870</v>
      </c>
      <c r="Z15" s="0" t="n">
        <v>140</v>
      </c>
      <c r="AA15" s="3" t="n">
        <v>3515</v>
      </c>
      <c r="AB15" s="0" t="n">
        <v>16</v>
      </c>
      <c r="AC15" s="0" t="n">
        <v>265</v>
      </c>
      <c r="AD15" s="0" t="n">
        <v>311</v>
      </c>
      <c r="AE15" s="0" t="n">
        <v>6</v>
      </c>
      <c r="AF15" s="0" t="n">
        <v>230</v>
      </c>
      <c r="AG15" s="0" t="n">
        <v>27</v>
      </c>
      <c r="AH15" s="0" t="n">
        <v>655</v>
      </c>
      <c r="AI15" s="0" t="n">
        <v>297</v>
      </c>
      <c r="AJ15" s="0" t="n">
        <v>29</v>
      </c>
      <c r="AK15" s="0" t="n">
        <v>802</v>
      </c>
      <c r="AL15" s="0" t="n">
        <v>251</v>
      </c>
      <c r="AM15" s="0" t="n">
        <v>52</v>
      </c>
      <c r="AN15" s="0" t="n">
        <v>441</v>
      </c>
      <c r="AO15" s="0" t="n">
        <v>13</v>
      </c>
      <c r="AP15" s="0" t="n">
        <v>201</v>
      </c>
      <c r="AQ15" s="0" t="n">
        <v>192</v>
      </c>
      <c r="AR15" s="0" t="n">
        <v>520</v>
      </c>
      <c r="AS15" s="3" t="n">
        <v>1261</v>
      </c>
      <c r="AT15" s="0" t="n">
        <v>57</v>
      </c>
      <c r="AU15" s="0" t="n">
        <v>14</v>
      </c>
      <c r="AV15" s="0" t="n">
        <v>191</v>
      </c>
      <c r="AW15" s="0" t="n">
        <v>193</v>
      </c>
      <c r="AX15" s="0" t="n">
        <v>47</v>
      </c>
      <c r="AY15" s="3" t="n">
        <v>4892</v>
      </c>
      <c r="AZ15" s="0" t="n">
        <v>33</v>
      </c>
      <c r="BA15" s="3" t="n">
        <f aca="false">SUM(B15:AZ15)</f>
        <v>39439</v>
      </c>
    </row>
    <row r="16" customFormat="false" ht="12.75" hidden="false" customHeight="false" outlineLevel="0" collapsed="false">
      <c r="A16" s="0" t="s">
        <v>15</v>
      </c>
      <c r="B16" s="0" t="n">
        <v>195</v>
      </c>
      <c r="C16" s="0" t="n">
        <v>18</v>
      </c>
      <c r="D16" s="0" t="n">
        <v>110</v>
      </c>
      <c r="E16" s="0" t="n">
        <v>100</v>
      </c>
      <c r="F16" s="0" t="n">
        <v>171</v>
      </c>
      <c r="G16" s="0" t="n">
        <v>151</v>
      </c>
      <c r="H16" s="0" t="n">
        <v>34</v>
      </c>
      <c r="I16" s="0" t="n">
        <v>7</v>
      </c>
      <c r="J16" s="0" t="n">
        <v>0</v>
      </c>
      <c r="K16" s="0" t="n">
        <v>997</v>
      </c>
      <c r="L16" s="0" t="n">
        <v>144</v>
      </c>
      <c r="M16" s="0" t="n">
        <v>22</v>
      </c>
      <c r="N16" s="0" t="n">
        <v>23</v>
      </c>
      <c r="O16" s="3" t="n">
        <v>2359</v>
      </c>
      <c r="P16" s="3" t="n">
        <v>8278</v>
      </c>
      <c r="Q16" s="0" t="n">
        <v>125</v>
      </c>
      <c r="R16" s="0" t="n">
        <v>42</v>
      </c>
      <c r="S16" s="3" t="n">
        <v>1709</v>
      </c>
      <c r="T16" s="0" t="n">
        <v>49</v>
      </c>
      <c r="U16" s="0" t="n">
        <v>13</v>
      </c>
      <c r="V16" s="0" t="n">
        <v>41</v>
      </c>
      <c r="W16" s="0" t="n">
        <v>70</v>
      </c>
      <c r="X16" s="3" t="n">
        <v>2049</v>
      </c>
      <c r="Y16" s="0" t="n">
        <v>99</v>
      </c>
      <c r="Z16" s="0" t="n">
        <v>34</v>
      </c>
      <c r="AA16" s="0" t="n">
        <v>587</v>
      </c>
      <c r="AB16" s="0" t="n">
        <v>8</v>
      </c>
      <c r="AC16" s="0" t="n">
        <v>20</v>
      </c>
      <c r="AD16" s="0" t="n">
        <v>177</v>
      </c>
      <c r="AE16" s="0" t="n">
        <v>9</v>
      </c>
      <c r="AF16" s="0" t="n">
        <v>35</v>
      </c>
      <c r="AG16" s="0" t="n">
        <v>17</v>
      </c>
      <c r="AH16" s="0" t="n">
        <v>90</v>
      </c>
      <c r="AI16" s="0" t="n">
        <v>118</v>
      </c>
      <c r="AJ16" s="0" t="n">
        <v>8</v>
      </c>
      <c r="AK16" s="3" t="n">
        <v>1977</v>
      </c>
      <c r="AL16" s="0" t="n">
        <v>55</v>
      </c>
      <c r="AM16" s="0" t="n">
        <v>23</v>
      </c>
      <c r="AN16" s="0" t="n">
        <v>295</v>
      </c>
      <c r="AO16" s="0" t="n">
        <v>13</v>
      </c>
      <c r="AP16" s="0" t="n">
        <v>157</v>
      </c>
      <c r="AQ16" s="0" t="n">
        <v>18</v>
      </c>
      <c r="AR16" s="0" t="n">
        <v>705</v>
      </c>
      <c r="AS16" s="0" t="n">
        <v>209</v>
      </c>
      <c r="AT16" s="0" t="n">
        <v>35</v>
      </c>
      <c r="AU16" s="0" t="n">
        <v>4</v>
      </c>
      <c r="AV16" s="0" t="n">
        <v>108</v>
      </c>
      <c r="AW16" s="0" t="n">
        <v>48</v>
      </c>
      <c r="AX16" s="0" t="n">
        <v>102</v>
      </c>
      <c r="AY16" s="0" t="n">
        <v>267</v>
      </c>
      <c r="AZ16" s="0" t="n">
        <v>22</v>
      </c>
      <c r="BA16" s="3" t="n">
        <f aca="false">SUM(B16:AZ16)</f>
        <v>21947</v>
      </c>
    </row>
    <row r="17" customFormat="false" ht="12.75" hidden="false" customHeight="false" outlineLevel="0" collapsed="false">
      <c r="A17" s="0" t="s">
        <v>16</v>
      </c>
      <c r="B17" s="0" t="n">
        <v>3</v>
      </c>
      <c r="C17" s="0" t="n">
        <v>11</v>
      </c>
      <c r="D17" s="0" t="n">
        <v>88</v>
      </c>
      <c r="E17" s="0" t="n">
        <v>65</v>
      </c>
      <c r="F17" s="0" t="n">
        <v>234</v>
      </c>
      <c r="G17" s="0" t="n">
        <v>270</v>
      </c>
      <c r="H17" s="0" t="n">
        <v>5</v>
      </c>
      <c r="I17" s="0" t="n">
        <v>11</v>
      </c>
      <c r="J17" s="0" t="n">
        <v>0</v>
      </c>
      <c r="K17" s="0" t="n">
        <v>158</v>
      </c>
      <c r="L17" s="0" t="n">
        <v>83</v>
      </c>
      <c r="M17" s="0" t="n">
        <v>21</v>
      </c>
      <c r="N17" s="0" t="n">
        <v>16</v>
      </c>
      <c r="O17" s="3" t="n">
        <v>1110</v>
      </c>
      <c r="P17" s="0" t="n">
        <v>188</v>
      </c>
      <c r="Q17" s="3" t="n">
        <v>5811</v>
      </c>
      <c r="R17" s="0" t="n">
        <v>194</v>
      </c>
      <c r="S17" s="0" t="n">
        <v>26</v>
      </c>
      <c r="T17" s="0" t="n">
        <v>25</v>
      </c>
      <c r="U17" s="0" t="n">
        <v>1</v>
      </c>
      <c r="V17" s="0" t="n">
        <v>10</v>
      </c>
      <c r="W17" s="0" t="n">
        <v>11</v>
      </c>
      <c r="X17" s="0" t="n">
        <v>87</v>
      </c>
      <c r="Y17" s="3" t="n">
        <v>1016</v>
      </c>
      <c r="Z17" s="0" t="n">
        <v>16</v>
      </c>
      <c r="AA17" s="0" t="n">
        <v>704</v>
      </c>
      <c r="AB17" s="0" t="n">
        <v>12</v>
      </c>
      <c r="AC17" s="0" t="n">
        <v>641</v>
      </c>
      <c r="AD17" s="0" t="n">
        <v>90</v>
      </c>
      <c r="AE17" s="0" t="n">
        <v>5</v>
      </c>
      <c r="AF17" s="0" t="n">
        <v>13</v>
      </c>
      <c r="AG17" s="0" t="n">
        <v>28</v>
      </c>
      <c r="AH17" s="0" t="n">
        <v>54</v>
      </c>
      <c r="AI17" s="0" t="n">
        <v>34</v>
      </c>
      <c r="AJ17" s="0" t="n">
        <v>20</v>
      </c>
      <c r="AK17" s="0" t="n">
        <v>106</v>
      </c>
      <c r="AL17" s="0" t="n">
        <v>60</v>
      </c>
      <c r="AM17" s="0" t="n">
        <v>23</v>
      </c>
      <c r="AN17" s="0" t="n">
        <v>35</v>
      </c>
      <c r="AO17" s="0" t="n">
        <v>0</v>
      </c>
      <c r="AP17" s="0" t="n">
        <v>32</v>
      </c>
      <c r="AQ17" s="0" t="n">
        <v>320</v>
      </c>
      <c r="AR17" s="0" t="n">
        <v>58</v>
      </c>
      <c r="AS17" s="0" t="n">
        <v>159</v>
      </c>
      <c r="AT17" s="0" t="n">
        <v>20</v>
      </c>
      <c r="AU17" s="0" t="n">
        <v>2</v>
      </c>
      <c r="AV17" s="0" t="n">
        <v>70</v>
      </c>
      <c r="AW17" s="0" t="n">
        <v>51</v>
      </c>
      <c r="AX17" s="0" t="n">
        <v>2</v>
      </c>
      <c r="AY17" s="0" t="n">
        <v>703</v>
      </c>
      <c r="AZ17" s="0" t="n">
        <v>18</v>
      </c>
      <c r="BA17" s="3" t="n">
        <f aca="false">SUM(B17:AZ17)</f>
        <v>12720</v>
      </c>
    </row>
    <row r="18" customFormat="false" ht="12.75" hidden="false" customHeight="false" outlineLevel="0" collapsed="false">
      <c r="A18" s="0" t="s">
        <v>17</v>
      </c>
      <c r="B18" s="0" t="n">
        <v>17</v>
      </c>
      <c r="C18" s="0" t="n">
        <v>10</v>
      </c>
      <c r="D18" s="0" t="n">
        <v>106</v>
      </c>
      <c r="E18" s="0" t="n">
        <v>175</v>
      </c>
      <c r="F18" s="0" t="n">
        <v>185</v>
      </c>
      <c r="G18" s="0" t="n">
        <v>841</v>
      </c>
      <c r="H18" s="0" t="n">
        <v>5</v>
      </c>
      <c r="I18" s="0" t="n">
        <v>0</v>
      </c>
      <c r="J18" s="0" t="n">
        <v>0</v>
      </c>
      <c r="K18" s="0" t="n">
        <v>132</v>
      </c>
      <c r="L18" s="0" t="n">
        <v>71</v>
      </c>
      <c r="M18" s="0" t="n">
        <v>19</v>
      </c>
      <c r="N18" s="0" t="n">
        <v>6</v>
      </c>
      <c r="O18" s="0" t="n">
        <v>232</v>
      </c>
      <c r="P18" s="0" t="n">
        <v>77</v>
      </c>
      <c r="Q18" s="0" t="n">
        <v>253</v>
      </c>
      <c r="R18" s="3" t="n">
        <v>4560</v>
      </c>
      <c r="S18" s="0" t="n">
        <v>38</v>
      </c>
      <c r="T18" s="0" t="n">
        <v>39</v>
      </c>
      <c r="U18" s="0" t="n">
        <v>5</v>
      </c>
      <c r="V18" s="0" t="n">
        <v>16</v>
      </c>
      <c r="W18" s="0" t="n">
        <v>22</v>
      </c>
      <c r="X18" s="0" t="n">
        <v>67</v>
      </c>
      <c r="Y18" s="0" t="n">
        <v>107</v>
      </c>
      <c r="Z18" s="0" t="n">
        <v>21</v>
      </c>
      <c r="AA18" s="3" t="n">
        <v>2086</v>
      </c>
      <c r="AB18" s="0" t="n">
        <v>27</v>
      </c>
      <c r="AC18" s="0" t="n">
        <v>688</v>
      </c>
      <c r="AD18" s="0" t="n">
        <v>150</v>
      </c>
      <c r="AE18" s="0" t="n">
        <v>1</v>
      </c>
      <c r="AF18" s="0" t="n">
        <v>21</v>
      </c>
      <c r="AG18" s="0" t="n">
        <v>71</v>
      </c>
      <c r="AH18" s="0" t="n">
        <v>62</v>
      </c>
      <c r="AI18" s="0" t="n">
        <v>44</v>
      </c>
      <c r="AJ18" s="0" t="n">
        <v>31</v>
      </c>
      <c r="AK18" s="0" t="n">
        <v>107</v>
      </c>
      <c r="AL18" s="0" t="n">
        <v>926</v>
      </c>
      <c r="AM18" s="0" t="n">
        <v>17</v>
      </c>
      <c r="AN18" s="0" t="n">
        <v>43</v>
      </c>
      <c r="AO18" s="0" t="n">
        <v>1</v>
      </c>
      <c r="AP18" s="0" t="n">
        <v>11</v>
      </c>
      <c r="AQ18" s="0" t="n">
        <v>37</v>
      </c>
      <c r="AR18" s="0" t="n">
        <v>39</v>
      </c>
      <c r="AS18" s="0" t="n">
        <v>466</v>
      </c>
      <c r="AT18" s="0" t="n">
        <v>53</v>
      </c>
      <c r="AU18" s="0" t="n">
        <v>0</v>
      </c>
      <c r="AV18" s="0" t="n">
        <v>29</v>
      </c>
      <c r="AW18" s="0" t="n">
        <v>85</v>
      </c>
      <c r="AX18" s="0" t="n">
        <v>6</v>
      </c>
      <c r="AY18" s="0" t="n">
        <v>51</v>
      </c>
      <c r="AZ18" s="0" t="n">
        <v>45</v>
      </c>
      <c r="BA18" s="3" t="n">
        <f aca="false">SUM(B18:AZ18)</f>
        <v>12101</v>
      </c>
    </row>
    <row r="19" customFormat="false" ht="12.75" hidden="false" customHeight="false" outlineLevel="0" collapsed="false">
      <c r="A19" s="0" t="s">
        <v>18</v>
      </c>
      <c r="B19" s="0" t="n">
        <v>211</v>
      </c>
      <c r="C19" s="0" t="n">
        <v>2</v>
      </c>
      <c r="D19" s="0" t="n">
        <v>50</v>
      </c>
      <c r="E19" s="0" t="n">
        <v>51</v>
      </c>
      <c r="F19" s="0" t="n">
        <v>118</v>
      </c>
      <c r="G19" s="0" t="n">
        <v>47</v>
      </c>
      <c r="H19" s="0" t="n">
        <v>2</v>
      </c>
      <c r="I19" s="0" t="n">
        <v>2</v>
      </c>
      <c r="J19" s="0" t="n">
        <v>0</v>
      </c>
      <c r="K19" s="0" t="n">
        <v>694</v>
      </c>
      <c r="L19" s="0" t="n">
        <v>317</v>
      </c>
      <c r="M19" s="0" t="n">
        <v>3</v>
      </c>
      <c r="N19" s="0" t="n">
        <v>1</v>
      </c>
      <c r="O19" s="0" t="n">
        <v>562</v>
      </c>
      <c r="P19" s="3" t="n">
        <v>1389</v>
      </c>
      <c r="Q19" s="0" t="n">
        <v>11</v>
      </c>
      <c r="R19" s="0" t="n">
        <v>33</v>
      </c>
      <c r="S19" s="3" t="n">
        <v>5574</v>
      </c>
      <c r="T19" s="0" t="n">
        <v>55</v>
      </c>
      <c r="U19" s="0" t="n">
        <v>14</v>
      </c>
      <c r="V19" s="0" t="n">
        <v>61</v>
      </c>
      <c r="W19" s="0" t="n">
        <v>25</v>
      </c>
      <c r="X19" s="0" t="n">
        <v>345</v>
      </c>
      <c r="Y19" s="0" t="n">
        <v>37</v>
      </c>
      <c r="Z19" s="0" t="n">
        <v>82</v>
      </c>
      <c r="AA19" s="0" t="n">
        <v>406</v>
      </c>
      <c r="AB19" s="0" t="n">
        <v>8</v>
      </c>
      <c r="AC19" s="0" t="n">
        <v>9</v>
      </c>
      <c r="AD19" s="0" t="n">
        <v>64</v>
      </c>
      <c r="AE19" s="0" t="n">
        <v>3</v>
      </c>
      <c r="AF19" s="0" t="n">
        <v>105</v>
      </c>
      <c r="AG19" s="0" t="n">
        <v>13</v>
      </c>
      <c r="AH19" s="0" t="n">
        <v>108</v>
      </c>
      <c r="AI19" s="0" t="n">
        <v>188</v>
      </c>
      <c r="AJ19" s="0" t="n">
        <v>0</v>
      </c>
      <c r="AK19" s="3" t="n">
        <v>1781</v>
      </c>
      <c r="AL19" s="0" t="n">
        <v>26</v>
      </c>
      <c r="AM19" s="0" t="n">
        <v>2</v>
      </c>
      <c r="AN19" s="0" t="n">
        <v>112</v>
      </c>
      <c r="AO19" s="0" t="n">
        <v>10</v>
      </c>
      <c r="AP19" s="0" t="n">
        <v>207</v>
      </c>
      <c r="AQ19" s="0" t="n">
        <v>8</v>
      </c>
      <c r="AR19" s="3" t="n">
        <v>1878</v>
      </c>
      <c r="AS19" s="0" t="n">
        <v>154</v>
      </c>
      <c r="AT19" s="0" t="n">
        <v>11</v>
      </c>
      <c r="AU19" s="0" t="n">
        <v>0</v>
      </c>
      <c r="AV19" s="0" t="n">
        <v>207</v>
      </c>
      <c r="AW19" s="0" t="n">
        <v>15</v>
      </c>
      <c r="AX19" s="0" t="n">
        <v>418</v>
      </c>
      <c r="AY19" s="0" t="n">
        <v>147</v>
      </c>
      <c r="AZ19" s="0" t="n">
        <v>9</v>
      </c>
      <c r="BA19" s="3" t="n">
        <f aca="false">SUM(B19:AZ19)</f>
        <v>15575</v>
      </c>
    </row>
    <row r="20" customFormat="false" ht="12.75" hidden="false" customHeight="false" outlineLevel="0" collapsed="false">
      <c r="A20" s="0" t="s">
        <v>19</v>
      </c>
      <c r="B20" s="0" t="n">
        <v>668</v>
      </c>
      <c r="C20" s="0" t="n">
        <v>10</v>
      </c>
      <c r="D20" s="0" t="n">
        <v>28</v>
      </c>
      <c r="E20" s="0" t="n">
        <v>279</v>
      </c>
      <c r="F20" s="0" t="n">
        <v>163</v>
      </c>
      <c r="G20" s="0" t="n">
        <v>95</v>
      </c>
      <c r="H20" s="0" t="n">
        <v>22</v>
      </c>
      <c r="I20" s="0" t="n">
        <v>0</v>
      </c>
      <c r="J20" s="0" t="n">
        <v>0</v>
      </c>
      <c r="K20" s="0" t="n">
        <v>989</v>
      </c>
      <c r="L20" s="0" t="n">
        <v>254</v>
      </c>
      <c r="M20" s="0" t="n">
        <v>20</v>
      </c>
      <c r="N20" s="0" t="n">
        <v>27</v>
      </c>
      <c r="O20" s="0" t="n">
        <v>105</v>
      </c>
      <c r="P20" s="0" t="n">
        <v>21</v>
      </c>
      <c r="Q20" s="0" t="n">
        <v>46</v>
      </c>
      <c r="R20" s="0" t="n">
        <v>34</v>
      </c>
      <c r="S20" s="0" t="n">
        <v>34</v>
      </c>
      <c r="T20" s="3" t="n">
        <v>6052</v>
      </c>
      <c r="U20" s="0" t="n">
        <v>9</v>
      </c>
      <c r="V20" s="0" t="n">
        <v>34</v>
      </c>
      <c r="W20" s="0" t="n">
        <v>20</v>
      </c>
      <c r="X20" s="0" t="n">
        <v>43</v>
      </c>
      <c r="Y20" s="0" t="n">
        <v>25</v>
      </c>
      <c r="Z20" s="3" t="n">
        <v>1312</v>
      </c>
      <c r="AA20" s="0" t="n">
        <v>198</v>
      </c>
      <c r="AB20" s="0" t="n">
        <v>11</v>
      </c>
      <c r="AC20" s="0" t="n">
        <v>10</v>
      </c>
      <c r="AD20" s="0" t="n">
        <v>71</v>
      </c>
      <c r="AE20" s="0" t="n">
        <v>1</v>
      </c>
      <c r="AF20" s="0" t="n">
        <v>24</v>
      </c>
      <c r="AG20" s="0" t="n">
        <v>51</v>
      </c>
      <c r="AH20" s="0" t="n">
        <v>80</v>
      </c>
      <c r="AI20" s="0" t="n">
        <v>77</v>
      </c>
      <c r="AJ20" s="0" t="n">
        <v>5</v>
      </c>
      <c r="AK20" s="0" t="n">
        <v>47</v>
      </c>
      <c r="AL20" s="0" t="n">
        <v>96</v>
      </c>
      <c r="AM20" s="0" t="n">
        <v>10</v>
      </c>
      <c r="AN20" s="0" t="n">
        <v>58</v>
      </c>
      <c r="AO20" s="0" t="n">
        <v>1</v>
      </c>
      <c r="AP20" s="0" t="n">
        <v>47</v>
      </c>
      <c r="AQ20" s="0" t="n">
        <v>1</v>
      </c>
      <c r="AR20" s="0" t="n">
        <v>264</v>
      </c>
      <c r="AS20" s="3" t="n">
        <v>2896</v>
      </c>
      <c r="AT20" s="0" t="n">
        <v>34</v>
      </c>
      <c r="AU20" s="0" t="n">
        <v>0</v>
      </c>
      <c r="AV20" s="0" t="n">
        <v>97</v>
      </c>
      <c r="AW20" s="0" t="n">
        <v>29</v>
      </c>
      <c r="AX20" s="0" t="n">
        <v>7</v>
      </c>
      <c r="AY20" s="0" t="n">
        <v>16</v>
      </c>
      <c r="AZ20" s="0" t="n">
        <v>20</v>
      </c>
      <c r="BA20" s="3" t="n">
        <f aca="false">SUM(B20:AZ20)</f>
        <v>14441</v>
      </c>
    </row>
    <row r="21" customFormat="false" ht="12.75" hidden="false" customHeight="false" outlineLevel="0" collapsed="false">
      <c r="A21" s="0" t="s">
        <v>20</v>
      </c>
      <c r="B21" s="0" t="n">
        <v>3</v>
      </c>
      <c r="C21" s="0" t="n">
        <v>8</v>
      </c>
      <c r="D21" s="0" t="n">
        <v>10</v>
      </c>
      <c r="E21" s="0" t="n">
        <v>0</v>
      </c>
      <c r="F21" s="0" t="n">
        <v>28</v>
      </c>
      <c r="G21" s="0" t="n">
        <v>7</v>
      </c>
      <c r="H21" s="0" t="n">
        <v>199</v>
      </c>
      <c r="I21" s="0" t="n">
        <v>6</v>
      </c>
      <c r="J21" s="0" t="n">
        <v>0</v>
      </c>
      <c r="K21" s="0" t="n">
        <v>151</v>
      </c>
      <c r="L21" s="0" t="n">
        <v>17</v>
      </c>
      <c r="M21" s="0" t="n">
        <v>7</v>
      </c>
      <c r="N21" s="0" t="n">
        <v>1</v>
      </c>
      <c r="O21" s="0" t="n">
        <v>15</v>
      </c>
      <c r="P21" s="0" t="n">
        <v>10</v>
      </c>
      <c r="Q21" s="0" t="n">
        <v>1</v>
      </c>
      <c r="R21" s="0" t="n">
        <v>1</v>
      </c>
      <c r="S21" s="0" t="n">
        <v>6</v>
      </c>
      <c r="T21" s="0" t="n">
        <v>7</v>
      </c>
      <c r="U21" s="3" t="n">
        <v>2144</v>
      </c>
      <c r="V21" s="0" t="n">
        <v>30</v>
      </c>
      <c r="W21" s="0" t="n">
        <v>989</v>
      </c>
      <c r="X21" s="0" t="n">
        <v>19</v>
      </c>
      <c r="Y21" s="0" t="n">
        <v>5</v>
      </c>
      <c r="Z21" s="0" t="n">
        <v>2</v>
      </c>
      <c r="AA21" s="0" t="n">
        <v>12</v>
      </c>
      <c r="AB21" s="0" t="n">
        <v>1</v>
      </c>
      <c r="AC21" s="0" t="n">
        <v>0</v>
      </c>
      <c r="AD21" s="0" t="n">
        <v>17</v>
      </c>
      <c r="AE21" s="0" t="n">
        <v>522</v>
      </c>
      <c r="AF21" s="0" t="n">
        <v>62</v>
      </c>
      <c r="AG21" s="0" t="n">
        <v>3</v>
      </c>
      <c r="AH21" s="0" t="n">
        <v>200</v>
      </c>
      <c r="AI21" s="0" t="n">
        <v>16</v>
      </c>
      <c r="AJ21" s="0" t="n">
        <v>0</v>
      </c>
      <c r="AK21" s="0" t="n">
        <v>23</v>
      </c>
      <c r="AL21" s="0" t="n">
        <v>3</v>
      </c>
      <c r="AM21" s="0" t="n">
        <v>2</v>
      </c>
      <c r="AN21" s="0" t="n">
        <v>73</v>
      </c>
      <c r="AO21" s="0" t="n">
        <v>92</v>
      </c>
      <c r="AP21" s="0" t="n">
        <v>40</v>
      </c>
      <c r="AQ21" s="0" t="n">
        <v>0</v>
      </c>
      <c r="AR21" s="0" t="n">
        <v>12</v>
      </c>
      <c r="AS21" s="0" t="n">
        <v>31</v>
      </c>
      <c r="AT21" s="0" t="n">
        <v>2</v>
      </c>
      <c r="AU21" s="0" t="n">
        <v>181</v>
      </c>
      <c r="AV21" s="0" t="n">
        <v>58</v>
      </c>
      <c r="AW21" s="0" t="n">
        <v>11</v>
      </c>
      <c r="AX21" s="0" t="n">
        <v>2</v>
      </c>
      <c r="AY21" s="0" t="n">
        <v>9</v>
      </c>
      <c r="AZ21" s="0" t="n">
        <v>1</v>
      </c>
      <c r="BA21" s="3" t="n">
        <f aca="false">SUM(B21:AZ21)</f>
        <v>5039</v>
      </c>
    </row>
    <row r="22" customFormat="false" ht="12.75" hidden="false" customHeight="false" outlineLevel="0" collapsed="false">
      <c r="A22" s="0" t="s">
        <v>21</v>
      </c>
      <c r="B22" s="0" t="n">
        <v>112</v>
      </c>
      <c r="C22" s="0" t="n">
        <v>18</v>
      </c>
      <c r="D22" s="0" t="n">
        <v>93</v>
      </c>
      <c r="E22" s="0" t="n">
        <v>18</v>
      </c>
      <c r="F22" s="0" t="n">
        <v>282</v>
      </c>
      <c r="G22" s="0" t="n">
        <v>58</v>
      </c>
      <c r="H22" s="0" t="n">
        <v>321</v>
      </c>
      <c r="I22" s="0" t="n">
        <v>856</v>
      </c>
      <c r="J22" s="0" t="n">
        <v>0</v>
      </c>
      <c r="K22" s="0" t="n">
        <v>748</v>
      </c>
      <c r="L22" s="0" t="n">
        <v>300</v>
      </c>
      <c r="M22" s="0" t="n">
        <v>34</v>
      </c>
      <c r="N22" s="0" t="n">
        <v>6</v>
      </c>
      <c r="O22" s="0" t="n">
        <v>169</v>
      </c>
      <c r="P22" s="0" t="n">
        <v>90</v>
      </c>
      <c r="Q22" s="0" t="n">
        <v>31</v>
      </c>
      <c r="R22" s="0" t="n">
        <v>20</v>
      </c>
      <c r="S22" s="0" t="n">
        <v>48</v>
      </c>
      <c r="T22" s="0" t="n">
        <v>57</v>
      </c>
      <c r="U22" s="0" t="n">
        <v>76</v>
      </c>
      <c r="V22" s="3" t="n">
        <v>3462</v>
      </c>
      <c r="W22" s="0" t="n">
        <v>408</v>
      </c>
      <c r="X22" s="0" t="n">
        <v>129</v>
      </c>
      <c r="Y22" s="0" t="n">
        <v>42</v>
      </c>
      <c r="Z22" s="0" t="n">
        <v>22</v>
      </c>
      <c r="AA22" s="0" t="n">
        <v>57</v>
      </c>
      <c r="AB22" s="0" t="n">
        <v>20</v>
      </c>
      <c r="AC22" s="0" t="n">
        <v>7</v>
      </c>
      <c r="AD22" s="0" t="n">
        <v>82</v>
      </c>
      <c r="AE22" s="0" t="n">
        <v>45</v>
      </c>
      <c r="AF22" s="3" t="n">
        <v>3857</v>
      </c>
      <c r="AG22" s="0" t="n">
        <v>39</v>
      </c>
      <c r="AH22" s="3" t="n">
        <v>1274</v>
      </c>
      <c r="AI22" s="0" t="n">
        <v>869</v>
      </c>
      <c r="AJ22" s="0" t="n">
        <v>0</v>
      </c>
      <c r="AK22" s="0" t="n">
        <v>327</v>
      </c>
      <c r="AL22" s="0" t="n">
        <v>20</v>
      </c>
      <c r="AM22" s="0" t="n">
        <v>12</v>
      </c>
      <c r="AN22" s="3" t="n">
        <v>2668</v>
      </c>
      <c r="AO22" s="0" t="n">
        <v>89</v>
      </c>
      <c r="AP22" s="0" t="n">
        <v>516</v>
      </c>
      <c r="AQ22" s="0" t="n">
        <v>0</v>
      </c>
      <c r="AR22" s="0" t="n">
        <v>116</v>
      </c>
      <c r="AS22" s="0" t="n">
        <v>186</v>
      </c>
      <c r="AT22" s="0" t="n">
        <v>24</v>
      </c>
      <c r="AU22" s="0" t="n">
        <v>51</v>
      </c>
      <c r="AV22" s="3" t="n">
        <v>2269</v>
      </c>
      <c r="AW22" s="0" t="n">
        <v>55</v>
      </c>
      <c r="AX22" s="0" t="n">
        <v>610</v>
      </c>
      <c r="AY22" s="0" t="n">
        <v>23</v>
      </c>
      <c r="AZ22" s="0" t="n">
        <v>7</v>
      </c>
      <c r="BA22" s="3" t="n">
        <f aca="false">SUM(B22:AZ22)</f>
        <v>20623</v>
      </c>
    </row>
    <row r="23" customFormat="false" ht="12.75" hidden="false" customHeight="false" outlineLevel="0" collapsed="false">
      <c r="A23" s="0" t="s">
        <v>22</v>
      </c>
      <c r="B23" s="0" t="n">
        <v>16</v>
      </c>
      <c r="C23" s="0" t="n">
        <v>21</v>
      </c>
      <c r="D23" s="0" t="n">
        <v>80</v>
      </c>
      <c r="E23" s="0" t="n">
        <v>9</v>
      </c>
      <c r="F23" s="0" t="n">
        <v>437</v>
      </c>
      <c r="G23" s="0" t="n">
        <v>67</v>
      </c>
      <c r="H23" s="3" t="n">
        <v>1534</v>
      </c>
      <c r="I23" s="0" t="n">
        <v>51</v>
      </c>
      <c r="J23" s="0" t="n">
        <v>0</v>
      </c>
      <c r="K23" s="3" t="n">
        <v>1186</v>
      </c>
      <c r="L23" s="0" t="n">
        <v>180</v>
      </c>
      <c r="M23" s="0" t="n">
        <v>21</v>
      </c>
      <c r="N23" s="0" t="n">
        <v>0</v>
      </c>
      <c r="O23" s="0" t="n">
        <v>123</v>
      </c>
      <c r="P23" s="0" t="n">
        <v>42</v>
      </c>
      <c r="Q23" s="0" t="n">
        <v>16</v>
      </c>
      <c r="R23" s="0" t="n">
        <v>35</v>
      </c>
      <c r="S23" s="0" t="n">
        <v>12</v>
      </c>
      <c r="T23" s="0" t="n">
        <v>50</v>
      </c>
      <c r="U23" s="3" t="n">
        <v>2866</v>
      </c>
      <c r="V23" s="0" t="n">
        <v>112</v>
      </c>
      <c r="W23" s="3" t="n">
        <v>2722</v>
      </c>
      <c r="X23" s="0" t="n">
        <v>54</v>
      </c>
      <c r="Y23" s="0" t="n">
        <v>63</v>
      </c>
      <c r="Z23" s="0" t="n">
        <v>7</v>
      </c>
      <c r="AA23" s="0" t="n">
        <v>33</v>
      </c>
      <c r="AB23" s="0" t="n">
        <v>5</v>
      </c>
      <c r="AC23" s="0" t="n">
        <v>9</v>
      </c>
      <c r="AD23" s="0" t="n">
        <v>119</v>
      </c>
      <c r="AE23" s="3" t="n">
        <v>2959</v>
      </c>
      <c r="AF23" s="0" t="n">
        <v>858</v>
      </c>
      <c r="AG23" s="0" t="n">
        <v>30</v>
      </c>
      <c r="AH23" s="3" t="n">
        <v>2384</v>
      </c>
      <c r="AI23" s="0" t="n">
        <v>52</v>
      </c>
      <c r="AJ23" s="0" t="n">
        <v>0</v>
      </c>
      <c r="AK23" s="0" t="n">
        <v>157</v>
      </c>
      <c r="AL23" s="0" t="n">
        <v>21</v>
      </c>
      <c r="AM23" s="0" t="n">
        <v>21</v>
      </c>
      <c r="AN23" s="0" t="n">
        <v>557</v>
      </c>
      <c r="AO23" s="0" t="n">
        <v>247</v>
      </c>
      <c r="AP23" s="0" t="n">
        <v>116</v>
      </c>
      <c r="AQ23" s="0" t="n">
        <v>3</v>
      </c>
      <c r="AR23" s="0" t="n">
        <v>53</v>
      </c>
      <c r="AS23" s="0" t="n">
        <v>105</v>
      </c>
      <c r="AT23" s="0" t="n">
        <v>10</v>
      </c>
      <c r="AU23" s="0" t="n">
        <v>947</v>
      </c>
      <c r="AV23" s="0" t="n">
        <v>302</v>
      </c>
      <c r="AW23" s="0" t="n">
        <v>70</v>
      </c>
      <c r="AX23" s="0" t="n">
        <v>21</v>
      </c>
      <c r="AY23" s="0" t="n">
        <v>33</v>
      </c>
      <c r="AZ23" s="0" t="n">
        <v>3</v>
      </c>
      <c r="BA23" s="3" t="n">
        <f aca="false">SUM(B23:AZ23)</f>
        <v>18819</v>
      </c>
    </row>
    <row r="24" customFormat="false" ht="12.75" hidden="false" customHeight="false" outlineLevel="0" collapsed="false">
      <c r="A24" s="0" t="s">
        <v>23</v>
      </c>
      <c r="B24" s="0" t="n">
        <v>146</v>
      </c>
      <c r="C24" s="0" t="n">
        <v>85</v>
      </c>
      <c r="D24" s="0" t="n">
        <v>220</v>
      </c>
      <c r="E24" s="0" t="n">
        <v>216</v>
      </c>
      <c r="F24" s="0" t="n">
        <v>518</v>
      </c>
      <c r="G24" s="0" t="n">
        <v>117</v>
      </c>
      <c r="H24" s="0" t="n">
        <v>26</v>
      </c>
      <c r="I24" s="0" t="n">
        <v>18</v>
      </c>
      <c r="J24" s="0" t="n">
        <v>0</v>
      </c>
      <c r="K24" s="3" t="n">
        <v>1358</v>
      </c>
      <c r="L24" s="0" t="n">
        <v>498</v>
      </c>
      <c r="M24" s="0" t="n">
        <v>49</v>
      </c>
      <c r="N24" s="0" t="n">
        <v>12</v>
      </c>
      <c r="O24" s="3" t="n">
        <v>3384</v>
      </c>
      <c r="P24" s="3" t="n">
        <v>1007</v>
      </c>
      <c r="Q24" s="0" t="n">
        <v>176</v>
      </c>
      <c r="R24" s="0" t="n">
        <v>161</v>
      </c>
      <c r="S24" s="0" t="n">
        <v>520</v>
      </c>
      <c r="T24" s="0" t="n">
        <v>109</v>
      </c>
      <c r="U24" s="0" t="n">
        <v>39</v>
      </c>
      <c r="V24" s="0" t="n">
        <v>83</v>
      </c>
      <c r="W24" s="0" t="n">
        <v>279</v>
      </c>
      <c r="X24" s="3" t="n">
        <v>22000</v>
      </c>
      <c r="Y24" s="0" t="n">
        <v>284</v>
      </c>
      <c r="Z24" s="0" t="n">
        <v>92</v>
      </c>
      <c r="AA24" s="0" t="n">
        <v>362</v>
      </c>
      <c r="AB24" s="0" t="n">
        <v>15</v>
      </c>
      <c r="AC24" s="0" t="n">
        <v>28</v>
      </c>
      <c r="AD24" s="0" t="n">
        <v>372</v>
      </c>
      <c r="AE24" s="0" t="n">
        <v>41</v>
      </c>
      <c r="AF24" s="0" t="n">
        <v>133</v>
      </c>
      <c r="AG24" s="0" t="n">
        <v>38</v>
      </c>
      <c r="AH24" s="0" t="n">
        <v>550</v>
      </c>
      <c r="AI24" s="0" t="n">
        <v>117</v>
      </c>
      <c r="AJ24" s="0" t="n">
        <v>42</v>
      </c>
      <c r="AK24" s="3" t="n">
        <v>3688</v>
      </c>
      <c r="AL24" s="0" t="n">
        <v>67</v>
      </c>
      <c r="AM24" s="0" t="n">
        <v>21</v>
      </c>
      <c r="AN24" s="0" t="n">
        <v>485</v>
      </c>
      <c r="AO24" s="0" t="n">
        <v>0</v>
      </c>
      <c r="AP24" s="0" t="n">
        <v>250</v>
      </c>
      <c r="AQ24" s="0" t="n">
        <v>16</v>
      </c>
      <c r="AR24" s="0" t="n">
        <v>521</v>
      </c>
      <c r="AS24" s="0" t="n">
        <v>197</v>
      </c>
      <c r="AT24" s="0" t="n">
        <v>35</v>
      </c>
      <c r="AU24" s="0" t="n">
        <v>34</v>
      </c>
      <c r="AV24" s="0" t="n">
        <v>173</v>
      </c>
      <c r="AW24" s="0" t="n">
        <v>73</v>
      </c>
      <c r="AX24" s="0" t="n">
        <v>95</v>
      </c>
      <c r="AY24" s="0" t="n">
        <v>954</v>
      </c>
      <c r="AZ24" s="0" t="n">
        <v>32</v>
      </c>
      <c r="BA24" s="3" t="n">
        <f aca="false">SUM(B24:AZ24)</f>
        <v>39736</v>
      </c>
    </row>
    <row r="25" customFormat="false" ht="12.75" hidden="false" customHeight="false" outlineLevel="0" collapsed="false">
      <c r="A25" s="0" t="s">
        <v>24</v>
      </c>
      <c r="B25" s="0" t="n">
        <v>34</v>
      </c>
      <c r="C25" s="0" t="n">
        <v>22</v>
      </c>
      <c r="D25" s="0" t="n">
        <v>208</v>
      </c>
      <c r="E25" s="0" t="n">
        <v>12</v>
      </c>
      <c r="F25" s="0" t="n">
        <v>439</v>
      </c>
      <c r="G25" s="0" t="n">
        <v>217</v>
      </c>
      <c r="H25" s="0" t="n">
        <v>22</v>
      </c>
      <c r="I25" s="0" t="n">
        <v>0</v>
      </c>
      <c r="J25" s="0" t="n">
        <v>0</v>
      </c>
      <c r="K25" s="0" t="n">
        <v>420</v>
      </c>
      <c r="L25" s="0" t="n">
        <v>33</v>
      </c>
      <c r="M25" s="0" t="n">
        <v>56</v>
      </c>
      <c r="N25" s="0" t="n">
        <v>13</v>
      </c>
      <c r="O25" s="0" t="n">
        <v>744</v>
      </c>
      <c r="P25" s="0" t="n">
        <v>103</v>
      </c>
      <c r="Q25" s="0" t="n">
        <v>809</v>
      </c>
      <c r="R25" s="0" t="n">
        <v>104</v>
      </c>
      <c r="S25" s="0" t="n">
        <v>30</v>
      </c>
      <c r="T25" s="0" t="n">
        <v>54</v>
      </c>
      <c r="U25" s="0" t="n">
        <v>4</v>
      </c>
      <c r="V25" s="0" t="n">
        <v>14</v>
      </c>
      <c r="W25" s="0" t="n">
        <v>50</v>
      </c>
      <c r="X25" s="0" t="n">
        <v>331</v>
      </c>
      <c r="Y25" s="3" t="n">
        <v>15379</v>
      </c>
      <c r="Z25" s="0" t="n">
        <v>48</v>
      </c>
      <c r="AA25" s="0" t="n">
        <v>278</v>
      </c>
      <c r="AB25" s="0" t="n">
        <v>107</v>
      </c>
      <c r="AC25" s="0" t="n">
        <v>169</v>
      </c>
      <c r="AD25" s="0" t="n">
        <v>211</v>
      </c>
      <c r="AE25" s="0" t="n">
        <v>7</v>
      </c>
      <c r="AF25" s="0" t="n">
        <v>19</v>
      </c>
      <c r="AG25" s="0" t="n">
        <v>29</v>
      </c>
      <c r="AH25" s="0" t="n">
        <v>227</v>
      </c>
      <c r="AI25" s="0" t="n">
        <v>64</v>
      </c>
      <c r="AJ25" s="3" t="n">
        <v>1227</v>
      </c>
      <c r="AK25" s="0" t="n">
        <v>58</v>
      </c>
      <c r="AL25" s="0" t="n">
        <v>28</v>
      </c>
      <c r="AM25" s="0" t="n">
        <v>52</v>
      </c>
      <c r="AN25" s="0" t="n">
        <v>42</v>
      </c>
      <c r="AO25" s="0" t="n">
        <v>5</v>
      </c>
      <c r="AP25" s="0" t="n">
        <v>18</v>
      </c>
      <c r="AQ25" s="0" t="n">
        <v>644</v>
      </c>
      <c r="AR25" s="0" t="n">
        <v>35</v>
      </c>
      <c r="AS25" s="0" t="n">
        <v>252</v>
      </c>
      <c r="AT25" s="0" t="n">
        <v>12</v>
      </c>
      <c r="AU25" s="0" t="n">
        <v>3</v>
      </c>
      <c r="AV25" s="0" t="n">
        <v>47</v>
      </c>
      <c r="AW25" s="0" t="n">
        <v>92</v>
      </c>
      <c r="AX25" s="0" t="n">
        <v>0</v>
      </c>
      <c r="AY25" s="3" t="n">
        <v>2911</v>
      </c>
      <c r="AZ25" s="0" t="n">
        <v>39</v>
      </c>
      <c r="BA25" s="3" t="n">
        <f aca="false">SUM(B25:AZ25)</f>
        <v>25722</v>
      </c>
    </row>
    <row r="26" customFormat="false" ht="12.75" hidden="false" customHeight="false" outlineLevel="0" collapsed="false">
      <c r="A26" s="0" t="s">
        <v>25</v>
      </c>
      <c r="B26" s="0" t="n">
        <v>960</v>
      </c>
      <c r="C26" s="0" t="n">
        <v>26</v>
      </c>
      <c r="D26" s="0" t="n">
        <v>19</v>
      </c>
      <c r="E26" s="0" t="n">
        <v>258</v>
      </c>
      <c r="F26" s="0" t="n">
        <v>72</v>
      </c>
      <c r="G26" s="0" t="n">
        <v>31</v>
      </c>
      <c r="H26" s="0" t="n">
        <v>3</v>
      </c>
      <c r="I26" s="0" t="n">
        <v>1</v>
      </c>
      <c r="J26" s="0" t="n">
        <v>0</v>
      </c>
      <c r="K26" s="0" t="n">
        <v>560</v>
      </c>
      <c r="L26" s="0" t="n">
        <v>252</v>
      </c>
      <c r="M26" s="0" t="n">
        <v>18</v>
      </c>
      <c r="N26" s="0" t="n">
        <v>2</v>
      </c>
      <c r="O26" s="0" t="n">
        <v>147</v>
      </c>
      <c r="P26" s="0" t="n">
        <v>38</v>
      </c>
      <c r="Q26" s="0" t="n">
        <v>10</v>
      </c>
      <c r="R26" s="0" t="n">
        <v>32</v>
      </c>
      <c r="S26" s="0" t="n">
        <v>39</v>
      </c>
      <c r="T26" s="3" t="n">
        <v>1693</v>
      </c>
      <c r="U26" s="0" t="n">
        <v>0</v>
      </c>
      <c r="V26" s="0" t="n">
        <v>6</v>
      </c>
      <c r="W26" s="0" t="n">
        <v>15</v>
      </c>
      <c r="X26" s="0" t="n">
        <v>63</v>
      </c>
      <c r="Y26" s="0" t="n">
        <v>7</v>
      </c>
      <c r="Z26" s="3" t="n">
        <v>4613</v>
      </c>
      <c r="AA26" s="0" t="n">
        <v>153</v>
      </c>
      <c r="AB26" s="0" t="n">
        <v>1</v>
      </c>
      <c r="AC26" s="0" t="n">
        <v>1</v>
      </c>
      <c r="AD26" s="0" t="n">
        <v>11</v>
      </c>
      <c r="AE26" s="0" t="n">
        <v>12</v>
      </c>
      <c r="AF26" s="0" t="n">
        <v>12</v>
      </c>
      <c r="AG26" s="0" t="n">
        <v>16</v>
      </c>
      <c r="AH26" s="0" t="n">
        <v>37</v>
      </c>
      <c r="AI26" s="0" t="n">
        <v>74</v>
      </c>
      <c r="AJ26" s="0" t="n">
        <v>6</v>
      </c>
      <c r="AK26" s="0" t="n">
        <v>37</v>
      </c>
      <c r="AL26" s="0" t="n">
        <v>19</v>
      </c>
      <c r="AM26" s="0" t="n">
        <v>3</v>
      </c>
      <c r="AN26" s="0" t="n">
        <v>32</v>
      </c>
      <c r="AO26" s="0" t="n">
        <v>1</v>
      </c>
      <c r="AP26" s="0" t="n">
        <v>30</v>
      </c>
      <c r="AQ26" s="0" t="n">
        <v>0</v>
      </c>
      <c r="AR26" s="3" t="n">
        <v>1022</v>
      </c>
      <c r="AS26" s="0" t="n">
        <v>414</v>
      </c>
      <c r="AT26" s="0" t="n">
        <v>4</v>
      </c>
      <c r="AU26" s="0" t="n">
        <v>1</v>
      </c>
      <c r="AV26" s="0" t="n">
        <v>41</v>
      </c>
      <c r="AW26" s="0" t="n">
        <v>16</v>
      </c>
      <c r="AX26" s="0" t="n">
        <v>7</v>
      </c>
      <c r="AY26" s="0" t="n">
        <v>14</v>
      </c>
      <c r="AZ26" s="0" t="n">
        <v>1</v>
      </c>
      <c r="BA26" s="3" t="n">
        <f aca="false">SUM(B26:AZ26)</f>
        <v>10830</v>
      </c>
    </row>
    <row r="27" customFormat="false" ht="12.75" hidden="false" customHeight="false" outlineLevel="0" collapsed="false">
      <c r="A27" s="0" t="s">
        <v>26</v>
      </c>
      <c r="B27" s="0" t="n">
        <v>120</v>
      </c>
      <c r="C27" s="0" t="n">
        <v>15</v>
      </c>
      <c r="D27" s="0" t="n">
        <v>113</v>
      </c>
      <c r="E27" s="0" t="n">
        <v>909</v>
      </c>
      <c r="F27" s="0" t="n">
        <v>266</v>
      </c>
      <c r="G27" s="0" t="n">
        <v>476</v>
      </c>
      <c r="H27" s="0" t="n">
        <v>9</v>
      </c>
      <c r="I27" s="0" t="n">
        <v>2</v>
      </c>
      <c r="J27" s="0" t="n">
        <v>0</v>
      </c>
      <c r="K27" s="0" t="n">
        <v>524</v>
      </c>
      <c r="L27" s="0" t="n">
        <v>215</v>
      </c>
      <c r="M27" s="0" t="n">
        <v>28</v>
      </c>
      <c r="N27" s="0" t="n">
        <v>4</v>
      </c>
      <c r="O27" s="3" t="n">
        <v>2058</v>
      </c>
      <c r="P27" s="0" t="n">
        <v>382</v>
      </c>
      <c r="Q27" s="0" t="n">
        <v>895</v>
      </c>
      <c r="R27" s="3" t="n">
        <v>1520</v>
      </c>
      <c r="S27" s="0" t="n">
        <v>203</v>
      </c>
      <c r="T27" s="0" t="n">
        <v>290</v>
      </c>
      <c r="U27" s="0" t="n">
        <v>3</v>
      </c>
      <c r="V27" s="0" t="n">
        <v>36</v>
      </c>
      <c r="W27" s="0" t="n">
        <v>63</v>
      </c>
      <c r="X27" s="0" t="n">
        <v>241</v>
      </c>
      <c r="Y27" s="0" t="n">
        <v>147</v>
      </c>
      <c r="Z27" s="0" t="n">
        <v>162</v>
      </c>
      <c r="AA27" s="3" t="n">
        <v>12275</v>
      </c>
      <c r="AB27" s="0" t="n">
        <v>11</v>
      </c>
      <c r="AC27" s="0" t="n">
        <v>335</v>
      </c>
      <c r="AD27" s="0" t="n">
        <v>148</v>
      </c>
      <c r="AE27" s="0" t="n">
        <v>0</v>
      </c>
      <c r="AF27" s="0" t="n">
        <v>47</v>
      </c>
      <c r="AG27" s="0" t="n">
        <v>35</v>
      </c>
      <c r="AH27" s="0" t="n">
        <v>97</v>
      </c>
      <c r="AI27" s="0" t="n">
        <v>113</v>
      </c>
      <c r="AJ27" s="0" t="n">
        <v>3</v>
      </c>
      <c r="AK27" s="0" t="n">
        <v>146</v>
      </c>
      <c r="AL27" s="3" t="n">
        <v>1025</v>
      </c>
      <c r="AM27" s="0" t="n">
        <v>20</v>
      </c>
      <c r="AN27" s="0" t="n">
        <v>103</v>
      </c>
      <c r="AO27" s="0" t="n">
        <v>3</v>
      </c>
      <c r="AP27" s="0" t="n">
        <v>153</v>
      </c>
      <c r="AQ27" s="0" t="n">
        <v>62</v>
      </c>
      <c r="AR27" s="0" t="n">
        <v>677</v>
      </c>
      <c r="AS27" s="0" t="n">
        <v>751</v>
      </c>
      <c r="AT27" s="0" t="n">
        <v>71</v>
      </c>
      <c r="AU27" s="0" t="n">
        <v>2</v>
      </c>
      <c r="AV27" s="0" t="n">
        <v>53</v>
      </c>
      <c r="AW27" s="0" t="n">
        <v>81</v>
      </c>
      <c r="AX27" s="0" t="n">
        <v>21</v>
      </c>
      <c r="AY27" s="0" t="n">
        <v>181</v>
      </c>
      <c r="AZ27" s="0" t="n">
        <v>26</v>
      </c>
      <c r="BA27" s="3" t="n">
        <f aca="false">SUM(B27:AZ27)</f>
        <v>25120</v>
      </c>
    </row>
    <row r="28" customFormat="false" ht="12.75" hidden="false" customHeight="false" outlineLevel="0" collapsed="false">
      <c r="A28" s="0" t="s">
        <v>27</v>
      </c>
      <c r="B28" s="0" t="n">
        <v>1</v>
      </c>
      <c r="C28" s="0" t="n">
        <v>9</v>
      </c>
      <c r="D28" s="0" t="n">
        <v>62</v>
      </c>
      <c r="E28" s="0" t="n">
        <v>1</v>
      </c>
      <c r="F28" s="0" t="n">
        <v>89</v>
      </c>
      <c r="G28" s="0" t="n">
        <v>87</v>
      </c>
      <c r="H28" s="0" t="n">
        <v>2</v>
      </c>
      <c r="I28" s="0" t="n">
        <v>0</v>
      </c>
      <c r="J28" s="0" t="n">
        <v>0</v>
      </c>
      <c r="K28" s="0" t="n">
        <v>22</v>
      </c>
      <c r="L28" s="0" t="n">
        <v>5</v>
      </c>
      <c r="M28" s="0" t="n">
        <v>11</v>
      </c>
      <c r="N28" s="0" t="n">
        <v>246</v>
      </c>
      <c r="O28" s="0" t="n">
        <v>9</v>
      </c>
      <c r="P28" s="0" t="n">
        <v>5</v>
      </c>
      <c r="Q28" s="0" t="n">
        <v>12</v>
      </c>
      <c r="R28" s="0" t="n">
        <v>11</v>
      </c>
      <c r="S28" s="0" t="n">
        <v>4</v>
      </c>
      <c r="T28" s="0" t="n">
        <v>7</v>
      </c>
      <c r="U28" s="0" t="n">
        <v>2</v>
      </c>
      <c r="V28" s="0" t="n">
        <v>2</v>
      </c>
      <c r="W28" s="0" t="n">
        <v>7</v>
      </c>
      <c r="X28" s="0" t="n">
        <v>26</v>
      </c>
      <c r="Y28" s="0" t="n">
        <v>56</v>
      </c>
      <c r="Z28" s="0" t="n">
        <v>1</v>
      </c>
      <c r="AA28" s="0" t="n">
        <v>25</v>
      </c>
      <c r="AB28" s="3" t="n">
        <v>4117</v>
      </c>
      <c r="AC28" s="0" t="n">
        <v>12</v>
      </c>
      <c r="AD28" s="0" t="n">
        <v>59</v>
      </c>
      <c r="AE28" s="0" t="n">
        <v>1</v>
      </c>
      <c r="AF28" s="0" t="n">
        <v>3</v>
      </c>
      <c r="AG28" s="0" t="n">
        <v>17</v>
      </c>
      <c r="AH28" s="0" t="n">
        <v>13</v>
      </c>
      <c r="AI28" s="0" t="n">
        <v>4</v>
      </c>
      <c r="AJ28" s="0" t="n">
        <v>186</v>
      </c>
      <c r="AK28" s="0" t="n">
        <v>8</v>
      </c>
      <c r="AL28" s="0" t="n">
        <v>5</v>
      </c>
      <c r="AM28" s="0" t="n">
        <v>77</v>
      </c>
      <c r="AN28" s="0" t="n">
        <v>4</v>
      </c>
      <c r="AO28" s="0" t="n">
        <v>0</v>
      </c>
      <c r="AP28" s="0" t="n">
        <v>2</v>
      </c>
      <c r="AQ28" s="0" t="n">
        <v>47</v>
      </c>
      <c r="AR28" s="0" t="n">
        <v>5</v>
      </c>
      <c r="AS28" s="0" t="n">
        <v>34</v>
      </c>
      <c r="AT28" s="0" t="n">
        <v>66</v>
      </c>
      <c r="AU28" s="0" t="n">
        <v>0</v>
      </c>
      <c r="AV28" s="0" t="n">
        <v>6</v>
      </c>
      <c r="AW28" s="0" t="n">
        <v>365</v>
      </c>
      <c r="AX28" s="0" t="n">
        <v>4</v>
      </c>
      <c r="AY28" s="0" t="n">
        <v>9</v>
      </c>
      <c r="AZ28" s="0" t="n">
        <v>214</v>
      </c>
      <c r="BA28" s="3" t="n">
        <f aca="false">SUM(B28:AZ28)</f>
        <v>5960</v>
      </c>
    </row>
    <row r="29" customFormat="false" ht="12.75" hidden="false" customHeight="false" outlineLevel="0" collapsed="false">
      <c r="A29" s="0" t="s">
        <v>28</v>
      </c>
      <c r="B29" s="0" t="n">
        <v>26</v>
      </c>
      <c r="C29" s="0" t="n">
        <v>7</v>
      </c>
      <c r="D29" s="0" t="n">
        <v>85</v>
      </c>
      <c r="E29" s="0" t="n">
        <v>61</v>
      </c>
      <c r="F29" s="0" t="n">
        <v>130</v>
      </c>
      <c r="G29" s="0" t="n">
        <v>596</v>
      </c>
      <c r="H29" s="0" t="n">
        <v>7</v>
      </c>
      <c r="I29" s="0" t="n">
        <v>2</v>
      </c>
      <c r="J29" s="0" t="n">
        <v>0</v>
      </c>
      <c r="K29" s="0" t="n">
        <v>88</v>
      </c>
      <c r="L29" s="0" t="n">
        <v>29</v>
      </c>
      <c r="M29" s="0" t="n">
        <v>15</v>
      </c>
      <c r="N29" s="0" t="n">
        <v>10</v>
      </c>
      <c r="O29" s="0" t="n">
        <v>191</v>
      </c>
      <c r="P29" s="0" t="n">
        <v>66</v>
      </c>
      <c r="Q29" s="0" t="n">
        <v>961</v>
      </c>
      <c r="R29" s="0" t="n">
        <v>407</v>
      </c>
      <c r="S29" s="0" t="n">
        <v>16</v>
      </c>
      <c r="T29" s="0" t="n">
        <v>11</v>
      </c>
      <c r="U29" s="0" t="n">
        <v>1</v>
      </c>
      <c r="V29" s="0" t="n">
        <v>10</v>
      </c>
      <c r="W29" s="0" t="n">
        <v>8</v>
      </c>
      <c r="X29" s="0" t="n">
        <v>28</v>
      </c>
      <c r="Y29" s="0" t="n">
        <v>296</v>
      </c>
      <c r="Z29" s="0" t="n">
        <v>5</v>
      </c>
      <c r="AA29" s="0" t="n">
        <v>583</v>
      </c>
      <c r="AB29" s="0" t="n">
        <v>17</v>
      </c>
      <c r="AC29" s="3" t="n">
        <v>3653</v>
      </c>
      <c r="AD29" s="0" t="n">
        <v>96</v>
      </c>
      <c r="AE29" s="0" t="n">
        <v>2</v>
      </c>
      <c r="AF29" s="0" t="n">
        <v>12</v>
      </c>
      <c r="AG29" s="0" t="n">
        <v>17</v>
      </c>
      <c r="AH29" s="0" t="n">
        <v>24</v>
      </c>
      <c r="AI29" s="0" t="n">
        <v>11</v>
      </c>
      <c r="AJ29" s="0" t="n">
        <v>33</v>
      </c>
      <c r="AK29" s="0" t="n">
        <v>24</v>
      </c>
      <c r="AL29" s="0" t="n">
        <v>49</v>
      </c>
      <c r="AM29" s="0" t="n">
        <v>24</v>
      </c>
      <c r="AN29" s="0" t="n">
        <v>14</v>
      </c>
      <c r="AO29" s="0" t="n">
        <v>0</v>
      </c>
      <c r="AP29" s="0" t="n">
        <v>14</v>
      </c>
      <c r="AQ29" s="0" t="n">
        <v>430</v>
      </c>
      <c r="AR29" s="0" t="n">
        <v>38</v>
      </c>
      <c r="AS29" s="0" t="n">
        <v>188</v>
      </c>
      <c r="AT29" s="0" t="n">
        <v>21</v>
      </c>
      <c r="AU29" s="0" t="n">
        <v>2</v>
      </c>
      <c r="AV29" s="0" t="n">
        <v>21</v>
      </c>
      <c r="AW29" s="0" t="n">
        <v>33</v>
      </c>
      <c r="AX29" s="0" t="n">
        <v>4</v>
      </c>
      <c r="AY29" s="0" t="n">
        <v>81</v>
      </c>
      <c r="AZ29" s="0" t="n">
        <v>151</v>
      </c>
      <c r="BA29" s="3" t="n">
        <f aca="false">SUM(B29:AZ29)</f>
        <v>8598</v>
      </c>
    </row>
    <row r="30" customFormat="false" ht="12.75" hidden="false" customHeight="false" outlineLevel="0" collapsed="false">
      <c r="A30" s="0" t="s">
        <v>29</v>
      </c>
      <c r="B30" s="0" t="n">
        <v>1</v>
      </c>
      <c r="C30" s="0" t="n">
        <v>16</v>
      </c>
      <c r="D30" s="0" t="n">
        <v>450</v>
      </c>
      <c r="E30" s="0" t="n">
        <v>11</v>
      </c>
      <c r="F30" s="3" t="n">
        <v>2922</v>
      </c>
      <c r="G30" s="0" t="n">
        <v>105</v>
      </c>
      <c r="H30" s="0" t="n">
        <v>4</v>
      </c>
      <c r="I30" s="0" t="n">
        <v>0</v>
      </c>
      <c r="J30" s="0" t="n">
        <v>0</v>
      </c>
      <c r="K30" s="0" t="n">
        <v>49</v>
      </c>
      <c r="L30" s="0" t="n">
        <v>12</v>
      </c>
      <c r="M30" s="0" t="n">
        <v>35</v>
      </c>
      <c r="N30" s="0" t="n">
        <v>325</v>
      </c>
      <c r="O30" s="0" t="n">
        <v>65</v>
      </c>
      <c r="P30" s="0" t="n">
        <v>13</v>
      </c>
      <c r="Q30" s="0" t="n">
        <v>10</v>
      </c>
      <c r="R30" s="0" t="n">
        <v>9</v>
      </c>
      <c r="S30" s="0" t="n">
        <v>14</v>
      </c>
      <c r="T30" s="0" t="n">
        <v>34</v>
      </c>
      <c r="U30" s="0" t="n">
        <v>1</v>
      </c>
      <c r="V30" s="0" t="n">
        <v>1</v>
      </c>
      <c r="W30" s="0" t="n">
        <v>10</v>
      </c>
      <c r="X30" s="0" t="n">
        <v>24</v>
      </c>
      <c r="Y30" s="0" t="n">
        <v>19</v>
      </c>
      <c r="Z30" s="0" t="n">
        <v>2</v>
      </c>
      <c r="AA30" s="0" t="n">
        <v>27</v>
      </c>
      <c r="AB30" s="0" t="n">
        <v>33</v>
      </c>
      <c r="AC30" s="0" t="n">
        <v>11</v>
      </c>
      <c r="AD30" s="3" t="n">
        <v>1173</v>
      </c>
      <c r="AE30" s="0" t="n">
        <v>2</v>
      </c>
      <c r="AF30" s="0" t="n">
        <v>10</v>
      </c>
      <c r="AG30" s="0" t="n">
        <v>58</v>
      </c>
      <c r="AH30" s="0" t="n">
        <v>16</v>
      </c>
      <c r="AI30" s="0" t="n">
        <v>6</v>
      </c>
      <c r="AJ30" s="0" t="n">
        <v>2</v>
      </c>
      <c r="AK30" s="0" t="n">
        <v>40</v>
      </c>
      <c r="AL30" s="0" t="n">
        <v>15</v>
      </c>
      <c r="AM30" s="0" t="n">
        <v>74</v>
      </c>
      <c r="AN30" s="0" t="n">
        <v>13</v>
      </c>
      <c r="AO30" s="0" t="n">
        <v>1</v>
      </c>
      <c r="AP30" s="0" t="n">
        <v>4</v>
      </c>
      <c r="AQ30" s="0" t="n">
        <v>6</v>
      </c>
      <c r="AR30" s="0" t="n">
        <v>14</v>
      </c>
      <c r="AS30" s="0" t="n">
        <v>85</v>
      </c>
      <c r="AT30" s="0" t="n">
        <v>829</v>
      </c>
      <c r="AU30" s="0" t="n">
        <v>3</v>
      </c>
      <c r="AV30" s="0" t="n">
        <v>6</v>
      </c>
      <c r="AW30" s="0" t="n">
        <v>55</v>
      </c>
      <c r="AX30" s="0" t="n">
        <v>4</v>
      </c>
      <c r="AY30" s="0" t="n">
        <v>11</v>
      </c>
      <c r="AZ30" s="0" t="n">
        <v>33</v>
      </c>
      <c r="BA30" s="3" t="n">
        <f aca="false">SUM(B30:AZ30)</f>
        <v>6663</v>
      </c>
    </row>
    <row r="31" customFormat="false" ht="12.75" hidden="false" customHeight="false" outlineLevel="0" collapsed="false">
      <c r="A31" s="0" t="s">
        <v>220</v>
      </c>
      <c r="B31" s="0" t="n">
        <v>3</v>
      </c>
      <c r="C31" s="0" t="n">
        <v>2</v>
      </c>
      <c r="D31" s="0" t="n">
        <v>17</v>
      </c>
      <c r="E31" s="0" t="n">
        <v>3</v>
      </c>
      <c r="F31" s="0" t="n">
        <v>58</v>
      </c>
      <c r="G31" s="0" t="n">
        <v>23</v>
      </c>
      <c r="H31" s="0" t="n">
        <v>632</v>
      </c>
      <c r="I31" s="0" t="n">
        <v>10</v>
      </c>
      <c r="J31" s="0" t="n">
        <v>0</v>
      </c>
      <c r="K31" s="0" t="n">
        <v>187</v>
      </c>
      <c r="L31" s="0" t="n">
        <v>22</v>
      </c>
      <c r="M31" s="0" t="n">
        <v>4</v>
      </c>
      <c r="N31" s="0" t="n">
        <v>2</v>
      </c>
      <c r="O31" s="0" t="n">
        <v>35</v>
      </c>
      <c r="P31" s="0" t="n">
        <v>10</v>
      </c>
      <c r="Q31" s="0" t="n">
        <v>2</v>
      </c>
      <c r="R31" s="0" t="n">
        <v>5</v>
      </c>
      <c r="S31" s="0" t="n">
        <v>5</v>
      </c>
      <c r="T31" s="0" t="n">
        <v>3</v>
      </c>
      <c r="U31" s="0" t="n">
        <v>654</v>
      </c>
      <c r="V31" s="0" t="n">
        <v>31</v>
      </c>
      <c r="W31" s="0" t="n">
        <v>804</v>
      </c>
      <c r="X31" s="0" t="n">
        <v>14</v>
      </c>
      <c r="Y31" s="0" t="n">
        <v>9</v>
      </c>
      <c r="Z31" s="0" t="n">
        <v>3</v>
      </c>
      <c r="AA31" s="0" t="n">
        <v>27</v>
      </c>
      <c r="AB31" s="0" t="n">
        <v>2</v>
      </c>
      <c r="AC31" s="0" t="n">
        <v>1</v>
      </c>
      <c r="AD31" s="0" t="n">
        <v>16</v>
      </c>
      <c r="AE31" s="0" t="n">
        <v>814</v>
      </c>
      <c r="AF31" s="0" t="n">
        <v>144</v>
      </c>
      <c r="AG31" s="0" t="n">
        <v>9</v>
      </c>
      <c r="AH31" s="0" t="n">
        <v>460</v>
      </c>
      <c r="AI31" s="0" t="n">
        <v>28</v>
      </c>
      <c r="AJ31" s="0" t="n">
        <v>0</v>
      </c>
      <c r="AK31" s="0" t="n">
        <v>32</v>
      </c>
      <c r="AL31" s="0" t="n">
        <v>5</v>
      </c>
      <c r="AM31" s="0" t="n">
        <v>8</v>
      </c>
      <c r="AN31" s="0" t="n">
        <v>94</v>
      </c>
      <c r="AO31" s="0" t="n">
        <v>143</v>
      </c>
      <c r="AP31" s="0" t="n">
        <v>28</v>
      </c>
      <c r="AQ31" s="0" t="n">
        <v>2</v>
      </c>
      <c r="AR31" s="0" t="n">
        <v>22</v>
      </c>
      <c r="AS31" s="0" t="n">
        <v>36</v>
      </c>
      <c r="AT31" s="0" t="n">
        <v>4</v>
      </c>
      <c r="AU31" s="0" t="n">
        <v>269</v>
      </c>
      <c r="AV31" s="0" t="n">
        <v>52</v>
      </c>
      <c r="AW31" s="0" t="n">
        <v>11</v>
      </c>
      <c r="AX31" s="0" t="n">
        <v>6</v>
      </c>
      <c r="AY31" s="0" t="n">
        <v>5</v>
      </c>
      <c r="AZ31" s="0" t="n">
        <v>6</v>
      </c>
      <c r="BA31" s="3" t="n">
        <f aca="false">SUM(B31:AZ31)</f>
        <v>4762</v>
      </c>
    </row>
    <row r="32" customFormat="false" ht="12.75" hidden="false" customHeight="false" outlineLevel="0" collapsed="false">
      <c r="A32" s="0" t="s">
        <v>221</v>
      </c>
      <c r="B32" s="0" t="n">
        <v>24</v>
      </c>
      <c r="C32" s="0" t="n">
        <v>24</v>
      </c>
      <c r="D32" s="0" t="n">
        <v>161</v>
      </c>
      <c r="E32" s="0" t="n">
        <v>23</v>
      </c>
      <c r="F32" s="0" t="n">
        <v>539</v>
      </c>
      <c r="G32" s="0" t="n">
        <v>126</v>
      </c>
      <c r="H32" s="0" t="n">
        <v>736</v>
      </c>
      <c r="I32" s="0" t="n">
        <v>170</v>
      </c>
      <c r="J32" s="0" t="n">
        <v>0</v>
      </c>
      <c r="K32" s="3" t="n">
        <v>1975</v>
      </c>
      <c r="L32" s="0" t="n">
        <v>336</v>
      </c>
      <c r="M32" s="0" t="n">
        <v>48</v>
      </c>
      <c r="N32" s="0" t="n">
        <v>2</v>
      </c>
      <c r="O32" s="0" t="n">
        <v>360</v>
      </c>
      <c r="P32" s="0" t="n">
        <v>104</v>
      </c>
      <c r="Q32" s="0" t="n">
        <v>0</v>
      </c>
      <c r="R32" s="0" t="n">
        <v>13</v>
      </c>
      <c r="S32" s="0" t="n">
        <v>31</v>
      </c>
      <c r="T32" s="0" t="n">
        <v>107</v>
      </c>
      <c r="U32" s="0" t="n">
        <v>248</v>
      </c>
      <c r="V32" s="3" t="n">
        <v>1637</v>
      </c>
      <c r="W32" s="0" t="n">
        <v>858</v>
      </c>
      <c r="X32" s="0" t="n">
        <v>206</v>
      </c>
      <c r="Y32" s="0" t="n">
        <v>122</v>
      </c>
      <c r="Z32" s="0" t="n">
        <v>20</v>
      </c>
      <c r="AA32" s="0" t="n">
        <v>90</v>
      </c>
      <c r="AB32" s="0" t="n">
        <v>27</v>
      </c>
      <c r="AC32" s="0" t="n">
        <v>5</v>
      </c>
      <c r="AD32" s="0" t="n">
        <v>152</v>
      </c>
      <c r="AE32" s="0" t="n">
        <v>180</v>
      </c>
      <c r="AF32" s="0" t="n">
        <v>3431</v>
      </c>
      <c r="AG32" s="0" t="n">
        <v>35</v>
      </c>
      <c r="AH32" s="3" t="n">
        <v>3358</v>
      </c>
      <c r="AI32" s="0" t="n">
        <v>710</v>
      </c>
      <c r="AJ32" s="0" t="n">
        <v>11</v>
      </c>
      <c r="AK32" s="0" t="n">
        <v>583</v>
      </c>
      <c r="AL32" s="0" t="n">
        <v>23</v>
      </c>
      <c r="AM32" s="0" t="n">
        <v>21</v>
      </c>
      <c r="AN32" s="3" t="n">
        <v>4006</v>
      </c>
      <c r="AO32" s="0" t="n">
        <v>200</v>
      </c>
      <c r="AP32" s="0" t="n">
        <v>494</v>
      </c>
      <c r="AQ32" s="0" t="n">
        <v>10</v>
      </c>
      <c r="AR32" s="0" t="n">
        <v>109</v>
      </c>
      <c r="AS32" s="0" t="n">
        <v>236</v>
      </c>
      <c r="AT32" s="0" t="n">
        <v>35</v>
      </c>
      <c r="AU32" s="0" t="n">
        <v>352</v>
      </c>
      <c r="AV32" s="0" t="n">
        <v>683</v>
      </c>
      <c r="AW32" s="0" t="n">
        <v>59</v>
      </c>
      <c r="AX32" s="0" t="n">
        <v>98</v>
      </c>
      <c r="AY32" s="0" t="n">
        <v>18</v>
      </c>
      <c r="AZ32" s="0" t="n">
        <v>13</v>
      </c>
      <c r="BA32" s="3" t="n">
        <f aca="false">SUM(B32:AZ32)</f>
        <v>22809</v>
      </c>
    </row>
    <row r="33" customFormat="false" ht="12.75" hidden="false" customHeight="false" outlineLevel="0" collapsed="false">
      <c r="A33" s="0" t="s">
        <v>222</v>
      </c>
      <c r="B33" s="0" t="n">
        <v>9</v>
      </c>
      <c r="C33" s="0" t="n">
        <v>6</v>
      </c>
      <c r="D33" s="0" t="n">
        <v>798</v>
      </c>
      <c r="E33" s="0" t="n">
        <v>17</v>
      </c>
      <c r="F33" s="0" t="n">
        <v>321</v>
      </c>
      <c r="G33" s="0" t="n">
        <v>747</v>
      </c>
      <c r="H33" s="0" t="n">
        <v>1</v>
      </c>
      <c r="I33" s="0" t="n">
        <v>1</v>
      </c>
      <c r="J33" s="0" t="n">
        <v>0</v>
      </c>
      <c r="K33" s="0" t="n">
        <v>63</v>
      </c>
      <c r="L33" s="0" t="n">
        <v>20</v>
      </c>
      <c r="M33" s="0" t="n">
        <v>2</v>
      </c>
      <c r="N33" s="0" t="n">
        <v>22</v>
      </c>
      <c r="O33" s="0" t="n">
        <v>54</v>
      </c>
      <c r="P33" s="0" t="n">
        <v>19</v>
      </c>
      <c r="Q33" s="0" t="n">
        <v>14</v>
      </c>
      <c r="R33" s="0" t="n">
        <v>21</v>
      </c>
      <c r="S33" s="0" t="n">
        <v>47</v>
      </c>
      <c r="T33" s="0" t="n">
        <v>29</v>
      </c>
      <c r="U33" s="0" t="n">
        <v>6</v>
      </c>
      <c r="V33" s="0" t="n">
        <v>16</v>
      </c>
      <c r="W33" s="0" t="n">
        <v>21</v>
      </c>
      <c r="X33" s="0" t="n">
        <v>34</v>
      </c>
      <c r="Y33" s="0" t="n">
        <v>16</v>
      </c>
      <c r="Z33" s="0" t="n">
        <v>3</v>
      </c>
      <c r="AA33" s="0" t="n">
        <v>56</v>
      </c>
      <c r="AB33" s="0" t="n">
        <v>29</v>
      </c>
      <c r="AC33" s="0" t="n">
        <v>10</v>
      </c>
      <c r="AD33" s="0" t="n">
        <v>219</v>
      </c>
      <c r="AE33" s="0" t="n">
        <v>2</v>
      </c>
      <c r="AF33" s="0" t="n">
        <v>7</v>
      </c>
      <c r="AG33" s="3" t="n">
        <v>5437</v>
      </c>
      <c r="AH33" s="0" t="n">
        <v>41</v>
      </c>
      <c r="AI33" s="0" t="n">
        <v>10</v>
      </c>
      <c r="AJ33" s="0" t="n">
        <v>3</v>
      </c>
      <c r="AK33" s="0" t="n">
        <v>27</v>
      </c>
      <c r="AL33" s="0" t="n">
        <v>91</v>
      </c>
      <c r="AM33" s="0" t="n">
        <v>33</v>
      </c>
      <c r="AN33" s="0" t="n">
        <v>16</v>
      </c>
      <c r="AO33" s="0" t="n">
        <v>0</v>
      </c>
      <c r="AP33" s="0" t="n">
        <v>9</v>
      </c>
      <c r="AQ33" s="0" t="n">
        <v>6</v>
      </c>
      <c r="AR33" s="0" t="n">
        <v>23</v>
      </c>
      <c r="AS33" s="3" t="n">
        <v>1492</v>
      </c>
      <c r="AT33" s="0" t="n">
        <v>106</v>
      </c>
      <c r="AU33" s="0" t="n">
        <v>1</v>
      </c>
      <c r="AV33" s="0" t="n">
        <v>12</v>
      </c>
      <c r="AW33" s="0" t="n">
        <v>35</v>
      </c>
      <c r="AX33" s="0" t="n">
        <v>1</v>
      </c>
      <c r="AY33" s="0" t="n">
        <v>29</v>
      </c>
      <c r="AZ33" s="0" t="n">
        <v>69</v>
      </c>
      <c r="BA33" s="3" t="n">
        <f aca="false">SUM(B33:AZ33)</f>
        <v>10051</v>
      </c>
    </row>
    <row r="34" customFormat="false" ht="12.75" hidden="false" customHeight="false" outlineLevel="0" collapsed="false">
      <c r="A34" s="0" t="s">
        <v>223</v>
      </c>
      <c r="B34" s="0" t="n">
        <v>114</v>
      </c>
      <c r="C34" s="0" t="n">
        <v>41</v>
      </c>
      <c r="D34" s="0" t="n">
        <v>189</v>
      </c>
      <c r="E34" s="0" t="n">
        <v>0</v>
      </c>
      <c r="F34" s="0" t="n">
        <v>844</v>
      </c>
      <c r="G34" s="0" t="n">
        <v>122</v>
      </c>
      <c r="H34" s="3" t="n">
        <v>1386</v>
      </c>
      <c r="I34" s="0" t="n">
        <v>497</v>
      </c>
      <c r="J34" s="0" t="n">
        <v>0</v>
      </c>
      <c r="K34" s="3" t="n">
        <v>3129</v>
      </c>
      <c r="L34" s="0" t="n">
        <v>438</v>
      </c>
      <c r="M34" s="0" t="n">
        <v>95</v>
      </c>
      <c r="N34" s="0" t="n">
        <v>0</v>
      </c>
      <c r="O34" s="0" t="n">
        <v>360</v>
      </c>
      <c r="P34" s="0" t="n">
        <v>144</v>
      </c>
      <c r="Q34" s="0" t="n">
        <v>34</v>
      </c>
      <c r="R34" s="0" t="n">
        <v>47</v>
      </c>
      <c r="S34" s="0" t="n">
        <v>52</v>
      </c>
      <c r="T34" s="0" t="n">
        <v>173</v>
      </c>
      <c r="U34" s="0" t="n">
        <v>643</v>
      </c>
      <c r="V34" s="3" t="n">
        <v>1103</v>
      </c>
      <c r="W34" s="3" t="n">
        <v>3418</v>
      </c>
      <c r="X34" s="0" t="n">
        <v>310</v>
      </c>
      <c r="Y34" s="0" t="n">
        <v>108</v>
      </c>
      <c r="Z34" s="0" t="n">
        <v>35</v>
      </c>
      <c r="AA34" s="0" t="n">
        <v>183</v>
      </c>
      <c r="AB34" s="0" t="n">
        <v>0</v>
      </c>
      <c r="AC34" s="0" t="n">
        <v>24</v>
      </c>
      <c r="AD34" s="0" t="n">
        <v>449</v>
      </c>
      <c r="AE34" s="0" t="n">
        <v>481</v>
      </c>
      <c r="AF34" s="3" t="n">
        <v>2955</v>
      </c>
      <c r="AG34" s="0" t="n">
        <v>132</v>
      </c>
      <c r="AH34" s="3" t="n">
        <v>15983</v>
      </c>
      <c r="AI34" s="0" t="n">
        <v>840</v>
      </c>
      <c r="AJ34" s="0" t="n">
        <v>0</v>
      </c>
      <c r="AK34" s="0" t="n">
        <v>983</v>
      </c>
      <c r="AL34" s="0" t="n">
        <v>66</v>
      </c>
      <c r="AM34" s="0" t="n">
        <v>31</v>
      </c>
      <c r="AN34" s="3" t="n">
        <v>4802</v>
      </c>
      <c r="AO34" s="0" t="n">
        <v>414</v>
      </c>
      <c r="AP34" s="0" t="n">
        <v>659</v>
      </c>
      <c r="AQ34" s="0" t="n">
        <v>0</v>
      </c>
      <c r="AR34" s="0" t="n">
        <v>61</v>
      </c>
      <c r="AS34" s="0" t="n">
        <v>647</v>
      </c>
      <c r="AT34" s="0" t="n">
        <v>90</v>
      </c>
      <c r="AU34" s="3" t="n">
        <v>1198</v>
      </c>
      <c r="AV34" s="3" t="n">
        <v>1321</v>
      </c>
      <c r="AW34" s="0" t="n">
        <v>98</v>
      </c>
      <c r="AX34" s="0" t="n">
        <v>52</v>
      </c>
      <c r="AY34" s="0" t="n">
        <v>110</v>
      </c>
      <c r="AZ34" s="0" t="n">
        <v>11</v>
      </c>
      <c r="BA34" s="3" t="n">
        <f aca="false">SUM(B34:AZ34)</f>
        <v>44872</v>
      </c>
    </row>
    <row r="35" customFormat="false" ht="12.75" hidden="false" customHeight="false" outlineLevel="0" collapsed="false">
      <c r="A35" s="0" t="s">
        <v>224</v>
      </c>
      <c r="B35" s="0" t="n">
        <v>138</v>
      </c>
      <c r="C35" s="0" t="n">
        <v>11</v>
      </c>
      <c r="D35" s="0" t="n">
        <v>41</v>
      </c>
      <c r="E35" s="0" t="n">
        <v>46</v>
      </c>
      <c r="F35" s="0" t="n">
        <v>178</v>
      </c>
      <c r="G35" s="0" t="n">
        <v>68</v>
      </c>
      <c r="H35" s="0" t="n">
        <v>83</v>
      </c>
      <c r="I35" s="0" t="n">
        <v>45</v>
      </c>
      <c r="J35" s="0" t="n">
        <v>0</v>
      </c>
      <c r="K35" s="3" t="n">
        <v>1175</v>
      </c>
      <c r="L35" s="3" t="n">
        <v>1834</v>
      </c>
      <c r="M35" s="0" t="n">
        <v>22</v>
      </c>
      <c r="N35" s="0" t="n">
        <v>0</v>
      </c>
      <c r="O35" s="0" t="n">
        <v>223</v>
      </c>
      <c r="P35" s="0" t="n">
        <v>141</v>
      </c>
      <c r="Q35" s="0" t="n">
        <v>49</v>
      </c>
      <c r="R35" s="0" t="n">
        <v>105</v>
      </c>
      <c r="S35" s="0" t="n">
        <v>302</v>
      </c>
      <c r="T35" s="0" t="n">
        <v>91</v>
      </c>
      <c r="U35" s="0" t="n">
        <v>17</v>
      </c>
      <c r="V35" s="0" t="n">
        <v>552</v>
      </c>
      <c r="W35" s="0" t="n">
        <v>250</v>
      </c>
      <c r="X35" s="0" t="n">
        <v>195</v>
      </c>
      <c r="Y35" s="0" t="n">
        <v>120</v>
      </c>
      <c r="Z35" s="0" t="n">
        <v>94</v>
      </c>
      <c r="AA35" s="0" t="n">
        <v>121</v>
      </c>
      <c r="AB35" s="0" t="n">
        <v>13</v>
      </c>
      <c r="AC35" s="0" t="n">
        <v>38</v>
      </c>
      <c r="AD35" s="0" t="n">
        <v>67</v>
      </c>
      <c r="AE35" s="0" t="n">
        <v>4</v>
      </c>
      <c r="AF35" s="0" t="n">
        <v>148</v>
      </c>
      <c r="AG35" s="0" t="n">
        <v>3</v>
      </c>
      <c r="AH35" s="0" t="n">
        <v>519</v>
      </c>
      <c r="AI35" s="3" t="n">
        <v>12665</v>
      </c>
      <c r="AJ35" s="0" t="n">
        <v>0</v>
      </c>
      <c r="AK35" s="0" t="n">
        <v>206</v>
      </c>
      <c r="AL35" s="0" t="n">
        <v>26</v>
      </c>
      <c r="AM35" s="0" t="n">
        <v>8</v>
      </c>
      <c r="AN35" s="0" t="n">
        <v>499</v>
      </c>
      <c r="AO35" s="0" t="n">
        <v>12</v>
      </c>
      <c r="AP35" s="3" t="n">
        <v>3862</v>
      </c>
      <c r="AQ35" s="0" t="n">
        <v>7</v>
      </c>
      <c r="AR35" s="3" t="n">
        <v>1100</v>
      </c>
      <c r="AS35" s="0" t="n">
        <v>216</v>
      </c>
      <c r="AT35" s="0" t="n">
        <v>21</v>
      </c>
      <c r="AU35" s="0" t="n">
        <v>54</v>
      </c>
      <c r="AV35" s="3" t="n">
        <v>2655</v>
      </c>
      <c r="AW35" s="0" t="n">
        <v>30</v>
      </c>
      <c r="AX35" s="0" t="n">
        <v>694</v>
      </c>
      <c r="AY35" s="0" t="n">
        <v>255</v>
      </c>
      <c r="AZ35" s="0" t="n">
        <v>6</v>
      </c>
      <c r="BA35" s="3" t="n">
        <f aca="false">SUM(B35:AZ35)</f>
        <v>29009</v>
      </c>
    </row>
    <row r="36" customFormat="false" ht="12.75" hidden="false" customHeight="false" outlineLevel="0" collapsed="false">
      <c r="A36" s="0" t="s">
        <v>225</v>
      </c>
      <c r="B36" s="0" t="n">
        <v>2</v>
      </c>
      <c r="C36" s="0" t="n">
        <v>1</v>
      </c>
      <c r="D36" s="0" t="n">
        <v>33</v>
      </c>
      <c r="E36" s="0" t="n">
        <v>5</v>
      </c>
      <c r="F36" s="0" t="n">
        <v>31</v>
      </c>
      <c r="G36" s="0" t="n">
        <v>48</v>
      </c>
      <c r="H36" s="0" t="n">
        <v>2</v>
      </c>
      <c r="I36" s="0" t="n">
        <v>0</v>
      </c>
      <c r="J36" s="0" t="n">
        <v>0</v>
      </c>
      <c r="K36" s="0" t="n">
        <v>31</v>
      </c>
      <c r="L36" s="0" t="n">
        <v>5</v>
      </c>
      <c r="M36" s="0" t="n">
        <v>2</v>
      </c>
      <c r="N36" s="0" t="n">
        <v>9</v>
      </c>
      <c r="O36" s="0" t="n">
        <v>17</v>
      </c>
      <c r="P36" s="0" t="n">
        <v>11</v>
      </c>
      <c r="Q36" s="0" t="n">
        <v>22</v>
      </c>
      <c r="R36" s="0" t="n">
        <v>15</v>
      </c>
      <c r="S36" s="0" t="n">
        <v>2</v>
      </c>
      <c r="T36" s="0" t="n">
        <v>4</v>
      </c>
      <c r="U36" s="0" t="n">
        <v>4</v>
      </c>
      <c r="V36" s="0" t="n">
        <v>3</v>
      </c>
      <c r="W36" s="0" t="n">
        <v>2</v>
      </c>
      <c r="X36" s="0" t="n">
        <v>15</v>
      </c>
      <c r="Y36" s="0" t="n">
        <v>924</v>
      </c>
      <c r="Z36" s="0" t="n">
        <v>1</v>
      </c>
      <c r="AA36" s="0" t="n">
        <v>15</v>
      </c>
      <c r="AB36" s="0" t="n">
        <v>104</v>
      </c>
      <c r="AC36" s="0" t="n">
        <v>25</v>
      </c>
      <c r="AD36" s="0" t="n">
        <v>16</v>
      </c>
      <c r="AE36" s="0" t="n">
        <v>2</v>
      </c>
      <c r="AF36" s="0" t="n">
        <v>2</v>
      </c>
      <c r="AG36" s="0" t="n">
        <v>1</v>
      </c>
      <c r="AH36" s="0" t="n">
        <v>2</v>
      </c>
      <c r="AI36" s="0" t="n">
        <v>3</v>
      </c>
      <c r="AJ36" s="3" t="n">
        <v>2389</v>
      </c>
      <c r="AK36" s="0" t="n">
        <v>5</v>
      </c>
      <c r="AL36" s="0" t="n">
        <v>4</v>
      </c>
      <c r="AM36" s="0" t="n">
        <v>5</v>
      </c>
      <c r="AN36" s="0" t="n">
        <v>5</v>
      </c>
      <c r="AO36" s="0" t="n">
        <v>0</v>
      </c>
      <c r="AP36" s="0" t="n">
        <v>1</v>
      </c>
      <c r="AQ36" s="0" t="n">
        <v>185</v>
      </c>
      <c r="AR36" s="0" t="n">
        <v>4</v>
      </c>
      <c r="AS36" s="0" t="n">
        <v>27</v>
      </c>
      <c r="AT36" s="0" t="n">
        <v>3</v>
      </c>
      <c r="AU36" s="0" t="n">
        <v>0</v>
      </c>
      <c r="AV36" s="0" t="n">
        <v>2</v>
      </c>
      <c r="AW36" s="0" t="n">
        <v>18</v>
      </c>
      <c r="AX36" s="0" t="n">
        <v>1</v>
      </c>
      <c r="AY36" s="0" t="n">
        <v>51</v>
      </c>
      <c r="AZ36" s="0" t="n">
        <v>30</v>
      </c>
      <c r="BA36" s="3" t="n">
        <f aca="false">SUM(B36:AZ36)</f>
        <v>4089</v>
      </c>
    </row>
    <row r="37" customFormat="false" ht="12.75" hidden="false" customHeight="false" outlineLevel="0" collapsed="false">
      <c r="A37" s="0" t="s">
        <v>36</v>
      </c>
      <c r="B37" s="0" t="n">
        <v>258</v>
      </c>
      <c r="C37" s="0" t="n">
        <v>33</v>
      </c>
      <c r="D37" s="0" t="n">
        <v>137</v>
      </c>
      <c r="E37" s="0" t="n">
        <v>11</v>
      </c>
      <c r="F37" s="0" t="n">
        <v>538</v>
      </c>
      <c r="G37" s="0" t="n">
        <v>233</v>
      </c>
      <c r="H37" s="0" t="n">
        <v>244</v>
      </c>
      <c r="I37" s="0" t="n">
        <v>61</v>
      </c>
      <c r="J37" s="0" t="n">
        <v>0</v>
      </c>
      <c r="K37" s="3" t="n">
        <v>1630</v>
      </c>
      <c r="L37" s="0" t="n">
        <v>523</v>
      </c>
      <c r="M37" s="0" t="n">
        <v>42</v>
      </c>
      <c r="N37" s="0" t="n">
        <v>9</v>
      </c>
      <c r="O37" s="3" t="n">
        <v>1033</v>
      </c>
      <c r="P37" s="3" t="n">
        <v>2288</v>
      </c>
      <c r="Q37" s="0" t="n">
        <v>132</v>
      </c>
      <c r="R37" s="0" t="n">
        <v>26</v>
      </c>
      <c r="S37" s="3" t="n">
        <v>2114</v>
      </c>
      <c r="T37" s="0" t="n">
        <v>233</v>
      </c>
      <c r="U37" s="0" t="n">
        <v>50</v>
      </c>
      <c r="V37" s="0" t="n">
        <v>185</v>
      </c>
      <c r="W37" s="0" t="n">
        <v>191</v>
      </c>
      <c r="X37" s="3" t="n">
        <v>1958</v>
      </c>
      <c r="Y37" s="0" t="n">
        <v>182</v>
      </c>
      <c r="Z37" s="0" t="n">
        <v>181</v>
      </c>
      <c r="AA37" s="0" t="n">
        <v>412</v>
      </c>
      <c r="AB37" s="0" t="n">
        <v>7</v>
      </c>
      <c r="AC37" s="0" t="n">
        <v>61</v>
      </c>
      <c r="AD37" s="0" t="n">
        <v>253</v>
      </c>
      <c r="AE37" s="0" t="n">
        <v>45</v>
      </c>
      <c r="AF37" s="0" t="n">
        <v>264</v>
      </c>
      <c r="AG37" s="0" t="n">
        <v>72</v>
      </c>
      <c r="AH37" s="3" t="n">
        <v>1055</v>
      </c>
      <c r="AI37" s="0" t="n">
        <v>600</v>
      </c>
      <c r="AJ37" s="0" t="n">
        <v>0</v>
      </c>
      <c r="AK37" s="3" t="n">
        <v>15997</v>
      </c>
      <c r="AL37" s="0" t="n">
        <v>64</v>
      </c>
      <c r="AM37" s="0" t="n">
        <v>27</v>
      </c>
      <c r="AN37" s="3" t="n">
        <v>2003</v>
      </c>
      <c r="AO37" s="0" t="n">
        <v>52</v>
      </c>
      <c r="AP37" s="0" t="n">
        <v>781</v>
      </c>
      <c r="AQ37" s="0" t="n">
        <v>4</v>
      </c>
      <c r="AR37" s="3" t="n">
        <v>1025</v>
      </c>
      <c r="AS37" s="0" t="n">
        <v>304</v>
      </c>
      <c r="AT37" s="0" t="n">
        <v>86</v>
      </c>
      <c r="AU37" s="0" t="n">
        <v>31</v>
      </c>
      <c r="AV37" s="0" t="n">
        <v>463</v>
      </c>
      <c r="AW37" s="0" t="n">
        <v>111</v>
      </c>
      <c r="AX37" s="3" t="n">
        <v>1687</v>
      </c>
      <c r="AY37" s="0" t="n">
        <v>263</v>
      </c>
      <c r="AZ37" s="0" t="n">
        <v>52</v>
      </c>
      <c r="BA37" s="3" t="n">
        <f aca="false">SUM(B37:AZ37)</f>
        <v>38011</v>
      </c>
    </row>
    <row r="38" customFormat="false" ht="12.75" hidden="false" customHeight="false" outlineLevel="0" collapsed="false">
      <c r="A38" s="0" t="s">
        <v>37</v>
      </c>
      <c r="B38" s="0" t="n">
        <v>132</v>
      </c>
      <c r="C38" s="0" t="n">
        <v>10</v>
      </c>
      <c r="D38" s="0" t="n">
        <v>61</v>
      </c>
      <c r="E38" s="0" t="n">
        <v>663</v>
      </c>
      <c r="F38" s="0" t="n">
        <v>169</v>
      </c>
      <c r="G38" s="0" t="n">
        <v>326</v>
      </c>
      <c r="H38" s="0" t="n">
        <v>4</v>
      </c>
      <c r="I38" s="0" t="n">
        <v>0</v>
      </c>
      <c r="J38" s="0" t="n">
        <v>0</v>
      </c>
      <c r="K38" s="0" t="n">
        <v>121</v>
      </c>
      <c r="L38" s="0" t="n">
        <v>63</v>
      </c>
      <c r="M38" s="0" t="n">
        <v>9</v>
      </c>
      <c r="N38" s="0" t="n">
        <v>13</v>
      </c>
      <c r="O38" s="0" t="n">
        <v>164</v>
      </c>
      <c r="P38" s="0" t="n">
        <v>68</v>
      </c>
      <c r="Q38" s="0" t="n">
        <v>40</v>
      </c>
      <c r="R38" s="3" t="n">
        <v>1153</v>
      </c>
      <c r="S38" s="0" t="n">
        <v>92</v>
      </c>
      <c r="T38" s="0" t="n">
        <v>211</v>
      </c>
      <c r="U38" s="0" t="n">
        <v>6</v>
      </c>
      <c r="V38" s="0" t="n">
        <v>17</v>
      </c>
      <c r="W38" s="0" t="n">
        <v>41</v>
      </c>
      <c r="X38" s="0" t="n">
        <v>55</v>
      </c>
      <c r="Y38" s="0" t="n">
        <v>62</v>
      </c>
      <c r="Z38" s="0" t="n">
        <v>67</v>
      </c>
      <c r="AA38" s="3" t="n">
        <v>1046</v>
      </c>
      <c r="AB38" s="0" t="n">
        <v>13</v>
      </c>
      <c r="AC38" s="0" t="n">
        <v>92</v>
      </c>
      <c r="AD38" s="0" t="n">
        <v>157</v>
      </c>
      <c r="AE38" s="0" t="n">
        <v>4</v>
      </c>
      <c r="AF38" s="0" t="n">
        <v>8</v>
      </c>
      <c r="AG38" s="0" t="n">
        <v>126</v>
      </c>
      <c r="AH38" s="0" t="n">
        <v>25</v>
      </c>
      <c r="AI38" s="0" t="n">
        <v>37</v>
      </c>
      <c r="AJ38" s="0" t="n">
        <v>5</v>
      </c>
      <c r="AK38" s="0" t="n">
        <v>94</v>
      </c>
      <c r="AL38" s="3" t="n">
        <v>7378</v>
      </c>
      <c r="AM38" s="0" t="n">
        <v>29</v>
      </c>
      <c r="AN38" s="0" t="n">
        <v>76</v>
      </c>
      <c r="AO38" s="0" t="n">
        <v>3</v>
      </c>
      <c r="AP38" s="0" t="n">
        <v>25</v>
      </c>
      <c r="AQ38" s="0" t="n">
        <v>23</v>
      </c>
      <c r="AR38" s="0" t="n">
        <v>121</v>
      </c>
      <c r="AS38" s="3" t="n">
        <v>2839</v>
      </c>
      <c r="AT38" s="0" t="n">
        <v>14</v>
      </c>
      <c r="AU38" s="0" t="n">
        <v>1</v>
      </c>
      <c r="AV38" s="0" t="n">
        <v>75</v>
      </c>
      <c r="AW38" s="0" t="n">
        <v>93</v>
      </c>
      <c r="AX38" s="0" t="n">
        <v>14</v>
      </c>
      <c r="AY38" s="0" t="n">
        <v>89</v>
      </c>
      <c r="AZ38" s="0" t="n">
        <v>59</v>
      </c>
      <c r="BA38" s="3" t="n">
        <f aca="false">SUM(B38:AZ38)</f>
        <v>15993</v>
      </c>
    </row>
    <row r="39" customFormat="false" ht="12.75" hidden="false" customHeight="false" outlineLevel="0" collapsed="false">
      <c r="A39" s="0" t="s">
        <v>38</v>
      </c>
      <c r="B39" s="0" t="n">
        <v>2</v>
      </c>
      <c r="C39" s="0" t="n">
        <v>48</v>
      </c>
      <c r="D39" s="0" t="n">
        <v>291</v>
      </c>
      <c r="E39" s="0" t="n">
        <v>0</v>
      </c>
      <c r="F39" s="3" t="n">
        <v>1670</v>
      </c>
      <c r="G39" s="0" t="n">
        <v>109</v>
      </c>
      <c r="H39" s="0" t="n">
        <v>12</v>
      </c>
      <c r="I39" s="0" t="n">
        <v>0</v>
      </c>
      <c r="J39" s="0" t="n">
        <v>0</v>
      </c>
      <c r="K39" s="0" t="n">
        <v>78</v>
      </c>
      <c r="L39" s="0" t="n">
        <v>16</v>
      </c>
      <c r="M39" s="0" t="n">
        <v>135</v>
      </c>
      <c r="N39" s="0" t="n">
        <v>376</v>
      </c>
      <c r="O39" s="0" t="n">
        <v>45</v>
      </c>
      <c r="P39" s="0" t="n">
        <v>15</v>
      </c>
      <c r="Q39" s="0" t="n">
        <v>14</v>
      </c>
      <c r="R39" s="0" t="n">
        <v>9</v>
      </c>
      <c r="S39" s="0" t="n">
        <v>3</v>
      </c>
      <c r="T39" s="0" t="n">
        <v>14</v>
      </c>
      <c r="U39" s="0" t="n">
        <v>12</v>
      </c>
      <c r="V39" s="0" t="n">
        <v>6</v>
      </c>
      <c r="W39" s="0" t="n">
        <v>50</v>
      </c>
      <c r="X39" s="0" t="n">
        <v>53</v>
      </c>
      <c r="Y39" s="0" t="n">
        <v>42</v>
      </c>
      <c r="Z39" s="0" t="n">
        <v>1</v>
      </c>
      <c r="AA39" s="0" t="n">
        <v>29</v>
      </c>
      <c r="AB39" s="0" t="n">
        <v>101</v>
      </c>
      <c r="AC39" s="0" t="n">
        <v>5</v>
      </c>
      <c r="AD39" s="0" t="n">
        <v>448</v>
      </c>
      <c r="AE39" s="0" t="n">
        <v>3</v>
      </c>
      <c r="AF39" s="0" t="n">
        <v>7</v>
      </c>
      <c r="AG39" s="0" t="n">
        <v>26</v>
      </c>
      <c r="AH39" s="0" t="n">
        <v>43</v>
      </c>
      <c r="AI39" s="0" t="n">
        <v>15</v>
      </c>
      <c r="AJ39" s="0" t="n">
        <v>3</v>
      </c>
      <c r="AK39" s="0" t="n">
        <v>16</v>
      </c>
      <c r="AL39" s="0" t="n">
        <v>20</v>
      </c>
      <c r="AM39" s="3" t="n">
        <v>7420</v>
      </c>
      <c r="AN39" s="0" t="n">
        <v>52</v>
      </c>
      <c r="AO39" s="0" t="n">
        <v>1</v>
      </c>
      <c r="AP39" s="0" t="n">
        <v>6</v>
      </c>
      <c r="AQ39" s="0" t="n">
        <v>8</v>
      </c>
      <c r="AR39" s="0" t="n">
        <v>24</v>
      </c>
      <c r="AS39" s="0" t="n">
        <v>132</v>
      </c>
      <c r="AT39" s="0" t="n">
        <v>76</v>
      </c>
      <c r="AU39" s="0" t="n">
        <v>6</v>
      </c>
      <c r="AV39" s="0" t="n">
        <v>5</v>
      </c>
      <c r="AW39" s="3" t="n">
        <v>2996</v>
      </c>
      <c r="AX39" s="0" t="n">
        <v>5</v>
      </c>
      <c r="AY39" s="0" t="n">
        <v>20</v>
      </c>
      <c r="AZ39" s="0" t="n">
        <v>33</v>
      </c>
      <c r="BA39" s="3" t="n">
        <f aca="false">SUM(B39:AZ39)</f>
        <v>14501</v>
      </c>
    </row>
    <row r="40" customFormat="false" ht="12.75" hidden="false" customHeight="false" outlineLevel="0" collapsed="false">
      <c r="A40" s="0" t="s">
        <v>39</v>
      </c>
      <c r="B40" s="0" t="n">
        <v>43</v>
      </c>
      <c r="C40" s="0" t="n">
        <v>33</v>
      </c>
      <c r="D40" s="0" t="n">
        <v>180</v>
      </c>
      <c r="E40" s="0" t="n">
        <v>34</v>
      </c>
      <c r="F40" s="0" t="n">
        <v>490</v>
      </c>
      <c r="G40" s="0" t="n">
        <v>240</v>
      </c>
      <c r="H40" s="0" t="n">
        <v>532</v>
      </c>
      <c r="I40" s="3" t="n">
        <v>2692</v>
      </c>
      <c r="J40" s="0" t="n">
        <v>0</v>
      </c>
      <c r="K40" s="3" t="n">
        <v>1530</v>
      </c>
      <c r="L40" s="0" t="n">
        <v>216</v>
      </c>
      <c r="M40" s="0" t="n">
        <v>45</v>
      </c>
      <c r="N40" s="0" t="n">
        <v>5</v>
      </c>
      <c r="O40" s="0" t="n">
        <v>337</v>
      </c>
      <c r="P40" s="0" t="n">
        <v>293</v>
      </c>
      <c r="Q40" s="0" t="n">
        <v>4</v>
      </c>
      <c r="R40" s="0" t="n">
        <v>42</v>
      </c>
      <c r="S40" s="0" t="n">
        <v>155</v>
      </c>
      <c r="T40" s="0" t="n">
        <v>103</v>
      </c>
      <c r="U40" s="0" t="n">
        <v>264</v>
      </c>
      <c r="V40" s="3" t="n">
        <v>2459</v>
      </c>
      <c r="W40" s="0" t="n">
        <v>842</v>
      </c>
      <c r="X40" s="0" t="n">
        <v>295</v>
      </c>
      <c r="Y40" s="0" t="n">
        <v>81</v>
      </c>
      <c r="Z40" s="0" t="n">
        <v>16</v>
      </c>
      <c r="AA40" s="0" t="n">
        <v>137</v>
      </c>
      <c r="AB40" s="0" t="n">
        <v>42</v>
      </c>
      <c r="AC40" s="0" t="n">
        <v>30</v>
      </c>
      <c r="AD40" s="0" t="n">
        <v>236</v>
      </c>
      <c r="AE40" s="0" t="n">
        <v>239</v>
      </c>
      <c r="AF40" s="3" t="n">
        <v>4436</v>
      </c>
      <c r="AG40" s="0" t="n">
        <v>41</v>
      </c>
      <c r="AH40" s="3" t="n">
        <v>4018</v>
      </c>
      <c r="AI40" s="3" t="n">
        <v>1126</v>
      </c>
      <c r="AJ40" s="0" t="n">
        <v>10</v>
      </c>
      <c r="AK40" s="3" t="n">
        <v>2049</v>
      </c>
      <c r="AL40" s="0" t="n">
        <v>20</v>
      </c>
      <c r="AM40" s="0" t="n">
        <v>72</v>
      </c>
      <c r="AN40" s="3" t="n">
        <v>12548</v>
      </c>
      <c r="AO40" s="0" t="n">
        <v>33</v>
      </c>
      <c r="AP40" s="0" t="n">
        <v>809</v>
      </c>
      <c r="AQ40" s="0" t="n">
        <v>0</v>
      </c>
      <c r="AR40" s="0" t="n">
        <v>306</v>
      </c>
      <c r="AS40" s="0" t="n">
        <v>382</v>
      </c>
      <c r="AT40" s="0" t="n">
        <v>13</v>
      </c>
      <c r="AU40" s="0" t="n">
        <v>194</v>
      </c>
      <c r="AV40" s="3" t="n">
        <v>1610</v>
      </c>
      <c r="AW40" s="0" t="n">
        <v>52</v>
      </c>
      <c r="AX40" s="0" t="n">
        <v>845</v>
      </c>
      <c r="AY40" s="0" t="n">
        <v>61</v>
      </c>
      <c r="AZ40" s="0" t="n">
        <v>0</v>
      </c>
      <c r="BA40" s="3" t="n">
        <f aca="false">SUM(B40:AZ40)</f>
        <v>40240</v>
      </c>
    </row>
    <row r="41" customFormat="false" ht="12.75" hidden="false" customHeight="false" outlineLevel="0" collapsed="false">
      <c r="A41" s="0" t="s">
        <v>226</v>
      </c>
      <c r="B41" s="0" t="n">
        <v>6</v>
      </c>
      <c r="C41" s="0" t="n">
        <v>1</v>
      </c>
      <c r="D41" s="0" t="n">
        <v>13</v>
      </c>
      <c r="E41" s="0" t="n">
        <v>2</v>
      </c>
      <c r="F41" s="0" t="n">
        <v>53</v>
      </c>
      <c r="G41" s="0" t="n">
        <v>12</v>
      </c>
      <c r="H41" s="0" t="n">
        <v>135</v>
      </c>
      <c r="I41" s="0" t="n">
        <v>6</v>
      </c>
      <c r="J41" s="0" t="n">
        <v>0</v>
      </c>
      <c r="K41" s="0" t="n">
        <v>165</v>
      </c>
      <c r="L41" s="0" t="n">
        <v>11</v>
      </c>
      <c r="M41" s="0" t="n">
        <v>8</v>
      </c>
      <c r="N41" s="0" t="n">
        <v>1</v>
      </c>
      <c r="O41" s="0" t="n">
        <v>25</v>
      </c>
      <c r="P41" s="0" t="n">
        <v>3</v>
      </c>
      <c r="Q41" s="0" t="n">
        <v>2</v>
      </c>
      <c r="R41" s="0" t="n">
        <v>4</v>
      </c>
      <c r="S41" s="0" t="n">
        <v>6</v>
      </c>
      <c r="T41" s="0" t="n">
        <v>8</v>
      </c>
      <c r="U41" s="0" t="n">
        <v>235</v>
      </c>
      <c r="V41" s="0" t="n">
        <v>22</v>
      </c>
      <c r="W41" s="0" t="n">
        <v>129</v>
      </c>
      <c r="X41" s="0" t="n">
        <v>13</v>
      </c>
      <c r="Y41" s="0" t="n">
        <v>9</v>
      </c>
      <c r="Z41" s="0" t="n">
        <v>2</v>
      </c>
      <c r="AA41" s="0" t="n">
        <v>12</v>
      </c>
      <c r="AB41" s="0" t="n">
        <v>3</v>
      </c>
      <c r="AC41" s="0" t="n">
        <v>2</v>
      </c>
      <c r="AD41" s="0" t="n">
        <v>13</v>
      </c>
      <c r="AE41" s="0" t="n">
        <v>345</v>
      </c>
      <c r="AF41" s="0" t="n">
        <v>133</v>
      </c>
      <c r="AG41" s="0" t="n">
        <v>2</v>
      </c>
      <c r="AH41" s="0" t="n">
        <v>377</v>
      </c>
      <c r="AI41" s="0" t="n">
        <v>25</v>
      </c>
      <c r="AJ41" s="0" t="n">
        <v>0</v>
      </c>
      <c r="AK41" s="0" t="n">
        <v>36</v>
      </c>
      <c r="AL41" s="0" t="n">
        <v>1</v>
      </c>
      <c r="AM41" s="0" t="n">
        <v>2</v>
      </c>
      <c r="AN41" s="0" t="n">
        <v>109</v>
      </c>
      <c r="AO41" s="0" t="n">
        <v>0</v>
      </c>
      <c r="AP41" s="0" t="n">
        <v>14</v>
      </c>
      <c r="AQ41" s="0" t="n">
        <v>0</v>
      </c>
      <c r="AR41" s="0" t="n">
        <v>15</v>
      </c>
      <c r="AS41" s="0" t="n">
        <v>18</v>
      </c>
      <c r="AT41" s="0" t="n">
        <v>4</v>
      </c>
      <c r="AU41" s="0" t="n">
        <v>159</v>
      </c>
      <c r="AV41" s="0" t="n">
        <v>55</v>
      </c>
      <c r="AW41" s="0" t="n">
        <v>10</v>
      </c>
      <c r="AX41" s="0" t="n">
        <v>4</v>
      </c>
      <c r="AY41" s="0" t="n">
        <v>7</v>
      </c>
      <c r="AZ41" s="0" t="n">
        <v>1</v>
      </c>
      <c r="BA41" s="3" t="n">
        <f aca="false">SUM(B41:AZ41)</f>
        <v>2218</v>
      </c>
    </row>
    <row r="42" customFormat="false" ht="12.75" hidden="false" customHeight="false" outlineLevel="0" collapsed="false">
      <c r="A42" s="0" t="s">
        <v>227</v>
      </c>
      <c r="B42" s="0" t="n">
        <v>209</v>
      </c>
      <c r="C42" s="0" t="n">
        <v>0</v>
      </c>
      <c r="D42" s="0" t="n">
        <v>13</v>
      </c>
      <c r="E42" s="0" t="n">
        <v>10</v>
      </c>
      <c r="F42" s="0" t="n">
        <v>52</v>
      </c>
      <c r="G42" s="0" t="n">
        <v>39</v>
      </c>
      <c r="H42" s="0" t="n">
        <v>47</v>
      </c>
      <c r="I42" s="0" t="n">
        <v>9</v>
      </c>
      <c r="J42" s="0" t="n">
        <v>0</v>
      </c>
      <c r="K42" s="0" t="n">
        <v>952</v>
      </c>
      <c r="L42" s="3" t="n">
        <v>2134</v>
      </c>
      <c r="M42" s="0" t="n">
        <v>21</v>
      </c>
      <c r="N42" s="0" t="n">
        <v>3</v>
      </c>
      <c r="O42" s="0" t="n">
        <v>109</v>
      </c>
      <c r="P42" s="0" t="n">
        <v>79</v>
      </c>
      <c r="Q42" s="0" t="n">
        <v>7</v>
      </c>
      <c r="R42" s="0" t="n">
        <v>2</v>
      </c>
      <c r="S42" s="0" t="n">
        <v>46</v>
      </c>
      <c r="T42" s="0" t="n">
        <v>173</v>
      </c>
      <c r="U42" s="0" t="n">
        <v>14</v>
      </c>
      <c r="V42" s="0" t="n">
        <v>193</v>
      </c>
      <c r="W42" s="0" t="n">
        <v>26</v>
      </c>
      <c r="X42" s="0" t="n">
        <v>79</v>
      </c>
      <c r="Y42" s="0" t="n">
        <v>30</v>
      </c>
      <c r="Z42" s="0" t="n">
        <v>44</v>
      </c>
      <c r="AA42" s="0" t="n">
        <v>25</v>
      </c>
      <c r="AB42" s="0" t="n">
        <v>6</v>
      </c>
      <c r="AC42" s="0" t="n">
        <v>4</v>
      </c>
      <c r="AD42" s="0" t="n">
        <v>15</v>
      </c>
      <c r="AE42" s="0" t="n">
        <v>15</v>
      </c>
      <c r="AF42" s="0" t="n">
        <v>77</v>
      </c>
      <c r="AG42" s="0" t="n">
        <v>7</v>
      </c>
      <c r="AH42" s="0" t="n">
        <v>234</v>
      </c>
      <c r="AI42" s="3" t="n">
        <v>2805</v>
      </c>
      <c r="AJ42" s="0" t="n">
        <v>2</v>
      </c>
      <c r="AK42" s="1" t="n">
        <v>10</v>
      </c>
      <c r="AL42" s="0" t="n">
        <v>16</v>
      </c>
      <c r="AM42" s="0" t="n">
        <v>17</v>
      </c>
      <c r="AN42" s="0" t="n">
        <v>102</v>
      </c>
      <c r="AO42" s="0" t="n">
        <v>1</v>
      </c>
      <c r="AP42" s="3" t="n">
        <v>6033</v>
      </c>
      <c r="AQ42" s="0" t="n">
        <v>0</v>
      </c>
      <c r="AR42" s="0" t="n">
        <v>515</v>
      </c>
      <c r="AS42" s="0" t="n">
        <v>169</v>
      </c>
      <c r="AT42" s="0" t="n">
        <v>24</v>
      </c>
      <c r="AU42" s="0" t="n">
        <v>3</v>
      </c>
      <c r="AV42" s="0" t="n">
        <v>336</v>
      </c>
      <c r="AW42" s="0" t="n">
        <v>18</v>
      </c>
      <c r="AX42" s="0" t="n">
        <v>74</v>
      </c>
      <c r="AY42" s="0" t="n">
        <v>25</v>
      </c>
      <c r="AZ42" s="0" t="n">
        <v>11</v>
      </c>
      <c r="BA42" s="3" t="n">
        <f aca="false">SUM(B42:AZ42)</f>
        <v>14835</v>
      </c>
    </row>
    <row r="43" customFormat="false" ht="12.75" hidden="false" customHeight="false" outlineLevel="0" collapsed="false">
      <c r="A43" s="0" t="s">
        <v>228</v>
      </c>
      <c r="B43" s="0" t="n">
        <v>8</v>
      </c>
      <c r="C43" s="0" t="n">
        <v>2</v>
      </c>
      <c r="D43" s="0" t="n">
        <v>36</v>
      </c>
      <c r="E43" s="0" t="n">
        <v>3</v>
      </c>
      <c r="F43" s="0" t="n">
        <v>36</v>
      </c>
      <c r="G43" s="0" t="n">
        <v>115</v>
      </c>
      <c r="H43" s="0" t="n">
        <v>1</v>
      </c>
      <c r="I43" s="0" t="n">
        <v>0</v>
      </c>
      <c r="J43" s="0" t="n">
        <v>0</v>
      </c>
      <c r="K43" s="0" t="n">
        <v>25</v>
      </c>
      <c r="L43" s="0" t="n">
        <v>3</v>
      </c>
      <c r="M43" s="0" t="n">
        <v>4</v>
      </c>
      <c r="N43" s="0" t="n">
        <v>4</v>
      </c>
      <c r="O43" s="0" t="n">
        <v>46</v>
      </c>
      <c r="P43" s="0" t="n">
        <v>12</v>
      </c>
      <c r="Q43" s="0" t="n">
        <v>231</v>
      </c>
      <c r="R43" s="0" t="n">
        <v>34</v>
      </c>
      <c r="S43" s="0" t="n">
        <v>3</v>
      </c>
      <c r="T43" s="0" t="n">
        <v>4</v>
      </c>
      <c r="U43" s="0" t="n">
        <v>2</v>
      </c>
      <c r="V43" s="0" t="n">
        <v>2</v>
      </c>
      <c r="W43" s="0" t="n">
        <v>2</v>
      </c>
      <c r="X43" s="0" t="n">
        <v>14</v>
      </c>
      <c r="Y43" s="0" t="n">
        <v>561</v>
      </c>
      <c r="Z43" s="0" t="n">
        <v>1</v>
      </c>
      <c r="AA43" s="0" t="n">
        <v>28</v>
      </c>
      <c r="AB43" s="0" t="n">
        <v>53</v>
      </c>
      <c r="AC43" s="0" t="n">
        <v>274</v>
      </c>
      <c r="AD43" s="0" t="n">
        <v>34</v>
      </c>
      <c r="AE43" s="0" t="n">
        <v>1</v>
      </c>
      <c r="AF43" s="0" t="n">
        <v>2</v>
      </c>
      <c r="AG43" s="0" t="n">
        <v>7</v>
      </c>
      <c r="AH43" s="0" t="n">
        <v>7</v>
      </c>
      <c r="AI43" s="0" t="n">
        <v>5</v>
      </c>
      <c r="AJ43" s="0" t="n">
        <v>290</v>
      </c>
      <c r="AK43" s="0" t="n">
        <v>7</v>
      </c>
      <c r="AL43" s="0" t="n">
        <v>4</v>
      </c>
      <c r="AM43" s="0" t="n">
        <v>8</v>
      </c>
      <c r="AN43" s="0" t="n">
        <v>5</v>
      </c>
      <c r="AO43" s="0" t="n">
        <v>0</v>
      </c>
      <c r="AP43" s="0" t="n">
        <v>3</v>
      </c>
      <c r="AQ43" s="3" t="n">
        <v>7205</v>
      </c>
      <c r="AR43" s="0" t="n">
        <v>10</v>
      </c>
      <c r="AS43" s="0" t="n">
        <v>18</v>
      </c>
      <c r="AT43" s="0" t="n">
        <v>7</v>
      </c>
      <c r="AU43" s="0" t="n">
        <v>0</v>
      </c>
      <c r="AV43" s="0" t="n">
        <v>5</v>
      </c>
      <c r="AW43" s="0" t="n">
        <v>19</v>
      </c>
      <c r="AX43" s="0" t="n">
        <v>1</v>
      </c>
      <c r="AY43" s="0" t="n">
        <v>35</v>
      </c>
      <c r="AZ43" s="0" t="n">
        <v>157</v>
      </c>
      <c r="BA43" s="3" t="n">
        <f aca="false">SUM(B43:AZ43)</f>
        <v>9334</v>
      </c>
    </row>
    <row r="44" customFormat="false" ht="12.75" hidden="false" customHeight="false" outlineLevel="0" collapsed="false">
      <c r="A44" s="0" t="s">
        <v>43</v>
      </c>
      <c r="B44" s="3" t="n">
        <v>1183</v>
      </c>
      <c r="C44" s="0" t="n">
        <v>27</v>
      </c>
      <c r="D44" s="0" t="n">
        <v>58</v>
      </c>
      <c r="E44" s="0" t="n">
        <v>777</v>
      </c>
      <c r="F44" s="0" t="n">
        <v>226</v>
      </c>
      <c r="G44" s="0" t="n">
        <v>58</v>
      </c>
      <c r="H44" s="0" t="n">
        <v>7</v>
      </c>
      <c r="I44" s="0" t="n">
        <v>53</v>
      </c>
      <c r="J44" s="0" t="n">
        <v>0</v>
      </c>
      <c r="K44" s="3" t="n">
        <v>1192</v>
      </c>
      <c r="L44" s="3" t="n">
        <v>2973</v>
      </c>
      <c r="M44" s="0" t="n">
        <v>18</v>
      </c>
      <c r="N44" s="0" t="n">
        <v>28</v>
      </c>
      <c r="O44" s="0" t="n">
        <v>488</v>
      </c>
      <c r="P44" s="0" t="n">
        <v>298</v>
      </c>
      <c r="Q44" s="0" t="n">
        <v>33</v>
      </c>
      <c r="R44" s="0" t="n">
        <v>8</v>
      </c>
      <c r="S44" s="0" t="n">
        <v>930</v>
      </c>
      <c r="T44" s="0" t="n">
        <v>294</v>
      </c>
      <c r="U44" s="0" t="n">
        <v>17</v>
      </c>
      <c r="V44" s="0" t="n">
        <v>130</v>
      </c>
      <c r="W44" s="0" t="n">
        <v>58</v>
      </c>
      <c r="X44" s="0" t="n">
        <v>246</v>
      </c>
      <c r="Y44" s="0" t="n">
        <v>83</v>
      </c>
      <c r="Z44" s="3" t="n">
        <v>1104</v>
      </c>
      <c r="AA44" s="0" t="n">
        <v>407</v>
      </c>
      <c r="AB44" s="0" t="n">
        <v>11</v>
      </c>
      <c r="AC44" s="0" t="n">
        <v>14</v>
      </c>
      <c r="AD44" s="0" t="n">
        <v>76</v>
      </c>
      <c r="AE44" s="0" t="n">
        <v>7</v>
      </c>
      <c r="AF44" s="0" t="n">
        <v>64</v>
      </c>
      <c r="AG44" s="0" t="n">
        <v>19</v>
      </c>
      <c r="AH44" s="0" t="n">
        <v>106</v>
      </c>
      <c r="AI44" s="0" t="n">
        <v>615</v>
      </c>
      <c r="AJ44" s="0" t="n">
        <v>5</v>
      </c>
      <c r="AK44" s="0" t="n">
        <v>326</v>
      </c>
      <c r="AL44" s="0" t="n">
        <v>53</v>
      </c>
      <c r="AM44" s="0" t="n">
        <v>11</v>
      </c>
      <c r="AN44" s="0" t="n">
        <v>204</v>
      </c>
      <c r="AO44" s="0" t="n">
        <v>3</v>
      </c>
      <c r="AP44" s="0" t="n">
        <v>692</v>
      </c>
      <c r="AQ44" s="0" t="n">
        <v>9</v>
      </c>
      <c r="AR44" s="3" t="n">
        <v>5864</v>
      </c>
      <c r="AS44" s="0" t="n">
        <v>290</v>
      </c>
      <c r="AT44" s="0" t="n">
        <v>19</v>
      </c>
      <c r="AU44" s="0" t="n">
        <v>6</v>
      </c>
      <c r="AV44" s="0" t="n">
        <v>384</v>
      </c>
      <c r="AW44" s="0" t="n">
        <v>64</v>
      </c>
      <c r="AX44" s="0" t="n">
        <v>106</v>
      </c>
      <c r="AY44" s="0" t="n">
        <v>42</v>
      </c>
      <c r="AZ44" s="0" t="n">
        <v>7</v>
      </c>
      <c r="BA44" s="3" t="n">
        <f aca="false">SUM(B44:AZ44)</f>
        <v>19693</v>
      </c>
    </row>
    <row r="45" customFormat="false" ht="12.75" hidden="false" customHeight="false" outlineLevel="0" collapsed="false">
      <c r="A45" s="0" t="s">
        <v>44</v>
      </c>
      <c r="B45" s="0" t="n">
        <v>251</v>
      </c>
      <c r="C45" s="0" t="n">
        <v>146</v>
      </c>
      <c r="D45" s="0" t="n">
        <v>551</v>
      </c>
      <c r="E45" s="3" t="n">
        <v>1222</v>
      </c>
      <c r="F45" s="3" t="n">
        <v>1516</v>
      </c>
      <c r="G45" s="3" t="n">
        <v>1396</v>
      </c>
      <c r="H45" s="0" t="n">
        <v>68</v>
      </c>
      <c r="I45" s="0" t="n">
        <v>0</v>
      </c>
      <c r="J45" s="0" t="n">
        <v>0</v>
      </c>
      <c r="K45" s="3" t="n">
        <v>1707</v>
      </c>
      <c r="L45" s="0" t="n">
        <v>377</v>
      </c>
      <c r="M45" s="0" t="n">
        <v>182</v>
      </c>
      <c r="N45" s="0" t="n">
        <v>118</v>
      </c>
      <c r="O45" s="0" t="n">
        <v>594</v>
      </c>
      <c r="P45" s="0" t="n">
        <v>174</v>
      </c>
      <c r="Q45" s="0" t="n">
        <v>142</v>
      </c>
      <c r="R45" s="0" t="n">
        <v>563</v>
      </c>
      <c r="S45" s="0" t="n">
        <v>109</v>
      </c>
      <c r="T45" s="3" t="n">
        <v>3665</v>
      </c>
      <c r="U45" s="0" t="n">
        <v>26</v>
      </c>
      <c r="V45" s="0" t="n">
        <v>129</v>
      </c>
      <c r="W45" s="0" t="n">
        <v>118</v>
      </c>
      <c r="X45" s="0" t="n">
        <v>246</v>
      </c>
      <c r="Y45" s="0" t="n">
        <v>137</v>
      </c>
      <c r="Z45" s="0" t="n">
        <v>123</v>
      </c>
      <c r="AA45" s="3" t="n">
        <v>1086</v>
      </c>
      <c r="AB45" s="0" t="n">
        <v>15</v>
      </c>
      <c r="AC45" s="0" t="n">
        <v>68</v>
      </c>
      <c r="AD45" s="0" t="n">
        <v>795</v>
      </c>
      <c r="AE45" s="0" t="n">
        <v>7</v>
      </c>
      <c r="AF45" s="0" t="n">
        <v>73</v>
      </c>
      <c r="AG45" s="3" t="n">
        <v>1643</v>
      </c>
      <c r="AH45" s="0" t="n">
        <v>534</v>
      </c>
      <c r="AI45" s="0" t="n">
        <v>237</v>
      </c>
      <c r="AJ45" s="0" t="n">
        <v>55</v>
      </c>
      <c r="AK45" s="0" t="n">
        <v>475</v>
      </c>
      <c r="AL45" s="3" t="n">
        <v>2762</v>
      </c>
      <c r="AM45" s="0" t="n">
        <v>45</v>
      </c>
      <c r="AN45" s="0" t="n">
        <v>255</v>
      </c>
      <c r="AO45" s="0" t="n">
        <v>18</v>
      </c>
      <c r="AP45" s="0" t="n">
        <v>119</v>
      </c>
      <c r="AQ45" s="0" t="n">
        <v>137</v>
      </c>
      <c r="AR45" s="0" t="n">
        <v>613</v>
      </c>
      <c r="AS45" s="3" t="n">
        <v>56808</v>
      </c>
      <c r="AT45" s="0" t="n">
        <v>109</v>
      </c>
      <c r="AU45" s="0" t="n">
        <v>62</v>
      </c>
      <c r="AV45" s="0" t="n">
        <v>193</v>
      </c>
      <c r="AW45" s="0" t="n">
        <v>148</v>
      </c>
      <c r="AX45" s="0" t="n">
        <v>0</v>
      </c>
      <c r="AY45" s="0" t="n">
        <v>83</v>
      </c>
      <c r="AZ45" s="0" t="n">
        <v>77</v>
      </c>
      <c r="BA45" s="3" t="n">
        <f aca="false">SUM(B45:AZ45)</f>
        <v>79977</v>
      </c>
    </row>
    <row r="46" customFormat="false" ht="12.75" hidden="false" customHeight="false" outlineLevel="0" collapsed="false">
      <c r="A46" s="0" t="s">
        <v>45</v>
      </c>
      <c r="B46" s="0" t="n">
        <v>8</v>
      </c>
      <c r="C46" s="0" t="n">
        <v>20</v>
      </c>
      <c r="D46" s="0" t="n">
        <v>447</v>
      </c>
      <c r="E46" s="0" t="n">
        <v>5</v>
      </c>
      <c r="F46" s="0" t="n">
        <v>996</v>
      </c>
      <c r="G46" s="0" t="n">
        <v>281</v>
      </c>
      <c r="H46" s="0" t="n">
        <v>2</v>
      </c>
      <c r="I46" s="0" t="n">
        <v>0</v>
      </c>
      <c r="J46" s="0" t="n">
        <v>0</v>
      </c>
      <c r="K46" s="0" t="n">
        <v>65</v>
      </c>
      <c r="L46" s="0" t="n">
        <v>26</v>
      </c>
      <c r="M46" s="0" t="n">
        <v>39</v>
      </c>
      <c r="N46" s="3" t="n">
        <v>1002</v>
      </c>
      <c r="O46" s="0" t="n">
        <v>49</v>
      </c>
      <c r="P46" s="0" t="n">
        <v>12</v>
      </c>
      <c r="Q46" s="0" t="n">
        <v>5</v>
      </c>
      <c r="R46" s="0" t="n">
        <v>15</v>
      </c>
      <c r="S46" s="0" t="n">
        <v>12</v>
      </c>
      <c r="T46" s="0" t="n">
        <v>14</v>
      </c>
      <c r="U46" s="0" t="n">
        <v>3</v>
      </c>
      <c r="V46" s="0" t="n">
        <v>11</v>
      </c>
      <c r="W46" s="0" t="n">
        <v>19</v>
      </c>
      <c r="X46" s="0" t="n">
        <v>13</v>
      </c>
      <c r="Y46" s="0" t="n">
        <v>24</v>
      </c>
      <c r="Z46" s="0" t="n">
        <v>1</v>
      </c>
      <c r="AA46" s="0" t="n">
        <v>58</v>
      </c>
      <c r="AB46" s="0" t="n">
        <v>209</v>
      </c>
      <c r="AC46" s="0" t="n">
        <v>37</v>
      </c>
      <c r="AD46" s="3" t="n">
        <v>1506</v>
      </c>
      <c r="AE46" s="0" t="n">
        <v>12</v>
      </c>
      <c r="AF46" s="0" t="n">
        <v>10</v>
      </c>
      <c r="AG46" s="0" t="n">
        <v>71</v>
      </c>
      <c r="AH46" s="0" t="n">
        <v>47</v>
      </c>
      <c r="AI46" s="0" t="n">
        <v>11</v>
      </c>
      <c r="AJ46" s="0" t="n">
        <v>2</v>
      </c>
      <c r="AK46" s="0" t="n">
        <v>20</v>
      </c>
      <c r="AL46" s="0" t="n">
        <v>13</v>
      </c>
      <c r="AM46" s="0" t="n">
        <v>118</v>
      </c>
      <c r="AN46" s="0" t="n">
        <v>21</v>
      </c>
      <c r="AO46" s="0" t="n">
        <v>0</v>
      </c>
      <c r="AP46" s="0" t="n">
        <v>10</v>
      </c>
      <c r="AQ46" s="0" t="n">
        <v>16</v>
      </c>
      <c r="AR46" s="0" t="n">
        <v>15</v>
      </c>
      <c r="AS46" s="0" t="n">
        <v>89</v>
      </c>
      <c r="AT46" s="0" t="n">
        <v>4495</v>
      </c>
      <c r="AU46" s="0" t="n">
        <v>9</v>
      </c>
      <c r="AV46" s="0" t="n">
        <v>13</v>
      </c>
      <c r="AW46" s="0" t="n">
        <v>144</v>
      </c>
      <c r="AX46" s="0" t="n">
        <v>2</v>
      </c>
      <c r="AY46" s="0" t="n">
        <v>11</v>
      </c>
      <c r="AZ46" s="0" t="n">
        <v>659</v>
      </c>
      <c r="BA46" s="3" t="n">
        <f aca="false">SUM(B46:AZ46)</f>
        <v>10667</v>
      </c>
    </row>
    <row r="47" customFormat="false" ht="12.75" hidden="false" customHeight="false" outlineLevel="0" collapsed="false">
      <c r="A47" s="0" t="s">
        <v>46</v>
      </c>
      <c r="B47" s="0" t="n">
        <v>2</v>
      </c>
      <c r="C47" s="0" t="n">
        <v>3</v>
      </c>
      <c r="D47" s="0" t="n">
        <v>7</v>
      </c>
      <c r="E47" s="0" t="n">
        <v>2</v>
      </c>
      <c r="F47" s="0" t="n">
        <v>32</v>
      </c>
      <c r="G47" s="0" t="n">
        <v>13</v>
      </c>
      <c r="H47" s="0" t="n">
        <v>146</v>
      </c>
      <c r="I47" s="0" t="n">
        <v>5</v>
      </c>
      <c r="J47" s="0" t="n">
        <v>0</v>
      </c>
      <c r="K47" s="0" t="n">
        <v>97</v>
      </c>
      <c r="L47" s="0" t="n">
        <v>6</v>
      </c>
      <c r="M47" s="0" t="n">
        <v>4</v>
      </c>
      <c r="N47" s="0" t="n">
        <v>0</v>
      </c>
      <c r="O47" s="0" t="n">
        <v>15</v>
      </c>
      <c r="P47" s="0" t="n">
        <v>5</v>
      </c>
      <c r="Q47" s="0" t="n">
        <v>2</v>
      </c>
      <c r="R47" s="0" t="n">
        <v>1</v>
      </c>
      <c r="S47" s="0" t="n">
        <v>9</v>
      </c>
      <c r="T47" s="0" t="n">
        <v>3</v>
      </c>
      <c r="U47" s="0" t="n">
        <v>250</v>
      </c>
      <c r="V47" s="0" t="n">
        <v>17</v>
      </c>
      <c r="W47" s="0" t="n">
        <v>577</v>
      </c>
      <c r="X47" s="0" t="n">
        <v>10</v>
      </c>
      <c r="Y47" s="0" t="n">
        <v>9</v>
      </c>
      <c r="Z47" s="0" t="n">
        <v>1</v>
      </c>
      <c r="AA47" s="0" t="n">
        <v>4</v>
      </c>
      <c r="AB47" s="0" t="n">
        <v>2</v>
      </c>
      <c r="AC47" s="0" t="n">
        <v>0</v>
      </c>
      <c r="AD47" s="0" t="n">
        <v>4</v>
      </c>
      <c r="AE47" s="0" t="n">
        <v>334</v>
      </c>
      <c r="AF47" s="0" t="n">
        <v>144</v>
      </c>
      <c r="AG47" s="0" t="n">
        <v>2</v>
      </c>
      <c r="AH47" s="0" t="n">
        <v>547</v>
      </c>
      <c r="AI47" s="0" t="n">
        <v>21</v>
      </c>
      <c r="AJ47" s="0" t="n">
        <v>1</v>
      </c>
      <c r="AK47" s="0" t="n">
        <v>22</v>
      </c>
      <c r="AL47" s="0" t="n">
        <v>3</v>
      </c>
      <c r="AM47" s="0" t="n">
        <v>4</v>
      </c>
      <c r="AN47" s="0" t="n">
        <v>74</v>
      </c>
      <c r="AO47" s="0" t="n">
        <v>51</v>
      </c>
      <c r="AP47" s="0" t="n">
        <v>10</v>
      </c>
      <c r="AQ47" s="0" t="n">
        <v>0</v>
      </c>
      <c r="AR47" s="0" t="n">
        <v>9</v>
      </c>
      <c r="AS47" s="0" t="n">
        <v>10</v>
      </c>
      <c r="AT47" s="0" t="n">
        <v>4</v>
      </c>
      <c r="AU47" s="0" t="n">
        <v>317</v>
      </c>
      <c r="AV47" s="0" t="n">
        <v>45</v>
      </c>
      <c r="AW47" s="0" t="n">
        <v>6</v>
      </c>
      <c r="AX47" s="0" t="n">
        <v>1</v>
      </c>
      <c r="AY47" s="0" t="n">
        <v>3</v>
      </c>
      <c r="AZ47" s="0" t="n">
        <v>4</v>
      </c>
      <c r="BA47" s="3" t="n">
        <f aca="false">SUM(B47:AZ47)</f>
        <v>2838</v>
      </c>
    </row>
    <row r="48" customFormat="false" ht="12.75" hidden="false" customHeight="false" outlineLevel="0" collapsed="false">
      <c r="A48" s="0" t="s">
        <v>47</v>
      </c>
      <c r="B48" s="0" t="n">
        <v>130</v>
      </c>
      <c r="C48" s="0" t="n">
        <v>4</v>
      </c>
      <c r="D48" s="0" t="n">
        <v>121</v>
      </c>
      <c r="E48" s="0" t="n">
        <v>12</v>
      </c>
      <c r="F48" s="0" t="n">
        <v>359</v>
      </c>
      <c r="G48" s="0" t="n">
        <v>100</v>
      </c>
      <c r="H48" s="0" t="n">
        <v>167</v>
      </c>
      <c r="I48" s="0" t="n">
        <v>357</v>
      </c>
      <c r="J48" s="0" t="n">
        <v>0</v>
      </c>
      <c r="K48" s="3" t="n">
        <v>1188</v>
      </c>
      <c r="L48" s="0" t="n">
        <v>608</v>
      </c>
      <c r="M48" s="0" t="n">
        <v>51</v>
      </c>
      <c r="N48" s="0" t="n">
        <v>20</v>
      </c>
      <c r="O48" s="0" t="n">
        <v>252</v>
      </c>
      <c r="P48" s="0" t="n">
        <v>96</v>
      </c>
      <c r="Q48" s="0" t="n">
        <v>55</v>
      </c>
      <c r="R48" s="0" t="n">
        <v>35</v>
      </c>
      <c r="S48" s="0" t="n">
        <v>159</v>
      </c>
      <c r="T48" s="0" t="n">
        <v>142</v>
      </c>
      <c r="U48" s="0" t="n">
        <v>89</v>
      </c>
      <c r="V48" s="3" t="n">
        <v>1100</v>
      </c>
      <c r="W48" s="0" t="n">
        <v>357</v>
      </c>
      <c r="X48" s="0" t="n">
        <v>158</v>
      </c>
      <c r="Y48" s="0" t="n">
        <v>56</v>
      </c>
      <c r="Z48" s="0" t="n">
        <v>120</v>
      </c>
      <c r="AA48" s="0" t="n">
        <v>222</v>
      </c>
      <c r="AB48" s="0" t="n">
        <v>27</v>
      </c>
      <c r="AC48" s="0" t="n">
        <v>13</v>
      </c>
      <c r="AD48" s="0" t="n">
        <v>39</v>
      </c>
      <c r="AE48" s="0" t="n">
        <v>65</v>
      </c>
      <c r="AF48" s="0" t="n">
        <v>560</v>
      </c>
      <c r="AG48" s="0" t="n">
        <v>61</v>
      </c>
      <c r="AH48" s="3" t="n">
        <v>1012</v>
      </c>
      <c r="AI48" s="3" t="n">
        <v>3761</v>
      </c>
      <c r="AJ48" s="0" t="n">
        <v>0</v>
      </c>
      <c r="AK48" s="0" t="n">
        <v>532</v>
      </c>
      <c r="AL48" s="0" t="n">
        <v>36</v>
      </c>
      <c r="AM48" s="0" t="n">
        <v>0</v>
      </c>
      <c r="AN48" s="3" t="n">
        <v>2407</v>
      </c>
      <c r="AO48" s="0" t="n">
        <v>68</v>
      </c>
      <c r="AP48" s="0" t="n">
        <v>778</v>
      </c>
      <c r="AQ48" s="0" t="n">
        <v>12</v>
      </c>
      <c r="AR48" s="0" t="n">
        <v>892</v>
      </c>
      <c r="AS48" s="0" t="n">
        <v>308</v>
      </c>
      <c r="AT48" s="0" t="n">
        <v>34</v>
      </c>
      <c r="AU48" s="0" t="n">
        <v>97</v>
      </c>
      <c r="AV48" s="3" t="n">
        <v>9012</v>
      </c>
      <c r="AW48" s="0" t="n">
        <v>35</v>
      </c>
      <c r="AX48" s="3" t="n">
        <v>1102</v>
      </c>
      <c r="AY48" s="0" t="n">
        <v>53</v>
      </c>
      <c r="AZ48" s="0" t="n">
        <v>2</v>
      </c>
      <c r="BA48" s="3" t="n">
        <f aca="false">SUM(B48:AZ48)</f>
        <v>26864</v>
      </c>
    </row>
    <row r="49" customFormat="false" ht="12.75" hidden="false" customHeight="false" outlineLevel="0" collapsed="false">
      <c r="A49" s="0" t="s">
        <v>48</v>
      </c>
      <c r="B49" s="0" t="n">
        <v>43</v>
      </c>
      <c r="C49" s="0" t="n">
        <v>114</v>
      </c>
      <c r="D49" s="0" t="n">
        <v>163</v>
      </c>
      <c r="E49" s="0" t="n">
        <v>12</v>
      </c>
      <c r="F49" s="3" t="n">
        <v>1719</v>
      </c>
      <c r="G49" s="0" t="n">
        <v>164</v>
      </c>
      <c r="H49" s="0" t="n">
        <v>34</v>
      </c>
      <c r="I49" s="0" t="n">
        <v>1</v>
      </c>
      <c r="J49" s="0" t="n">
        <v>0</v>
      </c>
      <c r="K49" s="0" t="n">
        <v>175</v>
      </c>
      <c r="L49" s="0" t="n">
        <v>81</v>
      </c>
      <c r="M49" s="0" t="n">
        <v>261</v>
      </c>
      <c r="N49" s="0" t="n">
        <v>815</v>
      </c>
      <c r="O49" s="0" t="n">
        <v>130</v>
      </c>
      <c r="P49" s="0" t="n">
        <v>22</v>
      </c>
      <c r="Q49" s="0" t="n">
        <v>68</v>
      </c>
      <c r="R49" s="0" t="n">
        <v>16</v>
      </c>
      <c r="S49" s="0" t="n">
        <v>14</v>
      </c>
      <c r="T49" s="0" t="n">
        <v>47</v>
      </c>
      <c r="U49" s="0" t="n">
        <v>7</v>
      </c>
      <c r="V49" s="0" t="n">
        <v>40</v>
      </c>
      <c r="W49" s="0" t="n">
        <v>124</v>
      </c>
      <c r="X49" s="0" t="n">
        <v>63</v>
      </c>
      <c r="Y49" s="0" t="n">
        <v>76</v>
      </c>
      <c r="Z49" s="0" t="n">
        <v>22</v>
      </c>
      <c r="AA49" s="0" t="n">
        <v>107</v>
      </c>
      <c r="AB49" s="0" t="n">
        <v>402</v>
      </c>
      <c r="AC49" s="0" t="n">
        <v>20</v>
      </c>
      <c r="AD49" s="0" t="n">
        <v>742</v>
      </c>
      <c r="AE49" s="0" t="n">
        <v>5</v>
      </c>
      <c r="AF49" s="0" t="n">
        <v>68</v>
      </c>
      <c r="AG49" s="0" t="n">
        <v>40</v>
      </c>
      <c r="AH49" s="0" t="n">
        <v>132</v>
      </c>
      <c r="AI49" s="0" t="n">
        <v>41</v>
      </c>
      <c r="AJ49" s="0" t="n">
        <v>42</v>
      </c>
      <c r="AK49" s="0" t="n">
        <v>35</v>
      </c>
      <c r="AL49" s="0" t="n">
        <v>40</v>
      </c>
      <c r="AM49" s="3" t="n">
        <v>3924</v>
      </c>
      <c r="AN49" s="0" t="n">
        <v>55</v>
      </c>
      <c r="AO49" s="0" t="n">
        <v>1</v>
      </c>
      <c r="AP49" s="0" t="n">
        <v>24</v>
      </c>
      <c r="AQ49" s="0" t="n">
        <v>46</v>
      </c>
      <c r="AR49" s="0" t="n">
        <v>14</v>
      </c>
      <c r="AS49" s="0" t="n">
        <v>221</v>
      </c>
      <c r="AT49" s="0" t="n">
        <v>144</v>
      </c>
      <c r="AU49" s="0" t="n">
        <v>0</v>
      </c>
      <c r="AV49" s="0" t="n">
        <v>32</v>
      </c>
      <c r="AW49" s="3" t="n">
        <v>13744</v>
      </c>
      <c r="AX49" s="0" t="n">
        <v>5</v>
      </c>
      <c r="AY49" s="0" t="n">
        <v>48</v>
      </c>
      <c r="AZ49" s="0" t="n">
        <v>74</v>
      </c>
      <c r="BA49" s="3" t="n">
        <f aca="false">SUM(B49:AZ49)</f>
        <v>24217</v>
      </c>
    </row>
    <row r="50" customFormat="false" ht="12.75" hidden="false" customHeight="false" outlineLevel="0" collapsed="false">
      <c r="A50" s="0" t="s">
        <v>229</v>
      </c>
      <c r="B50" s="0" t="n">
        <v>12</v>
      </c>
      <c r="C50" s="0" t="n">
        <v>2</v>
      </c>
      <c r="D50" s="0" t="n">
        <v>5</v>
      </c>
      <c r="E50" s="0" t="n">
        <v>7</v>
      </c>
      <c r="F50" s="0" t="n">
        <v>25</v>
      </c>
      <c r="G50" s="0" t="n">
        <v>10</v>
      </c>
      <c r="H50" s="0" t="n">
        <v>7</v>
      </c>
      <c r="I50" s="0" t="n">
        <v>22</v>
      </c>
      <c r="J50" s="0" t="n">
        <v>0</v>
      </c>
      <c r="K50" s="0" t="n">
        <v>165</v>
      </c>
      <c r="L50" s="0" t="n">
        <v>62</v>
      </c>
      <c r="M50" s="0" t="n">
        <v>4</v>
      </c>
      <c r="N50" s="0" t="n">
        <v>4</v>
      </c>
      <c r="O50" s="0" t="n">
        <v>28</v>
      </c>
      <c r="P50" s="0" t="n">
        <v>85</v>
      </c>
      <c r="Q50" s="0" t="n">
        <v>5</v>
      </c>
      <c r="R50" s="0" t="n">
        <v>2</v>
      </c>
      <c r="S50" s="0" t="n">
        <v>153</v>
      </c>
      <c r="T50" s="0" t="n">
        <v>14</v>
      </c>
      <c r="U50" s="0" t="n">
        <v>8</v>
      </c>
      <c r="V50" s="0" t="n">
        <v>197</v>
      </c>
      <c r="W50" s="0" t="n">
        <v>25</v>
      </c>
      <c r="X50" s="0" t="n">
        <v>34</v>
      </c>
      <c r="Y50" s="0" t="n">
        <v>1</v>
      </c>
      <c r="Z50" s="0" t="n">
        <v>6</v>
      </c>
      <c r="AA50" s="0" t="n">
        <v>26</v>
      </c>
      <c r="AB50" s="0" t="n">
        <v>2</v>
      </c>
      <c r="AC50" s="0" t="n">
        <v>1</v>
      </c>
      <c r="AD50" s="0" t="n">
        <v>13</v>
      </c>
      <c r="AE50" s="0" t="n">
        <v>2</v>
      </c>
      <c r="AF50" s="0" t="n">
        <v>61</v>
      </c>
      <c r="AG50" s="0" t="n">
        <v>1</v>
      </c>
      <c r="AH50" s="0" t="n">
        <v>117</v>
      </c>
      <c r="AI50" s="0" t="n">
        <v>349</v>
      </c>
      <c r="AJ50" s="0" t="n">
        <v>0</v>
      </c>
      <c r="AK50" s="3" t="n">
        <v>1175</v>
      </c>
      <c r="AL50" s="0" t="n">
        <v>2</v>
      </c>
      <c r="AM50" s="0" t="n">
        <v>0</v>
      </c>
      <c r="AN50" s="0" t="n">
        <v>461</v>
      </c>
      <c r="AO50" s="0" t="n">
        <v>2</v>
      </c>
      <c r="AP50" s="0" t="n">
        <v>225</v>
      </c>
      <c r="AQ50" s="0" t="n">
        <v>1</v>
      </c>
      <c r="AR50" s="0" t="n">
        <v>150</v>
      </c>
      <c r="AS50" s="0" t="n">
        <v>28</v>
      </c>
      <c r="AT50" s="0" t="n">
        <v>1</v>
      </c>
      <c r="AU50" s="0" t="n">
        <v>3</v>
      </c>
      <c r="AV50" s="0" t="n">
        <v>573</v>
      </c>
      <c r="AW50" s="0" t="n">
        <v>2</v>
      </c>
      <c r="AX50" s="3" t="n">
        <v>1854</v>
      </c>
      <c r="AY50" s="0" t="n">
        <v>30</v>
      </c>
      <c r="AZ50" s="0" t="n">
        <v>4</v>
      </c>
      <c r="BA50" s="3" t="n">
        <f aca="false">SUM(B50:AZ50)</f>
        <v>5966</v>
      </c>
    </row>
    <row r="51" customFormat="false" ht="12.75" hidden="false" customHeight="false" outlineLevel="0" collapsed="false">
      <c r="A51" s="0" t="s">
        <v>50</v>
      </c>
      <c r="B51" s="0" t="n">
        <v>40</v>
      </c>
      <c r="C51" s="0" t="n">
        <v>21</v>
      </c>
      <c r="D51" s="0" t="n">
        <v>176</v>
      </c>
      <c r="E51" s="0" t="n">
        <v>37</v>
      </c>
      <c r="F51" s="0" t="n">
        <v>226</v>
      </c>
      <c r="G51" s="0" t="n">
        <v>149</v>
      </c>
      <c r="H51" s="0" t="n">
        <v>31</v>
      </c>
      <c r="I51" s="0" t="n">
        <v>9</v>
      </c>
      <c r="J51" s="0" t="n">
        <v>0</v>
      </c>
      <c r="K51" s="0" t="n">
        <v>510</v>
      </c>
      <c r="L51" s="0" t="n">
        <v>92</v>
      </c>
      <c r="M51" s="0" t="n">
        <v>15</v>
      </c>
      <c r="N51" s="0" t="n">
        <v>14</v>
      </c>
      <c r="O51" s="3" t="n">
        <v>3117</v>
      </c>
      <c r="P51" s="0" t="n">
        <v>458</v>
      </c>
      <c r="Q51" s="0" t="n">
        <v>642</v>
      </c>
      <c r="R51" s="0" t="n">
        <v>67</v>
      </c>
      <c r="S51" s="0" t="n">
        <v>50</v>
      </c>
      <c r="T51" s="0" t="n">
        <v>64</v>
      </c>
      <c r="U51" s="0" t="n">
        <v>27</v>
      </c>
      <c r="V51" s="0" t="n">
        <v>26</v>
      </c>
      <c r="W51" s="0" t="n">
        <v>104</v>
      </c>
      <c r="X51" s="3" t="n">
        <v>1277</v>
      </c>
      <c r="Y51" s="3" t="n">
        <v>2632</v>
      </c>
      <c r="Z51" s="0" t="n">
        <v>31</v>
      </c>
      <c r="AA51" s="0" t="n">
        <v>249</v>
      </c>
      <c r="AB51" s="0" t="n">
        <v>48</v>
      </c>
      <c r="AC51" s="0" t="n">
        <v>81</v>
      </c>
      <c r="AD51" s="0" t="n">
        <v>229</v>
      </c>
      <c r="AE51" s="0" t="n">
        <v>6</v>
      </c>
      <c r="AF51" s="0" t="n">
        <v>23</v>
      </c>
      <c r="AG51" s="0" t="n">
        <v>22</v>
      </c>
      <c r="AH51" s="0" t="n">
        <v>101</v>
      </c>
      <c r="AI51" s="0" t="n">
        <v>82</v>
      </c>
      <c r="AJ51" s="0" t="n">
        <v>42</v>
      </c>
      <c r="AK51" s="0" t="n">
        <v>221</v>
      </c>
      <c r="AL51" s="0" t="n">
        <v>26</v>
      </c>
      <c r="AM51" s="0" t="n">
        <v>28</v>
      </c>
      <c r="AN51" s="0" t="n">
        <v>168</v>
      </c>
      <c r="AO51" s="0" t="n">
        <v>3</v>
      </c>
      <c r="AP51" s="0" t="n">
        <v>34</v>
      </c>
      <c r="AQ51" s="0" t="n">
        <v>92</v>
      </c>
      <c r="AR51" s="0" t="n">
        <v>94</v>
      </c>
      <c r="AS51" s="0" t="n">
        <v>179</v>
      </c>
      <c r="AT51" s="0" t="n">
        <v>26</v>
      </c>
      <c r="AU51" s="0" t="n">
        <v>3</v>
      </c>
      <c r="AV51" s="0" t="n">
        <v>63</v>
      </c>
      <c r="AW51" s="0" t="n">
        <v>30</v>
      </c>
      <c r="AX51" s="0" t="n">
        <v>8</v>
      </c>
      <c r="AY51" s="3" t="n">
        <v>14023</v>
      </c>
      <c r="AZ51" s="0" t="n">
        <v>36</v>
      </c>
      <c r="BA51" s="3" t="n">
        <f aca="false">SUM(B51:AZ51)</f>
        <v>25732</v>
      </c>
    </row>
    <row r="52" customFormat="false" ht="12.75" hidden="false" customHeight="false" outlineLevel="0" collapsed="false">
      <c r="A52" s="0" t="s">
        <v>51</v>
      </c>
      <c r="B52" s="0" t="n">
        <v>2</v>
      </c>
      <c r="C52" s="0" t="n">
        <v>5</v>
      </c>
      <c r="D52" s="0" t="n">
        <v>28</v>
      </c>
      <c r="E52" s="0" t="n">
        <v>3</v>
      </c>
      <c r="F52" s="0" t="n">
        <v>41</v>
      </c>
      <c r="G52" s="0" t="n">
        <v>692</v>
      </c>
      <c r="H52" s="0" t="n">
        <v>1</v>
      </c>
      <c r="I52" s="0" t="n">
        <v>0</v>
      </c>
      <c r="J52" s="0" t="n">
        <v>0</v>
      </c>
      <c r="K52" s="0" t="n">
        <v>13</v>
      </c>
      <c r="L52" s="0" t="n">
        <v>4</v>
      </c>
      <c r="M52" s="0" t="n">
        <v>5</v>
      </c>
      <c r="N52" s="0" t="n">
        <v>31</v>
      </c>
      <c r="O52" s="0" t="n">
        <v>10</v>
      </c>
      <c r="P52" s="0" t="n">
        <v>7</v>
      </c>
      <c r="Q52" s="0" t="n">
        <v>17</v>
      </c>
      <c r="R52" s="0" t="n">
        <v>28</v>
      </c>
      <c r="S52" s="0" t="n">
        <v>1</v>
      </c>
      <c r="T52" s="0" t="n">
        <v>7</v>
      </c>
      <c r="U52" s="0" t="n">
        <v>1</v>
      </c>
      <c r="V52" s="0" t="n">
        <v>1</v>
      </c>
      <c r="W52" s="0" t="n">
        <v>2</v>
      </c>
      <c r="X52" s="0" t="n">
        <v>5</v>
      </c>
      <c r="Y52" s="0" t="n">
        <v>25</v>
      </c>
      <c r="Z52" s="0" t="n">
        <v>1</v>
      </c>
      <c r="AA52" s="0" t="n">
        <v>36</v>
      </c>
      <c r="AB52" s="0" t="n">
        <v>657</v>
      </c>
      <c r="AC52" s="0" t="n">
        <v>91</v>
      </c>
      <c r="AD52" s="0" t="n">
        <v>46</v>
      </c>
      <c r="AE52" s="0" t="n">
        <v>0</v>
      </c>
      <c r="AF52" s="0" t="n">
        <v>5</v>
      </c>
      <c r="AG52" s="0" t="n">
        <v>21</v>
      </c>
      <c r="AH52" s="0" t="n">
        <v>9</v>
      </c>
      <c r="AI52" s="0" t="n">
        <v>2</v>
      </c>
      <c r="AJ52" s="0" t="n">
        <v>21</v>
      </c>
      <c r="AK52" s="0" t="n">
        <v>7</v>
      </c>
      <c r="AL52" s="0" t="n">
        <v>7</v>
      </c>
      <c r="AM52" s="0" t="n">
        <v>12</v>
      </c>
      <c r="AN52" s="0" t="n">
        <v>7</v>
      </c>
      <c r="AO52" s="0" t="n">
        <v>0</v>
      </c>
      <c r="AP52" s="0" t="n">
        <v>1</v>
      </c>
      <c r="AQ52" s="0" t="n">
        <v>223</v>
      </c>
      <c r="AR52" s="0" t="n">
        <v>5</v>
      </c>
      <c r="AS52" s="0" t="n">
        <v>37</v>
      </c>
      <c r="AT52" s="0" t="n">
        <v>205</v>
      </c>
      <c r="AU52" s="0" t="n">
        <v>2</v>
      </c>
      <c r="AV52" s="0" t="n">
        <v>2</v>
      </c>
      <c r="AW52" s="0" t="n">
        <v>26</v>
      </c>
      <c r="AX52" s="0" t="n">
        <v>2</v>
      </c>
      <c r="AY52" s="0" t="n">
        <v>10</v>
      </c>
      <c r="AZ52" s="3" t="n">
        <v>1723</v>
      </c>
      <c r="BA52" s="3" t="n">
        <f aca="false">SUM(B52:AZ52)</f>
        <v>4087</v>
      </c>
    </row>
    <row r="53" customFormat="false" ht="12.75" hidden="false" customHeight="false" outlineLevel="0" collapsed="false">
      <c r="A53" s="0" t="s">
        <v>57</v>
      </c>
      <c r="B53" s="3" t="n">
        <f aca="false">SUM(B2:B52)</f>
        <v>16796</v>
      </c>
      <c r="C53" s="3" t="n">
        <f aca="false">SUM(C2:C52)</f>
        <v>3040</v>
      </c>
      <c r="D53" s="3" t="n">
        <f aca="false">SUM(D2:D52)</f>
        <v>21345</v>
      </c>
      <c r="E53" s="3" t="n">
        <f aca="false">SUM(E2:E52)</f>
        <v>10361</v>
      </c>
      <c r="F53" s="3" t="n">
        <f aca="false">SUM(F2:F52)</f>
        <v>89284</v>
      </c>
      <c r="G53" s="3" t="n">
        <f aca="false">SUM(G2:G52)</f>
        <v>18020</v>
      </c>
      <c r="H53" s="3" t="n">
        <f aca="false">SUM(H2:H52)</f>
        <v>7325</v>
      </c>
      <c r="I53" s="3" t="n">
        <f aca="false">SUM(I2:I52)</f>
        <v>5214</v>
      </c>
      <c r="J53" s="3" t="n">
        <f aca="false">SUM(J2:J52)</f>
        <v>0</v>
      </c>
      <c r="K53" s="3" t="n">
        <f aca="false">SUM(K2:K52)</f>
        <v>59144</v>
      </c>
      <c r="L53" s="3" t="n">
        <f aca="false">SUM(L2:L52)</f>
        <v>28633</v>
      </c>
      <c r="M53" s="3" t="n">
        <f aca="false">SUM(M2:M52)</f>
        <v>4627</v>
      </c>
      <c r="N53" s="3" t="n">
        <f aca="false">SUM(N2:N52)</f>
        <v>6761</v>
      </c>
      <c r="O53" s="3" t="n">
        <f aca="false">SUM(O2:O52)</f>
        <v>33092</v>
      </c>
      <c r="P53" s="3" t="n">
        <f aca="false">SUM(P2:P52)</f>
        <v>20028</v>
      </c>
      <c r="Q53" s="3" t="n">
        <f aca="false">SUM(Q2:Q52)</f>
        <v>12191</v>
      </c>
      <c r="R53" s="3" t="n">
        <f aca="false">SUM(R2:R52)</f>
        <v>10449</v>
      </c>
      <c r="S53" s="3" t="n">
        <f aca="false">SUM(S2:S52)</f>
        <v>14089</v>
      </c>
      <c r="T53" s="3" t="n">
        <f aca="false">SUM(T2:T52)</f>
        <v>16369</v>
      </c>
      <c r="U53" s="3" t="n">
        <f aca="false">SUM(U2:U52)</f>
        <v>9156</v>
      </c>
      <c r="V53" s="3" t="n">
        <f aca="false">SUM(V2:V52)</f>
        <v>12869</v>
      </c>
      <c r="W53" s="3" t="n">
        <f aca="false">SUM(W2:W52)</f>
        <v>16623</v>
      </c>
      <c r="X53" s="3" t="n">
        <f aca="false">SUM(X2:X52)</f>
        <v>34525</v>
      </c>
      <c r="Y53" s="3" t="n">
        <f aca="false">SUM(Y2:Y52)</f>
        <v>24799</v>
      </c>
      <c r="Z53" s="3" t="n">
        <f aca="false">SUM(Z2:Z52)</f>
        <v>11725</v>
      </c>
      <c r="AA53" s="3" t="n">
        <f aca="false">SUM(AA2:AA52)</f>
        <v>28072</v>
      </c>
      <c r="AB53" s="3" t="n">
        <f aca="false">SUM(AB2:AB52)</f>
        <v>7248</v>
      </c>
      <c r="AC53" s="3" t="n">
        <f aca="false">SUM(AC2:AC52)</f>
        <v>7419</v>
      </c>
      <c r="AD53" s="3" t="n">
        <f aca="false">SUM(AD2:AD52)</f>
        <v>26340</v>
      </c>
      <c r="AE53" s="3" t="n">
        <f aca="false">SUM(AE2:AE52)</f>
        <v>6933</v>
      </c>
      <c r="AF53" s="3" t="n">
        <f aca="false">SUM(AF2:AF52)</f>
        <v>20439</v>
      </c>
      <c r="AG53" s="3" t="n">
        <f aca="false">SUM(AG2:AG52)</f>
        <v>10268</v>
      </c>
      <c r="AH53" s="3" t="n">
        <f aca="false">SUM(AH2:AH52)</f>
        <v>40805</v>
      </c>
      <c r="AI53" s="3" t="n">
        <f aca="false">SUM(AI2:AI52)</f>
        <v>30034</v>
      </c>
      <c r="AJ53" s="3" t="n">
        <f aca="false">SUM(AJ2:AJ52)</f>
        <v>4603</v>
      </c>
      <c r="AK53" s="3" t="n">
        <f aca="false">SUM(AK2:AK52)</f>
        <v>34414</v>
      </c>
      <c r="AL53" s="3" t="n">
        <f aca="false">SUM(AL2:AL52)</f>
        <v>14535</v>
      </c>
      <c r="AM53" s="3" t="n">
        <f aca="false">SUM(AM2:AM52)</f>
        <v>14264</v>
      </c>
      <c r="AN53" s="3" t="n">
        <f aca="false">SUM(AN2:AN52)</f>
        <v>35868</v>
      </c>
      <c r="AO53" s="3" t="n">
        <f aca="false">SUM(AO2:AO52)</f>
        <v>2049</v>
      </c>
      <c r="AP53" s="3" t="n">
        <f aca="false">SUM(AP2:AP52)</f>
        <v>19327</v>
      </c>
      <c r="AQ53" s="3" t="n">
        <f aca="false">SUM(AQ2:AQ52)</f>
        <v>10090</v>
      </c>
      <c r="AR53" s="3" t="n">
        <f aca="false">SUM(AR2:AR52)</f>
        <v>22739</v>
      </c>
      <c r="AS53" s="3" t="n">
        <f aca="false">SUM(AS2:AS52)</f>
        <v>75974</v>
      </c>
      <c r="AT53" s="3" t="n">
        <f aca="false">SUM(AT2:AT52)</f>
        <v>9667</v>
      </c>
      <c r="AU53" s="3" t="n">
        <f aca="false">SUM(AU2:AU52)</f>
        <v>5101</v>
      </c>
      <c r="AV53" s="3" t="n">
        <f aca="false">SUM(AV2:AV52)</f>
        <v>23250</v>
      </c>
      <c r="AW53" s="3" t="n">
        <f aca="false">SUM(AW2:AW52)</f>
        <v>21567</v>
      </c>
      <c r="AX53" s="3" t="n">
        <f aca="false">SUM(AX2:AX52)</f>
        <v>8453</v>
      </c>
      <c r="AY53" s="3" t="n">
        <f aca="false">SUM(AY2:AY52)</f>
        <v>26081</v>
      </c>
      <c r="AZ53" s="3" t="n">
        <f aca="false">SUM(AZ2:AZ52)</f>
        <v>4725</v>
      </c>
      <c r="BA53" s="3" t="n">
        <f aca="false">SUM(BA2:BA52)</f>
        <v>996730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55"/>
  <sheetViews>
    <sheetView showFormulas="false" showGridLines="tru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C53" activeCellId="0" sqref="C53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9.13"/>
  </cols>
  <sheetData>
    <row r="1" customFormat="false" ht="12.75" hidden="false" customHeight="false" outlineLevel="0" collapsed="false">
      <c r="A1" s="0" t="s">
        <v>117</v>
      </c>
      <c r="B1" s="3" t="n">
        <v>7205</v>
      </c>
      <c r="C1" s="0" t="n">
        <v>9734</v>
      </c>
    </row>
    <row r="2" customFormat="false" ht="12.75" hidden="false" customHeight="false" outlineLevel="0" collapsed="false">
      <c r="A2" s="0" t="s">
        <v>2</v>
      </c>
      <c r="B2" s="0" t="n">
        <v>9</v>
      </c>
      <c r="C2" s="0" t="n">
        <v>9725</v>
      </c>
    </row>
    <row r="3" customFormat="false" ht="12.75" hidden="false" customHeight="false" outlineLevel="0" collapsed="false">
      <c r="A3" s="0" t="s">
        <v>3</v>
      </c>
      <c r="B3" s="0" t="n">
        <v>27</v>
      </c>
      <c r="C3" s="0" t="n">
        <v>11496</v>
      </c>
    </row>
    <row r="4" customFormat="false" ht="12.75" hidden="false" customHeight="false" outlineLevel="0" collapsed="false">
      <c r="A4" s="0" t="s">
        <v>4</v>
      </c>
      <c r="B4" s="0" t="n">
        <v>55</v>
      </c>
      <c r="C4" s="0" t="n">
        <v>11447</v>
      </c>
    </row>
    <row r="5" customFormat="false" ht="12.75" hidden="false" customHeight="false" outlineLevel="0" collapsed="false">
      <c r="A5" s="0" t="s">
        <v>5</v>
      </c>
      <c r="B5" s="0" t="n">
        <v>152</v>
      </c>
      <c r="C5" s="0" t="n">
        <v>11332</v>
      </c>
    </row>
    <row r="6" customFormat="false" ht="12.75" hidden="false" customHeight="false" outlineLevel="0" collapsed="false">
      <c r="A6" s="0" t="s">
        <v>6</v>
      </c>
      <c r="B6" s="0" t="n">
        <v>50</v>
      </c>
      <c r="C6" s="0" t="n">
        <v>11292</v>
      </c>
    </row>
    <row r="7" customFormat="false" ht="12.75" hidden="false" customHeight="false" outlineLevel="0" collapsed="false">
      <c r="A7" s="0" t="s">
        <v>7</v>
      </c>
      <c r="B7" s="0" t="s">
        <v>156</v>
      </c>
      <c r="C7" s="0" t="n">
        <v>11390</v>
      </c>
    </row>
    <row r="8" customFormat="false" ht="12.75" hidden="false" customHeight="false" outlineLevel="0" collapsed="false">
      <c r="A8" s="0" t="s">
        <v>8</v>
      </c>
      <c r="B8" s="0" t="n">
        <v>6</v>
      </c>
      <c r="C8" s="0" t="n">
        <v>11406</v>
      </c>
    </row>
    <row r="9" customFormat="false" ht="12.75" hidden="false" customHeight="false" outlineLevel="0" collapsed="false">
      <c r="A9" s="0" t="s">
        <v>9</v>
      </c>
      <c r="B9" s="0" t="n">
        <v>97</v>
      </c>
      <c r="C9" s="0" t="n">
        <v>11315</v>
      </c>
    </row>
    <row r="10" customFormat="false" ht="12.75" hidden="false" customHeight="false" outlineLevel="0" collapsed="false">
      <c r="A10" s="0" t="s">
        <v>10</v>
      </c>
      <c r="B10" s="3" t="n">
        <v>1934</v>
      </c>
      <c r="C10" s="0" t="n">
        <v>9381</v>
      </c>
    </row>
    <row r="11" customFormat="false" ht="12.75" hidden="false" customHeight="false" outlineLevel="0" collapsed="false">
      <c r="A11" s="0" t="s">
        <v>11</v>
      </c>
      <c r="B11" s="3" t="n">
        <v>2539</v>
      </c>
      <c r="C11" s="0" t="n">
        <v>6851</v>
      </c>
    </row>
    <row r="12" customFormat="false" ht="12.75" hidden="false" customHeight="false" outlineLevel="0" collapsed="false">
      <c r="A12" s="0" t="s">
        <v>12</v>
      </c>
      <c r="B12" s="0" t="n">
        <v>3</v>
      </c>
      <c r="C12" s="0" t="n">
        <v>6864</v>
      </c>
    </row>
    <row r="13" customFormat="false" ht="12.75" hidden="false" customHeight="false" outlineLevel="0" collapsed="false">
      <c r="A13" s="0" t="s">
        <v>13</v>
      </c>
      <c r="B13" s="0" t="n">
        <v>2</v>
      </c>
      <c r="C13" s="0" t="n">
        <v>6866</v>
      </c>
    </row>
    <row r="14" customFormat="false" ht="12.75" hidden="false" customHeight="false" outlineLevel="0" collapsed="false">
      <c r="A14" s="0" t="s">
        <v>14</v>
      </c>
      <c r="B14" s="0" t="n">
        <v>128</v>
      </c>
      <c r="C14" s="0" t="n">
        <v>6761</v>
      </c>
    </row>
    <row r="15" customFormat="false" ht="12.75" hidden="false" customHeight="false" outlineLevel="0" collapsed="false">
      <c r="A15" s="0" t="s">
        <v>15</v>
      </c>
      <c r="B15" s="0" t="n">
        <v>76</v>
      </c>
      <c r="C15" s="0" t="n">
        <v>6692</v>
      </c>
    </row>
    <row r="16" customFormat="false" ht="12.75" hidden="false" customHeight="false" outlineLevel="0" collapsed="false">
      <c r="A16" s="0" t="s">
        <v>16</v>
      </c>
      <c r="B16" s="0" t="n">
        <v>35</v>
      </c>
      <c r="C16" s="0" t="n">
        <v>6676</v>
      </c>
    </row>
    <row r="17" customFormat="false" ht="12.75" hidden="false" customHeight="false" outlineLevel="0" collapsed="false">
      <c r="A17" s="0" t="s">
        <v>17</v>
      </c>
      <c r="B17" s="0" t="n">
        <v>17</v>
      </c>
      <c r="C17" s="0" t="n">
        <v>6661</v>
      </c>
    </row>
    <row r="18" customFormat="false" ht="12.75" hidden="false" customHeight="false" outlineLevel="0" collapsed="false">
      <c r="A18" s="0" t="s">
        <v>18</v>
      </c>
      <c r="B18" s="0" t="n">
        <v>107</v>
      </c>
      <c r="C18" s="0" t="n">
        <v>6555</v>
      </c>
    </row>
    <row r="19" customFormat="false" ht="12.75" hidden="false" customHeight="false" outlineLevel="0" collapsed="false">
      <c r="A19" s="0" t="s">
        <v>19</v>
      </c>
      <c r="B19" s="0" t="n">
        <v>50</v>
      </c>
      <c r="C19" s="0" t="n">
        <v>6508</v>
      </c>
    </row>
    <row r="20" customFormat="false" ht="12.75" hidden="false" customHeight="false" outlineLevel="0" collapsed="false">
      <c r="A20" s="0" t="s">
        <v>20</v>
      </c>
      <c r="B20" s="0" t="n">
        <v>3</v>
      </c>
      <c r="C20" s="0" t="n">
        <v>6506</v>
      </c>
    </row>
    <row r="21" customFormat="false" ht="12.75" hidden="false" customHeight="false" outlineLevel="0" collapsed="false">
      <c r="A21" s="0" t="s">
        <v>21</v>
      </c>
      <c r="B21" s="0" t="n">
        <v>32</v>
      </c>
      <c r="C21" s="0" t="n">
        <v>6480</v>
      </c>
    </row>
    <row r="22" customFormat="false" ht="12.75" hidden="false" customHeight="false" outlineLevel="0" collapsed="false">
      <c r="A22" s="0" t="s">
        <v>22</v>
      </c>
      <c r="B22" s="0" t="n">
        <v>69</v>
      </c>
      <c r="C22" s="0" t="n">
        <v>6412</v>
      </c>
    </row>
    <row r="23" customFormat="false" ht="12.75" hidden="false" customHeight="false" outlineLevel="0" collapsed="false">
      <c r="A23" s="0" t="s">
        <v>23</v>
      </c>
      <c r="B23" s="0" t="n">
        <v>56</v>
      </c>
      <c r="C23" s="0" t="n">
        <v>6359</v>
      </c>
    </row>
    <row r="24" customFormat="false" ht="12.75" hidden="false" customHeight="false" outlineLevel="0" collapsed="false">
      <c r="A24" s="0" t="s">
        <v>24</v>
      </c>
      <c r="B24" s="0" t="n">
        <v>18</v>
      </c>
      <c r="C24" s="0" t="n">
        <v>6348</v>
      </c>
    </row>
    <row r="25" customFormat="false" ht="12.75" hidden="false" customHeight="false" outlineLevel="0" collapsed="false">
      <c r="A25" s="0" t="s">
        <v>25</v>
      </c>
      <c r="B25" s="0" t="n">
        <v>985</v>
      </c>
      <c r="C25" s="0" t="n">
        <v>5371</v>
      </c>
    </row>
    <row r="26" customFormat="false" ht="12.75" hidden="false" customHeight="false" outlineLevel="0" collapsed="false">
      <c r="A26" s="0" t="s">
        <v>26</v>
      </c>
      <c r="B26" s="0" t="n">
        <v>197</v>
      </c>
      <c r="C26" s="0" t="n">
        <v>5185</v>
      </c>
    </row>
    <row r="27" customFormat="false" ht="12.75" hidden="false" customHeight="false" outlineLevel="0" collapsed="false">
      <c r="A27" s="0" t="s">
        <v>27</v>
      </c>
      <c r="B27" s="0" t="n">
        <v>10</v>
      </c>
      <c r="C27" s="0" t="n">
        <v>5176</v>
      </c>
    </row>
    <row r="28" customFormat="false" ht="12.75" hidden="false" customHeight="false" outlineLevel="0" collapsed="false">
      <c r="A28" s="0" t="s">
        <v>28</v>
      </c>
      <c r="B28" s="0" t="n">
        <v>3</v>
      </c>
      <c r="C28" s="0" t="n">
        <v>5183</v>
      </c>
    </row>
    <row r="29" customFormat="false" ht="12.75" hidden="false" customHeight="false" outlineLevel="0" collapsed="false">
      <c r="A29" s="0" t="s">
        <v>29</v>
      </c>
      <c r="B29" s="0" t="n">
        <v>25</v>
      </c>
      <c r="C29" s="0" t="n">
        <v>5168</v>
      </c>
    </row>
    <row r="30" customFormat="false" ht="12.75" hidden="false" customHeight="false" outlineLevel="0" collapsed="false">
      <c r="A30" s="0" t="s">
        <v>30</v>
      </c>
      <c r="B30" s="0" t="n">
        <v>2</v>
      </c>
      <c r="C30" s="0" t="n">
        <v>5169</v>
      </c>
    </row>
    <row r="31" customFormat="false" ht="12.75" hidden="false" customHeight="false" outlineLevel="0" collapsed="false">
      <c r="A31" s="0" t="s">
        <v>31</v>
      </c>
      <c r="B31" s="0" t="n">
        <v>40</v>
      </c>
      <c r="C31" s="0" t="n">
        <v>5165</v>
      </c>
    </row>
    <row r="32" customFormat="false" ht="12.75" hidden="false" customHeight="false" outlineLevel="0" collapsed="false">
      <c r="A32" s="0" t="s">
        <v>32</v>
      </c>
      <c r="B32" s="0" t="s">
        <v>156</v>
      </c>
      <c r="C32" s="0" t="n">
        <v>5165</v>
      </c>
    </row>
    <row r="33" customFormat="false" ht="12.75" hidden="false" customHeight="false" outlineLevel="0" collapsed="false">
      <c r="A33" s="0" t="s">
        <v>33</v>
      </c>
      <c r="B33" s="0" t="n">
        <v>37</v>
      </c>
      <c r="C33" s="0" t="n">
        <v>5130</v>
      </c>
    </row>
    <row r="34" customFormat="false" ht="12.75" hidden="false" customHeight="false" outlineLevel="0" collapsed="false">
      <c r="A34" s="0" t="s">
        <v>34</v>
      </c>
      <c r="B34" s="0" t="n">
        <v>284</v>
      </c>
      <c r="C34" s="0" t="n">
        <v>4851</v>
      </c>
    </row>
    <row r="35" customFormat="false" ht="12.75" hidden="false" customHeight="false" outlineLevel="0" collapsed="false">
      <c r="A35" s="0" t="s">
        <v>35</v>
      </c>
      <c r="B35" s="0" t="n">
        <v>2</v>
      </c>
      <c r="C35" s="0" t="n">
        <v>4861</v>
      </c>
    </row>
    <row r="36" customFormat="false" ht="12.75" hidden="false" customHeight="false" outlineLevel="0" collapsed="false">
      <c r="A36" s="0" t="s">
        <v>36</v>
      </c>
      <c r="B36" s="0" t="n">
        <v>96</v>
      </c>
      <c r="C36" s="0" t="n">
        <v>4768</v>
      </c>
    </row>
    <row r="37" customFormat="false" ht="12.75" hidden="false" customHeight="false" outlineLevel="0" collapsed="false">
      <c r="A37" s="0" t="s">
        <v>37</v>
      </c>
      <c r="B37" s="0" t="n">
        <v>20</v>
      </c>
      <c r="C37" s="0" t="n">
        <v>4749</v>
      </c>
    </row>
    <row r="38" customFormat="false" ht="12.75" hidden="false" customHeight="false" outlineLevel="0" collapsed="false">
      <c r="A38" s="0" t="s">
        <v>38</v>
      </c>
      <c r="B38" s="0" t="n">
        <v>1</v>
      </c>
      <c r="C38" s="0" t="n">
        <v>4756</v>
      </c>
    </row>
    <row r="39" customFormat="false" ht="12.75" hidden="false" customHeight="false" outlineLevel="0" collapsed="false">
      <c r="A39" s="0" t="s">
        <v>39</v>
      </c>
      <c r="B39" s="0" t="n">
        <v>50</v>
      </c>
      <c r="C39" s="0" t="n">
        <v>4711</v>
      </c>
    </row>
    <row r="40" customFormat="false" ht="12.75" hidden="false" customHeight="false" outlineLevel="0" collapsed="false">
      <c r="A40" s="0" t="s">
        <v>40</v>
      </c>
      <c r="B40" s="0" t="n">
        <v>2</v>
      </c>
      <c r="C40" s="0" t="n">
        <v>4769</v>
      </c>
    </row>
    <row r="41" customFormat="false" ht="12.75" hidden="false" customHeight="false" outlineLevel="0" collapsed="false">
      <c r="A41" s="0" t="s">
        <v>41</v>
      </c>
      <c r="B41" s="0" t="n">
        <v>203</v>
      </c>
      <c r="C41" s="0" t="n">
        <v>4572</v>
      </c>
    </row>
    <row r="42" customFormat="false" ht="12.75" hidden="false" customHeight="false" outlineLevel="0" collapsed="false">
      <c r="A42" s="0" t="s">
        <v>42</v>
      </c>
      <c r="B42" s="0" t="n">
        <v>4</v>
      </c>
      <c r="C42" s="0" t="n">
        <v>4568</v>
      </c>
    </row>
    <row r="43" customFormat="false" ht="12.75" hidden="false" customHeight="false" outlineLevel="0" collapsed="false">
      <c r="A43" s="0" t="s">
        <v>43</v>
      </c>
      <c r="B43" s="3" t="n">
        <v>1831</v>
      </c>
      <c r="C43" s="0" t="n">
        <v>2738</v>
      </c>
    </row>
    <row r="44" customFormat="false" ht="12.75" hidden="false" customHeight="false" outlineLevel="0" collapsed="false">
      <c r="A44" s="0" t="s">
        <v>44</v>
      </c>
      <c r="B44" s="0" t="n">
        <v>231</v>
      </c>
      <c r="C44" s="0" t="n">
        <v>2509</v>
      </c>
    </row>
    <row r="45" customFormat="false" ht="12.75" hidden="false" customHeight="false" outlineLevel="0" collapsed="false">
      <c r="A45" s="0" t="s">
        <v>45</v>
      </c>
      <c r="B45" s="0" t="n">
        <v>26</v>
      </c>
      <c r="C45" s="0" t="n">
        <v>2486</v>
      </c>
    </row>
    <row r="46" customFormat="false" ht="12.75" hidden="false" customHeight="false" outlineLevel="0" collapsed="false">
      <c r="A46" s="0" t="s">
        <v>46</v>
      </c>
      <c r="B46" s="0" t="s">
        <v>156</v>
      </c>
      <c r="C46" s="0" t="n">
        <v>2511</v>
      </c>
    </row>
    <row r="47" customFormat="false" ht="12.75" hidden="false" customHeight="false" outlineLevel="0" collapsed="false">
      <c r="A47" s="0" t="s">
        <v>47</v>
      </c>
      <c r="B47" s="0" t="n">
        <v>166</v>
      </c>
      <c r="C47" s="0" t="n">
        <v>2354</v>
      </c>
    </row>
    <row r="48" customFormat="false" ht="12.75" hidden="false" customHeight="false" outlineLevel="0" collapsed="false">
      <c r="A48" s="0" t="s">
        <v>48</v>
      </c>
      <c r="B48" s="0" t="n">
        <v>11</v>
      </c>
      <c r="C48" s="0" t="n">
        <v>2344</v>
      </c>
    </row>
    <row r="49" customFormat="false" ht="12.75" hidden="false" customHeight="false" outlineLevel="0" collapsed="false">
      <c r="A49" s="0" t="s">
        <v>49</v>
      </c>
      <c r="B49" s="0" t="n">
        <v>37</v>
      </c>
      <c r="C49" s="0" t="n">
        <v>2312</v>
      </c>
    </row>
    <row r="50" customFormat="false" ht="12.75" hidden="false" customHeight="false" outlineLevel="0" collapsed="false">
      <c r="A50" s="0" t="s">
        <v>50</v>
      </c>
      <c r="B50" s="0" t="n">
        <v>4</v>
      </c>
      <c r="C50" s="0" t="n">
        <v>2421</v>
      </c>
    </row>
    <row r="51" customFormat="false" ht="12.75" hidden="false" customHeight="false" outlineLevel="0" collapsed="false">
      <c r="A51" s="0" t="s">
        <v>51</v>
      </c>
      <c r="B51" s="0" t="n">
        <v>2</v>
      </c>
      <c r="C51" s="0" t="n">
        <v>2420</v>
      </c>
    </row>
    <row r="52" customFormat="false" ht="12.75" hidden="false" customHeight="false" outlineLevel="0" collapsed="false">
      <c r="C52" s="0" t="n">
        <v>2429</v>
      </c>
    </row>
    <row r="53" customFormat="false" ht="12.75" hidden="false" customHeight="false" outlineLevel="0" collapsed="false">
      <c r="A53" s="0" t="s">
        <v>118</v>
      </c>
      <c r="B53" s="3" t="n">
        <v>1798</v>
      </c>
      <c r="C53" s="0" t="n">
        <v>636</v>
      </c>
    </row>
    <row r="54" customFormat="false" ht="12.75" hidden="false" customHeight="false" outlineLevel="0" collapsed="false">
      <c r="A54" s="0" t="s">
        <v>1</v>
      </c>
      <c r="B54" s="0" t="n">
        <v>6</v>
      </c>
      <c r="C54" s="0" t="n">
        <v>630</v>
      </c>
    </row>
    <row r="55" customFormat="false" ht="12.75" hidden="false" customHeight="false" outlineLevel="0" collapsed="false">
      <c r="A55" s="0" t="s">
        <v>3</v>
      </c>
      <c r="B55" s="0" t="n">
        <v>37</v>
      </c>
      <c r="C55" s="0" t="n">
        <v>11488</v>
      </c>
    </row>
    <row r="56" customFormat="false" ht="12.75" hidden="false" customHeight="false" outlineLevel="0" collapsed="false">
      <c r="A56" s="0" t="s">
        <v>4</v>
      </c>
      <c r="B56" s="0" t="n">
        <v>10</v>
      </c>
      <c r="C56" s="0" t="n">
        <v>11507</v>
      </c>
    </row>
    <row r="57" customFormat="false" ht="12.75" hidden="false" customHeight="false" outlineLevel="0" collapsed="false">
      <c r="A57" s="0" t="s">
        <v>5</v>
      </c>
      <c r="B57" s="0" t="n">
        <v>98</v>
      </c>
      <c r="C57" s="0" t="n">
        <v>11448</v>
      </c>
    </row>
    <row r="58" customFormat="false" ht="12.75" hidden="false" customHeight="false" outlineLevel="0" collapsed="false">
      <c r="A58" s="0" t="s">
        <v>6</v>
      </c>
      <c r="B58" s="0" t="n">
        <v>22</v>
      </c>
      <c r="C58" s="0" t="n">
        <v>11441</v>
      </c>
    </row>
    <row r="59" customFormat="false" ht="12.75" hidden="false" customHeight="false" outlineLevel="0" collapsed="false">
      <c r="A59" s="0" t="s">
        <v>7</v>
      </c>
      <c r="B59" s="0" t="n">
        <v>6</v>
      </c>
      <c r="C59" s="0" t="n">
        <v>15511</v>
      </c>
    </row>
    <row r="60" customFormat="false" ht="12.75" hidden="false" customHeight="false" outlineLevel="0" collapsed="false">
      <c r="A60" s="0" t="s">
        <v>8</v>
      </c>
      <c r="B60" s="0" t="s">
        <v>156</v>
      </c>
      <c r="C60" s="0" t="n">
        <v>15857</v>
      </c>
    </row>
    <row r="61" customFormat="false" ht="12.75" hidden="false" customHeight="false" outlineLevel="0" collapsed="false">
      <c r="A61" s="0" t="s">
        <v>9</v>
      </c>
      <c r="B61" s="0" t="n">
        <v>9</v>
      </c>
      <c r="C61" s="0" t="n">
        <v>15875</v>
      </c>
    </row>
    <row r="62" customFormat="false" ht="12.75" hidden="false" customHeight="false" outlineLevel="0" collapsed="false">
      <c r="A62" s="0" t="s">
        <v>10</v>
      </c>
      <c r="B62" s="0" t="n">
        <v>16</v>
      </c>
      <c r="C62" s="0" t="n">
        <v>15864</v>
      </c>
    </row>
    <row r="63" customFormat="false" ht="12.75" hidden="false" customHeight="false" outlineLevel="0" collapsed="false">
      <c r="A63" s="0" t="s">
        <v>11</v>
      </c>
      <c r="B63" s="0" t="n">
        <v>4</v>
      </c>
      <c r="C63" s="0" t="n">
        <v>15945</v>
      </c>
    </row>
    <row r="64" customFormat="false" ht="12.75" hidden="false" customHeight="false" outlineLevel="0" collapsed="false">
      <c r="A64" s="0" t="s">
        <v>12</v>
      </c>
      <c r="B64" s="0" t="n">
        <v>23</v>
      </c>
      <c r="C64" s="0" t="n">
        <v>16016</v>
      </c>
    </row>
    <row r="65" customFormat="false" ht="12.75" hidden="false" customHeight="false" outlineLevel="0" collapsed="false">
      <c r="A65" s="0" t="s">
        <v>13</v>
      </c>
      <c r="B65" s="0" t="n">
        <v>7</v>
      </c>
      <c r="C65" s="0" t="n">
        <v>16060</v>
      </c>
    </row>
    <row r="66" customFormat="false" ht="12.75" hidden="false" customHeight="false" outlineLevel="0" collapsed="false">
      <c r="A66" s="0" t="s">
        <v>14</v>
      </c>
      <c r="B66" s="0" t="n">
        <v>19</v>
      </c>
      <c r="C66" s="0" t="n">
        <v>16130</v>
      </c>
    </row>
    <row r="67" customFormat="false" ht="12.75" hidden="false" customHeight="false" outlineLevel="0" collapsed="false">
      <c r="A67" s="0" t="s">
        <v>15</v>
      </c>
      <c r="B67" s="0" t="n">
        <v>2</v>
      </c>
      <c r="C67" s="0" t="n">
        <v>16161</v>
      </c>
    </row>
    <row r="68" customFormat="false" ht="12.75" hidden="false" customHeight="false" outlineLevel="0" collapsed="false">
      <c r="A68" s="0" t="s">
        <v>16</v>
      </c>
      <c r="B68" s="0" t="n">
        <v>1</v>
      </c>
      <c r="C68" s="0" t="n">
        <v>16375</v>
      </c>
    </row>
    <row r="69" customFormat="false" ht="12.75" hidden="false" customHeight="false" outlineLevel="0" collapsed="false">
      <c r="A69" s="0" t="s">
        <v>17</v>
      </c>
      <c r="B69" s="0" t="n">
        <v>3</v>
      </c>
      <c r="C69" s="0" t="n">
        <v>16417</v>
      </c>
    </row>
    <row r="70" customFormat="false" ht="12.75" hidden="false" customHeight="false" outlineLevel="0" collapsed="false">
      <c r="A70" s="0" t="s">
        <v>18</v>
      </c>
      <c r="B70" s="0" t="n">
        <v>1</v>
      </c>
      <c r="C70" s="0" t="n">
        <v>16474</v>
      </c>
    </row>
    <row r="71" customFormat="false" ht="12.75" hidden="false" customHeight="false" outlineLevel="0" collapsed="false">
      <c r="A71" s="0" t="s">
        <v>19</v>
      </c>
      <c r="B71" s="0" t="n">
        <v>6</v>
      </c>
      <c r="C71" s="0" t="n">
        <v>16542</v>
      </c>
    </row>
    <row r="72" customFormat="false" ht="12.75" hidden="false" customHeight="false" outlineLevel="0" collapsed="false">
      <c r="A72" s="0" t="s">
        <v>20</v>
      </c>
      <c r="B72" s="0" t="n">
        <v>1</v>
      </c>
      <c r="C72" s="0" t="n">
        <v>16553</v>
      </c>
    </row>
    <row r="73" customFormat="false" ht="12.75" hidden="false" customHeight="false" outlineLevel="0" collapsed="false">
      <c r="A73" s="0" t="s">
        <v>21</v>
      </c>
      <c r="B73" s="0" t="n">
        <v>3</v>
      </c>
      <c r="C73" s="0" t="n">
        <v>16579</v>
      </c>
    </row>
    <row r="74" customFormat="false" ht="12.75" hidden="false" customHeight="false" outlineLevel="0" collapsed="false">
      <c r="A74" s="0" t="s">
        <v>22</v>
      </c>
      <c r="B74" s="0" t="n">
        <v>7</v>
      </c>
      <c r="C74" s="0" t="n">
        <v>16572</v>
      </c>
    </row>
    <row r="75" customFormat="false" ht="12.75" hidden="false" customHeight="false" outlineLevel="0" collapsed="false">
      <c r="A75" s="0" t="s">
        <v>23</v>
      </c>
      <c r="B75" s="0" t="n">
        <v>8</v>
      </c>
      <c r="C75" s="0" t="n">
        <v>16600</v>
      </c>
    </row>
    <row r="76" customFormat="false" ht="12.75" hidden="false" customHeight="false" outlineLevel="0" collapsed="false">
      <c r="A76" s="0" t="s">
        <v>24</v>
      </c>
      <c r="B76" s="0" t="n">
        <v>11</v>
      </c>
      <c r="C76" s="0" t="n">
        <v>16630</v>
      </c>
    </row>
    <row r="77" customFormat="false" ht="12.75" hidden="false" customHeight="false" outlineLevel="0" collapsed="false">
      <c r="A77" s="0" t="s">
        <v>25</v>
      </c>
      <c r="B77" s="0" t="n">
        <v>1</v>
      </c>
      <c r="C77" s="0" t="n">
        <v>16697</v>
      </c>
    </row>
    <row r="78" customFormat="false" ht="12.75" hidden="false" customHeight="false" outlineLevel="0" collapsed="false">
      <c r="A78" s="0" t="s">
        <v>26</v>
      </c>
      <c r="B78" s="0" t="n">
        <v>10</v>
      </c>
      <c r="C78" s="0" t="n">
        <v>16798</v>
      </c>
    </row>
    <row r="79" customFormat="false" ht="12.75" hidden="false" customHeight="false" outlineLevel="0" collapsed="false">
      <c r="A79" s="0" t="s">
        <v>27</v>
      </c>
      <c r="B79" s="0" t="n">
        <v>10</v>
      </c>
      <c r="C79" s="0" t="n">
        <v>16789</v>
      </c>
    </row>
    <row r="80" customFormat="false" ht="12.75" hidden="false" customHeight="false" outlineLevel="0" collapsed="false">
      <c r="A80" s="0" t="s">
        <v>28</v>
      </c>
      <c r="B80" s="0" t="n">
        <v>3</v>
      </c>
      <c r="C80" s="0" t="n">
        <v>16850</v>
      </c>
    </row>
    <row r="81" customFormat="false" ht="12.75" hidden="false" customHeight="false" outlineLevel="0" collapsed="false">
      <c r="A81" s="0" t="s">
        <v>29</v>
      </c>
      <c r="B81" s="0" t="n">
        <v>36</v>
      </c>
      <c r="C81" s="0" t="n">
        <v>16850</v>
      </c>
    </row>
    <row r="82" customFormat="false" ht="12.75" hidden="false" customHeight="false" outlineLevel="0" collapsed="false">
      <c r="A82" s="0" t="s">
        <v>30</v>
      </c>
      <c r="B82" s="0" t="s">
        <v>156</v>
      </c>
      <c r="C82" s="0" t="n">
        <v>16911</v>
      </c>
    </row>
    <row r="83" customFormat="false" ht="12.75" hidden="false" customHeight="false" outlineLevel="0" collapsed="false">
      <c r="A83" s="0" t="s">
        <v>31</v>
      </c>
      <c r="B83" s="0" t="n">
        <v>2</v>
      </c>
      <c r="C83" s="0" t="n">
        <v>17955</v>
      </c>
    </row>
    <row r="84" customFormat="false" ht="12.75" hidden="false" customHeight="false" outlineLevel="0" collapsed="false">
      <c r="A84" s="0" t="s">
        <v>32</v>
      </c>
      <c r="B84" s="0" t="n">
        <v>5</v>
      </c>
      <c r="C84" s="0" t="n">
        <v>17990</v>
      </c>
    </row>
    <row r="85" customFormat="false" ht="12.75" hidden="false" customHeight="false" outlineLevel="0" collapsed="false">
      <c r="A85" s="0" t="s">
        <v>33</v>
      </c>
      <c r="B85" s="0" t="n">
        <v>12</v>
      </c>
      <c r="C85" s="0" t="n">
        <v>18001</v>
      </c>
    </row>
    <row r="86" customFormat="false" ht="12.75" hidden="false" customHeight="false" outlineLevel="0" collapsed="false">
      <c r="A86" s="0" t="s">
        <v>34</v>
      </c>
      <c r="B86" s="0" t="n">
        <v>3</v>
      </c>
      <c r="C86" s="0" t="n">
        <v>18337</v>
      </c>
    </row>
    <row r="87" customFormat="false" ht="12.75" hidden="false" customHeight="false" outlineLevel="0" collapsed="false">
      <c r="A87" s="0" t="s">
        <v>35</v>
      </c>
      <c r="B87" s="0" t="n">
        <v>1</v>
      </c>
      <c r="C87" s="0" t="n">
        <v>18432</v>
      </c>
    </row>
    <row r="88" customFormat="false" ht="12.75" hidden="false" customHeight="false" outlineLevel="0" collapsed="false">
      <c r="A88" s="0" t="s">
        <v>36</v>
      </c>
      <c r="B88" s="0" t="n">
        <v>8</v>
      </c>
      <c r="C88" s="0" t="n">
        <v>18475</v>
      </c>
    </row>
    <row r="89" customFormat="false" ht="12.75" hidden="false" customHeight="false" outlineLevel="0" collapsed="false">
      <c r="A89" s="0" t="s">
        <v>37</v>
      </c>
      <c r="B89" s="0" t="n">
        <v>5</v>
      </c>
      <c r="C89" s="0" t="n">
        <v>18479</v>
      </c>
    </row>
    <row r="90" customFormat="false" ht="12.75" hidden="false" customHeight="false" outlineLevel="0" collapsed="false">
      <c r="A90" s="0" t="s">
        <v>38</v>
      </c>
      <c r="B90" s="0" t="n">
        <v>60</v>
      </c>
      <c r="C90" s="0" t="n">
        <v>18483</v>
      </c>
    </row>
    <row r="91" customFormat="false" ht="12.75" hidden="false" customHeight="false" outlineLevel="0" collapsed="false">
      <c r="A91" s="0" t="s">
        <v>39</v>
      </c>
      <c r="B91" s="0" t="n">
        <v>6</v>
      </c>
      <c r="C91" s="0" t="n">
        <v>18542</v>
      </c>
    </row>
    <row r="92" customFormat="false" ht="12.75" hidden="false" customHeight="false" outlineLevel="0" collapsed="false">
      <c r="A92" s="0" t="s">
        <v>40</v>
      </c>
      <c r="B92" s="0" t="s">
        <v>156</v>
      </c>
      <c r="C92" s="0" t="n">
        <v>18656</v>
      </c>
    </row>
    <row r="93" customFormat="false" ht="12.75" hidden="false" customHeight="false" outlineLevel="0" collapsed="false">
      <c r="A93" s="0" t="s">
        <v>41</v>
      </c>
      <c r="B93" s="0" t="n">
        <v>1</v>
      </c>
      <c r="C93" s="0" t="n">
        <v>18737</v>
      </c>
    </row>
    <row r="94" customFormat="false" ht="12.75" hidden="false" customHeight="false" outlineLevel="0" collapsed="false">
      <c r="A94" s="0" t="s">
        <v>42</v>
      </c>
      <c r="B94" s="0" t="n">
        <v>2</v>
      </c>
      <c r="C94" s="0" t="n">
        <v>18736</v>
      </c>
    </row>
    <row r="95" customFormat="false" ht="12.75" hidden="false" customHeight="false" outlineLevel="0" collapsed="false">
      <c r="A95" s="0" t="s">
        <v>43</v>
      </c>
      <c r="B95" s="0" t="n">
        <v>3</v>
      </c>
      <c r="C95" s="0" t="n">
        <v>18750</v>
      </c>
    </row>
    <row r="96" customFormat="false" ht="12.75" hidden="false" customHeight="false" outlineLevel="0" collapsed="false">
      <c r="A96" s="0" t="s">
        <v>44</v>
      </c>
      <c r="B96" s="0" t="n">
        <v>25</v>
      </c>
      <c r="C96" s="0" t="n">
        <v>18746</v>
      </c>
    </row>
    <row r="97" customFormat="false" ht="12.75" hidden="false" customHeight="false" outlineLevel="0" collapsed="false">
      <c r="A97" s="0" t="s">
        <v>45</v>
      </c>
      <c r="B97" s="0" t="n">
        <v>9</v>
      </c>
      <c r="C97" s="0" t="n">
        <v>18749</v>
      </c>
    </row>
    <row r="98" customFormat="false" ht="12.75" hidden="false" customHeight="false" outlineLevel="0" collapsed="false">
      <c r="A98" s="0" t="s">
        <v>46</v>
      </c>
      <c r="B98" s="0" t="n">
        <v>1</v>
      </c>
      <c r="C98" s="0" t="n">
        <v>19110</v>
      </c>
    </row>
    <row r="99" customFormat="false" ht="12.75" hidden="false" customHeight="false" outlineLevel="0" collapsed="false">
      <c r="A99" s="0" t="s">
        <v>47</v>
      </c>
      <c r="B99" s="0" t="n">
        <v>5</v>
      </c>
      <c r="C99" s="0" t="n">
        <v>19378</v>
      </c>
    </row>
    <row r="100" customFormat="false" ht="12.75" hidden="false" customHeight="false" outlineLevel="0" collapsed="false">
      <c r="A100" s="0" t="s">
        <v>48</v>
      </c>
      <c r="B100" s="0" t="n">
        <v>113</v>
      </c>
      <c r="C100" s="0" t="n">
        <v>19273</v>
      </c>
    </row>
    <row r="101" customFormat="false" ht="12.75" hidden="false" customHeight="false" outlineLevel="0" collapsed="false">
      <c r="A101" s="0" t="s">
        <v>49</v>
      </c>
      <c r="B101" s="0" t="n">
        <v>1</v>
      </c>
      <c r="C101" s="0" t="n">
        <v>19307</v>
      </c>
    </row>
    <row r="102" customFormat="false" ht="12.75" hidden="false" customHeight="false" outlineLevel="0" collapsed="false">
      <c r="A102" s="0" t="s">
        <v>50</v>
      </c>
      <c r="B102" s="0" t="n">
        <v>9</v>
      </c>
      <c r="C102" s="0" t="n">
        <v>19486</v>
      </c>
    </row>
    <row r="103" customFormat="false" ht="12.75" hidden="false" customHeight="false" outlineLevel="0" collapsed="false">
      <c r="A103" s="0" t="s">
        <v>51</v>
      </c>
      <c r="B103" s="0" t="n">
        <v>5</v>
      </c>
      <c r="C103" s="0" t="n">
        <v>19481</v>
      </c>
    </row>
    <row r="104" customFormat="false" ht="12.75" hidden="false" customHeight="false" outlineLevel="0" collapsed="false">
      <c r="C104" s="0" t="n">
        <v>19528</v>
      </c>
    </row>
    <row r="105" customFormat="false" ht="12.75" hidden="false" customHeight="false" outlineLevel="0" collapsed="false">
      <c r="A105" s="0" t="s">
        <v>119</v>
      </c>
      <c r="B105" s="3" t="n">
        <v>10895</v>
      </c>
      <c r="C105" s="0" t="n">
        <v>8689</v>
      </c>
    </row>
    <row r="106" customFormat="false" ht="12.75" hidden="false" customHeight="false" outlineLevel="0" collapsed="false">
      <c r="A106" s="0" t="s">
        <v>1</v>
      </c>
      <c r="B106" s="0" t="n">
        <v>29</v>
      </c>
      <c r="C106" s="0" t="n">
        <v>8660</v>
      </c>
    </row>
    <row r="107" customFormat="false" ht="12.75" hidden="false" customHeight="false" outlineLevel="0" collapsed="false">
      <c r="A107" s="0" t="s">
        <v>2</v>
      </c>
      <c r="B107" s="0" t="n">
        <v>39</v>
      </c>
      <c r="C107" s="0" t="n">
        <v>13106</v>
      </c>
    </row>
    <row r="108" customFormat="false" ht="12.75" hidden="false" customHeight="false" outlineLevel="0" collapsed="false">
      <c r="A108" s="0" t="s">
        <v>4</v>
      </c>
      <c r="B108" s="0" t="n">
        <v>15</v>
      </c>
      <c r="C108" s="0" t="n">
        <v>13213</v>
      </c>
    </row>
    <row r="109" customFormat="false" ht="12.75" hidden="false" customHeight="false" outlineLevel="0" collapsed="false">
      <c r="A109" s="0" t="s">
        <v>5</v>
      </c>
      <c r="B109" s="3" t="n">
        <v>4076</v>
      </c>
      <c r="C109" s="0" t="n">
        <v>9161</v>
      </c>
    </row>
    <row r="110" customFormat="false" ht="12.75" hidden="false" customHeight="false" outlineLevel="0" collapsed="false">
      <c r="A110" s="0" t="s">
        <v>6</v>
      </c>
      <c r="B110" s="0" t="n">
        <v>346</v>
      </c>
      <c r="C110" s="0" t="n">
        <v>8852</v>
      </c>
    </row>
    <row r="111" customFormat="false" ht="12.75" hidden="false" customHeight="false" outlineLevel="0" collapsed="false">
      <c r="A111" s="0" t="s">
        <v>7</v>
      </c>
      <c r="B111" s="0" t="n">
        <v>27</v>
      </c>
      <c r="C111" s="0" t="n">
        <v>8922</v>
      </c>
    </row>
    <row r="112" customFormat="false" ht="12.75" hidden="false" customHeight="false" outlineLevel="0" collapsed="false">
      <c r="A112" s="0" t="s">
        <v>8</v>
      </c>
      <c r="B112" s="0" t="n">
        <v>5</v>
      </c>
      <c r="C112" s="0" t="n">
        <v>9023</v>
      </c>
    </row>
    <row r="113" customFormat="false" ht="12.75" hidden="false" customHeight="false" outlineLevel="0" collapsed="false">
      <c r="A113" s="0" t="s">
        <v>9</v>
      </c>
      <c r="B113" s="0" t="n">
        <v>85</v>
      </c>
      <c r="C113" s="0" t="n">
        <v>8944</v>
      </c>
    </row>
    <row r="114" customFormat="false" ht="12.75" hidden="false" customHeight="false" outlineLevel="0" collapsed="false">
      <c r="A114" s="0" t="s">
        <v>10</v>
      </c>
      <c r="B114" s="0" t="n">
        <v>94</v>
      </c>
      <c r="C114" s="0" t="n">
        <v>8850</v>
      </c>
    </row>
    <row r="115" customFormat="false" ht="12.75" hidden="false" customHeight="false" outlineLevel="0" collapsed="false">
      <c r="A115" s="0" t="s">
        <v>11</v>
      </c>
      <c r="B115" s="0" t="n">
        <v>51</v>
      </c>
      <c r="C115" s="0" t="n">
        <v>8854</v>
      </c>
    </row>
    <row r="116" customFormat="false" ht="12.75" hidden="false" customHeight="false" outlineLevel="0" collapsed="false">
      <c r="A116" s="0" t="s">
        <v>12</v>
      </c>
      <c r="B116" s="0" t="n">
        <v>89</v>
      </c>
      <c r="C116" s="0" t="n">
        <v>8924</v>
      </c>
    </row>
    <row r="117" customFormat="false" ht="12.75" hidden="false" customHeight="false" outlineLevel="0" collapsed="false">
      <c r="A117" s="0" t="s">
        <v>13</v>
      </c>
      <c r="B117" s="0" t="n">
        <v>33</v>
      </c>
      <c r="C117" s="0" t="n">
        <v>8964</v>
      </c>
    </row>
    <row r="118" customFormat="false" ht="12.75" hidden="false" customHeight="false" outlineLevel="0" collapsed="false">
      <c r="A118" s="0" t="s">
        <v>14</v>
      </c>
      <c r="B118" s="0" t="n">
        <v>215</v>
      </c>
      <c r="C118" s="0" t="n">
        <v>8753</v>
      </c>
    </row>
    <row r="119" customFormat="false" ht="12.75" hidden="false" customHeight="false" outlineLevel="0" collapsed="false">
      <c r="A119" s="0" t="s">
        <v>15</v>
      </c>
      <c r="B119" s="0" t="n">
        <v>45</v>
      </c>
      <c r="C119" s="0" t="n">
        <v>8721</v>
      </c>
    </row>
    <row r="120" customFormat="false" ht="12.75" hidden="false" customHeight="false" outlineLevel="0" collapsed="false">
      <c r="A120" s="0" t="s">
        <v>16</v>
      </c>
      <c r="B120" s="0" t="n">
        <v>58</v>
      </c>
      <c r="C120" s="0" t="n">
        <v>8809</v>
      </c>
    </row>
    <row r="121" customFormat="false" ht="12.75" hidden="false" customHeight="false" outlineLevel="0" collapsed="false">
      <c r="A121" s="0" t="s">
        <v>17</v>
      </c>
      <c r="B121" s="0" t="n">
        <v>74</v>
      </c>
      <c r="C121" s="0" t="n">
        <v>8775</v>
      </c>
    </row>
    <row r="122" customFormat="false" ht="12.75" hidden="false" customHeight="false" outlineLevel="0" collapsed="false">
      <c r="A122" s="0" t="s">
        <v>18</v>
      </c>
      <c r="B122" s="0" t="n">
        <v>12</v>
      </c>
      <c r="C122" s="0" t="n">
        <v>8795</v>
      </c>
    </row>
    <row r="123" customFormat="false" ht="12.75" hidden="false" customHeight="false" outlineLevel="0" collapsed="false">
      <c r="A123" s="0" t="s">
        <v>19</v>
      </c>
      <c r="B123" s="0" t="n">
        <v>29</v>
      </c>
      <c r="C123" s="0" t="n">
        <v>8897</v>
      </c>
    </row>
    <row r="124" customFormat="false" ht="12.75" hidden="false" customHeight="false" outlineLevel="0" collapsed="false">
      <c r="A124" s="0" t="s">
        <v>20</v>
      </c>
      <c r="B124" s="0" t="s">
        <v>156</v>
      </c>
      <c r="C124" s="0" t="n">
        <v>8962</v>
      </c>
    </row>
    <row r="125" customFormat="false" ht="12.75" hidden="false" customHeight="false" outlineLevel="0" collapsed="false">
      <c r="A125" s="0" t="s">
        <v>21</v>
      </c>
      <c r="B125" s="0" t="n">
        <v>36</v>
      </c>
      <c r="C125" s="0" t="n">
        <v>9445</v>
      </c>
    </row>
    <row r="126" customFormat="false" ht="12.75" hidden="false" customHeight="false" outlineLevel="0" collapsed="false">
      <c r="A126" s="0" t="s">
        <v>22</v>
      </c>
      <c r="B126" s="0" t="n">
        <v>41</v>
      </c>
      <c r="C126" s="0" t="n">
        <v>9407</v>
      </c>
    </row>
    <row r="127" customFormat="false" ht="12.75" hidden="false" customHeight="false" outlineLevel="0" collapsed="false">
      <c r="A127" s="0" t="s">
        <v>23</v>
      </c>
      <c r="B127" s="0" t="n">
        <v>68</v>
      </c>
      <c r="C127" s="0" t="n">
        <v>9350</v>
      </c>
    </row>
    <row r="128" customFormat="false" ht="12.75" hidden="false" customHeight="false" outlineLevel="0" collapsed="false">
      <c r="A128" s="0" t="s">
        <v>24</v>
      </c>
      <c r="B128" s="0" t="n">
        <v>111</v>
      </c>
      <c r="C128" s="0" t="n">
        <v>9250</v>
      </c>
    </row>
    <row r="129" customFormat="false" ht="12.75" hidden="false" customHeight="false" outlineLevel="0" collapsed="false">
      <c r="A129" s="0" t="s">
        <v>25</v>
      </c>
      <c r="B129" s="0" t="n">
        <v>1</v>
      </c>
      <c r="C129" s="0" t="n">
        <v>9297</v>
      </c>
    </row>
    <row r="130" customFormat="false" ht="12.75" hidden="false" customHeight="false" outlineLevel="0" collapsed="false">
      <c r="A130" s="0" t="s">
        <v>26</v>
      </c>
      <c r="B130" s="0" t="n">
        <v>64</v>
      </c>
      <c r="C130" s="0" t="n">
        <v>9249</v>
      </c>
    </row>
    <row r="131" customFormat="false" ht="12.75" hidden="false" customHeight="false" outlineLevel="0" collapsed="false">
      <c r="A131" s="0" t="s">
        <v>27</v>
      </c>
      <c r="B131" s="0" t="n">
        <v>36</v>
      </c>
      <c r="C131" s="0" t="n">
        <v>9688</v>
      </c>
    </row>
    <row r="132" customFormat="false" ht="12.75" hidden="false" customHeight="false" outlineLevel="0" collapsed="false">
      <c r="A132" s="0" t="s">
        <v>28</v>
      </c>
      <c r="B132" s="0" t="n">
        <v>61</v>
      </c>
      <c r="C132" s="0" t="n">
        <v>10550</v>
      </c>
    </row>
    <row r="133" customFormat="false" ht="12.75" hidden="false" customHeight="false" outlineLevel="0" collapsed="false">
      <c r="A133" s="0" t="s">
        <v>29</v>
      </c>
      <c r="B133" s="3" t="n">
        <v>1046</v>
      </c>
      <c r="C133" s="0" t="n">
        <v>9509</v>
      </c>
    </row>
    <row r="134" customFormat="false" ht="12.75" hidden="false" customHeight="false" outlineLevel="0" collapsed="false">
      <c r="A134" s="0" t="s">
        <v>30</v>
      </c>
      <c r="B134" s="0" t="n">
        <v>40</v>
      </c>
      <c r="C134" s="0" t="n">
        <v>9500</v>
      </c>
    </row>
    <row r="135" customFormat="false" ht="12.75" hidden="false" customHeight="false" outlineLevel="0" collapsed="false">
      <c r="A135" s="0" t="s">
        <v>31</v>
      </c>
      <c r="B135" s="0" t="n">
        <v>23</v>
      </c>
      <c r="C135" s="0" t="n">
        <v>9533</v>
      </c>
    </row>
    <row r="136" customFormat="false" ht="12.75" hidden="false" customHeight="false" outlineLevel="0" collapsed="false">
      <c r="A136" s="0" t="s">
        <v>32</v>
      </c>
      <c r="B136" s="0" t="n">
        <v>339</v>
      </c>
      <c r="C136" s="0" t="n">
        <v>9194</v>
      </c>
    </row>
    <row r="137" customFormat="false" ht="12.75" hidden="false" customHeight="false" outlineLevel="0" collapsed="false">
      <c r="A137" s="0" t="s">
        <v>33</v>
      </c>
      <c r="B137" s="0" t="n">
        <v>96</v>
      </c>
      <c r="C137" s="0" t="n">
        <v>9108</v>
      </c>
    </row>
    <row r="138" customFormat="false" ht="12.75" hidden="false" customHeight="false" outlineLevel="0" collapsed="false">
      <c r="A138" s="0" t="s">
        <v>34</v>
      </c>
      <c r="B138" s="0" t="n">
        <v>51</v>
      </c>
      <c r="C138" s="0" t="n">
        <v>9085</v>
      </c>
    </row>
    <row r="139" customFormat="false" ht="12.75" hidden="false" customHeight="false" outlineLevel="0" collapsed="false">
      <c r="A139" s="0" t="s">
        <v>35</v>
      </c>
      <c r="B139" s="0" t="n">
        <v>9</v>
      </c>
      <c r="C139" s="0" t="n">
        <v>9114</v>
      </c>
    </row>
    <row r="140" customFormat="false" ht="12.75" hidden="false" customHeight="false" outlineLevel="0" collapsed="false">
      <c r="A140" s="0" t="s">
        <v>36</v>
      </c>
      <c r="B140" s="0" t="n">
        <v>64</v>
      </c>
      <c r="C140" s="0" t="n">
        <v>9086</v>
      </c>
    </row>
    <row r="141" customFormat="false" ht="12.75" hidden="false" customHeight="false" outlineLevel="0" collapsed="false">
      <c r="A141" s="0" t="s">
        <v>37</v>
      </c>
      <c r="B141" s="0" t="n">
        <v>65</v>
      </c>
      <c r="C141" s="0" t="n">
        <v>9026</v>
      </c>
    </row>
    <row r="142" customFormat="false" ht="12.75" hidden="false" customHeight="false" outlineLevel="0" collapsed="false">
      <c r="A142" s="0" t="s">
        <v>38</v>
      </c>
      <c r="B142" s="0" t="n">
        <v>114</v>
      </c>
      <c r="C142" s="0" t="n">
        <v>8969</v>
      </c>
    </row>
    <row r="143" customFormat="false" ht="12.75" hidden="false" customHeight="false" outlineLevel="0" collapsed="false">
      <c r="A143" s="0" t="s">
        <v>39</v>
      </c>
      <c r="B143" s="0" t="n">
        <v>82</v>
      </c>
      <c r="C143" s="0" t="n">
        <v>9671</v>
      </c>
    </row>
    <row r="144" customFormat="false" ht="12.75" hidden="false" customHeight="false" outlineLevel="0" collapsed="false">
      <c r="A144" s="0" t="s">
        <v>40</v>
      </c>
      <c r="B144" s="0" t="n">
        <v>1</v>
      </c>
      <c r="C144" s="0" t="n">
        <v>9679</v>
      </c>
    </row>
    <row r="145" customFormat="false" ht="12.75" hidden="false" customHeight="false" outlineLevel="0" collapsed="false">
      <c r="A145" s="0" t="s">
        <v>41</v>
      </c>
      <c r="B145" s="0" t="n">
        <v>17</v>
      </c>
      <c r="C145" s="0" t="n">
        <v>9676</v>
      </c>
    </row>
    <row r="146" customFormat="false" ht="12.75" hidden="false" customHeight="false" outlineLevel="0" collapsed="false">
      <c r="A146" s="0" t="s">
        <v>42</v>
      </c>
      <c r="B146" s="0" t="n">
        <v>21</v>
      </c>
      <c r="C146" s="0" t="n">
        <v>9659</v>
      </c>
    </row>
    <row r="147" customFormat="false" ht="12.75" hidden="false" customHeight="false" outlineLevel="0" collapsed="false">
      <c r="A147" s="0" t="s">
        <v>43</v>
      </c>
      <c r="B147" s="0" t="n">
        <v>12</v>
      </c>
      <c r="C147" s="0" t="n">
        <v>9666</v>
      </c>
    </row>
    <row r="148" customFormat="false" ht="12.75" hidden="false" customHeight="false" outlineLevel="0" collapsed="false">
      <c r="A148" s="0" t="s">
        <v>44</v>
      </c>
      <c r="B148" s="0" t="n">
        <v>362</v>
      </c>
      <c r="C148" s="0" t="n">
        <v>9313</v>
      </c>
    </row>
    <row r="149" customFormat="false" ht="12.75" hidden="false" customHeight="false" outlineLevel="0" collapsed="false">
      <c r="A149" s="0" t="s">
        <v>45</v>
      </c>
      <c r="B149" s="0" t="n">
        <v>273</v>
      </c>
      <c r="C149" s="0" t="n">
        <v>9545</v>
      </c>
    </row>
    <row r="150" customFormat="false" ht="12.75" hidden="false" customHeight="false" outlineLevel="0" collapsed="false">
      <c r="A150" s="0" t="s">
        <v>46</v>
      </c>
      <c r="B150" s="0" t="n">
        <v>8</v>
      </c>
      <c r="C150" s="0" t="n">
        <v>10534</v>
      </c>
    </row>
    <row r="151" customFormat="false" ht="12.75" hidden="false" customHeight="false" outlineLevel="0" collapsed="false">
      <c r="A151" s="0" t="s">
        <v>47</v>
      </c>
      <c r="B151" s="0" t="n">
        <v>35</v>
      </c>
      <c r="C151" s="0" t="n">
        <v>10504</v>
      </c>
    </row>
    <row r="152" customFormat="false" ht="12.75" hidden="false" customHeight="false" outlineLevel="0" collapsed="false">
      <c r="A152" s="0" t="s">
        <v>48</v>
      </c>
      <c r="B152" s="0" t="n">
        <v>188</v>
      </c>
      <c r="C152" s="0" t="n">
        <v>10318</v>
      </c>
    </row>
    <row r="153" customFormat="false" ht="12.75" hidden="false" customHeight="false" outlineLevel="0" collapsed="false">
      <c r="A153" s="0" t="s">
        <v>49</v>
      </c>
      <c r="B153" s="0" t="s">
        <v>156</v>
      </c>
      <c r="C153" s="0" t="n">
        <v>10348</v>
      </c>
    </row>
    <row r="154" customFormat="false" ht="12.75" hidden="false" customHeight="false" outlineLevel="0" collapsed="false">
      <c r="A154" s="0" t="s">
        <v>50</v>
      </c>
      <c r="B154" s="0" t="n">
        <v>47</v>
      </c>
      <c r="C154" s="0" t="n">
        <v>10318</v>
      </c>
    </row>
    <row r="155" customFormat="false" ht="12.75" hidden="false" customHeight="false" outlineLevel="0" collapsed="false">
      <c r="A155" s="0" t="s">
        <v>51</v>
      </c>
      <c r="B155" s="0" t="n">
        <v>56</v>
      </c>
      <c r="C155" s="0" t="n">
        <v>10269</v>
      </c>
    </row>
    <row r="156" customFormat="false" ht="12.75" hidden="false" customHeight="false" outlineLevel="0" collapsed="false">
      <c r="C156" s="0" t="n">
        <v>10322</v>
      </c>
    </row>
    <row r="157" customFormat="false" ht="12.75" hidden="false" customHeight="false" outlineLevel="0" collapsed="false">
      <c r="A157" s="0" t="s">
        <v>120</v>
      </c>
      <c r="B157" s="3" t="n">
        <v>4485</v>
      </c>
      <c r="C157" s="0" t="n">
        <v>5856</v>
      </c>
    </row>
    <row r="158" customFormat="false" ht="12.75" hidden="false" customHeight="false" outlineLevel="0" collapsed="false">
      <c r="A158" s="0" t="s">
        <v>1</v>
      </c>
      <c r="B158" s="0" t="n">
        <v>122</v>
      </c>
      <c r="C158" s="0" t="n">
        <v>70577</v>
      </c>
    </row>
    <row r="159" customFormat="false" ht="12.75" hidden="false" customHeight="false" outlineLevel="0" collapsed="false">
      <c r="A159" s="0" t="s">
        <v>2</v>
      </c>
      <c r="B159" s="0" t="n">
        <v>24</v>
      </c>
      <c r="C159" s="0" t="n">
        <v>70650</v>
      </c>
    </row>
    <row r="160" customFormat="false" ht="12.75" hidden="false" customHeight="false" outlineLevel="0" collapsed="false">
      <c r="A160" s="0" t="s">
        <v>3</v>
      </c>
      <c r="B160" s="0" t="n">
        <v>37</v>
      </c>
      <c r="C160" s="0" t="n">
        <v>70714</v>
      </c>
    </row>
    <row r="161" customFormat="false" ht="12.75" hidden="false" customHeight="false" outlineLevel="0" collapsed="false">
      <c r="A161" s="0" t="s">
        <v>5</v>
      </c>
      <c r="B161" s="0" t="n">
        <v>97</v>
      </c>
      <c r="C161" s="0" t="n">
        <v>74449</v>
      </c>
    </row>
    <row r="162" customFormat="false" ht="12.75" hidden="false" customHeight="false" outlineLevel="0" collapsed="false">
      <c r="A162" s="0" t="s">
        <v>6</v>
      </c>
      <c r="B162" s="0" t="n">
        <v>106</v>
      </c>
      <c r="C162" s="0" t="n">
        <v>74569</v>
      </c>
    </row>
    <row r="163" customFormat="false" ht="12.75" hidden="false" customHeight="false" outlineLevel="0" collapsed="false">
      <c r="A163" s="0" t="s">
        <v>7</v>
      </c>
      <c r="B163" s="0" t="n">
        <v>6</v>
      </c>
      <c r="C163" s="0" t="n">
        <v>75971</v>
      </c>
    </row>
    <row r="164" customFormat="false" ht="12.75" hidden="false" customHeight="false" outlineLevel="0" collapsed="false">
      <c r="A164" s="0" t="s">
        <v>8</v>
      </c>
      <c r="B164" s="0" t="s">
        <v>156</v>
      </c>
      <c r="C164" s="0" t="n">
        <v>76161</v>
      </c>
    </row>
    <row r="165" customFormat="false" ht="12.75" hidden="false" customHeight="false" outlineLevel="0" collapsed="false">
      <c r="A165" s="0" t="s">
        <v>9</v>
      </c>
      <c r="B165" s="0" t="n">
        <v>55</v>
      </c>
      <c r="C165" s="0" t="n">
        <v>76119</v>
      </c>
    </row>
    <row r="166" customFormat="false" ht="12.75" hidden="false" customHeight="false" outlineLevel="0" collapsed="false">
      <c r="A166" s="0" t="s">
        <v>10</v>
      </c>
      <c r="B166" s="0" t="n">
        <v>159</v>
      </c>
      <c r="C166" s="0" t="n">
        <v>76385</v>
      </c>
    </row>
    <row r="167" customFormat="false" ht="12.75" hidden="false" customHeight="false" outlineLevel="0" collapsed="false">
      <c r="A167" s="0" t="s">
        <v>11</v>
      </c>
      <c r="B167" s="0" t="n">
        <v>73</v>
      </c>
      <c r="C167" s="0" t="n">
        <v>77261</v>
      </c>
    </row>
    <row r="168" customFormat="false" ht="12.75" hidden="false" customHeight="false" outlineLevel="0" collapsed="false">
      <c r="A168" s="0" t="s">
        <v>12</v>
      </c>
      <c r="B168" s="0" t="n">
        <v>4</v>
      </c>
      <c r="C168" s="0" t="n">
        <v>77572</v>
      </c>
    </row>
    <row r="169" customFormat="false" ht="12.75" hidden="false" customHeight="false" outlineLevel="0" collapsed="false">
      <c r="A169" s="0" t="s">
        <v>13</v>
      </c>
      <c r="B169" s="0" t="n">
        <v>13</v>
      </c>
      <c r="C169" s="0" t="n">
        <v>79089</v>
      </c>
    </row>
    <row r="170" customFormat="false" ht="12.75" hidden="false" customHeight="false" outlineLevel="0" collapsed="false">
      <c r="A170" s="0" t="s">
        <v>14</v>
      </c>
      <c r="B170" s="0" t="n">
        <v>146</v>
      </c>
      <c r="C170" s="0" t="n">
        <v>79272</v>
      </c>
    </row>
    <row r="171" customFormat="false" ht="12.75" hidden="false" customHeight="false" outlineLevel="0" collapsed="false">
      <c r="A171" s="0" t="s">
        <v>15</v>
      </c>
      <c r="B171" s="0" t="n">
        <v>40</v>
      </c>
      <c r="C171" s="0" t="n">
        <v>79826</v>
      </c>
    </row>
    <row r="172" customFormat="false" ht="12.75" hidden="false" customHeight="false" outlineLevel="0" collapsed="false">
      <c r="A172" s="0" t="s">
        <v>16</v>
      </c>
      <c r="B172" s="0" t="n">
        <v>32</v>
      </c>
      <c r="C172" s="0" t="n">
        <v>80041</v>
      </c>
    </row>
    <row r="173" customFormat="false" ht="12.75" hidden="false" customHeight="false" outlineLevel="0" collapsed="false">
      <c r="A173" s="0" t="s">
        <v>17</v>
      </c>
      <c r="B173" s="0" t="n">
        <v>131</v>
      </c>
      <c r="C173" s="0" t="n">
        <v>79979</v>
      </c>
    </row>
    <row r="174" customFormat="false" ht="12.75" hidden="false" customHeight="false" outlineLevel="0" collapsed="false">
      <c r="A174" s="0" t="s">
        <v>18</v>
      </c>
      <c r="B174" s="0" t="n">
        <v>65</v>
      </c>
      <c r="C174" s="0" t="n">
        <v>80055</v>
      </c>
    </row>
    <row r="175" customFormat="false" ht="12.75" hidden="false" customHeight="false" outlineLevel="0" collapsed="false">
      <c r="A175" s="0" t="s">
        <v>19</v>
      </c>
      <c r="B175" s="0" t="n">
        <v>519</v>
      </c>
      <c r="C175" s="0" t="n">
        <v>79581</v>
      </c>
    </row>
    <row r="176" customFormat="false" ht="12.75" hidden="false" customHeight="false" outlineLevel="0" collapsed="false">
      <c r="A176" s="0" t="s">
        <v>20</v>
      </c>
      <c r="B176" s="0" t="n">
        <v>3</v>
      </c>
      <c r="C176" s="0" t="n">
        <v>79717</v>
      </c>
    </row>
    <row r="177" customFormat="false" ht="12.75" hidden="false" customHeight="false" outlineLevel="0" collapsed="false">
      <c r="A177" s="0" t="s">
        <v>21</v>
      </c>
      <c r="B177" s="0" t="n">
        <v>11</v>
      </c>
      <c r="C177" s="0" t="n">
        <v>79990</v>
      </c>
    </row>
    <row r="178" customFormat="false" ht="12.75" hidden="false" customHeight="false" outlineLevel="0" collapsed="false">
      <c r="A178" s="0" t="s">
        <v>22</v>
      </c>
      <c r="B178" s="0" t="n">
        <v>11</v>
      </c>
      <c r="C178" s="0" t="n">
        <v>80112</v>
      </c>
    </row>
    <row r="179" customFormat="false" ht="12.75" hidden="false" customHeight="false" outlineLevel="0" collapsed="false">
      <c r="A179" s="0" t="s">
        <v>23</v>
      </c>
      <c r="B179" s="0" t="n">
        <v>48</v>
      </c>
      <c r="C179" s="0" t="n">
        <v>80441</v>
      </c>
    </row>
    <row r="180" customFormat="false" ht="12.75" hidden="false" customHeight="false" outlineLevel="0" collapsed="false">
      <c r="A180" s="0" t="s">
        <v>24</v>
      </c>
      <c r="B180" s="0" t="n">
        <v>16</v>
      </c>
      <c r="C180" s="0" t="n">
        <v>80877</v>
      </c>
    </row>
    <row r="181" customFormat="false" ht="12.75" hidden="false" customHeight="false" outlineLevel="0" collapsed="false">
      <c r="A181" s="0" t="s">
        <v>25</v>
      </c>
      <c r="B181" s="0" t="n">
        <v>475</v>
      </c>
      <c r="C181" s="0" t="n">
        <v>80895</v>
      </c>
    </row>
    <row r="182" customFormat="false" ht="12.75" hidden="false" customHeight="false" outlineLevel="0" collapsed="false">
      <c r="A182" s="0" t="s">
        <v>26</v>
      </c>
      <c r="B182" s="0" t="n">
        <v>923</v>
      </c>
      <c r="C182" s="0" t="n">
        <v>80078</v>
      </c>
    </row>
    <row r="183" customFormat="false" ht="12.75" hidden="false" customHeight="false" outlineLevel="0" collapsed="false">
      <c r="A183" s="0" t="s">
        <v>27</v>
      </c>
      <c r="B183" s="0" t="n">
        <v>5</v>
      </c>
      <c r="C183" s="0" t="n">
        <v>80550</v>
      </c>
    </row>
    <row r="184" customFormat="false" ht="12.75" hidden="false" customHeight="false" outlineLevel="0" collapsed="false">
      <c r="A184" s="0" t="s">
        <v>28</v>
      </c>
      <c r="B184" s="0" t="n">
        <v>31</v>
      </c>
      <c r="C184" s="0" t="n">
        <v>81052</v>
      </c>
    </row>
    <row r="185" customFormat="false" ht="12.75" hidden="false" customHeight="false" outlineLevel="0" collapsed="false">
      <c r="A185" s="0" t="s">
        <v>29</v>
      </c>
      <c r="B185" s="0" t="n">
        <v>56</v>
      </c>
      <c r="C185" s="0" t="n">
        <v>81013</v>
      </c>
    </row>
    <row r="186" customFormat="false" ht="12.75" hidden="false" customHeight="false" outlineLevel="0" collapsed="false">
      <c r="A186" s="0" t="s">
        <v>30</v>
      </c>
      <c r="B186" s="0" t="s">
        <v>156</v>
      </c>
      <c r="C186" s="0" t="n">
        <v>96188</v>
      </c>
    </row>
    <row r="187" customFormat="false" ht="12.75" hidden="false" customHeight="false" outlineLevel="0" collapsed="false">
      <c r="A187" s="0" t="s">
        <v>31</v>
      </c>
      <c r="B187" s="0" t="n">
        <v>10</v>
      </c>
      <c r="C187" s="0" t="n">
        <v>96217</v>
      </c>
    </row>
    <row r="188" customFormat="false" ht="12.75" hidden="false" customHeight="false" outlineLevel="0" collapsed="false">
      <c r="A188" s="0" t="s">
        <v>32</v>
      </c>
      <c r="B188" s="0" t="n">
        <v>28</v>
      </c>
      <c r="C188" s="0" t="n">
        <v>96503</v>
      </c>
    </row>
    <row r="189" customFormat="false" ht="12.75" hidden="false" customHeight="false" outlineLevel="0" collapsed="false">
      <c r="A189" s="0" t="s">
        <v>33</v>
      </c>
      <c r="B189" s="0" t="n">
        <v>38</v>
      </c>
      <c r="C189" s="0" t="n">
        <v>96991</v>
      </c>
    </row>
    <row r="190" customFormat="false" ht="12.75" hidden="false" customHeight="false" outlineLevel="0" collapsed="false">
      <c r="A190" s="0" t="s">
        <v>34</v>
      </c>
      <c r="B190" s="0" t="n">
        <v>36</v>
      </c>
      <c r="C190" s="0" t="n">
        <v>98396</v>
      </c>
    </row>
    <row r="191" customFormat="false" ht="12.75" hidden="false" customHeight="false" outlineLevel="0" collapsed="false">
      <c r="A191" s="0" t="s">
        <v>35</v>
      </c>
      <c r="B191" s="0" t="n">
        <v>5</v>
      </c>
      <c r="C191" s="0" t="n">
        <v>98677</v>
      </c>
    </row>
    <row r="192" customFormat="false" ht="12.75" hidden="false" customHeight="false" outlineLevel="0" collapsed="false">
      <c r="A192" s="0" t="s">
        <v>36</v>
      </c>
      <c r="B192" s="0" t="n">
        <v>57</v>
      </c>
      <c r="C192" s="0" t="n">
        <v>98642</v>
      </c>
    </row>
    <row r="193" customFormat="false" ht="12.75" hidden="false" customHeight="false" outlineLevel="0" collapsed="false">
      <c r="A193" s="0" t="s">
        <v>37</v>
      </c>
      <c r="B193" s="0" t="n">
        <v>784</v>
      </c>
      <c r="C193" s="0" t="n">
        <v>98509</v>
      </c>
    </row>
    <row r="194" customFormat="false" ht="12.75" hidden="false" customHeight="false" outlineLevel="0" collapsed="false">
      <c r="A194" s="0" t="s">
        <v>38</v>
      </c>
      <c r="B194" s="0" t="n">
        <v>9</v>
      </c>
      <c r="C194" s="0" t="n">
        <v>98614</v>
      </c>
    </row>
    <row r="195" customFormat="false" ht="12.75" hidden="false" customHeight="false" outlineLevel="0" collapsed="false">
      <c r="A195" s="0" t="s">
        <v>39</v>
      </c>
      <c r="B195" s="0" t="n">
        <v>14</v>
      </c>
      <c r="C195" s="0" t="n">
        <v>99772</v>
      </c>
    </row>
    <row r="196" customFormat="false" ht="12.75" hidden="false" customHeight="false" outlineLevel="0" collapsed="false">
      <c r="A196" s="0" t="s">
        <v>40</v>
      </c>
      <c r="B196" s="0" t="n">
        <v>4</v>
      </c>
      <c r="C196" s="0" t="n">
        <v>100454</v>
      </c>
    </row>
    <row r="197" customFormat="false" ht="12.75" hidden="false" customHeight="false" outlineLevel="0" collapsed="false">
      <c r="A197" s="0" t="s">
        <v>41</v>
      </c>
      <c r="B197" s="0" t="n">
        <v>19</v>
      </c>
      <c r="C197" s="0" t="n">
        <v>100459</v>
      </c>
    </row>
    <row r="198" customFormat="false" ht="12.75" hidden="false" customHeight="false" outlineLevel="0" collapsed="false">
      <c r="A198" s="0" t="s">
        <v>42</v>
      </c>
      <c r="B198" s="0" t="n">
        <v>9</v>
      </c>
      <c r="C198" s="0" t="n">
        <v>100521</v>
      </c>
    </row>
    <row r="199" customFormat="false" ht="12.75" hidden="false" customHeight="false" outlineLevel="0" collapsed="false">
      <c r="A199" s="0" t="s">
        <v>43</v>
      </c>
      <c r="B199" s="0" t="n">
        <v>505</v>
      </c>
      <c r="C199" s="0" t="n">
        <v>100138</v>
      </c>
    </row>
    <row r="200" customFormat="false" ht="12.75" hidden="false" customHeight="false" outlineLevel="0" collapsed="false">
      <c r="A200" s="0" t="s">
        <v>44</v>
      </c>
      <c r="B200" s="0" t="n">
        <v>997</v>
      </c>
      <c r="C200" s="0" t="n">
        <v>99324</v>
      </c>
    </row>
    <row r="201" customFormat="false" ht="12.75" hidden="false" customHeight="false" outlineLevel="0" collapsed="false">
      <c r="A201" s="0" t="s">
        <v>45</v>
      </c>
      <c r="B201" s="0" t="n">
        <v>5</v>
      </c>
      <c r="C201" s="0" t="n">
        <v>100230</v>
      </c>
    </row>
    <row r="202" customFormat="false" ht="12.75" hidden="false" customHeight="false" outlineLevel="0" collapsed="false">
      <c r="A202" s="0" t="s">
        <v>46</v>
      </c>
      <c r="B202" s="0" t="n">
        <v>2</v>
      </c>
      <c r="C202" s="0" t="n">
        <v>100843</v>
      </c>
    </row>
    <row r="203" customFormat="false" ht="12.75" hidden="false" customHeight="false" outlineLevel="0" collapsed="false">
      <c r="A203" s="0" t="s">
        <v>47</v>
      </c>
      <c r="B203" s="0" t="n">
        <v>30</v>
      </c>
      <c r="C203" s="0" t="n">
        <v>100939</v>
      </c>
    </row>
    <row r="204" customFormat="false" ht="12.75" hidden="false" customHeight="false" outlineLevel="0" collapsed="false">
      <c r="A204" s="0" t="s">
        <v>48</v>
      </c>
      <c r="B204" s="0" t="n">
        <v>17</v>
      </c>
      <c r="C204" s="0" t="n">
        <v>101109</v>
      </c>
    </row>
    <row r="205" customFormat="false" ht="12.75" hidden="false" customHeight="false" outlineLevel="0" collapsed="false">
      <c r="A205" s="0" t="s">
        <v>49</v>
      </c>
      <c r="B205" s="0" t="n">
        <v>7</v>
      </c>
      <c r="C205" s="0" t="n">
        <v>102204</v>
      </c>
    </row>
    <row r="206" customFormat="false" ht="12.75" hidden="false" customHeight="false" outlineLevel="0" collapsed="false">
      <c r="A206" s="0" t="s">
        <v>50</v>
      </c>
      <c r="B206" s="0" t="n">
        <v>53</v>
      </c>
      <c r="C206" s="0" t="n">
        <v>102269</v>
      </c>
    </row>
    <row r="207" customFormat="false" ht="12.75" hidden="false" customHeight="false" outlineLevel="0" collapsed="false">
      <c r="A207" s="0" t="s">
        <v>51</v>
      </c>
      <c r="B207" s="0" t="n">
        <v>19</v>
      </c>
      <c r="C207" s="0" t="n">
        <v>102309</v>
      </c>
    </row>
    <row r="208" customFormat="false" ht="12.75" hidden="false" customHeight="false" outlineLevel="0" collapsed="false">
      <c r="A208" s="0" t="s">
        <v>121</v>
      </c>
      <c r="B208" s="3" t="n">
        <v>64843</v>
      </c>
      <c r="C208" s="0" t="n">
        <v>37526</v>
      </c>
    </row>
    <row r="209" customFormat="false" ht="12.75" hidden="false" customHeight="false" outlineLevel="0" collapsed="false">
      <c r="A209" s="0" t="s">
        <v>1</v>
      </c>
      <c r="B209" s="0" t="n">
        <v>97</v>
      </c>
      <c r="C209" s="0" t="n">
        <v>44411</v>
      </c>
    </row>
    <row r="210" customFormat="false" ht="12.75" hidden="false" customHeight="false" outlineLevel="0" collapsed="false">
      <c r="A210" s="0" t="s">
        <v>2</v>
      </c>
      <c r="B210" s="0" t="n">
        <v>101</v>
      </c>
      <c r="C210" s="0" t="n">
        <v>44353</v>
      </c>
    </row>
    <row r="211" customFormat="false" ht="12.75" hidden="false" customHeight="false" outlineLevel="0" collapsed="false">
      <c r="A211" s="0" t="s">
        <v>3</v>
      </c>
      <c r="B211" s="3" t="n">
        <v>3832</v>
      </c>
      <c r="C211" s="0" t="n">
        <v>40564</v>
      </c>
    </row>
    <row r="212" customFormat="false" ht="12.75" hidden="false" customHeight="false" outlineLevel="0" collapsed="false">
      <c r="A212" s="0" t="s">
        <v>4</v>
      </c>
      <c r="B212" s="0" t="n">
        <v>226</v>
      </c>
      <c r="C212" s="0" t="n">
        <v>40870</v>
      </c>
    </row>
    <row r="213" customFormat="false" ht="12.75" hidden="false" customHeight="false" outlineLevel="0" collapsed="false">
      <c r="A213" s="0" t="s">
        <v>6</v>
      </c>
      <c r="B213" s="3" t="n">
        <v>1408</v>
      </c>
      <c r="C213" s="0" t="n">
        <v>39483</v>
      </c>
    </row>
    <row r="214" customFormat="false" ht="12.75" hidden="false" customHeight="false" outlineLevel="0" collapsed="false">
      <c r="A214" s="0" t="s">
        <v>7</v>
      </c>
      <c r="B214" s="0" t="n">
        <v>190</v>
      </c>
      <c r="C214" s="0" t="n">
        <v>40341</v>
      </c>
    </row>
    <row r="215" customFormat="false" ht="12.75" hidden="false" customHeight="false" outlineLevel="0" collapsed="false">
      <c r="A215" s="0" t="s">
        <v>8</v>
      </c>
      <c r="B215" s="0" t="n">
        <v>13</v>
      </c>
      <c r="C215" s="0" t="n">
        <v>40341</v>
      </c>
    </row>
    <row r="216" customFormat="false" ht="12.75" hidden="false" customHeight="false" outlineLevel="0" collapsed="false">
      <c r="A216" s="0" t="s">
        <v>9</v>
      </c>
      <c r="B216" s="0" t="n">
        <v>425</v>
      </c>
      <c r="C216" s="0" t="n">
        <v>39917</v>
      </c>
    </row>
    <row r="217" customFormat="false" ht="12.75" hidden="false" customHeight="false" outlineLevel="0" collapsed="false">
      <c r="A217" s="0" t="s">
        <v>10</v>
      </c>
      <c r="B217" s="0" t="n">
        <v>949</v>
      </c>
      <c r="C217" s="0" t="n">
        <v>39077</v>
      </c>
    </row>
    <row r="218" customFormat="false" ht="12.75" hidden="false" customHeight="false" outlineLevel="0" collapsed="false">
      <c r="A218" s="0" t="s">
        <v>11</v>
      </c>
      <c r="B218" s="0" t="n">
        <v>315</v>
      </c>
      <c r="C218" s="0" t="n">
        <v>39077</v>
      </c>
    </row>
    <row r="219" customFormat="false" ht="12.75" hidden="false" customHeight="false" outlineLevel="0" collapsed="false">
      <c r="A219" s="0" t="s">
        <v>12</v>
      </c>
      <c r="B219" s="3" t="n">
        <v>1530</v>
      </c>
      <c r="C219" s="0" t="n">
        <v>37688</v>
      </c>
    </row>
    <row r="220" customFormat="false" ht="12.75" hidden="false" customHeight="false" outlineLevel="0" collapsed="false">
      <c r="A220" s="0" t="s">
        <v>13</v>
      </c>
      <c r="B220" s="0" t="n">
        <v>329</v>
      </c>
      <c r="C220" s="0" t="n">
        <v>37397</v>
      </c>
    </row>
    <row r="221" customFormat="false" ht="12.75" hidden="false" customHeight="false" outlineLevel="0" collapsed="false">
      <c r="A221" s="0" t="s">
        <v>14</v>
      </c>
      <c r="B221" s="0" t="n">
        <v>594</v>
      </c>
      <c r="C221" s="0" t="n">
        <v>36882</v>
      </c>
    </row>
    <row r="222" customFormat="false" ht="12.75" hidden="false" customHeight="false" outlineLevel="0" collapsed="false">
      <c r="A222" s="0" t="s">
        <v>15</v>
      </c>
      <c r="B222" s="0" t="n">
        <v>247</v>
      </c>
      <c r="C222" s="0" t="n">
        <v>36850</v>
      </c>
    </row>
    <row r="223" customFormat="false" ht="12.75" hidden="false" customHeight="false" outlineLevel="0" collapsed="false">
      <c r="A223" s="0" t="s">
        <v>16</v>
      </c>
      <c r="B223" s="0" t="n">
        <v>69</v>
      </c>
      <c r="C223" s="0" t="n">
        <v>36821</v>
      </c>
    </row>
    <row r="224" customFormat="false" ht="12.75" hidden="false" customHeight="false" outlineLevel="0" collapsed="false">
      <c r="A224" s="0" t="s">
        <v>17</v>
      </c>
      <c r="B224" s="0" t="n">
        <v>141</v>
      </c>
      <c r="C224" s="0" t="n">
        <v>36787</v>
      </c>
    </row>
    <row r="225" customFormat="false" ht="12.75" hidden="false" customHeight="false" outlineLevel="0" collapsed="false">
      <c r="A225" s="0" t="s">
        <v>18</v>
      </c>
      <c r="B225" s="0" t="n">
        <v>45</v>
      </c>
      <c r="C225" s="0" t="n">
        <v>37075</v>
      </c>
    </row>
    <row r="226" customFormat="false" ht="12.75" hidden="false" customHeight="false" outlineLevel="0" collapsed="false">
      <c r="A226" s="0" t="s">
        <v>19</v>
      </c>
      <c r="B226" s="0" t="n">
        <v>139</v>
      </c>
      <c r="C226" s="0" t="n">
        <v>36943</v>
      </c>
    </row>
    <row r="227" customFormat="false" ht="12.75" hidden="false" customHeight="false" outlineLevel="0" collapsed="false">
      <c r="A227" s="0" t="s">
        <v>20</v>
      </c>
      <c r="B227" s="0" t="n">
        <v>284</v>
      </c>
      <c r="C227" s="0" t="n">
        <v>36692</v>
      </c>
    </row>
    <row r="228" customFormat="false" ht="12.75" hidden="false" customHeight="false" outlineLevel="0" collapsed="false">
      <c r="A228" s="0" t="s">
        <v>21</v>
      </c>
      <c r="B228" s="0" t="n">
        <v>133</v>
      </c>
      <c r="C228" s="0" t="n">
        <v>36571</v>
      </c>
    </row>
    <row r="229" customFormat="false" ht="12.75" hidden="false" customHeight="false" outlineLevel="0" collapsed="false">
      <c r="A229" s="0" t="s">
        <v>22</v>
      </c>
      <c r="B229" s="0" t="n">
        <v>377</v>
      </c>
      <c r="C229" s="0" t="n">
        <v>36237</v>
      </c>
    </row>
    <row r="230" customFormat="false" ht="12.75" hidden="false" customHeight="false" outlineLevel="0" collapsed="false">
      <c r="A230" s="0" t="s">
        <v>23</v>
      </c>
      <c r="B230" s="0" t="n">
        <v>452</v>
      </c>
      <c r="C230" s="0" t="n">
        <v>35862</v>
      </c>
    </row>
    <row r="231" customFormat="false" ht="12.75" hidden="false" customHeight="false" outlineLevel="0" collapsed="false">
      <c r="A231" s="0" t="s">
        <v>24</v>
      </c>
      <c r="B231" s="0" t="n">
        <v>493</v>
      </c>
      <c r="C231" s="0" t="n">
        <v>35475</v>
      </c>
    </row>
    <row r="232" customFormat="false" ht="12.75" hidden="false" customHeight="false" outlineLevel="0" collapsed="false">
      <c r="A232" s="0" t="s">
        <v>25</v>
      </c>
      <c r="B232" s="0" t="n">
        <v>106</v>
      </c>
      <c r="C232" s="0" t="n">
        <v>35595</v>
      </c>
    </row>
    <row r="233" customFormat="false" ht="12.75" hidden="false" customHeight="false" outlineLevel="0" collapsed="false">
      <c r="A233" s="0" t="s">
        <v>26</v>
      </c>
      <c r="B233" s="0" t="n">
        <v>477</v>
      </c>
      <c r="C233" s="0" t="n">
        <v>35132</v>
      </c>
    </row>
    <row r="234" customFormat="false" ht="12.75" hidden="false" customHeight="false" outlineLevel="0" collapsed="false">
      <c r="A234" s="0" t="s">
        <v>27</v>
      </c>
      <c r="B234" s="0" t="n">
        <v>533</v>
      </c>
      <c r="C234" s="0" t="n">
        <v>34804</v>
      </c>
    </row>
    <row r="235" customFormat="false" ht="12.75" hidden="false" customHeight="false" outlineLevel="0" collapsed="false">
      <c r="A235" s="0" t="s">
        <v>28</v>
      </c>
      <c r="B235" s="0" t="n">
        <v>17</v>
      </c>
      <c r="C235" s="0" t="n">
        <v>34892</v>
      </c>
    </row>
    <row r="236" customFormat="false" ht="12.75" hidden="false" customHeight="false" outlineLevel="0" collapsed="false">
      <c r="A236" s="0" t="s">
        <v>29</v>
      </c>
      <c r="B236" s="3" t="n">
        <v>15175</v>
      </c>
      <c r="C236" s="0" t="n">
        <v>20156</v>
      </c>
    </row>
    <row r="237" customFormat="false" ht="12.75" hidden="false" customHeight="false" outlineLevel="0" collapsed="false">
      <c r="A237" s="0" t="s">
        <v>30</v>
      </c>
      <c r="B237" s="0" t="n">
        <v>39</v>
      </c>
      <c r="C237" s="0" t="n">
        <v>20580</v>
      </c>
    </row>
    <row r="238" customFormat="false" ht="12.75" hidden="false" customHeight="false" outlineLevel="0" collapsed="false">
      <c r="A238" s="0" t="s">
        <v>31</v>
      </c>
      <c r="B238" s="0" t="n">
        <v>314</v>
      </c>
      <c r="C238" s="0" t="n">
        <v>20271</v>
      </c>
    </row>
    <row r="239" customFormat="false" ht="12.75" hidden="false" customHeight="false" outlineLevel="0" collapsed="false">
      <c r="A239" s="0" t="s">
        <v>32</v>
      </c>
      <c r="B239" s="0" t="n">
        <v>526</v>
      </c>
      <c r="C239" s="0" t="n">
        <v>19823</v>
      </c>
    </row>
    <row r="240" customFormat="false" ht="12.75" hidden="false" customHeight="false" outlineLevel="0" collapsed="false">
      <c r="A240" s="0" t="s">
        <v>33</v>
      </c>
      <c r="B240" s="3" t="n">
        <v>1441</v>
      </c>
      <c r="C240" s="0" t="n">
        <v>19351</v>
      </c>
    </row>
    <row r="241" customFormat="false" ht="12.75" hidden="false" customHeight="false" outlineLevel="0" collapsed="false">
      <c r="A241" s="0" t="s">
        <v>34</v>
      </c>
      <c r="B241" s="0" t="n">
        <v>286</v>
      </c>
      <c r="C241" s="0" t="n">
        <v>19281</v>
      </c>
    </row>
    <row r="242" customFormat="false" ht="12.75" hidden="false" customHeight="false" outlineLevel="0" collapsed="false">
      <c r="A242" s="0" t="s">
        <v>35</v>
      </c>
      <c r="B242" s="0" t="n">
        <v>22</v>
      </c>
      <c r="C242" s="0" t="n">
        <v>19373</v>
      </c>
    </row>
    <row r="243" customFormat="false" ht="12.75" hidden="false" customHeight="false" outlineLevel="0" collapsed="false">
      <c r="A243" s="0" t="s">
        <v>36</v>
      </c>
      <c r="B243" s="0" t="n">
        <v>651</v>
      </c>
      <c r="C243" s="0" t="n">
        <v>18777</v>
      </c>
    </row>
    <row r="244" customFormat="false" ht="12.75" hidden="false" customHeight="false" outlineLevel="0" collapsed="false">
      <c r="A244" s="0" t="s">
        <v>37</v>
      </c>
      <c r="B244" s="0" t="n">
        <v>114</v>
      </c>
      <c r="C244" s="0" t="n">
        <v>18782</v>
      </c>
    </row>
    <row r="245" customFormat="false" ht="12.75" hidden="false" customHeight="false" outlineLevel="0" collapsed="false">
      <c r="A245" s="0" t="s">
        <v>38</v>
      </c>
      <c r="B245" s="3" t="n">
        <v>1172</v>
      </c>
      <c r="C245" s="0" t="n">
        <v>17778</v>
      </c>
    </row>
    <row r="246" customFormat="false" ht="12.75" hidden="false" customHeight="false" outlineLevel="0" collapsed="false">
      <c r="A246" s="0" t="s">
        <v>39</v>
      </c>
      <c r="B246" s="0" t="n">
        <v>686</v>
      </c>
      <c r="C246" s="0" t="n">
        <v>17195</v>
      </c>
    </row>
    <row r="247" customFormat="false" ht="12.75" hidden="false" customHeight="false" outlineLevel="0" collapsed="false">
      <c r="A247" s="0" t="s">
        <v>40</v>
      </c>
      <c r="B247" s="0" t="n">
        <v>24</v>
      </c>
      <c r="C247" s="0" t="n">
        <v>17237</v>
      </c>
    </row>
    <row r="248" customFormat="false" ht="12.75" hidden="false" customHeight="false" outlineLevel="0" collapsed="false">
      <c r="A248" s="0" t="s">
        <v>41</v>
      </c>
      <c r="B248" s="0" t="n">
        <v>71</v>
      </c>
      <c r="C248" s="0" t="n">
        <v>17191</v>
      </c>
    </row>
    <row r="249" customFormat="false" ht="12.75" hidden="false" customHeight="false" outlineLevel="0" collapsed="false">
      <c r="A249" s="0" t="s">
        <v>42</v>
      </c>
      <c r="B249" s="0" t="n">
        <v>122</v>
      </c>
      <c r="C249" s="0" t="n">
        <v>17089</v>
      </c>
    </row>
    <row r="250" customFormat="false" ht="12.75" hidden="false" customHeight="false" outlineLevel="0" collapsed="false">
      <c r="A250" s="0" t="s">
        <v>43</v>
      </c>
      <c r="B250" s="0" t="n">
        <v>183</v>
      </c>
      <c r="C250" s="0" t="n">
        <v>17041</v>
      </c>
    </row>
    <row r="251" customFormat="false" ht="12.75" hidden="false" customHeight="false" outlineLevel="0" collapsed="false">
      <c r="A251" s="0" t="s">
        <v>44</v>
      </c>
      <c r="B251" s="0" t="n">
        <v>911</v>
      </c>
      <c r="C251" s="0" t="n">
        <v>16202</v>
      </c>
    </row>
    <row r="252" customFormat="false" ht="12.75" hidden="false" customHeight="false" outlineLevel="0" collapsed="false">
      <c r="A252" s="0" t="s">
        <v>45</v>
      </c>
      <c r="B252" s="0" t="n">
        <v>615</v>
      </c>
      <c r="C252" s="0" t="n">
        <v>16091</v>
      </c>
    </row>
    <row r="253" customFormat="false" ht="12.75" hidden="false" customHeight="false" outlineLevel="0" collapsed="false">
      <c r="A253" s="0" t="s">
        <v>46</v>
      </c>
      <c r="B253" s="0" t="n">
        <v>126</v>
      </c>
      <c r="C253" s="0" t="n">
        <v>16620</v>
      </c>
    </row>
    <row r="254" customFormat="false" ht="12.75" hidden="false" customHeight="false" outlineLevel="0" collapsed="false">
      <c r="A254" s="0" t="s">
        <v>47</v>
      </c>
      <c r="B254" s="0" t="n">
        <v>187</v>
      </c>
      <c r="C254" s="0" t="n">
        <v>16435</v>
      </c>
    </row>
    <row r="255" customFormat="false" ht="12.75" hidden="false" customHeight="false" outlineLevel="0" collapsed="false">
      <c r="A255" s="0" t="s">
        <v>48</v>
      </c>
      <c r="B255" s="3" t="n">
        <v>1102</v>
      </c>
      <c r="C255" s="0" t="n">
        <v>15369</v>
      </c>
    </row>
    <row r="256" customFormat="false" ht="12.75" hidden="false" customHeight="false" outlineLevel="0" collapsed="false">
      <c r="A256" s="0" t="s">
        <v>49</v>
      </c>
      <c r="B256" s="0" t="n">
        <v>118</v>
      </c>
      <c r="C256" s="0" t="n">
        <v>15380</v>
      </c>
    </row>
    <row r="257" customFormat="false" ht="12.75" hidden="false" customHeight="false" outlineLevel="0" collapsed="false">
      <c r="A257" s="0" t="s">
        <v>50</v>
      </c>
      <c r="B257" s="0" t="n">
        <v>59</v>
      </c>
      <c r="C257" s="0" t="n">
        <v>15331</v>
      </c>
    </row>
    <row r="258" customFormat="false" ht="12.75" hidden="false" customHeight="false" outlineLevel="0" collapsed="false">
      <c r="A258" s="0" t="s">
        <v>51</v>
      </c>
      <c r="B258" s="0" t="n">
        <v>60</v>
      </c>
      <c r="C258" s="0" t="n">
        <v>15327</v>
      </c>
    </row>
    <row r="259" customFormat="false" ht="12.75" hidden="false" customHeight="false" outlineLevel="0" collapsed="false">
      <c r="A259" s="0" t="s">
        <v>122</v>
      </c>
      <c r="B259" s="3" t="n">
        <v>6982</v>
      </c>
      <c r="C259" s="0" t="n">
        <v>9048</v>
      </c>
    </row>
    <row r="260" customFormat="false" ht="12.75" hidden="false" customHeight="false" outlineLevel="0" collapsed="false">
      <c r="A260" s="0" t="s">
        <v>1</v>
      </c>
      <c r="B260" s="0" t="n">
        <v>43</v>
      </c>
      <c r="C260" s="0" t="n">
        <v>9182</v>
      </c>
    </row>
    <row r="261" customFormat="false" ht="12.75" hidden="false" customHeight="false" outlineLevel="0" collapsed="false">
      <c r="A261" s="0" t="s">
        <v>2</v>
      </c>
      <c r="B261" s="0" t="n">
        <v>43</v>
      </c>
      <c r="C261" s="0" t="n">
        <v>9146</v>
      </c>
    </row>
    <row r="262" customFormat="false" ht="12.75" hidden="false" customHeight="false" outlineLevel="0" collapsed="false">
      <c r="A262" s="0" t="s">
        <v>3</v>
      </c>
      <c r="B262" s="0" t="n">
        <v>532</v>
      </c>
      <c r="C262" s="0" t="n">
        <v>8627</v>
      </c>
    </row>
    <row r="263" customFormat="false" ht="12.75" hidden="false" customHeight="false" outlineLevel="0" collapsed="false">
      <c r="A263" s="0" t="s">
        <v>4</v>
      </c>
      <c r="B263" s="0" t="n">
        <v>21</v>
      </c>
      <c r="C263" s="0" t="n">
        <v>8651</v>
      </c>
    </row>
    <row r="264" customFormat="false" ht="12.75" hidden="false" customHeight="false" outlineLevel="0" collapsed="false">
      <c r="A264" s="0" t="s">
        <v>5</v>
      </c>
      <c r="B264" s="3" t="n">
        <v>1048</v>
      </c>
      <c r="C264" s="0" t="n">
        <v>7615</v>
      </c>
    </row>
    <row r="265" customFormat="false" ht="12.75" hidden="false" customHeight="false" outlineLevel="0" collapsed="false">
      <c r="A265" s="0" t="s">
        <v>7</v>
      </c>
      <c r="B265" s="0" t="n">
        <v>13</v>
      </c>
      <c r="C265" s="0" t="n">
        <v>7798</v>
      </c>
    </row>
    <row r="266" customFormat="false" ht="12.75" hidden="false" customHeight="false" outlineLevel="0" collapsed="false">
      <c r="A266" s="0" t="s">
        <v>8</v>
      </c>
      <c r="B266" s="0" t="n">
        <v>1</v>
      </c>
      <c r="C266" s="0" t="n">
        <v>7863</v>
      </c>
    </row>
    <row r="267" customFormat="false" ht="12.75" hidden="false" customHeight="false" outlineLevel="0" collapsed="false">
      <c r="A267" s="0" t="s">
        <v>9</v>
      </c>
      <c r="B267" s="0" t="n">
        <v>109</v>
      </c>
      <c r="C267" s="0" t="n">
        <v>7805</v>
      </c>
    </row>
    <row r="268" customFormat="false" ht="12.75" hidden="false" customHeight="false" outlineLevel="0" collapsed="false">
      <c r="A268" s="0" t="s">
        <v>10</v>
      </c>
      <c r="B268" s="0" t="n">
        <v>315</v>
      </c>
      <c r="C268" s="0" t="n">
        <v>7712</v>
      </c>
    </row>
    <row r="269" customFormat="false" ht="12.75" hidden="false" customHeight="false" outlineLevel="0" collapsed="false">
      <c r="A269" s="0" t="s">
        <v>11</v>
      </c>
      <c r="B269" s="0" t="n">
        <v>141</v>
      </c>
      <c r="C269" s="0" t="n">
        <v>8271</v>
      </c>
    </row>
    <row r="270" customFormat="false" ht="12.75" hidden="false" customHeight="false" outlineLevel="0" collapsed="false">
      <c r="A270" s="0" t="s">
        <v>12</v>
      </c>
      <c r="B270" s="0" t="n">
        <v>38</v>
      </c>
      <c r="C270" s="0" t="n">
        <v>8338</v>
      </c>
    </row>
    <row r="271" customFormat="false" ht="12.75" hidden="false" customHeight="false" outlineLevel="0" collapsed="false">
      <c r="A271" s="0" t="s">
        <v>13</v>
      </c>
      <c r="B271" s="0" t="n">
        <v>79</v>
      </c>
      <c r="C271" s="0" t="n">
        <v>8286</v>
      </c>
    </row>
    <row r="272" customFormat="false" ht="12.75" hidden="false" customHeight="false" outlineLevel="0" collapsed="false">
      <c r="A272" s="0" t="s">
        <v>14</v>
      </c>
      <c r="B272" s="0" t="n">
        <v>215</v>
      </c>
      <c r="C272" s="0" t="n">
        <v>8076</v>
      </c>
    </row>
    <row r="273" customFormat="false" ht="12.75" hidden="false" customHeight="false" outlineLevel="0" collapsed="false">
      <c r="A273" s="0" t="s">
        <v>15</v>
      </c>
      <c r="B273" s="0" t="n">
        <v>40</v>
      </c>
      <c r="C273" s="0" t="n">
        <v>8158</v>
      </c>
    </row>
    <row r="274" customFormat="false" ht="12.75" hidden="false" customHeight="false" outlineLevel="0" collapsed="false">
      <c r="A274" s="0" t="s">
        <v>16</v>
      </c>
      <c r="B274" s="0" t="n">
        <v>107</v>
      </c>
      <c r="C274" s="0" t="n">
        <v>8081</v>
      </c>
    </row>
    <row r="275" customFormat="false" ht="12.75" hidden="false" customHeight="false" outlineLevel="0" collapsed="false">
      <c r="A275" s="0" t="s">
        <v>17</v>
      </c>
      <c r="B275" s="0" t="n">
        <v>333</v>
      </c>
      <c r="C275" s="0" t="n">
        <v>7772</v>
      </c>
    </row>
    <row r="276" customFormat="false" ht="12.75" hidden="false" customHeight="false" outlineLevel="0" collapsed="false">
      <c r="A276" s="0" t="s">
        <v>18</v>
      </c>
      <c r="B276" s="0" t="n">
        <v>7</v>
      </c>
      <c r="C276" s="0" t="n">
        <v>7768</v>
      </c>
    </row>
    <row r="277" customFormat="false" ht="12.75" hidden="false" customHeight="false" outlineLevel="0" collapsed="false">
      <c r="A277" s="0" t="s">
        <v>19</v>
      </c>
      <c r="B277" s="0" t="n">
        <v>33</v>
      </c>
      <c r="C277" s="0" t="n">
        <v>7746</v>
      </c>
    </row>
    <row r="278" customFormat="false" ht="12.75" hidden="false" customHeight="false" outlineLevel="0" collapsed="false">
      <c r="A278" s="0" t="s">
        <v>20</v>
      </c>
      <c r="B278" s="0" t="n">
        <v>12</v>
      </c>
      <c r="C278" s="0" t="n">
        <v>7785</v>
      </c>
    </row>
    <row r="279" customFormat="false" ht="12.75" hidden="false" customHeight="false" outlineLevel="0" collapsed="false">
      <c r="A279" s="0" t="s">
        <v>21</v>
      </c>
      <c r="B279" s="0" t="n">
        <v>43</v>
      </c>
      <c r="C279" s="0" t="n">
        <v>8574</v>
      </c>
    </row>
    <row r="280" customFormat="false" ht="12.75" hidden="false" customHeight="false" outlineLevel="0" collapsed="false">
      <c r="A280" s="0" t="s">
        <v>22</v>
      </c>
      <c r="B280" s="0" t="n">
        <v>77</v>
      </c>
      <c r="C280" s="0" t="n">
        <v>8663</v>
      </c>
    </row>
    <row r="281" customFormat="false" ht="12.75" hidden="false" customHeight="false" outlineLevel="0" collapsed="false">
      <c r="A281" s="0" t="s">
        <v>23</v>
      </c>
      <c r="B281" s="0" t="n">
        <v>106</v>
      </c>
      <c r="C281" s="0" t="n">
        <v>11170</v>
      </c>
    </row>
    <row r="282" customFormat="false" ht="12.75" hidden="false" customHeight="false" outlineLevel="0" collapsed="false">
      <c r="A282" s="0" t="s">
        <v>24</v>
      </c>
      <c r="B282" s="0" t="n">
        <v>226</v>
      </c>
      <c r="C282" s="0" t="n">
        <v>11032</v>
      </c>
    </row>
    <row r="283" customFormat="false" ht="12.75" hidden="false" customHeight="false" outlineLevel="0" collapsed="false">
      <c r="A283" s="0" t="s">
        <v>25</v>
      </c>
      <c r="B283" s="0" t="n">
        <v>14</v>
      </c>
      <c r="C283" s="0" t="n">
        <v>11060</v>
      </c>
    </row>
    <row r="284" customFormat="false" ht="12.75" hidden="false" customHeight="false" outlineLevel="0" collapsed="false">
      <c r="A284" s="0" t="s">
        <v>26</v>
      </c>
      <c r="B284" s="0" t="n">
        <v>205</v>
      </c>
      <c r="C284" s="0" t="n">
        <v>10873</v>
      </c>
    </row>
    <row r="285" customFormat="false" ht="12.75" hidden="false" customHeight="false" outlineLevel="0" collapsed="false">
      <c r="A285" s="0" t="s">
        <v>27</v>
      </c>
      <c r="B285" s="0" t="n">
        <v>105</v>
      </c>
      <c r="C285" s="0" t="n">
        <v>10812</v>
      </c>
    </row>
    <row r="286" customFormat="false" ht="12.75" hidden="false" customHeight="false" outlineLevel="0" collapsed="false">
      <c r="A286" s="0" t="s">
        <v>28</v>
      </c>
      <c r="B286" s="0" t="n">
        <v>439</v>
      </c>
      <c r="C286" s="0" t="n">
        <v>10384</v>
      </c>
    </row>
    <row r="287" customFormat="false" ht="12.75" hidden="false" customHeight="false" outlineLevel="0" collapsed="false">
      <c r="A287" s="0" t="s">
        <v>29</v>
      </c>
      <c r="B287" s="0" t="n">
        <v>463</v>
      </c>
      <c r="C287" s="0" t="n">
        <v>9927</v>
      </c>
    </row>
    <row r="288" customFormat="false" ht="12.75" hidden="false" customHeight="false" outlineLevel="0" collapsed="false">
      <c r="A288" s="0" t="s">
        <v>30</v>
      </c>
      <c r="B288" s="0" t="n">
        <v>5</v>
      </c>
      <c r="C288" s="0" t="n">
        <v>9982</v>
      </c>
    </row>
    <row r="289" customFormat="false" ht="12.75" hidden="false" customHeight="false" outlineLevel="0" collapsed="false">
      <c r="A289" s="0" t="s">
        <v>31</v>
      </c>
      <c r="B289" s="0" t="n">
        <v>78</v>
      </c>
      <c r="C289" s="0" t="n">
        <v>10480</v>
      </c>
    </row>
    <row r="290" customFormat="false" ht="12.75" hidden="false" customHeight="false" outlineLevel="0" collapsed="false">
      <c r="A290" s="0" t="s">
        <v>32</v>
      </c>
      <c r="B290" s="0" t="n">
        <v>969</v>
      </c>
      <c r="C290" s="0" t="n">
        <v>10188</v>
      </c>
    </row>
    <row r="291" customFormat="false" ht="12.75" hidden="false" customHeight="false" outlineLevel="0" collapsed="false">
      <c r="A291" s="0" t="s">
        <v>33</v>
      </c>
      <c r="B291" s="0" t="n">
        <v>216</v>
      </c>
      <c r="C291" s="0" t="n">
        <v>9976</v>
      </c>
    </row>
    <row r="292" customFormat="false" ht="12.75" hidden="false" customHeight="false" outlineLevel="0" collapsed="false">
      <c r="A292" s="0" t="s">
        <v>34</v>
      </c>
      <c r="B292" s="0" t="n">
        <v>114</v>
      </c>
      <c r="C292" s="0" t="n">
        <v>11843</v>
      </c>
    </row>
    <row r="293" customFormat="false" ht="12.75" hidden="false" customHeight="false" outlineLevel="0" collapsed="false">
      <c r="A293" s="0" t="s">
        <v>35</v>
      </c>
      <c r="B293" s="0" t="n">
        <v>55</v>
      </c>
      <c r="C293" s="0" t="n">
        <v>11948</v>
      </c>
    </row>
    <row r="294" customFormat="false" ht="12.75" hidden="false" customHeight="false" outlineLevel="0" collapsed="false">
      <c r="A294" s="0" t="s">
        <v>36</v>
      </c>
      <c r="B294" s="0" t="n">
        <v>119</v>
      </c>
      <c r="C294" s="0" t="n">
        <v>11839</v>
      </c>
    </row>
    <row r="295" customFormat="false" ht="12.75" hidden="false" customHeight="false" outlineLevel="0" collapsed="false">
      <c r="A295" s="0" t="s">
        <v>37</v>
      </c>
      <c r="B295" s="0" t="n">
        <v>168</v>
      </c>
      <c r="C295" s="0" t="n">
        <v>11794</v>
      </c>
    </row>
    <row r="296" customFormat="false" ht="12.75" hidden="false" customHeight="false" outlineLevel="0" collapsed="false">
      <c r="A296" s="0" t="s">
        <v>38</v>
      </c>
      <c r="B296" s="0" t="n">
        <v>103</v>
      </c>
      <c r="C296" s="0" t="n">
        <v>11698</v>
      </c>
    </row>
    <row r="297" customFormat="false" ht="12.75" hidden="false" customHeight="false" outlineLevel="0" collapsed="false">
      <c r="A297" s="0" t="s">
        <v>39</v>
      </c>
      <c r="B297" s="0" t="n">
        <v>66</v>
      </c>
      <c r="C297" s="0" t="n">
        <v>11639</v>
      </c>
    </row>
    <row r="298" customFormat="false" ht="12.75" hidden="false" customHeight="false" outlineLevel="0" collapsed="false">
      <c r="A298" s="0" t="s">
        <v>40</v>
      </c>
      <c r="B298" s="0" t="n">
        <v>25</v>
      </c>
      <c r="C298" s="0" t="n">
        <v>12455</v>
      </c>
    </row>
    <row r="299" customFormat="false" ht="12.75" hidden="false" customHeight="false" outlineLevel="0" collapsed="false">
      <c r="A299" s="0" t="s">
        <v>41</v>
      </c>
      <c r="B299" s="0" t="n">
        <v>20</v>
      </c>
      <c r="C299" s="0" t="n">
        <v>12908</v>
      </c>
    </row>
    <row r="300" customFormat="false" ht="12.75" hidden="false" customHeight="false" outlineLevel="0" collapsed="false">
      <c r="A300" s="0" t="s">
        <v>42</v>
      </c>
      <c r="B300" s="0" t="n">
        <v>135</v>
      </c>
      <c r="C300" s="0" t="n">
        <v>12890</v>
      </c>
    </row>
    <row r="301" customFormat="false" ht="12.75" hidden="false" customHeight="false" outlineLevel="0" collapsed="false">
      <c r="A301" s="0" t="s">
        <v>43</v>
      </c>
      <c r="B301" s="0" t="n">
        <v>72</v>
      </c>
      <c r="C301" s="0" t="n">
        <v>12822</v>
      </c>
    </row>
    <row r="302" customFormat="false" ht="12.75" hidden="false" customHeight="false" outlineLevel="0" collapsed="false">
      <c r="A302" s="0" t="s">
        <v>44</v>
      </c>
      <c r="B302" s="0" t="n">
        <v>504</v>
      </c>
      <c r="C302" s="0" t="n">
        <v>12391</v>
      </c>
    </row>
    <row r="303" customFormat="false" ht="12.75" hidden="false" customHeight="false" outlineLevel="0" collapsed="false">
      <c r="A303" s="0" t="s">
        <v>45</v>
      </c>
      <c r="B303" s="0" t="n">
        <v>655</v>
      </c>
      <c r="C303" s="0" t="n">
        <v>11835</v>
      </c>
    </row>
    <row r="304" customFormat="false" ht="12.75" hidden="false" customHeight="false" outlineLevel="0" collapsed="false">
      <c r="A304" s="0" t="s">
        <v>46</v>
      </c>
      <c r="B304" s="0" t="n">
        <v>2</v>
      </c>
      <c r="C304" s="0" t="n">
        <v>11860</v>
      </c>
    </row>
    <row r="305" customFormat="false" ht="12.75" hidden="false" customHeight="false" outlineLevel="0" collapsed="false">
      <c r="A305" s="0" t="s">
        <v>47</v>
      </c>
      <c r="B305" s="0" t="n">
        <v>36</v>
      </c>
      <c r="C305" s="0" t="n">
        <v>12657</v>
      </c>
    </row>
    <row r="306" customFormat="false" ht="12.75" hidden="false" customHeight="false" outlineLevel="0" collapsed="false">
      <c r="A306" s="0" t="s">
        <v>48</v>
      </c>
      <c r="B306" s="0" t="n">
        <v>129</v>
      </c>
      <c r="C306" s="0" t="n">
        <v>12709</v>
      </c>
    </row>
    <row r="307" customFormat="false" ht="12.75" hidden="false" customHeight="false" outlineLevel="0" collapsed="false">
      <c r="A307" s="0" t="s">
        <v>49</v>
      </c>
      <c r="B307" s="0" t="n">
        <v>10</v>
      </c>
      <c r="C307" s="0" t="n">
        <v>12724</v>
      </c>
    </row>
    <row r="308" customFormat="false" ht="12.75" hidden="false" customHeight="false" outlineLevel="0" collapsed="false">
      <c r="A308" s="0" t="s">
        <v>50</v>
      </c>
      <c r="B308" s="0" t="n">
        <v>56</v>
      </c>
      <c r="C308" s="0" t="n">
        <v>12696</v>
      </c>
    </row>
    <row r="309" customFormat="false" ht="12.75" hidden="false" customHeight="false" outlineLevel="0" collapsed="false">
      <c r="A309" s="0" t="s">
        <v>51</v>
      </c>
      <c r="B309" s="0" t="n">
        <v>703</v>
      </c>
      <c r="C309" s="0" t="n">
        <v>12032</v>
      </c>
    </row>
    <row r="310" customFormat="false" ht="12.75" hidden="false" customHeight="false" outlineLevel="0" collapsed="false">
      <c r="A310" s="0" t="s">
        <v>123</v>
      </c>
      <c r="B310" s="0" t="n">
        <v>177</v>
      </c>
      <c r="C310" s="0" t="n">
        <v>11859</v>
      </c>
    </row>
    <row r="311" customFormat="false" ht="12.75" hidden="false" customHeight="false" outlineLevel="0" collapsed="false">
      <c r="A311" s="0" t="s">
        <v>1</v>
      </c>
      <c r="B311" s="0" t="n">
        <v>7</v>
      </c>
      <c r="C311" s="0" t="n">
        <v>11934</v>
      </c>
    </row>
    <row r="312" customFormat="false" ht="12.75" hidden="false" customHeight="false" outlineLevel="0" collapsed="false">
      <c r="A312" s="0" t="s">
        <v>2</v>
      </c>
      <c r="B312" s="0" t="n">
        <v>13</v>
      </c>
      <c r="C312" s="0" t="n">
        <v>11932</v>
      </c>
    </row>
    <row r="313" customFormat="false" ht="12.75" hidden="false" customHeight="false" outlineLevel="0" collapsed="false">
      <c r="A313" s="0" t="s">
        <v>3</v>
      </c>
      <c r="B313" s="0" t="n">
        <v>45</v>
      </c>
      <c r="C313" s="0" t="n">
        <v>11889</v>
      </c>
    </row>
    <row r="314" customFormat="false" ht="12.75" hidden="false" customHeight="false" outlineLevel="0" collapsed="false">
      <c r="A314" s="0" t="s">
        <v>4</v>
      </c>
      <c r="B314" s="0" t="n">
        <v>12</v>
      </c>
      <c r="C314" s="0" t="n">
        <v>11879</v>
      </c>
    </row>
    <row r="315" customFormat="false" ht="12.75" hidden="false" customHeight="false" outlineLevel="0" collapsed="false">
      <c r="A315" s="0" t="s">
        <v>5</v>
      </c>
      <c r="B315" s="0" t="n">
        <v>196</v>
      </c>
      <c r="C315" s="0" t="n">
        <v>11685</v>
      </c>
    </row>
    <row r="316" customFormat="false" ht="12.75" hidden="false" customHeight="false" outlineLevel="0" collapsed="false">
      <c r="A316" s="0" t="s">
        <v>6</v>
      </c>
      <c r="B316" s="0" t="n">
        <v>66</v>
      </c>
      <c r="C316" s="0" t="n">
        <v>11647</v>
      </c>
    </row>
    <row r="317" customFormat="false" ht="12.75" hidden="false" customHeight="false" outlineLevel="0" collapsed="false">
      <c r="A317" s="0" t="s">
        <v>8</v>
      </c>
      <c r="B317" s="0" t="n">
        <v>51</v>
      </c>
      <c r="C317" s="0" t="n">
        <v>11606</v>
      </c>
    </row>
    <row r="318" customFormat="false" ht="12.75" hidden="false" customHeight="false" outlineLevel="0" collapsed="false">
      <c r="A318" s="0" t="s">
        <v>9</v>
      </c>
      <c r="B318" s="0" t="n">
        <v>222</v>
      </c>
      <c r="C318" s="0" t="n">
        <v>11416</v>
      </c>
    </row>
    <row r="319" customFormat="false" ht="12.75" hidden="false" customHeight="false" outlineLevel="0" collapsed="false">
      <c r="A319" s="0" t="s">
        <v>10</v>
      </c>
      <c r="B319" s="0" t="n">
        <v>700</v>
      </c>
      <c r="C319" s="0" t="n">
        <v>10795</v>
      </c>
    </row>
    <row r="320" customFormat="false" ht="12.75" hidden="false" customHeight="false" outlineLevel="0" collapsed="false">
      <c r="A320" s="0" t="s">
        <v>11</v>
      </c>
      <c r="B320" s="0" t="n">
        <v>105</v>
      </c>
      <c r="C320" s="0" t="n">
        <v>10791</v>
      </c>
    </row>
    <row r="321" customFormat="false" ht="12.75" hidden="false" customHeight="false" outlineLevel="0" collapsed="false">
      <c r="A321" s="0" t="s">
        <v>12</v>
      </c>
      <c r="B321" s="0" t="n">
        <v>27</v>
      </c>
      <c r="C321" s="0" t="n">
        <v>10793</v>
      </c>
    </row>
    <row r="322" customFormat="false" ht="12.75" hidden="false" customHeight="false" outlineLevel="0" collapsed="false">
      <c r="A322" s="0" t="s">
        <v>13</v>
      </c>
      <c r="B322" s="0" t="n">
        <v>5</v>
      </c>
      <c r="C322" s="0" t="n">
        <v>10791</v>
      </c>
    </row>
    <row r="323" customFormat="false" ht="12.75" hidden="false" customHeight="false" outlineLevel="0" collapsed="false">
      <c r="A323" s="0" t="s">
        <v>14</v>
      </c>
      <c r="B323" s="0" t="n">
        <v>122</v>
      </c>
      <c r="C323" s="0" t="n">
        <v>10670</v>
      </c>
    </row>
    <row r="324" customFormat="false" ht="12.75" hidden="false" customHeight="false" outlineLevel="0" collapsed="false">
      <c r="A324" s="0" t="s">
        <v>15</v>
      </c>
      <c r="B324" s="0" t="n">
        <v>30</v>
      </c>
      <c r="C324" s="0" t="n">
        <v>10664</v>
      </c>
    </row>
    <row r="325" customFormat="false" ht="12.75" hidden="false" customHeight="false" outlineLevel="0" collapsed="false">
      <c r="A325" s="0" t="s">
        <v>16</v>
      </c>
      <c r="B325" s="0" t="n">
        <v>24</v>
      </c>
      <c r="C325" s="0" t="n">
        <v>10652</v>
      </c>
    </row>
    <row r="326" customFormat="false" ht="12.75" hidden="false" customHeight="false" outlineLevel="0" collapsed="false">
      <c r="A326" s="0" t="s">
        <v>17</v>
      </c>
      <c r="B326" s="0" t="n">
        <v>3</v>
      </c>
      <c r="C326" s="0" t="n">
        <v>10652</v>
      </c>
    </row>
    <row r="327" customFormat="false" ht="12.75" hidden="false" customHeight="false" outlineLevel="0" collapsed="false">
      <c r="A327" s="0" t="s">
        <v>18</v>
      </c>
      <c r="B327" s="0" t="n">
        <v>11</v>
      </c>
      <c r="C327" s="0" t="n">
        <v>10642</v>
      </c>
    </row>
    <row r="328" customFormat="false" ht="12.75" hidden="false" customHeight="false" outlineLevel="0" collapsed="false">
      <c r="A328" s="0" t="s">
        <v>19</v>
      </c>
      <c r="B328" s="0" t="n">
        <v>51</v>
      </c>
      <c r="C328" s="0" t="n">
        <v>10596</v>
      </c>
    </row>
    <row r="329" customFormat="false" ht="12.75" hidden="false" customHeight="false" outlineLevel="0" collapsed="false">
      <c r="A329" s="0" t="s">
        <v>20</v>
      </c>
      <c r="B329" s="0" t="n">
        <v>832</v>
      </c>
      <c r="C329" s="0" t="n">
        <v>9772</v>
      </c>
    </row>
    <row r="330" customFormat="false" ht="12.75" hidden="false" customHeight="false" outlineLevel="0" collapsed="false">
      <c r="A330" s="0" t="s">
        <v>21</v>
      </c>
      <c r="B330" s="0" t="n">
        <v>166</v>
      </c>
      <c r="C330" s="0" t="n">
        <v>9622</v>
      </c>
    </row>
    <row r="331" customFormat="false" ht="12.75" hidden="false" customHeight="false" outlineLevel="0" collapsed="false">
      <c r="A331" s="0" t="s">
        <v>22</v>
      </c>
      <c r="B331" s="3" t="n">
        <v>2613</v>
      </c>
      <c r="C331" s="0" t="n">
        <v>7234</v>
      </c>
    </row>
    <row r="332" customFormat="false" ht="12.75" hidden="false" customHeight="false" outlineLevel="0" collapsed="false">
      <c r="A332" s="0" t="s">
        <v>23</v>
      </c>
      <c r="B332" s="0" t="n">
        <v>88</v>
      </c>
      <c r="C332" s="0" t="n">
        <v>7220</v>
      </c>
    </row>
    <row r="333" customFormat="false" ht="12.75" hidden="false" customHeight="false" outlineLevel="0" collapsed="false">
      <c r="A333" s="0" t="s">
        <v>24</v>
      </c>
      <c r="B333" s="0" t="n">
        <v>42</v>
      </c>
      <c r="C333" s="0" t="n">
        <v>7195</v>
      </c>
    </row>
    <row r="334" customFormat="false" ht="12.75" hidden="false" customHeight="false" outlineLevel="0" collapsed="false">
      <c r="A334" s="0" t="s">
        <v>25</v>
      </c>
      <c r="B334" s="0" t="n">
        <v>18</v>
      </c>
      <c r="C334" s="0" t="n">
        <v>7187</v>
      </c>
    </row>
    <row r="335" customFormat="false" ht="12.75" hidden="false" customHeight="false" outlineLevel="0" collapsed="false">
      <c r="A335" s="0" t="s">
        <v>26</v>
      </c>
      <c r="B335" s="0" t="n">
        <v>44</v>
      </c>
      <c r="C335" s="0" t="n">
        <v>7144</v>
      </c>
    </row>
    <row r="336" customFormat="false" ht="12.75" hidden="false" customHeight="false" outlineLevel="0" collapsed="false">
      <c r="A336" s="0" t="s">
        <v>27</v>
      </c>
      <c r="B336" s="0" t="n">
        <v>11</v>
      </c>
      <c r="C336" s="0" t="n">
        <v>7140</v>
      </c>
    </row>
    <row r="337" customFormat="false" ht="12.75" hidden="false" customHeight="false" outlineLevel="0" collapsed="false">
      <c r="A337" s="0" t="s">
        <v>28</v>
      </c>
      <c r="B337" s="0" t="n">
        <v>6</v>
      </c>
      <c r="C337" s="0" t="n">
        <v>7134</v>
      </c>
    </row>
    <row r="338" customFormat="false" ht="12.75" hidden="false" customHeight="false" outlineLevel="0" collapsed="false">
      <c r="A338" s="0" t="s">
        <v>29</v>
      </c>
      <c r="B338" s="0" t="n">
        <v>60</v>
      </c>
      <c r="C338" s="0" t="n">
        <v>7074</v>
      </c>
    </row>
    <row r="339" customFormat="false" ht="12.75" hidden="false" customHeight="false" outlineLevel="0" collapsed="false">
      <c r="A339" s="0" t="s">
        <v>30</v>
      </c>
      <c r="B339" s="0" t="n">
        <v>576</v>
      </c>
      <c r="C339" s="0" t="n">
        <v>6508</v>
      </c>
    </row>
    <row r="340" customFormat="false" ht="12.75" hidden="false" customHeight="false" outlineLevel="0" collapsed="false">
      <c r="A340" s="0" t="s">
        <v>31</v>
      </c>
      <c r="B340" s="0" t="n">
        <v>677</v>
      </c>
      <c r="C340" s="0" t="n">
        <v>5838</v>
      </c>
    </row>
    <row r="341" customFormat="false" ht="12.75" hidden="false" customHeight="false" outlineLevel="0" collapsed="false">
      <c r="A341" s="0" t="s">
        <v>32</v>
      </c>
      <c r="B341" s="0" t="n">
        <v>4</v>
      </c>
      <c r="C341" s="0" t="n">
        <v>6091</v>
      </c>
    </row>
    <row r="342" customFormat="false" ht="12.75" hidden="false" customHeight="false" outlineLevel="0" collapsed="false">
      <c r="A342" s="0" t="s">
        <v>33</v>
      </c>
      <c r="B342" s="3" t="n">
        <v>1981</v>
      </c>
      <c r="C342" s="0" t="n">
        <v>4113</v>
      </c>
    </row>
    <row r="343" customFormat="false" ht="12.75" hidden="false" customHeight="false" outlineLevel="0" collapsed="false">
      <c r="A343" s="0" t="s">
        <v>34</v>
      </c>
      <c r="B343" s="0" t="n">
        <v>160</v>
      </c>
      <c r="C343" s="0" t="n">
        <v>4190</v>
      </c>
    </row>
    <row r="344" customFormat="false" ht="12.75" hidden="false" customHeight="false" outlineLevel="0" collapsed="false">
      <c r="A344" s="0" t="s">
        <v>35</v>
      </c>
      <c r="B344" s="0" t="n">
        <v>10</v>
      </c>
      <c r="C344" s="0" t="n">
        <v>4268</v>
      </c>
    </row>
    <row r="345" customFormat="false" ht="12.75" hidden="false" customHeight="false" outlineLevel="0" collapsed="false">
      <c r="A345" s="0" t="s">
        <v>36</v>
      </c>
      <c r="B345" s="0" t="n">
        <v>123</v>
      </c>
      <c r="C345" s="0" t="n">
        <v>4145</v>
      </c>
    </row>
    <row r="346" customFormat="false" ht="12.75" hidden="false" customHeight="false" outlineLevel="0" collapsed="false">
      <c r="A346" s="0" t="s">
        <v>37</v>
      </c>
      <c r="B346" s="0" t="n">
        <v>7</v>
      </c>
      <c r="C346" s="0" t="n">
        <v>4173</v>
      </c>
    </row>
    <row r="347" customFormat="false" ht="12.75" hidden="false" customHeight="false" outlineLevel="0" collapsed="false">
      <c r="A347" s="0" t="s">
        <v>38</v>
      </c>
      <c r="B347" s="0" t="n">
        <v>7</v>
      </c>
      <c r="C347" s="0" t="n">
        <v>4167</v>
      </c>
    </row>
    <row r="348" customFormat="false" ht="12.75" hidden="false" customHeight="false" outlineLevel="0" collapsed="false">
      <c r="A348" s="0" t="s">
        <v>39</v>
      </c>
      <c r="B348" s="0" t="n">
        <v>841</v>
      </c>
      <c r="C348" s="0" t="n">
        <v>3326</v>
      </c>
    </row>
    <row r="349" customFormat="false" ht="12.75" hidden="false" customHeight="false" outlineLevel="0" collapsed="false">
      <c r="A349" s="0" t="s">
        <v>40</v>
      </c>
      <c r="B349" s="0" t="n">
        <v>473</v>
      </c>
      <c r="C349" s="0" t="n">
        <v>3200</v>
      </c>
    </row>
    <row r="350" customFormat="false" ht="12.75" hidden="false" customHeight="false" outlineLevel="0" collapsed="false">
      <c r="A350" s="0" t="s">
        <v>41</v>
      </c>
      <c r="B350" s="0" t="n">
        <v>117</v>
      </c>
      <c r="C350" s="0" t="n">
        <v>3091</v>
      </c>
    </row>
    <row r="351" customFormat="false" ht="12.75" hidden="false" customHeight="false" outlineLevel="0" collapsed="false">
      <c r="A351" s="0" t="s">
        <v>42</v>
      </c>
      <c r="B351" s="0" t="n">
        <v>4</v>
      </c>
      <c r="C351" s="0" t="n">
        <v>3118</v>
      </c>
    </row>
    <row r="352" customFormat="false" ht="12.75" hidden="false" customHeight="false" outlineLevel="0" collapsed="false">
      <c r="A352" s="0" t="s">
        <v>43</v>
      </c>
      <c r="B352" s="0" t="n">
        <v>73</v>
      </c>
      <c r="C352" s="0" t="n">
        <v>3046</v>
      </c>
    </row>
    <row r="353" customFormat="false" ht="12.75" hidden="false" customHeight="false" outlineLevel="0" collapsed="false">
      <c r="A353" s="0" t="s">
        <v>44</v>
      </c>
      <c r="B353" s="0" t="n">
        <v>99</v>
      </c>
      <c r="C353" s="0" t="n">
        <v>2973</v>
      </c>
    </row>
    <row r="354" customFormat="false" ht="12.75" hidden="false" customHeight="false" outlineLevel="0" collapsed="false">
      <c r="A354" s="0" t="s">
        <v>45</v>
      </c>
      <c r="B354" s="0" t="n">
        <v>27</v>
      </c>
      <c r="C354" s="0" t="n">
        <v>2973</v>
      </c>
    </row>
    <row r="355" customFormat="false" ht="12.75" hidden="false" customHeight="false" outlineLevel="0" collapsed="false">
      <c r="A355" s="0" t="s">
        <v>46</v>
      </c>
      <c r="B355" s="0" t="n">
        <v>833</v>
      </c>
      <c r="C355" s="0" t="n">
        <v>2142</v>
      </c>
    </row>
    <row r="356" customFormat="false" ht="12.75" hidden="false" customHeight="false" outlineLevel="0" collapsed="false">
      <c r="A356" s="0" t="s">
        <v>47</v>
      </c>
      <c r="B356" s="0" t="n">
        <v>181</v>
      </c>
      <c r="C356" s="0" t="n">
        <v>1980</v>
      </c>
    </row>
    <row r="357" customFormat="false" ht="12.75" hidden="false" customHeight="false" outlineLevel="0" collapsed="false">
      <c r="A357" s="0" t="s">
        <v>48</v>
      </c>
      <c r="B357" s="0" t="n">
        <v>25</v>
      </c>
      <c r="C357" s="0" t="n">
        <v>2320</v>
      </c>
    </row>
    <row r="358" customFormat="false" ht="12.75" hidden="false" customHeight="false" outlineLevel="0" collapsed="false">
      <c r="A358" s="0" t="s">
        <v>49</v>
      </c>
      <c r="B358" s="0" t="n">
        <v>28</v>
      </c>
      <c r="C358" s="0" t="n">
        <v>2296</v>
      </c>
    </row>
    <row r="359" customFormat="false" ht="12.75" hidden="false" customHeight="false" outlineLevel="0" collapsed="false">
      <c r="A359" s="0" t="s">
        <v>50</v>
      </c>
      <c r="B359" s="0" t="n">
        <v>39</v>
      </c>
      <c r="C359" s="0" t="n">
        <v>2281</v>
      </c>
    </row>
    <row r="360" customFormat="false" ht="12.75" hidden="false" customHeight="false" outlineLevel="0" collapsed="false">
      <c r="A360" s="0" t="s">
        <v>51</v>
      </c>
      <c r="B360" s="0" t="n">
        <v>4</v>
      </c>
      <c r="C360" s="0" t="n">
        <v>2280</v>
      </c>
    </row>
    <row r="361" customFormat="false" ht="12.75" hidden="false" customHeight="false" outlineLevel="0" collapsed="false">
      <c r="A361" s="0" t="s">
        <v>124</v>
      </c>
      <c r="B361" s="0" t="n">
        <v>82</v>
      </c>
      <c r="C361" s="0" t="n">
        <v>2198</v>
      </c>
    </row>
    <row r="362" customFormat="false" ht="12.75" hidden="false" customHeight="false" outlineLevel="0" collapsed="false">
      <c r="A362" s="0" t="s">
        <v>1</v>
      </c>
      <c r="B362" s="0" t="n">
        <v>11</v>
      </c>
      <c r="C362" s="0" t="n">
        <v>26270</v>
      </c>
    </row>
    <row r="363" customFormat="false" ht="12.75" hidden="false" customHeight="false" outlineLevel="0" collapsed="false">
      <c r="A363" s="0" t="s">
        <v>2</v>
      </c>
      <c r="B363" s="0" t="n">
        <v>2</v>
      </c>
      <c r="C363" s="0" t="n">
        <v>27782</v>
      </c>
    </row>
    <row r="364" customFormat="false" ht="12.75" hidden="false" customHeight="false" outlineLevel="0" collapsed="false">
      <c r="A364" s="0" t="s">
        <v>3</v>
      </c>
      <c r="B364" s="0" t="n">
        <v>2</v>
      </c>
      <c r="C364" s="0" t="n">
        <v>27863</v>
      </c>
    </row>
    <row r="365" customFormat="false" ht="12.75" hidden="false" customHeight="false" outlineLevel="0" collapsed="false">
      <c r="A365" s="0" t="s">
        <v>4</v>
      </c>
      <c r="B365" s="0" t="n">
        <v>2</v>
      </c>
      <c r="C365" s="0" t="n">
        <v>27979</v>
      </c>
    </row>
    <row r="366" customFormat="false" ht="12.75" hidden="false" customHeight="false" outlineLevel="0" collapsed="false">
      <c r="A366" s="0" t="s">
        <v>5</v>
      </c>
      <c r="B366" s="0" t="n">
        <v>28</v>
      </c>
      <c r="C366" s="0" t="n">
        <v>28182</v>
      </c>
    </row>
    <row r="367" customFormat="false" ht="12.75" hidden="false" customHeight="false" outlineLevel="0" collapsed="false">
      <c r="A367" s="0" t="s">
        <v>6</v>
      </c>
      <c r="B367" s="0" t="n">
        <v>10</v>
      </c>
      <c r="C367" s="0" t="n">
        <v>28841</v>
      </c>
    </row>
    <row r="368" customFormat="false" ht="12.75" hidden="false" customHeight="false" outlineLevel="0" collapsed="false">
      <c r="A368" s="0" t="s">
        <v>7</v>
      </c>
      <c r="B368" s="0" t="n">
        <v>32</v>
      </c>
      <c r="C368" s="0" t="n">
        <v>29028</v>
      </c>
    </row>
    <row r="369" customFormat="false" ht="12.75" hidden="false" customHeight="false" outlineLevel="0" collapsed="false">
      <c r="A369" s="0" t="s">
        <v>9</v>
      </c>
      <c r="B369" s="0" t="n">
        <v>79</v>
      </c>
      <c r="C369" s="0" t="n">
        <v>29195</v>
      </c>
    </row>
    <row r="370" customFormat="false" ht="12.75" hidden="false" customHeight="false" outlineLevel="0" collapsed="false">
      <c r="A370" s="0" t="s">
        <v>10</v>
      </c>
      <c r="B370" s="0" t="n">
        <v>101</v>
      </c>
      <c r="C370" s="0" t="n">
        <v>29147</v>
      </c>
    </row>
    <row r="371" customFormat="false" ht="12.75" hidden="false" customHeight="false" outlineLevel="0" collapsed="false">
      <c r="A371" s="0" t="s">
        <v>11</v>
      </c>
      <c r="B371" s="0" t="n">
        <v>29</v>
      </c>
      <c r="C371" s="0" t="n">
        <v>29442</v>
      </c>
    </row>
    <row r="372" customFormat="false" ht="12.75" hidden="false" customHeight="false" outlineLevel="0" collapsed="false">
      <c r="A372" s="0" t="s">
        <v>12</v>
      </c>
      <c r="B372" s="0" t="n">
        <v>3</v>
      </c>
      <c r="C372" s="0" t="n">
        <v>32741</v>
      </c>
    </row>
    <row r="373" customFormat="false" ht="12.75" hidden="false" customHeight="false" outlineLevel="0" collapsed="false">
      <c r="A373" s="0" t="s">
        <v>13</v>
      </c>
      <c r="B373" s="0" t="n">
        <v>1</v>
      </c>
      <c r="C373" s="0" t="n">
        <v>32764</v>
      </c>
    </row>
    <row r="374" customFormat="false" ht="12.75" hidden="false" customHeight="false" outlineLevel="0" collapsed="false">
      <c r="A374" s="0" t="s">
        <v>14</v>
      </c>
      <c r="B374" s="0" t="n">
        <v>24</v>
      </c>
      <c r="C374" s="0" t="n">
        <v>32755</v>
      </c>
    </row>
    <row r="375" customFormat="false" ht="12.75" hidden="false" customHeight="false" outlineLevel="0" collapsed="false">
      <c r="A375" s="0" t="s">
        <v>15</v>
      </c>
      <c r="B375" s="0" t="n">
        <v>12</v>
      </c>
      <c r="C375" s="0" t="n">
        <v>33255</v>
      </c>
    </row>
    <row r="376" customFormat="false" ht="12.75" hidden="false" customHeight="false" outlineLevel="0" collapsed="false">
      <c r="A376" s="0" t="s">
        <v>16</v>
      </c>
      <c r="B376" s="0" t="n">
        <v>3</v>
      </c>
      <c r="C376" s="0" t="n">
        <v>33504</v>
      </c>
    </row>
    <row r="377" customFormat="false" ht="12.75" hidden="false" customHeight="false" outlineLevel="0" collapsed="false">
      <c r="A377" s="0" t="s">
        <v>17</v>
      </c>
      <c r="B377" s="0" t="n">
        <v>1</v>
      </c>
      <c r="C377" s="0" t="n">
        <v>33576</v>
      </c>
    </row>
    <row r="378" customFormat="false" ht="12.75" hidden="false" customHeight="false" outlineLevel="0" collapsed="false">
      <c r="A378" s="0" t="s">
        <v>18</v>
      </c>
      <c r="B378" s="0" t="n">
        <v>5</v>
      </c>
      <c r="C378" s="0" t="n">
        <v>33623</v>
      </c>
    </row>
    <row r="379" customFormat="false" ht="12.75" hidden="false" customHeight="false" outlineLevel="0" collapsed="false">
      <c r="A379" s="0" t="s">
        <v>19</v>
      </c>
      <c r="B379" s="0" t="n">
        <v>8</v>
      </c>
      <c r="C379" s="0" t="n">
        <v>33936</v>
      </c>
    </row>
    <row r="380" customFormat="false" ht="12.75" hidden="false" customHeight="false" outlineLevel="0" collapsed="false">
      <c r="A380" s="0" t="s">
        <v>20</v>
      </c>
      <c r="B380" s="0" t="n">
        <v>16</v>
      </c>
      <c r="C380" s="0" t="n">
        <v>34630</v>
      </c>
    </row>
    <row r="381" customFormat="false" ht="12.75" hidden="false" customHeight="false" outlineLevel="0" collapsed="false">
      <c r="A381" s="0" t="s">
        <v>21</v>
      </c>
      <c r="B381" s="0" t="n">
        <v>225</v>
      </c>
      <c r="C381" s="0" t="n">
        <v>34473</v>
      </c>
    </row>
    <row r="382" customFormat="false" ht="12.75" hidden="false" customHeight="false" outlineLevel="0" collapsed="false">
      <c r="A382" s="0" t="s">
        <v>22</v>
      </c>
      <c r="B382" s="0" t="n">
        <v>74</v>
      </c>
      <c r="C382" s="0" t="n">
        <v>34589</v>
      </c>
    </row>
    <row r="383" customFormat="false" ht="12.75" hidden="false" customHeight="false" outlineLevel="0" collapsed="false">
      <c r="A383" s="0" t="s">
        <v>23</v>
      </c>
      <c r="B383" s="0" t="n">
        <v>17</v>
      </c>
      <c r="C383" s="0" t="n">
        <v>34908</v>
      </c>
    </row>
    <row r="384" customFormat="false" ht="12.75" hidden="false" customHeight="false" outlineLevel="0" collapsed="false">
      <c r="A384" s="0" t="s">
        <v>24</v>
      </c>
      <c r="B384" s="0" t="n">
        <v>10</v>
      </c>
      <c r="C384" s="0" t="n">
        <v>35454</v>
      </c>
    </row>
    <row r="385" customFormat="false" ht="12.75" hidden="false" customHeight="false" outlineLevel="0" collapsed="false">
      <c r="A385" s="0" t="s">
        <v>25</v>
      </c>
      <c r="B385" s="0" t="n">
        <v>1</v>
      </c>
      <c r="C385" s="0" t="n">
        <v>35495</v>
      </c>
    </row>
    <row r="386" customFormat="false" ht="12.75" hidden="false" customHeight="false" outlineLevel="0" collapsed="false">
      <c r="A386" s="0" t="s">
        <v>26</v>
      </c>
      <c r="B386" s="0" t="n">
        <v>7</v>
      </c>
      <c r="C386" s="0" t="n">
        <v>36650</v>
      </c>
    </row>
    <row r="387" customFormat="false" ht="12.75" hidden="false" customHeight="false" outlineLevel="0" collapsed="false">
      <c r="A387" s="0" t="s">
        <v>27</v>
      </c>
      <c r="B387" s="0" t="s">
        <v>156</v>
      </c>
      <c r="C387" s="0" t="n">
        <v>36866</v>
      </c>
    </row>
    <row r="388" customFormat="false" ht="12.75" hidden="false" customHeight="false" outlineLevel="0" collapsed="false">
      <c r="A388" s="0" t="s">
        <v>28</v>
      </c>
      <c r="B388" s="0" t="s">
        <v>156</v>
      </c>
      <c r="C388" s="0" t="n">
        <v>36904</v>
      </c>
    </row>
    <row r="389" customFormat="false" ht="12.75" hidden="false" customHeight="false" outlineLevel="0" collapsed="false">
      <c r="A389" s="0" t="s">
        <v>29</v>
      </c>
      <c r="B389" s="0" t="n">
        <v>10</v>
      </c>
      <c r="C389" s="0" t="n">
        <v>36928</v>
      </c>
    </row>
    <row r="390" customFormat="false" ht="12.75" hidden="false" customHeight="false" outlineLevel="0" collapsed="false">
      <c r="A390" s="0" t="s">
        <v>30</v>
      </c>
      <c r="B390" s="0" t="n">
        <v>7</v>
      </c>
      <c r="C390" s="0" t="n">
        <v>37195</v>
      </c>
    </row>
    <row r="391" customFormat="false" ht="12.75" hidden="false" customHeight="false" outlineLevel="0" collapsed="false">
      <c r="A391" s="0" t="s">
        <v>31</v>
      </c>
      <c r="B391" s="0" t="n">
        <v>257</v>
      </c>
      <c r="C391" s="0" t="n">
        <v>37002</v>
      </c>
    </row>
    <row r="392" customFormat="false" ht="12.75" hidden="false" customHeight="false" outlineLevel="0" collapsed="false">
      <c r="A392" s="0" t="s">
        <v>32</v>
      </c>
      <c r="B392" s="0" t="n">
        <v>3</v>
      </c>
      <c r="C392" s="0" t="n">
        <v>37658</v>
      </c>
    </row>
    <row r="393" customFormat="false" ht="12.75" hidden="false" customHeight="false" outlineLevel="0" collapsed="false">
      <c r="A393" s="0" t="s">
        <v>33</v>
      </c>
      <c r="B393" s="0" t="n">
        <v>237</v>
      </c>
      <c r="C393" s="0" t="n">
        <v>37507</v>
      </c>
    </row>
    <row r="394" customFormat="false" ht="12.75" hidden="false" customHeight="false" outlineLevel="0" collapsed="false">
      <c r="A394" s="0" t="s">
        <v>34</v>
      </c>
      <c r="B394" s="0" t="n">
        <v>88</v>
      </c>
      <c r="C394" s="0" t="n">
        <v>38903</v>
      </c>
    </row>
    <row r="395" customFormat="false" ht="12.75" hidden="false" customHeight="false" outlineLevel="0" collapsed="false">
      <c r="A395" s="0" t="s">
        <v>35</v>
      </c>
      <c r="B395" s="0" t="s">
        <v>156</v>
      </c>
      <c r="C395" s="0" t="n">
        <v>40130</v>
      </c>
    </row>
    <row r="396" customFormat="false" ht="12.75" hidden="false" customHeight="false" outlineLevel="0" collapsed="false">
      <c r="A396" s="0" t="s">
        <v>36</v>
      </c>
      <c r="B396" s="0" t="n">
        <v>35</v>
      </c>
      <c r="C396" s="0" t="n">
        <v>40105</v>
      </c>
    </row>
    <row r="397" customFormat="false" ht="12.75" hidden="false" customHeight="false" outlineLevel="0" collapsed="false">
      <c r="A397" s="0" t="s">
        <v>37</v>
      </c>
      <c r="B397" s="0" t="n">
        <v>1</v>
      </c>
      <c r="C397" s="0" t="n">
        <v>40757</v>
      </c>
    </row>
    <row r="398" customFormat="false" ht="12.75" hidden="false" customHeight="false" outlineLevel="0" collapsed="false">
      <c r="A398" s="0" t="s">
        <v>38</v>
      </c>
      <c r="B398" s="0" t="s">
        <v>156</v>
      </c>
      <c r="C398" s="0" t="n">
        <v>40778</v>
      </c>
    </row>
    <row r="399" customFormat="false" ht="12.75" hidden="false" customHeight="false" outlineLevel="0" collapsed="false">
      <c r="A399" s="0" t="s">
        <v>39</v>
      </c>
      <c r="B399" s="0" t="n">
        <v>347</v>
      </c>
      <c r="C399" s="0" t="n">
        <v>40486</v>
      </c>
    </row>
    <row r="400" customFormat="false" ht="12.75" hidden="false" customHeight="false" outlineLevel="0" collapsed="false">
      <c r="A400" s="0" t="s">
        <v>40</v>
      </c>
      <c r="B400" s="0" t="n">
        <v>8</v>
      </c>
      <c r="C400" s="0" t="n">
        <v>40889</v>
      </c>
    </row>
    <row r="401" customFormat="false" ht="12.75" hidden="false" customHeight="false" outlineLevel="0" collapsed="false">
      <c r="A401" s="0" t="s">
        <v>41</v>
      </c>
      <c r="B401" s="0" t="n">
        <v>31</v>
      </c>
      <c r="C401" s="0" t="n">
        <v>40881</v>
      </c>
    </row>
    <row r="402" customFormat="false" ht="12.75" hidden="false" customHeight="false" outlineLevel="0" collapsed="false">
      <c r="A402" s="0" t="s">
        <v>42</v>
      </c>
      <c r="B402" s="0" t="n">
        <v>1</v>
      </c>
      <c r="C402" s="0" t="n">
        <v>41347</v>
      </c>
    </row>
    <row r="403" customFormat="false" ht="12.75" hidden="false" customHeight="false" outlineLevel="0" collapsed="false">
      <c r="A403" s="0" t="s">
        <v>43</v>
      </c>
      <c r="B403" s="0" t="n">
        <v>26</v>
      </c>
      <c r="C403" s="0" t="n">
        <v>41321</v>
      </c>
    </row>
    <row r="404" customFormat="false" ht="12.75" hidden="false" customHeight="false" outlineLevel="0" collapsed="false">
      <c r="A404" s="0" t="s">
        <v>44</v>
      </c>
      <c r="B404" s="0" t="n">
        <v>27</v>
      </c>
      <c r="C404" s="0" t="n">
        <v>41903</v>
      </c>
    </row>
    <row r="405" customFormat="false" ht="12.75" hidden="false" customHeight="false" outlineLevel="0" collapsed="false">
      <c r="A405" s="0" t="s">
        <v>45</v>
      </c>
      <c r="B405" s="0" t="n">
        <v>2</v>
      </c>
      <c r="C405" s="0" t="n">
        <v>42372</v>
      </c>
    </row>
    <row r="406" customFormat="false" ht="12.75" hidden="false" customHeight="false" outlineLevel="0" collapsed="false">
      <c r="A406" s="0" t="s">
        <v>46</v>
      </c>
      <c r="B406" s="0" t="n">
        <v>19</v>
      </c>
      <c r="C406" s="0" t="n">
        <v>42543</v>
      </c>
    </row>
    <row r="407" customFormat="false" ht="12.75" hidden="false" customHeight="false" outlineLevel="0" collapsed="false">
      <c r="A407" s="0" t="s">
        <v>47</v>
      </c>
      <c r="B407" s="0" t="n">
        <v>365</v>
      </c>
      <c r="C407" s="0" t="n">
        <v>42263</v>
      </c>
    </row>
    <row r="408" customFormat="false" ht="12.75" hidden="false" customHeight="false" outlineLevel="0" collapsed="false">
      <c r="A408" s="0" t="s">
        <v>48</v>
      </c>
      <c r="B408" s="0" t="n">
        <v>4</v>
      </c>
      <c r="C408" s="0" t="n">
        <v>42524</v>
      </c>
    </row>
    <row r="409" customFormat="false" ht="12.75" hidden="false" customHeight="false" outlineLevel="0" collapsed="false">
      <c r="A409" s="0" t="s">
        <v>49</v>
      </c>
      <c r="B409" s="0" t="n">
        <v>24</v>
      </c>
      <c r="C409" s="0" t="n">
        <v>42595</v>
      </c>
    </row>
    <row r="410" customFormat="false" ht="12.75" hidden="false" customHeight="false" outlineLevel="0" collapsed="false">
      <c r="A410" s="0" t="s">
        <v>50</v>
      </c>
      <c r="B410" s="0" t="n">
        <v>3</v>
      </c>
      <c r="C410" s="0" t="n">
        <v>42716</v>
      </c>
    </row>
    <row r="411" customFormat="false" ht="12.75" hidden="false" customHeight="false" outlineLevel="0" collapsed="false">
      <c r="A411" s="0" t="s">
        <v>51</v>
      </c>
      <c r="B411" s="0" t="s">
        <v>156</v>
      </c>
      <c r="C411" s="0" t="n">
        <v>42910</v>
      </c>
    </row>
    <row r="412" customFormat="false" ht="12.75" hidden="false" customHeight="false" outlineLevel="0" collapsed="false">
      <c r="A412" s="0" t="s">
        <v>125</v>
      </c>
      <c r="B412" s="3" t="n">
        <v>24083</v>
      </c>
      <c r="C412" s="0" t="n">
        <v>18841</v>
      </c>
    </row>
    <row r="413" customFormat="false" ht="12.75" hidden="false" customHeight="false" outlineLevel="0" collapsed="false">
      <c r="A413" s="0" t="s">
        <v>1</v>
      </c>
      <c r="B413" s="3" t="n">
        <v>1514</v>
      </c>
      <c r="C413" s="0" t="n">
        <v>26775</v>
      </c>
    </row>
    <row r="414" customFormat="false" ht="12.75" hidden="false" customHeight="false" outlineLevel="0" collapsed="false">
      <c r="A414" s="0" t="s">
        <v>2</v>
      </c>
      <c r="B414" s="0" t="n">
        <v>83</v>
      </c>
      <c r="C414" s="0" t="n">
        <v>29169</v>
      </c>
    </row>
    <row r="415" customFormat="false" ht="12.75" hidden="false" customHeight="false" outlineLevel="0" collapsed="false">
      <c r="A415" s="0" t="s">
        <v>3</v>
      </c>
      <c r="B415" s="0" t="n">
        <v>118</v>
      </c>
      <c r="C415" s="0" t="n">
        <v>29071</v>
      </c>
    </row>
    <row r="416" customFormat="false" ht="12.75" hidden="false" customHeight="false" outlineLevel="0" collapsed="false">
      <c r="A416" s="0" t="s">
        <v>4</v>
      </c>
      <c r="B416" s="0" t="n">
        <v>231</v>
      </c>
      <c r="C416" s="0" t="n">
        <v>28873</v>
      </c>
    </row>
    <row r="417" customFormat="false" ht="12.75" hidden="false" customHeight="false" outlineLevel="0" collapsed="false">
      <c r="A417" s="0" t="s">
        <v>5</v>
      </c>
      <c r="B417" s="0" t="n">
        <v>669</v>
      </c>
      <c r="C417" s="0" t="n">
        <v>28241</v>
      </c>
    </row>
    <row r="418" customFormat="false" ht="12.75" hidden="false" customHeight="false" outlineLevel="0" collapsed="false">
      <c r="A418" s="0" t="s">
        <v>6</v>
      </c>
      <c r="B418" s="0" t="n">
        <v>219</v>
      </c>
      <c r="C418" s="0" t="n">
        <v>28328</v>
      </c>
    </row>
    <row r="419" customFormat="false" ht="12.75" hidden="false" customHeight="false" outlineLevel="0" collapsed="false">
      <c r="A419" s="0" t="s">
        <v>7</v>
      </c>
      <c r="B419" s="0" t="n">
        <v>246</v>
      </c>
      <c r="C419" s="0" t="n">
        <v>28167</v>
      </c>
    </row>
    <row r="420" customFormat="false" ht="12.75" hidden="false" customHeight="false" outlineLevel="0" collapsed="false">
      <c r="A420" s="0" t="s">
        <v>8</v>
      </c>
      <c r="B420" s="0" t="n">
        <v>53</v>
      </c>
      <c r="C420" s="0" t="n">
        <v>28191</v>
      </c>
    </row>
    <row r="421" customFormat="false" ht="12.75" hidden="false" customHeight="false" outlineLevel="0" collapsed="false">
      <c r="A421" s="0" t="s">
        <v>9</v>
      </c>
      <c r="B421" s="0" t="n">
        <v>324</v>
      </c>
      <c r="C421" s="0" t="n">
        <v>27872</v>
      </c>
    </row>
    <row r="422" customFormat="false" ht="12.75" hidden="false" customHeight="false" outlineLevel="0" collapsed="false">
      <c r="A422" s="0" t="s">
        <v>11</v>
      </c>
      <c r="B422" s="3" t="n">
        <v>3302</v>
      </c>
      <c r="C422" s="0" t="n">
        <v>24810</v>
      </c>
    </row>
    <row r="423" customFormat="false" ht="12.75" hidden="false" customHeight="false" outlineLevel="0" collapsed="false">
      <c r="A423" s="0" t="s">
        <v>12</v>
      </c>
      <c r="B423" s="0" t="n">
        <v>24</v>
      </c>
      <c r="C423" s="0" t="n">
        <v>29354</v>
      </c>
    </row>
    <row r="424" customFormat="false" ht="12.75" hidden="false" customHeight="false" outlineLevel="0" collapsed="false">
      <c r="A424" s="0" t="s">
        <v>13</v>
      </c>
      <c r="B424" s="0" t="n">
        <v>15</v>
      </c>
      <c r="C424" s="0" t="n">
        <v>29365</v>
      </c>
    </row>
    <row r="425" customFormat="false" ht="12.75" hidden="false" customHeight="false" outlineLevel="0" collapsed="false">
      <c r="A425" s="0" t="s">
        <v>14</v>
      </c>
      <c r="B425" s="0" t="n">
        <v>512</v>
      </c>
      <c r="C425" s="0" t="n">
        <v>28861</v>
      </c>
    </row>
    <row r="426" customFormat="false" ht="12.75" hidden="false" customHeight="false" outlineLevel="0" collapsed="false">
      <c r="A426" s="0" t="s">
        <v>15</v>
      </c>
      <c r="B426" s="0" t="n">
        <v>252</v>
      </c>
      <c r="C426" s="0" t="n">
        <v>28916</v>
      </c>
    </row>
    <row r="427" customFormat="false" ht="12.75" hidden="false" customHeight="false" outlineLevel="0" collapsed="false">
      <c r="A427" s="0" t="s">
        <v>16</v>
      </c>
      <c r="B427" s="0" t="n">
        <v>73</v>
      </c>
      <c r="C427" s="0" t="n">
        <v>29030</v>
      </c>
    </row>
    <row r="428" customFormat="false" ht="12.75" hidden="false" customHeight="false" outlineLevel="0" collapsed="false">
      <c r="A428" s="0" t="s">
        <v>17</v>
      </c>
      <c r="B428" s="0" t="n">
        <v>52</v>
      </c>
      <c r="C428" s="0" t="n">
        <v>28995</v>
      </c>
    </row>
    <row r="429" customFormat="false" ht="12.75" hidden="false" customHeight="false" outlineLevel="0" collapsed="false">
      <c r="A429" s="0" t="s">
        <v>18</v>
      </c>
      <c r="B429" s="0" t="n">
        <v>321</v>
      </c>
      <c r="C429" s="0" t="n">
        <v>28683</v>
      </c>
    </row>
    <row r="430" customFormat="false" ht="12.75" hidden="false" customHeight="false" outlineLevel="0" collapsed="false">
      <c r="A430" s="0" t="s">
        <v>19</v>
      </c>
      <c r="B430" s="0" t="n">
        <v>710</v>
      </c>
      <c r="C430" s="0" t="n">
        <v>28245</v>
      </c>
    </row>
    <row r="431" customFormat="false" ht="12.75" hidden="false" customHeight="false" outlineLevel="0" collapsed="false">
      <c r="A431" s="0" t="s">
        <v>20</v>
      </c>
      <c r="B431" s="0" t="n">
        <v>68</v>
      </c>
      <c r="C431" s="0" t="n">
        <v>28460</v>
      </c>
    </row>
    <row r="432" customFormat="false" ht="12.75" hidden="false" customHeight="false" outlineLevel="0" collapsed="false">
      <c r="A432" s="0" t="s">
        <v>21</v>
      </c>
      <c r="B432" s="0" t="n">
        <v>190</v>
      </c>
      <c r="C432" s="0" t="n">
        <v>28312</v>
      </c>
    </row>
    <row r="433" customFormat="false" ht="12.75" hidden="false" customHeight="false" outlineLevel="0" collapsed="false">
      <c r="A433" s="0" t="s">
        <v>22</v>
      </c>
      <c r="B433" s="0" t="n">
        <v>336</v>
      </c>
      <c r="C433" s="0" t="n">
        <v>28087</v>
      </c>
    </row>
    <row r="434" customFormat="false" ht="12.75" hidden="false" customHeight="false" outlineLevel="0" collapsed="false">
      <c r="A434" s="0" t="s">
        <v>23</v>
      </c>
      <c r="B434" s="0" t="n">
        <v>556</v>
      </c>
      <c r="C434" s="0" t="n">
        <v>27624</v>
      </c>
    </row>
    <row r="435" customFormat="false" ht="12.75" hidden="false" customHeight="false" outlineLevel="0" collapsed="false">
      <c r="A435" s="0" t="s">
        <v>24</v>
      </c>
      <c r="B435" s="0" t="n">
        <v>42</v>
      </c>
      <c r="C435" s="0" t="n">
        <v>27841</v>
      </c>
    </row>
    <row r="436" customFormat="false" ht="12.75" hidden="false" customHeight="false" outlineLevel="0" collapsed="false">
      <c r="A436" s="0" t="s">
        <v>25</v>
      </c>
      <c r="B436" s="3" t="n">
        <v>1162</v>
      </c>
      <c r="C436" s="0" t="n">
        <v>26707</v>
      </c>
    </row>
    <row r="437" customFormat="false" ht="12.75" hidden="false" customHeight="false" outlineLevel="0" collapsed="false">
      <c r="A437" s="0" t="s">
        <v>26</v>
      </c>
      <c r="B437" s="0" t="n">
        <v>216</v>
      </c>
      <c r="C437" s="0" t="n">
        <v>27005</v>
      </c>
    </row>
    <row r="438" customFormat="false" ht="12.75" hidden="false" customHeight="false" outlineLevel="0" collapsed="false">
      <c r="A438" s="0" t="s">
        <v>27</v>
      </c>
      <c r="B438" s="0" t="n">
        <v>38</v>
      </c>
      <c r="C438" s="0" t="n">
        <v>27190</v>
      </c>
    </row>
    <row r="439" customFormat="false" ht="12.75" hidden="false" customHeight="false" outlineLevel="0" collapsed="false">
      <c r="A439" s="0" t="s">
        <v>28</v>
      </c>
      <c r="B439" s="0" t="n">
        <v>34</v>
      </c>
      <c r="C439" s="0" t="n">
        <v>27171</v>
      </c>
    </row>
    <row r="440" customFormat="false" ht="12.75" hidden="false" customHeight="false" outlineLevel="0" collapsed="false">
      <c r="A440" s="0" t="s">
        <v>29</v>
      </c>
      <c r="B440" s="0" t="n">
        <v>274</v>
      </c>
      <c r="C440" s="0" t="n">
        <v>26948</v>
      </c>
    </row>
    <row r="441" customFormat="false" ht="12.75" hidden="false" customHeight="false" outlineLevel="0" collapsed="false">
      <c r="A441" s="0" t="s">
        <v>30</v>
      </c>
      <c r="B441" s="0" t="n">
        <v>64</v>
      </c>
      <c r="C441" s="0" t="n">
        <v>26941</v>
      </c>
    </row>
    <row r="442" customFormat="false" ht="12.75" hidden="false" customHeight="false" outlineLevel="0" collapsed="false">
      <c r="A442" s="0" t="s">
        <v>31</v>
      </c>
      <c r="B442" s="0" t="n">
        <v>659</v>
      </c>
      <c r="C442" s="0" t="n">
        <v>26283</v>
      </c>
    </row>
    <row r="443" customFormat="false" ht="12.75" hidden="false" customHeight="false" outlineLevel="0" collapsed="false">
      <c r="A443" s="0" t="s">
        <v>32</v>
      </c>
      <c r="B443" s="0" t="n">
        <v>86</v>
      </c>
      <c r="C443" s="0" t="n">
        <v>26373</v>
      </c>
    </row>
    <row r="444" customFormat="false" ht="12.75" hidden="false" customHeight="false" outlineLevel="0" collapsed="false">
      <c r="A444" s="0" t="s">
        <v>33</v>
      </c>
      <c r="B444" s="3" t="n">
        <v>1484</v>
      </c>
      <c r="C444" s="0" t="n">
        <v>24895</v>
      </c>
    </row>
    <row r="445" customFormat="false" ht="12.75" hidden="false" customHeight="false" outlineLevel="0" collapsed="false">
      <c r="A445" s="0" t="s">
        <v>34</v>
      </c>
      <c r="B445" s="3" t="n">
        <v>1227</v>
      </c>
      <c r="C445" s="0" t="n">
        <v>23940</v>
      </c>
    </row>
    <row r="446" customFormat="false" ht="12.75" hidden="false" customHeight="false" outlineLevel="0" collapsed="false">
      <c r="A446" s="0" t="s">
        <v>35</v>
      </c>
      <c r="B446" s="0" t="n">
        <v>10</v>
      </c>
      <c r="C446" s="0" t="n">
        <v>25480</v>
      </c>
    </row>
    <row r="447" customFormat="false" ht="12.75" hidden="false" customHeight="false" outlineLevel="0" collapsed="false">
      <c r="A447" s="0" t="s">
        <v>36</v>
      </c>
      <c r="B447" s="0" t="n">
        <v>653</v>
      </c>
      <c r="C447" s="0" t="n">
        <v>24837</v>
      </c>
    </row>
    <row r="448" customFormat="false" ht="12.75" hidden="false" customHeight="false" outlineLevel="0" collapsed="false">
      <c r="A448" s="0" t="s">
        <v>37</v>
      </c>
      <c r="B448" s="0" t="n">
        <v>21</v>
      </c>
      <c r="C448" s="0" t="n">
        <v>25182</v>
      </c>
    </row>
    <row r="449" customFormat="false" ht="12.75" hidden="false" customHeight="false" outlineLevel="0" collapsed="false">
      <c r="A449" s="0" t="s">
        <v>38</v>
      </c>
      <c r="B449" s="0" t="n">
        <v>55</v>
      </c>
      <c r="C449" s="0" t="n">
        <v>25143</v>
      </c>
    </row>
    <row r="450" customFormat="false" ht="12.75" hidden="false" customHeight="false" outlineLevel="0" collapsed="false">
      <c r="A450" s="0" t="s">
        <v>39</v>
      </c>
      <c r="B450" s="0" t="n">
        <v>411</v>
      </c>
      <c r="C450" s="0" t="n">
        <v>24750</v>
      </c>
    </row>
    <row r="451" customFormat="false" ht="12.75" hidden="false" customHeight="false" outlineLevel="0" collapsed="false">
      <c r="A451" s="0" t="s">
        <v>40</v>
      </c>
      <c r="B451" s="0" t="n">
        <v>23</v>
      </c>
      <c r="C451" s="0" t="n">
        <v>24891</v>
      </c>
    </row>
    <row r="452" customFormat="false" ht="12.75" hidden="false" customHeight="false" outlineLevel="0" collapsed="false">
      <c r="A452" s="0" t="s">
        <v>41</v>
      </c>
      <c r="B452" s="0" t="n">
        <v>467</v>
      </c>
      <c r="C452" s="0" t="n">
        <v>24428</v>
      </c>
    </row>
    <row r="453" customFormat="false" ht="12.75" hidden="false" customHeight="false" outlineLevel="0" collapsed="false">
      <c r="A453" s="0" t="s">
        <v>42</v>
      </c>
      <c r="B453" s="0" t="s">
        <v>156</v>
      </c>
      <c r="C453" s="0" t="n">
        <v>26328</v>
      </c>
    </row>
    <row r="454" customFormat="false" ht="12.75" hidden="false" customHeight="false" outlineLevel="0" collapsed="false">
      <c r="A454" s="0" t="s">
        <v>43</v>
      </c>
      <c r="B454" s="0" t="n">
        <v>609</v>
      </c>
      <c r="C454" s="0" t="n">
        <v>25725</v>
      </c>
    </row>
    <row r="455" customFormat="false" ht="12.75" hidden="false" customHeight="false" outlineLevel="0" collapsed="false">
      <c r="A455" s="0" t="s">
        <v>44</v>
      </c>
      <c r="B455" s="0" t="n">
        <v>471</v>
      </c>
      <c r="C455" s="0" t="n">
        <v>27708</v>
      </c>
    </row>
    <row r="456" customFormat="false" ht="12.75" hidden="false" customHeight="false" outlineLevel="0" collapsed="false">
      <c r="A456" s="0" t="s">
        <v>45</v>
      </c>
      <c r="B456" s="0" t="n">
        <v>190</v>
      </c>
      <c r="C456" s="0" t="n">
        <v>27891</v>
      </c>
    </row>
    <row r="457" customFormat="false" ht="12.75" hidden="false" customHeight="false" outlineLevel="0" collapsed="false">
      <c r="A457" s="0" t="s">
        <v>46</v>
      </c>
      <c r="B457" s="0" t="n">
        <v>85</v>
      </c>
      <c r="C457" s="0" t="n">
        <v>27842</v>
      </c>
    </row>
    <row r="458" customFormat="false" ht="12.75" hidden="false" customHeight="false" outlineLevel="0" collapsed="false">
      <c r="A458" s="0" t="s">
        <v>47</v>
      </c>
      <c r="B458" s="0" t="n">
        <v>265</v>
      </c>
      <c r="C458" s="0" t="n">
        <v>27580</v>
      </c>
    </row>
    <row r="459" customFormat="false" ht="12.75" hidden="false" customHeight="false" outlineLevel="0" collapsed="false">
      <c r="A459" s="0" t="s">
        <v>48</v>
      </c>
      <c r="B459" s="0" t="n">
        <v>95</v>
      </c>
      <c r="C459" s="0" t="n">
        <v>27920</v>
      </c>
    </row>
    <row r="460" customFormat="false" ht="12.75" hidden="false" customHeight="false" outlineLevel="0" collapsed="false">
      <c r="A460" s="0" t="s">
        <v>49</v>
      </c>
      <c r="B460" s="0" t="n">
        <v>124</v>
      </c>
      <c r="C460" s="0" t="n">
        <v>27834</v>
      </c>
    </row>
    <row r="461" customFormat="false" ht="12.75" hidden="false" customHeight="false" outlineLevel="0" collapsed="false">
      <c r="A461" s="0" t="s">
        <v>50</v>
      </c>
      <c r="B461" s="0" t="n">
        <v>194</v>
      </c>
      <c r="C461" s="0" t="n">
        <v>27767</v>
      </c>
    </row>
    <row r="462" customFormat="false" ht="12.75" hidden="false" customHeight="false" outlineLevel="0" collapsed="false">
      <c r="A462" s="0" t="s">
        <v>51</v>
      </c>
      <c r="B462" s="0" t="n">
        <v>14</v>
      </c>
      <c r="C462" s="0" t="n">
        <v>27776</v>
      </c>
    </row>
    <row r="463" customFormat="false" ht="12.75" hidden="false" customHeight="false" outlineLevel="0" collapsed="false">
      <c r="A463" s="0" t="s">
        <v>126</v>
      </c>
      <c r="B463" s="3" t="n">
        <v>9448</v>
      </c>
      <c r="C463" s="0" t="n">
        <v>18337</v>
      </c>
    </row>
    <row r="464" customFormat="false" ht="12.75" hidden="false" customHeight="false" outlineLevel="0" collapsed="false">
      <c r="A464" s="0" t="s">
        <v>1</v>
      </c>
      <c r="B464" s="3" t="n">
        <v>2477</v>
      </c>
      <c r="C464" s="0" t="n">
        <v>17182</v>
      </c>
    </row>
    <row r="465" customFormat="false" ht="12.75" hidden="false" customHeight="false" outlineLevel="0" collapsed="false">
      <c r="A465" s="0" t="s">
        <v>2</v>
      </c>
      <c r="B465" s="0" t="n">
        <v>20</v>
      </c>
      <c r="C465" s="0" t="n">
        <v>17171</v>
      </c>
    </row>
    <row r="466" customFormat="false" ht="12.75" hidden="false" customHeight="false" outlineLevel="0" collapsed="false">
      <c r="A466" s="0" t="s">
        <v>3</v>
      </c>
      <c r="B466" s="0" t="n">
        <v>33</v>
      </c>
      <c r="C466" s="0" t="n">
        <v>17148</v>
      </c>
    </row>
    <row r="467" customFormat="false" ht="12.75" hidden="false" customHeight="false" outlineLevel="0" collapsed="false">
      <c r="A467" s="0" t="s">
        <v>4</v>
      </c>
      <c r="B467" s="0" t="n">
        <v>37</v>
      </c>
      <c r="C467" s="0" t="n">
        <v>17121</v>
      </c>
    </row>
    <row r="468" customFormat="false" ht="12.75" hidden="false" customHeight="false" outlineLevel="0" collapsed="false">
      <c r="A468" s="0" t="s">
        <v>5</v>
      </c>
      <c r="B468" s="0" t="n">
        <v>306</v>
      </c>
      <c r="C468" s="0" t="n">
        <v>16817</v>
      </c>
    </row>
    <row r="469" customFormat="false" ht="12.75" hidden="false" customHeight="false" outlineLevel="0" collapsed="false">
      <c r="A469" s="0" t="s">
        <v>6</v>
      </c>
      <c r="B469" s="0" t="n">
        <v>85</v>
      </c>
      <c r="C469" s="0" t="n">
        <v>16942</v>
      </c>
    </row>
    <row r="470" customFormat="false" ht="12.75" hidden="false" customHeight="false" outlineLevel="0" collapsed="false">
      <c r="A470" s="0" t="s">
        <v>7</v>
      </c>
      <c r="B470" s="0" t="n">
        <v>77</v>
      </c>
      <c r="C470" s="0" t="n">
        <v>16881</v>
      </c>
    </row>
    <row r="471" customFormat="false" ht="12.75" hidden="false" customHeight="false" outlineLevel="0" collapsed="false">
      <c r="A471" s="0" t="s">
        <v>8</v>
      </c>
      <c r="B471" s="0" t="n">
        <v>5</v>
      </c>
      <c r="C471" s="0" t="n">
        <v>16876</v>
      </c>
    </row>
    <row r="472" customFormat="false" ht="12.75" hidden="false" customHeight="false" outlineLevel="0" collapsed="false">
      <c r="A472" s="0" t="s">
        <v>9</v>
      </c>
      <c r="B472" s="0" t="n">
        <v>240</v>
      </c>
      <c r="C472" s="0" t="n">
        <v>16637</v>
      </c>
    </row>
    <row r="473" customFormat="false" ht="12.75" hidden="false" customHeight="false" outlineLevel="0" collapsed="false">
      <c r="A473" s="0" t="s">
        <v>10</v>
      </c>
      <c r="B473" s="3" t="n">
        <v>4568</v>
      </c>
      <c r="C473" s="0" t="n">
        <v>12081</v>
      </c>
    </row>
    <row r="474" customFormat="false" ht="12.75" hidden="false" customHeight="false" outlineLevel="0" collapsed="false">
      <c r="A474" s="0" t="s">
        <v>12</v>
      </c>
      <c r="B474" s="0" t="n">
        <v>26</v>
      </c>
      <c r="C474" s="0" t="n">
        <v>12083</v>
      </c>
    </row>
    <row r="475" customFormat="false" ht="12.75" hidden="false" customHeight="false" outlineLevel="0" collapsed="false">
      <c r="A475" s="0" t="s">
        <v>13</v>
      </c>
      <c r="B475" s="0" t="n">
        <v>8</v>
      </c>
      <c r="C475" s="0" t="n">
        <v>12079</v>
      </c>
    </row>
    <row r="476" customFormat="false" ht="12.75" hidden="false" customHeight="false" outlineLevel="0" collapsed="false">
      <c r="A476" s="0" t="s">
        <v>14</v>
      </c>
      <c r="B476" s="0" t="n">
        <v>307</v>
      </c>
      <c r="C476" s="0" t="n">
        <v>11776</v>
      </c>
    </row>
    <row r="477" customFormat="false" ht="12.75" hidden="false" customHeight="false" outlineLevel="0" collapsed="false">
      <c r="A477" s="0" t="s">
        <v>15</v>
      </c>
      <c r="B477" s="0" t="n">
        <v>187</v>
      </c>
      <c r="C477" s="0" t="n">
        <v>11602</v>
      </c>
    </row>
    <row r="478" customFormat="false" ht="12.75" hidden="false" customHeight="false" outlineLevel="0" collapsed="false">
      <c r="A478" s="0" t="s">
        <v>16</v>
      </c>
      <c r="B478" s="0" t="n">
        <v>17</v>
      </c>
      <c r="C478" s="0" t="n">
        <v>11594</v>
      </c>
    </row>
    <row r="479" customFormat="false" ht="12.75" hidden="false" customHeight="false" outlineLevel="0" collapsed="false">
      <c r="A479" s="0" t="s">
        <v>17</v>
      </c>
      <c r="B479" s="0" t="n">
        <v>9</v>
      </c>
      <c r="C479" s="0" t="n">
        <v>11586</v>
      </c>
    </row>
    <row r="480" customFormat="false" ht="12.75" hidden="false" customHeight="false" outlineLevel="0" collapsed="false">
      <c r="A480" s="0" t="s">
        <v>18</v>
      </c>
      <c r="B480" s="0" t="n">
        <v>272</v>
      </c>
      <c r="C480" s="0" t="n">
        <v>11315</v>
      </c>
    </row>
    <row r="481" customFormat="false" ht="12.75" hidden="false" customHeight="false" outlineLevel="0" collapsed="false">
      <c r="A481" s="0" t="s">
        <v>19</v>
      </c>
      <c r="B481" s="0" t="n">
        <v>283</v>
      </c>
      <c r="C481" s="0" t="n">
        <v>11034</v>
      </c>
    </row>
    <row r="482" customFormat="false" ht="12.75" hidden="false" customHeight="false" outlineLevel="0" collapsed="false">
      <c r="A482" s="0" t="s">
        <v>20</v>
      </c>
      <c r="B482" s="0" t="n">
        <v>42</v>
      </c>
      <c r="C482" s="0" t="n">
        <v>10996</v>
      </c>
    </row>
    <row r="483" customFormat="false" ht="12.75" hidden="false" customHeight="false" outlineLevel="0" collapsed="false">
      <c r="A483" s="0" t="s">
        <v>21</v>
      </c>
      <c r="B483" s="0" t="n">
        <v>111</v>
      </c>
      <c r="C483" s="0" t="n">
        <v>10888</v>
      </c>
    </row>
    <row r="484" customFormat="false" ht="12.75" hidden="false" customHeight="false" outlineLevel="0" collapsed="false">
      <c r="A484" s="0" t="s">
        <v>22</v>
      </c>
      <c r="B484" s="0" t="n">
        <v>93</v>
      </c>
      <c r="C484" s="0" t="n">
        <v>10802</v>
      </c>
    </row>
    <row r="485" customFormat="false" ht="12.75" hidden="false" customHeight="false" outlineLevel="0" collapsed="false">
      <c r="A485" s="0" t="s">
        <v>23</v>
      </c>
      <c r="B485" s="0" t="n">
        <v>259</v>
      </c>
      <c r="C485" s="0" t="n">
        <v>10549</v>
      </c>
    </row>
    <row r="486" customFormat="false" ht="12.75" hidden="false" customHeight="false" outlineLevel="0" collapsed="false">
      <c r="A486" s="0" t="s">
        <v>24</v>
      </c>
      <c r="B486" s="0" t="n">
        <v>28</v>
      </c>
      <c r="C486" s="0" t="n">
        <v>10524</v>
      </c>
    </row>
    <row r="487" customFormat="false" ht="12.75" hidden="false" customHeight="false" outlineLevel="0" collapsed="false">
      <c r="A487" s="0" t="s">
        <v>25</v>
      </c>
      <c r="B487" s="0" t="n">
        <v>514</v>
      </c>
      <c r="C487" s="0" t="n">
        <v>10023</v>
      </c>
    </row>
    <row r="488" customFormat="false" ht="12.75" hidden="false" customHeight="false" outlineLevel="0" collapsed="false">
      <c r="A488" s="0" t="s">
        <v>26</v>
      </c>
      <c r="B488" s="0" t="n">
        <v>223</v>
      </c>
      <c r="C488" s="0" t="n">
        <v>9800</v>
      </c>
    </row>
    <row r="489" customFormat="false" ht="12.75" hidden="false" customHeight="false" outlineLevel="0" collapsed="false">
      <c r="A489" s="0" t="s">
        <v>27</v>
      </c>
      <c r="B489" s="0" t="n">
        <v>15</v>
      </c>
      <c r="C489" s="0" t="n">
        <v>9787</v>
      </c>
    </row>
    <row r="490" customFormat="false" ht="12.75" hidden="false" customHeight="false" outlineLevel="0" collapsed="false">
      <c r="A490" s="0" t="s">
        <v>28</v>
      </c>
      <c r="B490" s="0" t="n">
        <v>51</v>
      </c>
      <c r="C490" s="0" t="n">
        <v>9738</v>
      </c>
    </row>
    <row r="491" customFormat="false" ht="12.75" hidden="false" customHeight="false" outlineLevel="0" collapsed="false">
      <c r="A491" s="0" t="s">
        <v>29</v>
      </c>
      <c r="B491" s="0" t="n">
        <v>57</v>
      </c>
      <c r="C491" s="0" t="n">
        <v>9682</v>
      </c>
    </row>
    <row r="492" customFormat="false" ht="12.75" hidden="false" customHeight="false" outlineLevel="0" collapsed="false">
      <c r="A492" s="0" t="s">
        <v>30</v>
      </c>
      <c r="B492" s="0" t="n">
        <v>1</v>
      </c>
      <c r="C492" s="0" t="n">
        <v>9899</v>
      </c>
    </row>
    <row r="493" customFormat="false" ht="12.75" hidden="false" customHeight="false" outlineLevel="0" collapsed="false">
      <c r="A493" s="0" t="s">
        <v>31</v>
      </c>
      <c r="B493" s="0" t="n">
        <v>176</v>
      </c>
      <c r="C493" s="0" t="n">
        <v>9723</v>
      </c>
    </row>
    <row r="494" customFormat="false" ht="12.75" hidden="false" customHeight="false" outlineLevel="0" collapsed="false">
      <c r="A494" s="0" t="s">
        <v>32</v>
      </c>
      <c r="B494" s="0" t="n">
        <v>6</v>
      </c>
      <c r="C494" s="0" t="n">
        <v>9723</v>
      </c>
    </row>
    <row r="495" customFormat="false" ht="12.75" hidden="false" customHeight="false" outlineLevel="0" collapsed="false">
      <c r="A495" s="0" t="s">
        <v>33</v>
      </c>
      <c r="B495" s="0" t="n">
        <v>272</v>
      </c>
      <c r="C495" s="0" t="n">
        <v>9454</v>
      </c>
    </row>
    <row r="496" customFormat="false" ht="12.75" hidden="false" customHeight="false" outlineLevel="0" collapsed="false">
      <c r="A496" s="0" t="s">
        <v>34</v>
      </c>
      <c r="B496" s="3" t="n">
        <v>1550</v>
      </c>
      <c r="C496" s="0" t="n">
        <v>7920</v>
      </c>
    </row>
    <row r="497" customFormat="false" ht="12.75" hidden="false" customHeight="false" outlineLevel="0" collapsed="false">
      <c r="A497" s="0" t="s">
        <v>35</v>
      </c>
      <c r="B497" s="0" t="n">
        <v>10</v>
      </c>
      <c r="C497" s="0" t="n">
        <v>7915</v>
      </c>
    </row>
    <row r="498" customFormat="false" ht="12.75" hidden="false" customHeight="false" outlineLevel="0" collapsed="false">
      <c r="A498" s="0" t="s">
        <v>36</v>
      </c>
      <c r="B498" s="0" t="n">
        <v>366</v>
      </c>
      <c r="C498" s="0" t="n">
        <v>7549</v>
      </c>
    </row>
    <row r="499" customFormat="false" ht="12.75" hidden="false" customHeight="false" outlineLevel="0" collapsed="false">
      <c r="A499" s="0" t="s">
        <v>37</v>
      </c>
      <c r="B499" s="0" t="n">
        <v>16</v>
      </c>
      <c r="C499" s="0" t="n">
        <v>7542</v>
      </c>
    </row>
    <row r="500" customFormat="false" ht="12.75" hidden="false" customHeight="false" outlineLevel="0" collapsed="false">
      <c r="A500" s="0" t="s">
        <v>38</v>
      </c>
      <c r="B500" s="0" t="n">
        <v>18</v>
      </c>
      <c r="C500" s="0" t="n">
        <v>7524</v>
      </c>
    </row>
    <row r="501" customFormat="false" ht="12.75" hidden="false" customHeight="false" outlineLevel="0" collapsed="false">
      <c r="A501" s="0" t="s">
        <v>39</v>
      </c>
      <c r="B501" s="0" t="n">
        <v>164</v>
      </c>
      <c r="C501" s="0" t="n">
        <v>7368</v>
      </c>
    </row>
    <row r="502" customFormat="false" ht="12.75" hidden="false" customHeight="false" outlineLevel="0" collapsed="false">
      <c r="A502" s="0" t="s">
        <v>40</v>
      </c>
      <c r="B502" s="0" t="n">
        <v>4</v>
      </c>
      <c r="C502" s="0" t="n">
        <v>7379</v>
      </c>
    </row>
    <row r="503" customFormat="false" ht="12.75" hidden="false" customHeight="false" outlineLevel="0" collapsed="false">
      <c r="A503" s="0" t="s">
        <v>41</v>
      </c>
      <c r="B503" s="3" t="n">
        <v>1900</v>
      </c>
      <c r="C503" s="0" t="n">
        <v>5479</v>
      </c>
    </row>
    <row r="504" customFormat="false" ht="12.75" hidden="false" customHeight="false" outlineLevel="0" collapsed="false">
      <c r="A504" s="0" t="s">
        <v>42</v>
      </c>
      <c r="B504" s="0" t="n">
        <v>6</v>
      </c>
      <c r="C504" s="0" t="n">
        <v>5477</v>
      </c>
    </row>
    <row r="505" customFormat="false" ht="12.75" hidden="false" customHeight="false" outlineLevel="0" collapsed="false">
      <c r="A505" s="0" t="s">
        <v>43</v>
      </c>
      <c r="B505" s="3" t="n">
        <v>2454</v>
      </c>
      <c r="C505" s="0" t="n">
        <v>3023</v>
      </c>
    </row>
    <row r="506" customFormat="false" ht="12.75" hidden="false" customHeight="false" outlineLevel="0" collapsed="false">
      <c r="A506" s="0" t="s">
        <v>44</v>
      </c>
      <c r="B506" s="0" t="n">
        <v>373</v>
      </c>
      <c r="C506" s="0" t="n">
        <v>2651</v>
      </c>
    </row>
    <row r="507" customFormat="false" ht="12.75" hidden="false" customHeight="false" outlineLevel="0" collapsed="false">
      <c r="A507" s="0" t="s">
        <v>45</v>
      </c>
      <c r="B507" s="0" t="n">
        <v>36</v>
      </c>
      <c r="C507" s="0" t="n">
        <v>2641</v>
      </c>
    </row>
    <row r="508" customFormat="false" ht="12.75" hidden="false" customHeight="false" outlineLevel="0" collapsed="false">
      <c r="A508" s="0" t="s">
        <v>46</v>
      </c>
      <c r="B508" s="0" t="n">
        <v>3</v>
      </c>
      <c r="C508" s="0" t="n">
        <v>2649</v>
      </c>
    </row>
    <row r="509" customFormat="false" ht="12.75" hidden="false" customHeight="false" outlineLevel="0" collapsed="false">
      <c r="A509" s="0" t="s">
        <v>47</v>
      </c>
      <c r="B509" s="0" t="n">
        <v>435</v>
      </c>
      <c r="C509" s="0" t="n">
        <v>2214</v>
      </c>
    </row>
    <row r="510" customFormat="false" ht="12.75" hidden="false" customHeight="false" outlineLevel="0" collapsed="false">
      <c r="A510" s="0" t="s">
        <v>48</v>
      </c>
      <c r="B510" s="0" t="n">
        <v>38</v>
      </c>
      <c r="C510" s="0" t="n">
        <v>2186</v>
      </c>
    </row>
    <row r="511" customFormat="false" ht="12.75" hidden="false" customHeight="false" outlineLevel="0" collapsed="false">
      <c r="A511" s="0" t="s">
        <v>49</v>
      </c>
      <c r="B511" s="0" t="n">
        <v>127</v>
      </c>
      <c r="C511" s="0" t="n">
        <v>2115</v>
      </c>
    </row>
    <row r="512" customFormat="false" ht="12.75" hidden="false" customHeight="false" outlineLevel="0" collapsed="false">
      <c r="A512" s="0" t="s">
        <v>50</v>
      </c>
      <c r="B512" s="0" t="n">
        <v>23</v>
      </c>
      <c r="C512" s="0" t="n">
        <v>2093</v>
      </c>
    </row>
    <row r="513" customFormat="false" ht="12.75" hidden="false" customHeight="false" outlineLevel="0" collapsed="false">
      <c r="A513" s="0" t="s">
        <v>51</v>
      </c>
      <c r="B513" s="0" t="n">
        <v>9</v>
      </c>
      <c r="C513" s="0" t="n">
        <v>2087</v>
      </c>
    </row>
    <row r="514" customFormat="false" ht="12.75" hidden="false" customHeight="false" outlineLevel="0" collapsed="false">
      <c r="A514" s="0" t="s">
        <v>127</v>
      </c>
      <c r="B514" s="3" t="n">
        <v>1322</v>
      </c>
      <c r="C514" s="0" t="n">
        <v>765</v>
      </c>
    </row>
    <row r="515" customFormat="false" ht="12.75" hidden="false" customHeight="false" outlineLevel="0" collapsed="false">
      <c r="A515" s="0" t="s">
        <v>1</v>
      </c>
      <c r="B515" s="0" t="n">
        <v>9</v>
      </c>
      <c r="C515" s="0" t="n">
        <v>3833</v>
      </c>
    </row>
    <row r="516" customFormat="false" ht="12.75" hidden="false" customHeight="false" outlineLevel="0" collapsed="false">
      <c r="A516" s="0" t="s">
        <v>2</v>
      </c>
      <c r="B516" s="0" t="n">
        <v>10</v>
      </c>
      <c r="C516" s="0" t="n">
        <v>3825</v>
      </c>
    </row>
    <row r="517" customFormat="false" ht="12.75" hidden="false" customHeight="false" outlineLevel="0" collapsed="false">
      <c r="A517" s="0" t="s">
        <v>3</v>
      </c>
      <c r="B517" s="0" t="n">
        <v>10</v>
      </c>
      <c r="C517" s="0" t="n">
        <v>3830</v>
      </c>
    </row>
    <row r="518" customFormat="false" ht="12.75" hidden="false" customHeight="false" outlineLevel="0" collapsed="false">
      <c r="A518" s="0" t="s">
        <v>4</v>
      </c>
      <c r="B518" s="0" t="n">
        <v>2</v>
      </c>
      <c r="C518" s="0" t="n">
        <v>3897</v>
      </c>
    </row>
    <row r="519" customFormat="false" ht="12.75" hidden="false" customHeight="false" outlineLevel="0" collapsed="false">
      <c r="A519" s="0" t="s">
        <v>5</v>
      </c>
      <c r="B519" s="0" t="n">
        <v>210</v>
      </c>
      <c r="C519" s="0" t="n">
        <v>3694</v>
      </c>
    </row>
    <row r="520" customFormat="false" ht="12.75" hidden="false" customHeight="false" outlineLevel="0" collapsed="false">
      <c r="A520" s="0" t="s">
        <v>6</v>
      </c>
      <c r="B520" s="0" t="n">
        <v>16</v>
      </c>
      <c r="C520" s="0" t="n">
        <v>4008</v>
      </c>
    </row>
    <row r="521" customFormat="false" ht="12.75" hidden="false" customHeight="false" outlineLevel="0" collapsed="false">
      <c r="A521" s="0" t="s">
        <v>7</v>
      </c>
      <c r="B521" s="0" t="s">
        <v>156</v>
      </c>
      <c r="C521" s="0" t="n">
        <v>4090</v>
      </c>
    </row>
    <row r="522" customFormat="false" ht="12.75" hidden="false" customHeight="false" outlineLevel="0" collapsed="false">
      <c r="A522" s="0" t="s">
        <v>8</v>
      </c>
      <c r="B522" s="0" t="n">
        <v>1</v>
      </c>
      <c r="C522" s="0" t="n">
        <v>4092</v>
      </c>
    </row>
    <row r="523" customFormat="false" ht="12.75" hidden="false" customHeight="false" outlineLevel="0" collapsed="false">
      <c r="A523" s="0" t="s">
        <v>9</v>
      </c>
      <c r="B523" s="0" t="n">
        <v>12</v>
      </c>
      <c r="C523" s="0" t="n">
        <v>4081</v>
      </c>
    </row>
    <row r="524" customFormat="false" ht="12.75" hidden="false" customHeight="false" outlineLevel="0" collapsed="false">
      <c r="A524" s="0" t="s">
        <v>10</v>
      </c>
      <c r="B524" s="0" t="n">
        <v>28</v>
      </c>
      <c r="C524" s="0" t="n">
        <v>4066</v>
      </c>
    </row>
    <row r="525" customFormat="false" ht="12.75" hidden="false" customHeight="false" outlineLevel="0" collapsed="false">
      <c r="A525" s="0" t="s">
        <v>11</v>
      </c>
      <c r="B525" s="0" t="n">
        <v>4</v>
      </c>
      <c r="C525" s="0" t="n">
        <v>4085</v>
      </c>
    </row>
    <row r="526" customFormat="false" ht="12.75" hidden="false" customHeight="false" outlineLevel="0" collapsed="false">
      <c r="A526" s="0" t="s">
        <v>13</v>
      </c>
      <c r="B526" s="0" t="n">
        <v>4</v>
      </c>
      <c r="C526" s="0" t="n">
        <v>4085</v>
      </c>
    </row>
    <row r="527" customFormat="false" ht="12.75" hidden="false" customHeight="false" outlineLevel="0" collapsed="false">
      <c r="A527" s="0" t="s">
        <v>14</v>
      </c>
      <c r="B527" s="0" t="n">
        <v>13</v>
      </c>
      <c r="C527" s="0" t="n">
        <v>4089</v>
      </c>
    </row>
    <row r="528" customFormat="false" ht="12.75" hidden="false" customHeight="false" outlineLevel="0" collapsed="false">
      <c r="A528" s="0" t="s">
        <v>15</v>
      </c>
      <c r="B528" s="0" t="n">
        <v>9</v>
      </c>
      <c r="C528" s="0" t="n">
        <v>4104</v>
      </c>
    </row>
    <row r="529" customFormat="false" ht="12.75" hidden="false" customHeight="false" outlineLevel="0" collapsed="false">
      <c r="A529" s="0" t="s">
        <v>16</v>
      </c>
      <c r="B529" s="0" t="n">
        <v>1</v>
      </c>
      <c r="C529" s="0" t="n">
        <v>4109</v>
      </c>
    </row>
    <row r="530" customFormat="false" ht="12.75" hidden="false" customHeight="false" outlineLevel="0" collapsed="false">
      <c r="A530" s="0" t="s">
        <v>17</v>
      </c>
      <c r="B530" s="0" t="n">
        <v>1</v>
      </c>
      <c r="C530" s="0" t="n">
        <v>4124</v>
      </c>
    </row>
    <row r="531" customFormat="false" ht="12.75" hidden="false" customHeight="false" outlineLevel="0" collapsed="false">
      <c r="A531" s="0" t="s">
        <v>18</v>
      </c>
      <c r="B531" s="0" t="n">
        <v>2</v>
      </c>
      <c r="C531" s="0" t="n">
        <v>4127</v>
      </c>
    </row>
    <row r="532" customFormat="false" ht="12.75" hidden="false" customHeight="false" outlineLevel="0" collapsed="false">
      <c r="A532" s="0" t="s">
        <v>19</v>
      </c>
      <c r="B532" s="0" t="n">
        <v>4</v>
      </c>
      <c r="C532" s="0" t="n">
        <v>4125</v>
      </c>
    </row>
    <row r="533" customFormat="false" ht="12.75" hidden="false" customHeight="false" outlineLevel="0" collapsed="false">
      <c r="A533" s="0" t="s">
        <v>20</v>
      </c>
      <c r="B533" s="0" t="n">
        <v>3</v>
      </c>
      <c r="C533" s="0" t="n">
        <v>4130</v>
      </c>
    </row>
    <row r="534" customFormat="false" ht="12.75" hidden="false" customHeight="false" outlineLevel="0" collapsed="false">
      <c r="A534" s="0" t="s">
        <v>21</v>
      </c>
      <c r="B534" s="0" t="n">
        <v>7</v>
      </c>
      <c r="C534" s="0" t="n">
        <v>4123</v>
      </c>
    </row>
    <row r="535" customFormat="false" ht="12.75" hidden="false" customHeight="false" outlineLevel="0" collapsed="false">
      <c r="A535" s="0" t="s">
        <v>22</v>
      </c>
      <c r="B535" s="0" t="n">
        <v>6</v>
      </c>
      <c r="C535" s="0" t="n">
        <v>4120</v>
      </c>
    </row>
    <row r="536" customFormat="false" ht="12.75" hidden="false" customHeight="false" outlineLevel="0" collapsed="false">
      <c r="A536" s="0" t="s">
        <v>23</v>
      </c>
      <c r="B536" s="0" t="n">
        <v>3</v>
      </c>
      <c r="C536" s="0" t="n">
        <v>4125</v>
      </c>
    </row>
    <row r="537" customFormat="false" ht="12.75" hidden="false" customHeight="false" outlineLevel="0" collapsed="false">
      <c r="A537" s="0" t="s">
        <v>24</v>
      </c>
      <c r="B537" s="0" t="n">
        <v>13</v>
      </c>
      <c r="C537" s="0" t="n">
        <v>4121</v>
      </c>
    </row>
    <row r="538" customFormat="false" ht="12.75" hidden="false" customHeight="false" outlineLevel="0" collapsed="false">
      <c r="A538" s="0" t="s">
        <v>25</v>
      </c>
      <c r="B538" s="0" t="s">
        <v>156</v>
      </c>
      <c r="C538" s="0" t="n">
        <v>4137</v>
      </c>
    </row>
    <row r="539" customFormat="false" ht="12.75" hidden="false" customHeight="false" outlineLevel="0" collapsed="false">
      <c r="A539" s="0" t="s">
        <v>26</v>
      </c>
      <c r="B539" s="0" t="n">
        <v>2</v>
      </c>
      <c r="C539" s="0" t="n">
        <v>4141</v>
      </c>
    </row>
    <row r="540" customFormat="false" ht="12.75" hidden="false" customHeight="false" outlineLevel="0" collapsed="false">
      <c r="A540" s="0" t="s">
        <v>27</v>
      </c>
      <c r="B540" s="0" t="n">
        <v>2</v>
      </c>
      <c r="C540" s="0" t="n">
        <v>4155</v>
      </c>
    </row>
    <row r="541" customFormat="false" ht="12.75" hidden="false" customHeight="false" outlineLevel="0" collapsed="false">
      <c r="A541" s="0" t="s">
        <v>28</v>
      </c>
      <c r="B541" s="0" t="n">
        <v>1</v>
      </c>
      <c r="C541" s="0" t="n">
        <v>4451</v>
      </c>
    </row>
    <row r="542" customFormat="false" ht="12.75" hidden="false" customHeight="false" outlineLevel="0" collapsed="false">
      <c r="A542" s="0" t="s">
        <v>29</v>
      </c>
      <c r="B542" s="0" t="n">
        <v>218</v>
      </c>
      <c r="C542" s="0" t="n">
        <v>4250</v>
      </c>
    </row>
    <row r="543" customFormat="false" ht="12.75" hidden="false" customHeight="false" outlineLevel="0" collapsed="false">
      <c r="A543" s="0" t="s">
        <v>30</v>
      </c>
      <c r="B543" s="0" t="s">
        <v>156</v>
      </c>
      <c r="C543" s="0" t="n">
        <v>4482</v>
      </c>
    </row>
    <row r="544" customFormat="false" ht="12.75" hidden="false" customHeight="false" outlineLevel="0" collapsed="false">
      <c r="A544" s="0" t="s">
        <v>31</v>
      </c>
      <c r="B544" s="0" t="n">
        <v>6</v>
      </c>
      <c r="C544" s="0" t="n">
        <v>4477</v>
      </c>
    </row>
    <row r="545" customFormat="false" ht="12.75" hidden="false" customHeight="false" outlineLevel="0" collapsed="false">
      <c r="A545" s="0" t="s">
        <v>32</v>
      </c>
      <c r="B545" s="0" t="n">
        <v>3</v>
      </c>
      <c r="C545" s="0" t="n">
        <v>4477</v>
      </c>
    </row>
    <row r="546" customFormat="false" ht="12.75" hidden="false" customHeight="false" outlineLevel="0" collapsed="false">
      <c r="A546" s="0" t="s">
        <v>33</v>
      </c>
      <c r="B546" s="0" t="n">
        <v>16</v>
      </c>
      <c r="C546" s="0" t="n">
        <v>4479</v>
      </c>
    </row>
    <row r="547" customFormat="false" ht="12.75" hidden="false" customHeight="false" outlineLevel="0" collapsed="false">
      <c r="A547" s="0" t="s">
        <v>34</v>
      </c>
      <c r="B547" s="0" t="n">
        <v>5</v>
      </c>
      <c r="C547" s="0" t="n">
        <v>4483</v>
      </c>
    </row>
    <row r="548" customFormat="false" ht="12.75" hidden="false" customHeight="false" outlineLevel="0" collapsed="false">
      <c r="A548" s="0" t="s">
        <v>35</v>
      </c>
      <c r="B548" s="0" t="s">
        <v>156</v>
      </c>
      <c r="C548" s="0" t="n">
        <v>4491</v>
      </c>
    </row>
    <row r="549" customFormat="false" ht="12.75" hidden="false" customHeight="false" outlineLevel="0" collapsed="false">
      <c r="A549" s="0" t="s">
        <v>36</v>
      </c>
      <c r="B549" s="0" t="n">
        <v>9</v>
      </c>
      <c r="C549" s="0" t="n">
        <v>4487</v>
      </c>
    </row>
    <row r="550" customFormat="false" ht="12.75" hidden="false" customHeight="false" outlineLevel="0" collapsed="false">
      <c r="A550" s="0" t="s">
        <v>37</v>
      </c>
      <c r="B550" s="0" t="s">
        <v>156</v>
      </c>
      <c r="C550" s="0" t="n">
        <v>4495</v>
      </c>
    </row>
    <row r="551" customFormat="false" ht="12.75" hidden="false" customHeight="false" outlineLevel="0" collapsed="false">
      <c r="A551" s="0" t="s">
        <v>38</v>
      </c>
      <c r="B551" s="0" t="n">
        <v>8</v>
      </c>
      <c r="C551" s="0" t="n">
        <v>4494</v>
      </c>
    </row>
    <row r="552" customFormat="false" ht="12.75" hidden="false" customHeight="false" outlineLevel="0" collapsed="false">
      <c r="A552" s="0" t="s">
        <v>39</v>
      </c>
      <c r="B552" s="0" t="n">
        <v>15</v>
      </c>
      <c r="C552" s="0" t="n">
        <v>4934</v>
      </c>
    </row>
    <row r="553" customFormat="false" ht="12.75" hidden="false" customHeight="false" outlineLevel="0" collapsed="false">
      <c r="A553" s="0" t="s">
        <v>40</v>
      </c>
      <c r="B553" s="0" t="s">
        <v>156</v>
      </c>
      <c r="C553" s="0" t="n">
        <v>4945</v>
      </c>
    </row>
    <row r="554" customFormat="false" ht="12.75" hidden="false" customHeight="false" outlineLevel="0" collapsed="false">
      <c r="A554" s="0" t="s">
        <v>41</v>
      </c>
      <c r="B554" s="0" t="n">
        <v>4</v>
      </c>
      <c r="C554" s="0" t="n">
        <v>4941</v>
      </c>
    </row>
    <row r="555" customFormat="false" ht="12.75" hidden="false" customHeight="false" outlineLevel="0" collapsed="false">
      <c r="A555" s="0" t="s">
        <v>42</v>
      </c>
      <c r="B555" s="0" t="s">
        <v>156</v>
      </c>
      <c r="C555" s="0" t="n">
        <v>4946</v>
      </c>
    </row>
    <row r="556" customFormat="false" ht="12.75" hidden="false" customHeight="false" outlineLevel="0" collapsed="false">
      <c r="A556" s="0" t="s">
        <v>43</v>
      </c>
      <c r="B556" s="0" t="n">
        <v>1</v>
      </c>
      <c r="C556" s="0" t="n">
        <v>4960</v>
      </c>
    </row>
    <row r="557" customFormat="false" ht="12.75" hidden="false" customHeight="false" outlineLevel="0" collapsed="false">
      <c r="A557" s="0" t="s">
        <v>44</v>
      </c>
      <c r="B557" s="0" t="n">
        <v>26</v>
      </c>
      <c r="C557" s="0" t="n">
        <v>4940</v>
      </c>
    </row>
    <row r="558" customFormat="false" ht="12.75" hidden="false" customHeight="false" outlineLevel="0" collapsed="false">
      <c r="A558" s="0" t="s">
        <v>45</v>
      </c>
      <c r="B558" s="0" t="n">
        <v>11</v>
      </c>
      <c r="C558" s="0" t="n">
        <v>4958</v>
      </c>
    </row>
    <row r="559" customFormat="false" ht="12.75" hidden="false" customHeight="false" outlineLevel="0" collapsed="false">
      <c r="A559" s="0" t="s">
        <v>46</v>
      </c>
      <c r="B559" s="0" t="s">
        <v>156</v>
      </c>
      <c r="C559" s="0" t="n">
        <v>5970</v>
      </c>
    </row>
    <row r="560" customFormat="false" ht="12.75" hidden="false" customHeight="false" outlineLevel="0" collapsed="false">
      <c r="A560" s="0" t="s">
        <v>47</v>
      </c>
      <c r="B560" s="0" t="n">
        <v>10</v>
      </c>
      <c r="C560" s="0" t="n">
        <v>5961</v>
      </c>
    </row>
    <row r="561" customFormat="false" ht="12.75" hidden="false" customHeight="false" outlineLevel="0" collapsed="false">
      <c r="A561" s="0" t="s">
        <v>48</v>
      </c>
      <c r="B561" s="0" t="n">
        <v>56</v>
      </c>
      <c r="C561" s="0" t="n">
        <v>5909</v>
      </c>
    </row>
    <row r="562" customFormat="false" ht="12.75" hidden="false" customHeight="false" outlineLevel="0" collapsed="false">
      <c r="A562" s="0" t="s">
        <v>49</v>
      </c>
      <c r="B562" s="0" t="n">
        <v>1</v>
      </c>
      <c r="C562" s="0" t="n">
        <v>6663</v>
      </c>
    </row>
    <row r="563" customFormat="false" ht="12.75" hidden="false" customHeight="false" outlineLevel="0" collapsed="false">
      <c r="A563" s="0" t="s">
        <v>50</v>
      </c>
      <c r="B563" s="0" t="n">
        <v>3</v>
      </c>
      <c r="C563" s="0" t="n">
        <v>6660</v>
      </c>
    </row>
    <row r="564" customFormat="false" ht="12.75" hidden="false" customHeight="false" outlineLevel="0" collapsed="false">
      <c r="A564" s="0" t="s">
        <v>51</v>
      </c>
      <c r="B564" s="0" t="s">
        <v>156</v>
      </c>
      <c r="C564" s="0" t="n">
        <v>6674</v>
      </c>
    </row>
    <row r="565" customFormat="false" ht="12.75" hidden="false" customHeight="false" outlineLevel="0" collapsed="false">
      <c r="A565" s="0" t="s">
        <v>128</v>
      </c>
      <c r="B565" s="3" t="n">
        <v>3077</v>
      </c>
      <c r="C565" s="0" t="n">
        <v>3761</v>
      </c>
    </row>
    <row r="566" customFormat="false" ht="12.75" hidden="false" customHeight="false" outlineLevel="0" collapsed="false">
      <c r="A566" s="0" t="s">
        <v>1</v>
      </c>
      <c r="B566" s="0" t="n">
        <v>2</v>
      </c>
      <c r="C566" s="0" t="n">
        <v>3759</v>
      </c>
    </row>
    <row r="567" customFormat="false" ht="12.75" hidden="false" customHeight="false" outlineLevel="0" collapsed="false">
      <c r="A567" s="0" t="s">
        <v>2</v>
      </c>
      <c r="B567" s="0" t="n">
        <v>15</v>
      </c>
      <c r="C567" s="0" t="n">
        <v>15708</v>
      </c>
    </row>
    <row r="568" customFormat="false" ht="12.75" hidden="false" customHeight="false" outlineLevel="0" collapsed="false">
      <c r="A568" s="0" t="s">
        <v>3</v>
      </c>
      <c r="B568" s="0" t="n">
        <v>69</v>
      </c>
      <c r="C568" s="0" t="n">
        <v>15769</v>
      </c>
    </row>
    <row r="569" customFormat="false" ht="12.75" hidden="false" customHeight="false" outlineLevel="0" collapsed="false">
      <c r="A569" s="0" t="s">
        <v>4</v>
      </c>
      <c r="B569" s="0" t="n">
        <v>7</v>
      </c>
      <c r="C569" s="0" t="n">
        <v>15812</v>
      </c>
    </row>
    <row r="570" customFormat="false" ht="12.75" hidden="false" customHeight="false" outlineLevel="0" collapsed="false">
      <c r="A570" s="0" t="s">
        <v>5</v>
      </c>
      <c r="B570" s="0" t="n">
        <v>330</v>
      </c>
      <c r="C570" s="0" t="n">
        <v>15931</v>
      </c>
    </row>
    <row r="571" customFormat="false" ht="12.75" hidden="false" customHeight="false" outlineLevel="0" collapsed="false">
      <c r="A571" s="0" t="s">
        <v>6</v>
      </c>
      <c r="B571" s="0" t="n">
        <v>82</v>
      </c>
      <c r="C571" s="0" t="n">
        <v>16041</v>
      </c>
    </row>
    <row r="572" customFormat="false" ht="12.75" hidden="false" customHeight="false" outlineLevel="0" collapsed="false">
      <c r="A572" s="0" t="s">
        <v>7</v>
      </c>
      <c r="B572" s="0" t="n">
        <v>3</v>
      </c>
      <c r="C572" s="0" t="n">
        <v>17003</v>
      </c>
    </row>
    <row r="573" customFormat="false" ht="12.75" hidden="false" customHeight="false" outlineLevel="0" collapsed="false">
      <c r="A573" s="0" t="s">
        <v>8</v>
      </c>
      <c r="B573" s="0" t="n">
        <v>1</v>
      </c>
      <c r="C573" s="0" t="n">
        <v>17370</v>
      </c>
    </row>
    <row r="574" customFormat="false" ht="12.75" hidden="false" customHeight="false" outlineLevel="0" collapsed="false">
      <c r="A574" s="0" t="s">
        <v>9</v>
      </c>
      <c r="B574" s="0" t="n">
        <v>13</v>
      </c>
      <c r="C574" s="0" t="n">
        <v>17378</v>
      </c>
    </row>
    <row r="575" customFormat="false" ht="12.75" hidden="false" customHeight="false" outlineLevel="0" collapsed="false">
      <c r="A575" s="0" t="s">
        <v>10</v>
      </c>
      <c r="B575" s="0" t="n">
        <v>23</v>
      </c>
      <c r="C575" s="0" t="n">
        <v>17355</v>
      </c>
    </row>
    <row r="576" customFormat="false" ht="12.75" hidden="false" customHeight="false" outlineLevel="0" collapsed="false">
      <c r="A576" s="0" t="s">
        <v>11</v>
      </c>
      <c r="B576" s="0" t="n">
        <v>4</v>
      </c>
      <c r="C576" s="0" t="n">
        <v>17664</v>
      </c>
    </row>
    <row r="577" customFormat="false" ht="12.75" hidden="false" customHeight="false" outlineLevel="0" collapsed="false">
      <c r="A577" s="0" t="s">
        <v>12</v>
      </c>
      <c r="B577" s="0" t="n">
        <v>17</v>
      </c>
      <c r="C577" s="0" t="n">
        <v>19468</v>
      </c>
    </row>
    <row r="578" customFormat="false" ht="12.75" hidden="false" customHeight="false" outlineLevel="0" collapsed="false">
      <c r="A578" s="0" t="s">
        <v>14</v>
      </c>
      <c r="B578" s="0" t="n">
        <v>24</v>
      </c>
      <c r="C578" s="0" t="n">
        <v>19754</v>
      </c>
    </row>
    <row r="579" customFormat="false" ht="12.75" hidden="false" customHeight="false" outlineLevel="0" collapsed="false">
      <c r="A579" s="0" t="s">
        <v>15</v>
      </c>
      <c r="B579" s="0" t="n">
        <v>6</v>
      </c>
      <c r="C579" s="0" t="n">
        <v>19890</v>
      </c>
    </row>
    <row r="580" customFormat="false" ht="12.75" hidden="false" customHeight="false" outlineLevel="0" collapsed="false">
      <c r="A580" s="0" t="s">
        <v>16</v>
      </c>
      <c r="B580" s="0" t="n">
        <v>16</v>
      </c>
      <c r="C580" s="0" t="n">
        <v>19891</v>
      </c>
    </row>
    <row r="581" customFormat="false" ht="12.75" hidden="false" customHeight="false" outlineLevel="0" collapsed="false">
      <c r="A581" s="0" t="s">
        <v>17</v>
      </c>
      <c r="B581" s="0" t="n">
        <v>5</v>
      </c>
      <c r="C581" s="0" t="n">
        <v>22903</v>
      </c>
    </row>
    <row r="582" customFormat="false" ht="12.75" hidden="false" customHeight="false" outlineLevel="0" collapsed="false">
      <c r="A582" s="0" t="s">
        <v>18</v>
      </c>
      <c r="B582" s="0" t="n">
        <v>2</v>
      </c>
      <c r="C582" s="0" t="n">
        <v>23967</v>
      </c>
    </row>
    <row r="583" customFormat="false" ht="12.75" hidden="false" customHeight="false" outlineLevel="0" collapsed="false">
      <c r="A583" s="0" t="s">
        <v>19</v>
      </c>
      <c r="B583" s="0" t="n">
        <v>8</v>
      </c>
      <c r="C583" s="0" t="n">
        <v>24260</v>
      </c>
    </row>
    <row r="584" customFormat="false" ht="12.75" hidden="false" customHeight="false" outlineLevel="0" collapsed="false">
      <c r="A584" s="0" t="s">
        <v>20</v>
      </c>
      <c r="B584" s="0" t="s">
        <v>156</v>
      </c>
      <c r="C584" s="0" t="n">
        <v>24922</v>
      </c>
    </row>
    <row r="585" customFormat="false" ht="12.75" hidden="false" customHeight="false" outlineLevel="0" collapsed="false">
      <c r="A585" s="0" t="s">
        <v>21</v>
      </c>
      <c r="B585" s="0" t="n">
        <v>3</v>
      </c>
      <c r="C585" s="0" t="n">
        <v>25036</v>
      </c>
    </row>
    <row r="586" customFormat="false" ht="12.75" hidden="false" customHeight="false" outlineLevel="0" collapsed="false">
      <c r="A586" s="0" t="s">
        <v>22</v>
      </c>
      <c r="B586" s="0" t="n">
        <v>8</v>
      </c>
      <c r="C586" s="0" t="n">
        <v>25142</v>
      </c>
    </row>
    <row r="587" customFormat="false" ht="12.75" hidden="false" customHeight="false" outlineLevel="0" collapsed="false">
      <c r="A587" s="0" t="s">
        <v>23</v>
      </c>
      <c r="B587" s="0" t="n">
        <v>9</v>
      </c>
      <c r="C587" s="0" t="n">
        <v>25202</v>
      </c>
    </row>
    <row r="588" customFormat="false" ht="12.75" hidden="false" customHeight="false" outlineLevel="0" collapsed="false">
      <c r="A588" s="0" t="s">
        <v>24</v>
      </c>
      <c r="B588" s="0" t="n">
        <v>16</v>
      </c>
      <c r="C588" s="0" t="n">
        <v>25288</v>
      </c>
    </row>
    <row r="589" customFormat="false" ht="12.75" hidden="false" customHeight="false" outlineLevel="0" collapsed="false">
      <c r="A589" s="0" t="s">
        <v>25</v>
      </c>
      <c r="B589" s="0" t="n">
        <v>6</v>
      </c>
      <c r="C589" s="0" t="n">
        <v>27323</v>
      </c>
    </row>
    <row r="590" customFormat="false" ht="12.75" hidden="false" customHeight="false" outlineLevel="0" collapsed="false">
      <c r="A590" s="0" t="s">
        <v>26</v>
      </c>
      <c r="B590" s="0" t="n">
        <v>16</v>
      </c>
      <c r="C590" s="0" t="n">
        <v>28177</v>
      </c>
    </row>
    <row r="591" customFormat="false" ht="12.75" hidden="false" customHeight="false" outlineLevel="0" collapsed="false">
      <c r="A591" s="0" t="s">
        <v>27</v>
      </c>
      <c r="B591" s="0" t="n">
        <v>297</v>
      </c>
      <c r="C591" s="0" t="n">
        <v>28020</v>
      </c>
    </row>
    <row r="592" customFormat="false" ht="12.75" hidden="false" customHeight="false" outlineLevel="0" collapsed="false">
      <c r="A592" s="0" t="s">
        <v>28</v>
      </c>
      <c r="B592" s="0" t="n">
        <v>17</v>
      </c>
      <c r="C592" s="0" t="n">
        <v>31518</v>
      </c>
    </row>
    <row r="593" customFormat="false" ht="12.75" hidden="false" customHeight="false" outlineLevel="0" collapsed="false">
      <c r="A593" s="0" t="s">
        <v>29</v>
      </c>
      <c r="B593" s="0" t="n">
        <v>232</v>
      </c>
      <c r="C593" s="0" t="n">
        <v>31302</v>
      </c>
    </row>
    <row r="594" customFormat="false" ht="12.75" hidden="false" customHeight="false" outlineLevel="0" collapsed="false">
      <c r="A594" s="0" t="s">
        <v>30</v>
      </c>
      <c r="B594" s="0" t="n">
        <v>1</v>
      </c>
      <c r="C594" s="0" t="n">
        <v>31566</v>
      </c>
    </row>
    <row r="595" customFormat="false" ht="12.75" hidden="false" customHeight="false" outlineLevel="0" collapsed="false">
      <c r="A595" s="0" t="s">
        <v>31</v>
      </c>
      <c r="B595" s="0" t="n">
        <v>3</v>
      </c>
      <c r="C595" s="0" t="n">
        <v>31874</v>
      </c>
    </row>
    <row r="596" customFormat="false" ht="12.75" hidden="false" customHeight="false" outlineLevel="0" collapsed="false">
      <c r="A596" s="0" t="s">
        <v>32</v>
      </c>
      <c r="B596" s="0" t="n">
        <v>18</v>
      </c>
      <c r="C596" s="0" t="n">
        <v>31862</v>
      </c>
    </row>
    <row r="597" customFormat="false" ht="12.75" hidden="false" customHeight="false" outlineLevel="0" collapsed="false">
      <c r="A597" s="0" t="s">
        <v>33</v>
      </c>
      <c r="B597" s="0" t="n">
        <v>9</v>
      </c>
      <c r="C597" s="0" t="n">
        <v>32083</v>
      </c>
    </row>
    <row r="598" customFormat="false" ht="12.75" hidden="false" customHeight="false" outlineLevel="0" collapsed="false">
      <c r="A598" s="0" t="s">
        <v>34</v>
      </c>
      <c r="B598" s="0" t="n">
        <v>8</v>
      </c>
      <c r="C598" s="0" t="n">
        <v>32102</v>
      </c>
    </row>
    <row r="599" customFormat="false" ht="12.75" hidden="false" customHeight="false" outlineLevel="0" collapsed="false">
      <c r="A599" s="0" t="s">
        <v>35</v>
      </c>
      <c r="B599" s="0" t="n">
        <v>5</v>
      </c>
      <c r="C599" s="0" t="n">
        <v>32752</v>
      </c>
    </row>
    <row r="600" customFormat="false" ht="12.75" hidden="false" customHeight="false" outlineLevel="0" collapsed="false">
      <c r="A600" s="0" t="s">
        <v>36</v>
      </c>
      <c r="B600" s="0" t="n">
        <v>8</v>
      </c>
      <c r="C600" s="0" t="n">
        <v>33041</v>
      </c>
    </row>
    <row r="601" customFormat="false" ht="12.75" hidden="false" customHeight="false" outlineLevel="0" collapsed="false">
      <c r="A601" s="0" t="s">
        <v>37</v>
      </c>
      <c r="B601" s="0" t="n">
        <v>7</v>
      </c>
      <c r="C601" s="0" t="n">
        <v>33063</v>
      </c>
    </row>
    <row r="602" customFormat="false" ht="12.75" hidden="false" customHeight="false" outlineLevel="0" collapsed="false">
      <c r="A602" s="0" t="s">
        <v>38</v>
      </c>
      <c r="B602" s="0" t="n">
        <v>455</v>
      </c>
      <c r="C602" s="0" t="n">
        <v>33410</v>
      </c>
    </row>
    <row r="603" customFormat="false" ht="12.75" hidden="false" customHeight="false" outlineLevel="0" collapsed="false">
      <c r="A603" s="0" t="s">
        <v>39</v>
      </c>
      <c r="B603" s="0" t="n">
        <v>11</v>
      </c>
      <c r="C603" s="0" t="n">
        <v>33650</v>
      </c>
    </row>
    <row r="604" customFormat="false" ht="12.75" hidden="false" customHeight="false" outlineLevel="0" collapsed="false">
      <c r="A604" s="0" t="s">
        <v>40</v>
      </c>
      <c r="B604" s="0" t="s">
        <v>156</v>
      </c>
      <c r="C604" s="0" t="n">
        <v>33702</v>
      </c>
    </row>
    <row r="605" customFormat="false" ht="12.75" hidden="false" customHeight="false" outlineLevel="0" collapsed="false">
      <c r="A605" s="0" t="s">
        <v>41</v>
      </c>
      <c r="B605" s="0" t="n">
        <v>5</v>
      </c>
      <c r="C605" s="0" t="n">
        <v>34138</v>
      </c>
    </row>
    <row r="606" customFormat="false" ht="12.75" hidden="false" customHeight="false" outlineLevel="0" collapsed="false">
      <c r="A606" s="0" t="s">
        <v>42</v>
      </c>
      <c r="B606" s="0" t="n">
        <v>15</v>
      </c>
      <c r="C606" s="0" t="n">
        <v>34136</v>
      </c>
    </row>
    <row r="607" customFormat="false" ht="12.75" hidden="false" customHeight="false" outlineLevel="0" collapsed="false">
      <c r="A607" s="0" t="s">
        <v>43</v>
      </c>
      <c r="B607" s="0" t="n">
        <v>6</v>
      </c>
      <c r="C607" s="0" t="n">
        <v>34331</v>
      </c>
    </row>
    <row r="608" customFormat="false" ht="12.75" hidden="false" customHeight="false" outlineLevel="0" collapsed="false">
      <c r="A608" s="0" t="s">
        <v>44</v>
      </c>
      <c r="B608" s="0" t="n">
        <v>29</v>
      </c>
      <c r="C608" s="0" t="n">
        <v>34494</v>
      </c>
    </row>
    <row r="609" customFormat="false" ht="12.75" hidden="false" customHeight="false" outlineLevel="0" collapsed="false">
      <c r="A609" s="0" t="s">
        <v>45</v>
      </c>
      <c r="B609" s="3" t="n">
        <v>1012</v>
      </c>
      <c r="C609" s="0" t="n">
        <v>34002</v>
      </c>
    </row>
    <row r="610" customFormat="false" ht="12.75" hidden="false" customHeight="false" outlineLevel="0" collapsed="false">
      <c r="A610" s="0" t="s">
        <v>46</v>
      </c>
      <c r="B610" s="0" t="n">
        <v>1</v>
      </c>
      <c r="C610" s="0" t="n">
        <v>35262</v>
      </c>
    </row>
    <row r="611" customFormat="false" ht="12.75" hidden="false" customHeight="false" outlineLevel="0" collapsed="false">
      <c r="A611" s="0" t="s">
        <v>47</v>
      </c>
      <c r="B611" s="0" t="n">
        <v>4</v>
      </c>
      <c r="C611" s="0" t="n">
        <v>35315</v>
      </c>
    </row>
    <row r="612" customFormat="false" ht="12.75" hidden="false" customHeight="false" outlineLevel="0" collapsed="false">
      <c r="A612" s="0" t="s">
        <v>48</v>
      </c>
      <c r="B612" s="0" t="n">
        <v>755</v>
      </c>
      <c r="C612" s="0" t="n">
        <v>34574</v>
      </c>
    </row>
    <row r="613" customFormat="false" ht="12.75" hidden="false" customHeight="false" outlineLevel="0" collapsed="false">
      <c r="A613" s="0" t="s">
        <v>49</v>
      </c>
      <c r="B613" s="0" t="s">
        <v>156</v>
      </c>
      <c r="C613" s="0" t="n">
        <v>34765</v>
      </c>
    </row>
    <row r="614" customFormat="false" ht="12.75" hidden="false" customHeight="false" outlineLevel="0" collapsed="false">
      <c r="A614" s="0" t="s">
        <v>50</v>
      </c>
      <c r="B614" s="0" t="n">
        <v>14</v>
      </c>
      <c r="C614" s="0" t="n">
        <v>34944</v>
      </c>
    </row>
    <row r="615" customFormat="false" ht="12.75" hidden="false" customHeight="false" outlineLevel="0" collapsed="false">
      <c r="A615" s="0" t="s">
        <v>51</v>
      </c>
      <c r="B615" s="0" t="n">
        <v>164</v>
      </c>
      <c r="C615" s="0" t="n">
        <v>34827</v>
      </c>
    </row>
    <row r="616" customFormat="false" ht="12.75" hidden="false" customHeight="false" outlineLevel="0" collapsed="false">
      <c r="C616" s="0" t="n">
        <v>39719</v>
      </c>
    </row>
    <row r="617" customFormat="false" ht="12.75" hidden="false" customHeight="false" outlineLevel="0" collapsed="false">
      <c r="A617" s="0" t="s">
        <v>129</v>
      </c>
      <c r="B617" s="3" t="n">
        <v>11964</v>
      </c>
      <c r="C617" s="0" t="n">
        <v>27788</v>
      </c>
    </row>
    <row r="618" customFormat="false" ht="12.75" hidden="false" customHeight="false" outlineLevel="0" collapsed="false">
      <c r="A618" s="0" t="s">
        <v>1</v>
      </c>
      <c r="B618" s="0" t="n">
        <v>130</v>
      </c>
      <c r="C618" s="0" t="n">
        <v>27658</v>
      </c>
    </row>
    <row r="619" customFormat="false" ht="12.75" hidden="false" customHeight="false" outlineLevel="0" collapsed="false">
      <c r="A619" s="0" t="s">
        <v>2</v>
      </c>
      <c r="B619" s="0" t="n">
        <v>50</v>
      </c>
      <c r="C619" s="0" t="n">
        <v>35886</v>
      </c>
    </row>
    <row r="620" customFormat="false" ht="12.75" hidden="false" customHeight="false" outlineLevel="0" collapsed="false">
      <c r="A620" s="0" t="s">
        <v>3</v>
      </c>
      <c r="B620" s="0" t="n">
        <v>449</v>
      </c>
      <c r="C620" s="0" t="n">
        <v>35632</v>
      </c>
    </row>
    <row r="621" customFormat="false" ht="12.75" hidden="false" customHeight="false" outlineLevel="0" collapsed="false">
      <c r="A621" s="0" t="s">
        <v>4</v>
      </c>
      <c r="B621" s="0" t="n">
        <v>192</v>
      </c>
      <c r="C621" s="0" t="n">
        <v>35458</v>
      </c>
    </row>
    <row r="622" customFormat="false" ht="12.75" hidden="false" customHeight="false" outlineLevel="0" collapsed="false">
      <c r="A622" s="0" t="s">
        <v>5</v>
      </c>
      <c r="B622" s="0" t="n">
        <v>965</v>
      </c>
      <c r="C622" s="0" t="n">
        <v>34603</v>
      </c>
    </row>
    <row r="623" customFormat="false" ht="12.75" hidden="false" customHeight="false" outlineLevel="0" collapsed="false">
      <c r="A623" s="0" t="s">
        <v>6</v>
      </c>
      <c r="B623" s="0" t="n">
        <v>368</v>
      </c>
      <c r="C623" s="0" t="n">
        <v>34335</v>
      </c>
    </row>
    <row r="624" customFormat="false" ht="12.75" hidden="false" customHeight="false" outlineLevel="0" collapsed="false">
      <c r="A624" s="0" t="s">
        <v>7</v>
      </c>
      <c r="B624" s="0" t="n">
        <v>21</v>
      </c>
      <c r="C624" s="0" t="n">
        <v>34485</v>
      </c>
    </row>
    <row r="625" customFormat="false" ht="12.75" hidden="false" customHeight="false" outlineLevel="0" collapsed="false">
      <c r="A625" s="0" t="s">
        <v>8</v>
      </c>
      <c r="B625" s="0" t="s">
        <v>156</v>
      </c>
      <c r="C625" s="0" t="n">
        <v>34636</v>
      </c>
    </row>
    <row r="626" customFormat="false" ht="12.75" hidden="false" customHeight="false" outlineLevel="0" collapsed="false">
      <c r="A626" s="0" t="s">
        <v>9</v>
      </c>
      <c r="B626" s="0" t="n">
        <v>313</v>
      </c>
      <c r="C626" s="0" t="n">
        <v>34357</v>
      </c>
    </row>
    <row r="627" customFormat="false" ht="12.75" hidden="false" customHeight="false" outlineLevel="0" collapsed="false">
      <c r="A627" s="0" t="s">
        <v>10</v>
      </c>
      <c r="B627" s="3" t="n">
        <v>1821</v>
      </c>
      <c r="C627" s="0" t="n">
        <v>32543</v>
      </c>
    </row>
    <row r="628" customFormat="false" ht="12.75" hidden="false" customHeight="false" outlineLevel="0" collapsed="false">
      <c r="A628" s="0" t="s">
        <v>11</v>
      </c>
      <c r="B628" s="0" t="n">
        <v>310</v>
      </c>
      <c r="C628" s="0" t="n">
        <v>32385</v>
      </c>
    </row>
    <row r="629" customFormat="false" ht="12.75" hidden="false" customHeight="false" outlineLevel="0" collapsed="false">
      <c r="A629" s="0" t="s">
        <v>12</v>
      </c>
      <c r="B629" s="0" t="n">
        <v>142</v>
      </c>
      <c r="C629" s="0" t="n">
        <v>33240</v>
      </c>
    </row>
    <row r="630" customFormat="false" ht="12.75" hidden="false" customHeight="false" outlineLevel="0" collapsed="false">
      <c r="A630" s="0" t="s">
        <v>13</v>
      </c>
      <c r="B630" s="0" t="n">
        <v>17</v>
      </c>
      <c r="C630" s="0" t="n">
        <v>33367</v>
      </c>
    </row>
    <row r="631" customFormat="false" ht="12.75" hidden="false" customHeight="false" outlineLevel="0" collapsed="false">
      <c r="A631" s="0" t="s">
        <v>15</v>
      </c>
      <c r="B631" s="3" t="n">
        <v>3017</v>
      </c>
      <c r="C631" s="0" t="n">
        <v>30372</v>
      </c>
    </row>
    <row r="632" customFormat="false" ht="12.75" hidden="false" customHeight="false" outlineLevel="0" collapsed="false">
      <c r="A632" s="0" t="s">
        <v>16</v>
      </c>
      <c r="B632" s="3" t="n">
        <v>1066</v>
      </c>
      <c r="C632" s="0" t="n">
        <v>29329</v>
      </c>
    </row>
    <row r="633" customFormat="false" ht="12.75" hidden="false" customHeight="false" outlineLevel="0" collapsed="false">
      <c r="A633" s="0" t="s">
        <v>17</v>
      </c>
      <c r="B633" s="0" t="n">
        <v>301</v>
      </c>
      <c r="C633" s="0" t="n">
        <v>31387</v>
      </c>
    </row>
    <row r="634" customFormat="false" ht="12.75" hidden="false" customHeight="false" outlineLevel="0" collapsed="false">
      <c r="A634" s="0" t="s">
        <v>18</v>
      </c>
      <c r="B634" s="0" t="n">
        <v>662</v>
      </c>
      <c r="C634" s="0" t="n">
        <v>30850</v>
      </c>
    </row>
    <row r="635" customFormat="false" ht="12.75" hidden="false" customHeight="false" outlineLevel="0" collapsed="false">
      <c r="A635" s="0" t="s">
        <v>19</v>
      </c>
      <c r="B635" s="0" t="n">
        <v>117</v>
      </c>
      <c r="C635" s="0" t="n">
        <v>30775</v>
      </c>
    </row>
    <row r="636" customFormat="false" ht="12.75" hidden="false" customHeight="false" outlineLevel="0" collapsed="false">
      <c r="A636" s="0" t="s">
        <v>20</v>
      </c>
      <c r="B636" s="0" t="n">
        <v>114</v>
      </c>
      <c r="C636" s="0" t="n">
        <v>32370</v>
      </c>
    </row>
    <row r="637" customFormat="false" ht="12.75" hidden="false" customHeight="false" outlineLevel="0" collapsed="false">
      <c r="A637" s="0" t="s">
        <v>21</v>
      </c>
      <c r="B637" s="0" t="n">
        <v>69</v>
      </c>
      <c r="C637" s="0" t="n">
        <v>32350</v>
      </c>
    </row>
    <row r="638" customFormat="false" ht="12.75" hidden="false" customHeight="false" outlineLevel="0" collapsed="false">
      <c r="A638" s="0" t="s">
        <v>22</v>
      </c>
      <c r="B638" s="0" t="n">
        <v>102</v>
      </c>
      <c r="C638" s="0" t="n">
        <v>32261</v>
      </c>
    </row>
    <row r="639" customFormat="false" ht="12.75" hidden="false" customHeight="false" outlineLevel="0" collapsed="false">
      <c r="A639" s="0" t="s">
        <v>23</v>
      </c>
      <c r="B639" s="3" t="n">
        <v>2041</v>
      </c>
      <c r="C639" s="0" t="n">
        <v>30261</v>
      </c>
    </row>
    <row r="640" customFormat="false" ht="12.75" hidden="false" customHeight="false" outlineLevel="0" collapsed="false">
      <c r="A640" s="0" t="s">
        <v>24</v>
      </c>
      <c r="B640" s="0" t="n">
        <v>870</v>
      </c>
      <c r="C640" s="0" t="n">
        <v>29461</v>
      </c>
    </row>
    <row r="641" customFormat="false" ht="12.75" hidden="false" customHeight="false" outlineLevel="0" collapsed="false">
      <c r="A641" s="0" t="s">
        <v>25</v>
      </c>
      <c r="B641" s="0" t="n">
        <v>140</v>
      </c>
      <c r="C641" s="0" t="n">
        <v>31370</v>
      </c>
    </row>
    <row r="642" customFormat="false" ht="12.75" hidden="false" customHeight="false" outlineLevel="0" collapsed="false">
      <c r="A642" s="0" t="s">
        <v>26</v>
      </c>
      <c r="B642" s="3" t="n">
        <v>3515</v>
      </c>
      <c r="C642" s="0" t="n">
        <v>27954</v>
      </c>
    </row>
    <row r="643" customFormat="false" ht="12.75" hidden="false" customHeight="false" outlineLevel="0" collapsed="false">
      <c r="A643" s="0" t="s">
        <v>27</v>
      </c>
      <c r="B643" s="0" t="n">
        <v>16</v>
      </c>
      <c r="C643" s="0" t="n">
        <v>27972</v>
      </c>
    </row>
    <row r="644" customFormat="false" ht="12.75" hidden="false" customHeight="false" outlineLevel="0" collapsed="false">
      <c r="A644" s="0" t="s">
        <v>28</v>
      </c>
      <c r="B644" s="0" t="n">
        <v>265</v>
      </c>
      <c r="C644" s="0" t="n">
        <v>28294</v>
      </c>
    </row>
    <row r="645" customFormat="false" ht="12.75" hidden="false" customHeight="false" outlineLevel="0" collapsed="false">
      <c r="A645" s="0" t="s">
        <v>29</v>
      </c>
      <c r="B645" s="0" t="n">
        <v>311</v>
      </c>
      <c r="C645" s="0" t="n">
        <v>27991</v>
      </c>
    </row>
    <row r="646" customFormat="false" ht="12.75" hidden="false" customHeight="false" outlineLevel="0" collapsed="false">
      <c r="A646" s="0" t="s">
        <v>30</v>
      </c>
      <c r="B646" s="0" t="n">
        <v>6</v>
      </c>
      <c r="C646" s="0" t="n">
        <v>28005</v>
      </c>
    </row>
    <row r="647" customFormat="false" ht="12.75" hidden="false" customHeight="false" outlineLevel="0" collapsed="false">
      <c r="A647" s="0" t="s">
        <v>31</v>
      </c>
      <c r="B647" s="0" t="n">
        <v>230</v>
      </c>
      <c r="C647" s="0" t="n">
        <v>27952</v>
      </c>
    </row>
    <row r="648" customFormat="false" ht="12.75" hidden="false" customHeight="false" outlineLevel="0" collapsed="false">
      <c r="A648" s="0" t="s">
        <v>32</v>
      </c>
      <c r="B648" s="0" t="n">
        <v>27</v>
      </c>
      <c r="C648" s="0" t="n">
        <v>27934</v>
      </c>
    </row>
    <row r="649" customFormat="false" ht="12.75" hidden="false" customHeight="false" outlineLevel="0" collapsed="false">
      <c r="A649" s="0" t="s">
        <v>33</v>
      </c>
      <c r="B649" s="0" t="n">
        <v>655</v>
      </c>
      <c r="C649" s="0" t="n">
        <v>27314</v>
      </c>
    </row>
    <row r="650" customFormat="false" ht="12.75" hidden="false" customHeight="false" outlineLevel="0" collapsed="false">
      <c r="A650" s="0" t="s">
        <v>34</v>
      </c>
      <c r="B650" s="0" t="n">
        <v>297</v>
      </c>
      <c r="C650" s="0" t="n">
        <v>27034</v>
      </c>
    </row>
    <row r="651" customFormat="false" ht="12.75" hidden="false" customHeight="false" outlineLevel="0" collapsed="false">
      <c r="A651" s="0" t="s">
        <v>35</v>
      </c>
      <c r="B651" s="0" t="n">
        <v>29</v>
      </c>
      <c r="C651" s="0" t="n">
        <v>27095</v>
      </c>
    </row>
    <row r="652" customFormat="false" ht="12.75" hidden="false" customHeight="false" outlineLevel="0" collapsed="false">
      <c r="A652" s="0" t="s">
        <v>36</v>
      </c>
      <c r="B652" s="0" t="n">
        <v>802</v>
      </c>
      <c r="C652" s="0" t="n">
        <v>26411</v>
      </c>
    </row>
    <row r="653" customFormat="false" ht="12.75" hidden="false" customHeight="false" outlineLevel="0" collapsed="false">
      <c r="A653" s="0" t="s">
        <v>37</v>
      </c>
      <c r="B653" s="0" t="n">
        <v>251</v>
      </c>
      <c r="C653" s="0" t="n">
        <v>26168</v>
      </c>
    </row>
    <row r="654" customFormat="false" ht="12.75" hidden="false" customHeight="false" outlineLevel="0" collapsed="false">
      <c r="A654" s="0" t="s">
        <v>38</v>
      </c>
      <c r="B654" s="0" t="n">
        <v>52</v>
      </c>
      <c r="C654" s="0" t="n">
        <v>28093</v>
      </c>
    </row>
    <row r="655" customFormat="false" ht="12.75" hidden="false" customHeight="false" outlineLevel="0" collapsed="false">
      <c r="A655" s="0" t="s">
        <v>39</v>
      </c>
      <c r="B655" s="0" t="n">
        <v>441</v>
      </c>
      <c r="C655" s="0" t="n">
        <v>27707</v>
      </c>
    </row>
    <row r="656" customFormat="false" ht="12.75" hidden="false" customHeight="false" outlineLevel="0" collapsed="false">
      <c r="A656" s="0" t="s">
        <v>40</v>
      </c>
      <c r="B656" s="0" t="n">
        <v>13</v>
      </c>
      <c r="C656" s="0" t="n">
        <v>27717</v>
      </c>
    </row>
    <row r="657" customFormat="false" ht="12.75" hidden="false" customHeight="false" outlineLevel="0" collapsed="false">
      <c r="A657" s="0" t="s">
        <v>41</v>
      </c>
      <c r="B657" s="0" t="n">
        <v>201</v>
      </c>
      <c r="C657" s="0" t="n">
        <v>27811</v>
      </c>
    </row>
    <row r="658" customFormat="false" ht="12.75" hidden="false" customHeight="false" outlineLevel="0" collapsed="false">
      <c r="A658" s="0" t="s">
        <v>42</v>
      </c>
      <c r="B658" s="0" t="n">
        <v>192</v>
      </c>
      <c r="C658" s="0" t="n">
        <v>27632</v>
      </c>
    </row>
    <row r="659" customFormat="false" ht="12.75" hidden="false" customHeight="false" outlineLevel="0" collapsed="false">
      <c r="A659" s="0" t="s">
        <v>43</v>
      </c>
      <c r="B659" s="0" t="n">
        <v>520</v>
      </c>
      <c r="C659" s="0" t="n">
        <v>27269</v>
      </c>
    </row>
    <row r="660" customFormat="false" ht="12.75" hidden="false" customHeight="false" outlineLevel="0" collapsed="false">
      <c r="A660" s="0" t="s">
        <v>44</v>
      </c>
      <c r="B660" s="3" t="n">
        <v>1261</v>
      </c>
      <c r="C660" s="0" t="n">
        <v>26026</v>
      </c>
    </row>
    <row r="661" customFormat="false" ht="12.75" hidden="false" customHeight="false" outlineLevel="0" collapsed="false">
      <c r="A661" s="0" t="s">
        <v>45</v>
      </c>
      <c r="B661" s="0" t="n">
        <v>57</v>
      </c>
      <c r="C661" s="0" t="n">
        <v>26674</v>
      </c>
    </row>
    <row r="662" customFormat="false" ht="12.75" hidden="false" customHeight="false" outlineLevel="0" collapsed="false">
      <c r="A662" s="0" t="s">
        <v>46</v>
      </c>
      <c r="B662" s="0" t="n">
        <v>14</v>
      </c>
      <c r="C662" s="0" t="n">
        <v>26869</v>
      </c>
    </row>
    <row r="663" customFormat="false" ht="12.75" hidden="false" customHeight="false" outlineLevel="0" collapsed="false">
      <c r="A663" s="0" t="s">
        <v>47</v>
      </c>
      <c r="B663" s="0" t="n">
        <v>191</v>
      </c>
      <c r="C663" s="0" t="n">
        <v>26713</v>
      </c>
    </row>
    <row r="664" customFormat="false" ht="12.75" hidden="false" customHeight="false" outlineLevel="0" collapsed="false">
      <c r="A664" s="0" t="s">
        <v>48</v>
      </c>
      <c r="B664" s="0" t="n">
        <v>193</v>
      </c>
      <c r="C664" s="0" t="n">
        <v>26524</v>
      </c>
    </row>
    <row r="665" customFormat="false" ht="12.75" hidden="false" customHeight="false" outlineLevel="0" collapsed="false">
      <c r="A665" s="0" t="s">
        <v>49</v>
      </c>
      <c r="B665" s="0" t="n">
        <v>47</v>
      </c>
      <c r="C665" s="0" t="n">
        <v>26585</v>
      </c>
    </row>
    <row r="666" customFormat="false" ht="12.75" hidden="false" customHeight="false" outlineLevel="0" collapsed="false">
      <c r="A666" s="0" t="s">
        <v>50</v>
      </c>
      <c r="B666" s="3" t="n">
        <v>4892</v>
      </c>
      <c r="C666" s="0" t="n">
        <v>21741</v>
      </c>
    </row>
    <row r="667" customFormat="false" ht="12.75" hidden="false" customHeight="false" outlineLevel="0" collapsed="false">
      <c r="A667" s="0" t="s">
        <v>51</v>
      </c>
      <c r="B667" s="0" t="n">
        <v>33</v>
      </c>
      <c r="C667" s="0" t="n">
        <v>21810</v>
      </c>
    </row>
    <row r="668" customFormat="false" ht="12.75" hidden="false" customHeight="false" outlineLevel="0" collapsed="false">
      <c r="C668" s="0" t="n">
        <v>22077</v>
      </c>
    </row>
    <row r="669" customFormat="false" ht="12.75" hidden="false" customHeight="false" outlineLevel="0" collapsed="false">
      <c r="A669" s="0" t="s">
        <v>130</v>
      </c>
      <c r="B669" s="3" t="n">
        <v>8278</v>
      </c>
      <c r="C669" s="0" t="n">
        <v>13821</v>
      </c>
    </row>
    <row r="670" customFormat="false" ht="12.75" hidden="false" customHeight="false" outlineLevel="0" collapsed="false">
      <c r="A670" s="0" t="s">
        <v>1</v>
      </c>
      <c r="B670" s="0" t="n">
        <v>195</v>
      </c>
      <c r="C670" s="0" t="n">
        <v>19437</v>
      </c>
    </row>
    <row r="671" customFormat="false" ht="12.75" hidden="false" customHeight="false" outlineLevel="0" collapsed="false">
      <c r="A671" s="0" t="s">
        <v>2</v>
      </c>
      <c r="B671" s="0" t="n">
        <v>18</v>
      </c>
      <c r="C671" s="0" t="n">
        <v>19422</v>
      </c>
    </row>
    <row r="672" customFormat="false" ht="12.75" hidden="false" customHeight="false" outlineLevel="0" collapsed="false">
      <c r="A672" s="0" t="s">
        <v>3</v>
      </c>
      <c r="B672" s="0" t="n">
        <v>110</v>
      </c>
      <c r="C672" s="0" t="n">
        <v>19323</v>
      </c>
    </row>
    <row r="673" customFormat="false" ht="12.75" hidden="false" customHeight="false" outlineLevel="0" collapsed="false">
      <c r="A673" s="0" t="s">
        <v>4</v>
      </c>
      <c r="B673" s="0" t="n">
        <v>100</v>
      </c>
      <c r="C673" s="0" t="n">
        <v>19311</v>
      </c>
    </row>
    <row r="674" customFormat="false" ht="12.75" hidden="false" customHeight="false" outlineLevel="0" collapsed="false">
      <c r="A674" s="0" t="s">
        <v>5</v>
      </c>
      <c r="B674" s="0" t="n">
        <v>171</v>
      </c>
      <c r="C674" s="0" t="n">
        <v>19205</v>
      </c>
    </row>
    <row r="675" customFormat="false" ht="12.75" hidden="false" customHeight="false" outlineLevel="0" collapsed="false">
      <c r="A675" s="0" t="s">
        <v>6</v>
      </c>
      <c r="B675" s="0" t="n">
        <v>151</v>
      </c>
      <c r="C675" s="0" t="n">
        <v>19288</v>
      </c>
    </row>
    <row r="676" customFormat="false" ht="12.75" hidden="false" customHeight="false" outlineLevel="0" collapsed="false">
      <c r="A676" s="0" t="s">
        <v>7</v>
      </c>
      <c r="B676" s="0" t="n">
        <v>34</v>
      </c>
      <c r="C676" s="0" t="n">
        <v>19524</v>
      </c>
    </row>
    <row r="677" customFormat="false" ht="12.75" hidden="false" customHeight="false" outlineLevel="0" collapsed="false">
      <c r="A677" s="0" t="s">
        <v>8</v>
      </c>
      <c r="B677" s="0" t="n">
        <v>7</v>
      </c>
      <c r="C677" s="0" t="n">
        <v>19522</v>
      </c>
    </row>
    <row r="678" customFormat="false" ht="12.75" hidden="false" customHeight="false" outlineLevel="0" collapsed="false">
      <c r="A678" s="0" t="s">
        <v>9</v>
      </c>
      <c r="B678" s="0" t="n">
        <v>152</v>
      </c>
      <c r="C678" s="0" t="n">
        <v>19381</v>
      </c>
    </row>
    <row r="679" customFormat="false" ht="12.75" hidden="false" customHeight="false" outlineLevel="0" collapsed="false">
      <c r="A679" s="0" t="s">
        <v>10</v>
      </c>
      <c r="B679" s="0" t="n">
        <v>997</v>
      </c>
      <c r="C679" s="0" t="n">
        <v>18424</v>
      </c>
    </row>
    <row r="680" customFormat="false" ht="12.75" hidden="false" customHeight="false" outlineLevel="0" collapsed="false">
      <c r="A680" s="0" t="s">
        <v>11</v>
      </c>
      <c r="B680" s="0" t="n">
        <v>144</v>
      </c>
      <c r="C680" s="0" t="n">
        <v>18438</v>
      </c>
    </row>
    <row r="681" customFormat="false" ht="12.75" hidden="false" customHeight="false" outlineLevel="0" collapsed="false">
      <c r="A681" s="0" t="s">
        <v>12</v>
      </c>
      <c r="B681" s="0" t="n">
        <v>22</v>
      </c>
      <c r="C681" s="0" t="n">
        <v>18499</v>
      </c>
    </row>
    <row r="682" customFormat="false" ht="12.75" hidden="false" customHeight="false" outlineLevel="0" collapsed="false">
      <c r="A682" s="0" t="s">
        <v>13</v>
      </c>
      <c r="B682" s="0" t="n">
        <v>23</v>
      </c>
      <c r="C682" s="0" t="n">
        <v>18497</v>
      </c>
    </row>
    <row r="683" customFormat="false" ht="12.75" hidden="false" customHeight="false" outlineLevel="0" collapsed="false">
      <c r="A683" s="0" t="s">
        <v>14</v>
      </c>
      <c r="B683" s="3" t="n">
        <v>2359</v>
      </c>
      <c r="C683" s="0" t="n">
        <v>16154</v>
      </c>
    </row>
    <row r="684" customFormat="false" ht="12.75" hidden="false" customHeight="false" outlineLevel="0" collapsed="false">
      <c r="A684" s="0" t="s">
        <v>16</v>
      </c>
      <c r="B684" s="0" t="n">
        <v>125</v>
      </c>
      <c r="C684" s="0" t="n">
        <v>17129</v>
      </c>
    </row>
    <row r="685" customFormat="false" ht="12.75" hidden="false" customHeight="false" outlineLevel="0" collapsed="false">
      <c r="A685" s="0" t="s">
        <v>17</v>
      </c>
      <c r="B685" s="0" t="n">
        <v>42</v>
      </c>
      <c r="C685" s="0" t="n">
        <v>17275</v>
      </c>
    </row>
    <row r="686" customFormat="false" ht="12.75" hidden="false" customHeight="false" outlineLevel="0" collapsed="false">
      <c r="A686" s="0" t="s">
        <v>18</v>
      </c>
      <c r="B686" s="3" t="n">
        <v>1709</v>
      </c>
      <c r="C686" s="0" t="n">
        <v>15760</v>
      </c>
    </row>
    <row r="687" customFormat="false" ht="12.75" hidden="false" customHeight="false" outlineLevel="0" collapsed="false">
      <c r="A687" s="0" t="s">
        <v>19</v>
      </c>
      <c r="B687" s="0" t="n">
        <v>49</v>
      </c>
      <c r="C687" s="0" t="n">
        <v>15737</v>
      </c>
    </row>
    <row r="688" customFormat="false" ht="12.75" hidden="false" customHeight="false" outlineLevel="0" collapsed="false">
      <c r="A688" s="0" t="s">
        <v>20</v>
      </c>
      <c r="B688" s="0" t="n">
        <v>13</v>
      </c>
      <c r="C688" s="0" t="n">
        <v>15749</v>
      </c>
    </row>
    <row r="689" customFormat="false" ht="12.75" hidden="false" customHeight="false" outlineLevel="0" collapsed="false">
      <c r="A689" s="0" t="s">
        <v>21</v>
      </c>
      <c r="B689" s="0" t="n">
        <v>41</v>
      </c>
      <c r="C689" s="0" t="n">
        <v>15709</v>
      </c>
    </row>
    <row r="690" customFormat="false" ht="12.75" hidden="false" customHeight="false" outlineLevel="0" collapsed="false">
      <c r="A690" s="0" t="s">
        <v>22</v>
      </c>
      <c r="B690" s="0" t="n">
        <v>70</v>
      </c>
      <c r="C690" s="0" t="n">
        <v>15649</v>
      </c>
    </row>
    <row r="691" customFormat="false" ht="12.75" hidden="false" customHeight="false" outlineLevel="0" collapsed="false">
      <c r="A691" s="0" t="s">
        <v>23</v>
      </c>
      <c r="B691" s="3" t="n">
        <v>2049</v>
      </c>
      <c r="C691" s="0" t="n">
        <v>13611</v>
      </c>
    </row>
    <row r="692" customFormat="false" ht="12.75" hidden="false" customHeight="false" outlineLevel="0" collapsed="false">
      <c r="A692" s="0" t="s">
        <v>24</v>
      </c>
      <c r="B692" s="0" t="n">
        <v>99</v>
      </c>
      <c r="C692" s="0" t="n">
        <v>13599</v>
      </c>
    </row>
    <row r="693" customFormat="false" ht="12.75" hidden="false" customHeight="false" outlineLevel="0" collapsed="false">
      <c r="A693" s="0" t="s">
        <v>25</v>
      </c>
      <c r="B693" s="0" t="n">
        <v>34</v>
      </c>
      <c r="C693" s="0" t="n">
        <v>14581</v>
      </c>
    </row>
    <row r="694" customFormat="false" ht="12.75" hidden="false" customHeight="false" outlineLevel="0" collapsed="false">
      <c r="A694" s="0" t="s">
        <v>26</v>
      </c>
      <c r="B694" s="0" t="n">
        <v>587</v>
      </c>
      <c r="C694" s="0" t="n">
        <v>14010</v>
      </c>
    </row>
    <row r="695" customFormat="false" ht="12.75" hidden="false" customHeight="false" outlineLevel="0" collapsed="false">
      <c r="A695" s="0" t="s">
        <v>27</v>
      </c>
      <c r="B695" s="0" t="n">
        <v>8</v>
      </c>
      <c r="C695" s="0" t="n">
        <v>14706</v>
      </c>
    </row>
    <row r="696" customFormat="false" ht="12.75" hidden="false" customHeight="false" outlineLevel="0" collapsed="false">
      <c r="A696" s="0" t="s">
        <v>28</v>
      </c>
      <c r="B696" s="0" t="n">
        <v>20</v>
      </c>
      <c r="C696" s="0" t="n">
        <v>14698</v>
      </c>
    </row>
    <row r="697" customFormat="false" ht="12.75" hidden="false" customHeight="false" outlineLevel="0" collapsed="false">
      <c r="A697" s="0" t="s">
        <v>29</v>
      </c>
      <c r="B697" s="0" t="n">
        <v>177</v>
      </c>
      <c r="C697" s="0" t="n">
        <v>15162</v>
      </c>
    </row>
    <row r="698" customFormat="false" ht="12.75" hidden="false" customHeight="false" outlineLevel="0" collapsed="false">
      <c r="A698" s="0" t="s">
        <v>30</v>
      </c>
      <c r="B698" s="0" t="n">
        <v>9</v>
      </c>
      <c r="C698" s="0" t="n">
        <v>15243</v>
      </c>
    </row>
    <row r="699" customFormat="false" ht="12.75" hidden="false" customHeight="false" outlineLevel="0" collapsed="false">
      <c r="A699" s="0" t="s">
        <v>31</v>
      </c>
      <c r="B699" s="0" t="n">
        <v>35</v>
      </c>
      <c r="C699" s="0" t="n">
        <v>15213</v>
      </c>
    </row>
    <row r="700" customFormat="false" ht="12.75" hidden="false" customHeight="false" outlineLevel="0" collapsed="false">
      <c r="A700" s="0" t="s">
        <v>32</v>
      </c>
      <c r="B700" s="0" t="n">
        <v>17</v>
      </c>
      <c r="C700" s="0" t="n">
        <v>15209</v>
      </c>
    </row>
    <row r="701" customFormat="false" ht="12.75" hidden="false" customHeight="false" outlineLevel="0" collapsed="false">
      <c r="A701" s="0" t="s">
        <v>33</v>
      </c>
      <c r="B701" s="0" t="n">
        <v>90</v>
      </c>
      <c r="C701" s="0" t="n">
        <v>15147</v>
      </c>
    </row>
    <row r="702" customFormat="false" ht="12.75" hidden="false" customHeight="false" outlineLevel="0" collapsed="false">
      <c r="A702" s="0" t="s">
        <v>34</v>
      </c>
      <c r="B702" s="0" t="n">
        <v>118</v>
      </c>
      <c r="C702" s="0" t="n">
        <v>15083</v>
      </c>
    </row>
    <row r="703" customFormat="false" ht="12.75" hidden="false" customHeight="false" outlineLevel="0" collapsed="false">
      <c r="A703" s="0" t="s">
        <v>35</v>
      </c>
      <c r="B703" s="0" t="n">
        <v>8</v>
      </c>
      <c r="C703" s="0" t="n">
        <v>15109</v>
      </c>
    </row>
    <row r="704" customFormat="false" ht="12.75" hidden="false" customHeight="false" outlineLevel="0" collapsed="false">
      <c r="A704" s="0" t="s">
        <v>36</v>
      </c>
      <c r="B704" s="3" t="n">
        <v>1977</v>
      </c>
      <c r="C704" s="0" t="n">
        <v>13152</v>
      </c>
    </row>
    <row r="705" customFormat="false" ht="12.75" hidden="false" customHeight="false" outlineLevel="0" collapsed="false">
      <c r="A705" s="0" t="s">
        <v>37</v>
      </c>
      <c r="B705" s="0" t="n">
        <v>55</v>
      </c>
      <c r="C705" s="0" t="n">
        <v>13203</v>
      </c>
    </row>
    <row r="706" customFormat="false" ht="12.75" hidden="false" customHeight="false" outlineLevel="0" collapsed="false">
      <c r="A706" s="0" t="s">
        <v>38</v>
      </c>
      <c r="B706" s="0" t="n">
        <v>23</v>
      </c>
      <c r="C706" s="0" t="n">
        <v>13240</v>
      </c>
    </row>
    <row r="707" customFormat="false" ht="12.75" hidden="false" customHeight="false" outlineLevel="0" collapsed="false">
      <c r="A707" s="0" t="s">
        <v>39</v>
      </c>
      <c r="B707" s="0" t="n">
        <v>295</v>
      </c>
      <c r="C707" s="0" t="n">
        <v>12968</v>
      </c>
    </row>
    <row r="708" customFormat="false" ht="12.75" hidden="false" customHeight="false" outlineLevel="0" collapsed="false">
      <c r="A708" s="0" t="s">
        <v>40</v>
      </c>
      <c r="B708" s="0" t="n">
        <v>13</v>
      </c>
      <c r="C708" s="0" t="n">
        <v>12990</v>
      </c>
    </row>
    <row r="709" customFormat="false" ht="12.75" hidden="false" customHeight="false" outlineLevel="0" collapsed="false">
      <c r="A709" s="0" t="s">
        <v>41</v>
      </c>
      <c r="B709" s="0" t="n">
        <v>157</v>
      </c>
      <c r="C709" s="0" t="n">
        <v>12833</v>
      </c>
    </row>
    <row r="710" customFormat="false" ht="12.75" hidden="false" customHeight="false" outlineLevel="0" collapsed="false">
      <c r="A710" s="0" t="s">
        <v>42</v>
      </c>
      <c r="B710" s="0" t="n">
        <v>18</v>
      </c>
      <c r="C710" s="0" t="n">
        <v>12847</v>
      </c>
    </row>
    <row r="711" customFormat="false" ht="12.75" hidden="false" customHeight="false" outlineLevel="0" collapsed="false">
      <c r="A711" s="0" t="s">
        <v>43</v>
      </c>
      <c r="B711" s="0" t="n">
        <v>705</v>
      </c>
      <c r="C711" s="0" t="n">
        <v>12462</v>
      </c>
    </row>
    <row r="712" customFormat="false" ht="12.75" hidden="false" customHeight="false" outlineLevel="0" collapsed="false">
      <c r="A712" s="0" t="s">
        <v>44</v>
      </c>
      <c r="B712" s="0" t="n">
        <v>209</v>
      </c>
      <c r="C712" s="0" t="n">
        <v>12311</v>
      </c>
    </row>
    <row r="713" customFormat="false" ht="12.75" hidden="false" customHeight="false" outlineLevel="0" collapsed="false">
      <c r="A713" s="0" t="s">
        <v>45</v>
      </c>
      <c r="B713" s="0" t="n">
        <v>35</v>
      </c>
      <c r="C713" s="0" t="n">
        <v>12435</v>
      </c>
    </row>
    <row r="714" customFormat="false" ht="12.75" hidden="false" customHeight="false" outlineLevel="0" collapsed="false">
      <c r="A714" s="0" t="s">
        <v>46</v>
      </c>
      <c r="B714" s="0" t="n">
        <v>4</v>
      </c>
      <c r="C714" s="0" t="n">
        <v>12451</v>
      </c>
    </row>
    <row r="715" customFormat="false" ht="12.75" hidden="false" customHeight="false" outlineLevel="0" collapsed="false">
      <c r="A715" s="0" t="s">
        <v>47</v>
      </c>
      <c r="B715" s="0" t="n">
        <v>108</v>
      </c>
      <c r="C715" s="0" t="n">
        <v>12345</v>
      </c>
    </row>
    <row r="716" customFormat="false" ht="12.75" hidden="false" customHeight="false" outlineLevel="0" collapsed="false">
      <c r="A716" s="0" t="s">
        <v>48</v>
      </c>
      <c r="B716" s="0" t="n">
        <v>48</v>
      </c>
      <c r="C716" s="0" t="n">
        <v>12367</v>
      </c>
    </row>
    <row r="717" customFormat="false" ht="12.75" hidden="false" customHeight="false" outlineLevel="0" collapsed="false">
      <c r="A717" s="0" t="s">
        <v>49</v>
      </c>
      <c r="B717" s="0" t="n">
        <v>102</v>
      </c>
      <c r="C717" s="0" t="n">
        <v>12316</v>
      </c>
    </row>
    <row r="718" customFormat="false" ht="12.75" hidden="false" customHeight="false" outlineLevel="0" collapsed="false">
      <c r="A718" s="0" t="s">
        <v>50</v>
      </c>
      <c r="B718" s="0" t="n">
        <v>267</v>
      </c>
      <c r="C718" s="0" t="n">
        <v>12051</v>
      </c>
    </row>
    <row r="719" customFormat="false" ht="12.75" hidden="false" customHeight="false" outlineLevel="0" collapsed="false">
      <c r="A719" s="0" t="s">
        <v>51</v>
      </c>
      <c r="B719" s="0" t="n">
        <v>22</v>
      </c>
      <c r="C719" s="0" t="n">
        <v>12732</v>
      </c>
    </row>
    <row r="720" customFormat="false" ht="12.75" hidden="false" customHeight="false" outlineLevel="0" collapsed="false">
      <c r="A720" s="0" t="s">
        <v>131</v>
      </c>
      <c r="B720" s="3" t="n">
        <v>5811</v>
      </c>
      <c r="C720" s="0" t="n">
        <v>6939</v>
      </c>
    </row>
    <row r="721" customFormat="false" ht="12.75" hidden="false" customHeight="false" outlineLevel="0" collapsed="false">
      <c r="A721" s="0" t="s">
        <v>1</v>
      </c>
      <c r="B721" s="0" t="n">
        <v>3</v>
      </c>
      <c r="C721" s="0" t="n">
        <v>11496</v>
      </c>
    </row>
    <row r="722" customFormat="false" ht="12.75" hidden="false" customHeight="false" outlineLevel="0" collapsed="false">
      <c r="A722" s="0" t="s">
        <v>2</v>
      </c>
      <c r="B722" s="0" t="n">
        <v>11</v>
      </c>
      <c r="C722" s="0" t="n">
        <v>11502</v>
      </c>
    </row>
    <row r="723" customFormat="false" ht="12.75" hidden="false" customHeight="false" outlineLevel="0" collapsed="false">
      <c r="A723" s="0" t="s">
        <v>3</v>
      </c>
      <c r="B723" s="0" t="n">
        <v>88</v>
      </c>
      <c r="C723" s="0" t="n">
        <v>11424</v>
      </c>
    </row>
    <row r="724" customFormat="false" ht="12.75" hidden="false" customHeight="false" outlineLevel="0" collapsed="false">
      <c r="A724" s="0" t="s">
        <v>4</v>
      </c>
      <c r="B724" s="0" t="n">
        <v>65</v>
      </c>
      <c r="C724" s="0" t="n">
        <v>11465</v>
      </c>
    </row>
    <row r="725" customFormat="false" ht="12.75" hidden="false" customHeight="false" outlineLevel="0" collapsed="false">
      <c r="A725" s="0" t="s">
        <v>5</v>
      </c>
      <c r="B725" s="0" t="n">
        <v>234</v>
      </c>
      <c r="C725" s="0" t="n">
        <v>11406</v>
      </c>
    </row>
    <row r="726" customFormat="false" ht="12.75" hidden="false" customHeight="false" outlineLevel="0" collapsed="false">
      <c r="A726" s="0" t="s">
        <v>6</v>
      </c>
      <c r="B726" s="0" t="n">
        <v>270</v>
      </c>
      <c r="C726" s="0" t="n">
        <v>11321</v>
      </c>
    </row>
    <row r="727" customFormat="false" ht="12.75" hidden="false" customHeight="false" outlineLevel="0" collapsed="false">
      <c r="A727" s="0" t="s">
        <v>7</v>
      </c>
      <c r="B727" s="0" t="n">
        <v>5</v>
      </c>
      <c r="C727" s="0" t="n">
        <v>12157</v>
      </c>
    </row>
    <row r="728" customFormat="false" ht="12.75" hidden="false" customHeight="false" outlineLevel="0" collapsed="false">
      <c r="A728" s="0" t="s">
        <v>8</v>
      </c>
      <c r="B728" s="0" t="n">
        <v>11</v>
      </c>
      <c r="C728" s="0" t="n">
        <v>12151</v>
      </c>
    </row>
    <row r="729" customFormat="false" ht="12.75" hidden="false" customHeight="false" outlineLevel="0" collapsed="false">
      <c r="A729" s="0" t="s">
        <v>9</v>
      </c>
      <c r="B729" s="0" t="n">
        <v>40</v>
      </c>
      <c r="C729" s="0" t="n">
        <v>12111</v>
      </c>
    </row>
    <row r="730" customFormat="false" ht="12.75" hidden="false" customHeight="false" outlineLevel="0" collapsed="false">
      <c r="A730" s="0" t="s">
        <v>10</v>
      </c>
      <c r="B730" s="0" t="n">
        <v>158</v>
      </c>
      <c r="C730" s="0" t="n">
        <v>12008</v>
      </c>
    </row>
    <row r="731" customFormat="false" ht="12.75" hidden="false" customHeight="false" outlineLevel="0" collapsed="false">
      <c r="A731" s="0" t="s">
        <v>11</v>
      </c>
      <c r="B731" s="0" t="n">
        <v>83</v>
      </c>
      <c r="C731" s="0" t="n">
        <v>12057</v>
      </c>
    </row>
    <row r="732" customFormat="false" ht="12.75" hidden="false" customHeight="false" outlineLevel="0" collapsed="false">
      <c r="A732" s="0" t="s">
        <v>12</v>
      </c>
      <c r="B732" s="0" t="n">
        <v>21</v>
      </c>
      <c r="C732" s="0" t="n">
        <v>12107</v>
      </c>
    </row>
    <row r="733" customFormat="false" ht="12.75" hidden="false" customHeight="false" outlineLevel="0" collapsed="false">
      <c r="A733" s="0" t="s">
        <v>13</v>
      </c>
      <c r="B733" s="0" t="n">
        <v>16</v>
      </c>
      <c r="C733" s="0" t="n">
        <v>12110</v>
      </c>
    </row>
    <row r="734" customFormat="false" ht="12.75" hidden="false" customHeight="false" outlineLevel="0" collapsed="false">
      <c r="A734" s="0" t="s">
        <v>14</v>
      </c>
      <c r="B734" s="3" t="n">
        <v>1100</v>
      </c>
      <c r="C734" s="0" t="n">
        <v>11016</v>
      </c>
    </row>
    <row r="735" customFormat="false" ht="12.75" hidden="false" customHeight="false" outlineLevel="0" collapsed="false">
      <c r="A735" s="0" t="s">
        <v>15</v>
      </c>
      <c r="B735" s="0" t="n">
        <v>188</v>
      </c>
      <c r="C735" s="0" t="n">
        <v>11060</v>
      </c>
    </row>
    <row r="736" customFormat="false" ht="12.75" hidden="false" customHeight="false" outlineLevel="0" collapsed="false">
      <c r="A736" s="0" t="s">
        <v>17</v>
      </c>
      <c r="B736" s="0" t="n">
        <v>194</v>
      </c>
      <c r="C736" s="0" t="n">
        <v>10943</v>
      </c>
    </row>
    <row r="737" customFormat="false" ht="12.75" hidden="false" customHeight="false" outlineLevel="0" collapsed="false">
      <c r="A737" s="0" t="s">
        <v>18</v>
      </c>
      <c r="B737" s="0" t="n">
        <v>26</v>
      </c>
      <c r="C737" s="0" t="n">
        <v>11170</v>
      </c>
    </row>
    <row r="738" customFormat="false" ht="12.75" hidden="false" customHeight="false" outlineLevel="0" collapsed="false">
      <c r="A738" s="0" t="s">
        <v>19</v>
      </c>
      <c r="B738" s="0" t="n">
        <v>25</v>
      </c>
      <c r="C738" s="0" t="n">
        <v>11183</v>
      </c>
    </row>
    <row r="739" customFormat="false" ht="12.75" hidden="false" customHeight="false" outlineLevel="0" collapsed="false">
      <c r="A739" s="0" t="s">
        <v>20</v>
      </c>
      <c r="B739" s="0" t="n">
        <v>1</v>
      </c>
      <c r="C739" s="0" t="n">
        <v>11221</v>
      </c>
    </row>
    <row r="740" customFormat="false" ht="12.75" hidden="false" customHeight="false" outlineLevel="0" collapsed="false">
      <c r="A740" s="0" t="s">
        <v>21</v>
      </c>
      <c r="B740" s="0" t="n">
        <v>10</v>
      </c>
      <c r="C740" s="0" t="n">
        <v>11216</v>
      </c>
    </row>
    <row r="741" customFormat="false" ht="12.75" hidden="false" customHeight="false" outlineLevel="0" collapsed="false">
      <c r="A741" s="0" t="s">
        <v>22</v>
      </c>
      <c r="B741" s="0" t="n">
        <v>11</v>
      </c>
      <c r="C741" s="0" t="n">
        <v>11221</v>
      </c>
    </row>
    <row r="742" customFormat="false" ht="12.75" hidden="false" customHeight="false" outlineLevel="0" collapsed="false">
      <c r="A742" s="0" t="s">
        <v>23</v>
      </c>
      <c r="B742" s="0" t="n">
        <v>87</v>
      </c>
      <c r="C742" s="0" t="n">
        <v>11156</v>
      </c>
    </row>
    <row r="743" customFormat="false" ht="12.75" hidden="false" customHeight="false" outlineLevel="0" collapsed="false">
      <c r="A743" s="0" t="s">
        <v>24</v>
      </c>
      <c r="B743" s="3" t="n">
        <v>1016</v>
      </c>
      <c r="C743" s="0" t="n">
        <v>10207</v>
      </c>
    </row>
    <row r="744" customFormat="false" ht="12.75" hidden="false" customHeight="false" outlineLevel="0" collapsed="false">
      <c r="A744" s="0" t="s">
        <v>25</v>
      </c>
      <c r="B744" s="0" t="n">
        <v>16</v>
      </c>
      <c r="C744" s="0" t="n">
        <v>10298</v>
      </c>
    </row>
    <row r="745" customFormat="false" ht="12.75" hidden="false" customHeight="false" outlineLevel="0" collapsed="false">
      <c r="A745" s="0" t="s">
        <v>26</v>
      </c>
      <c r="B745" s="0" t="n">
        <v>704</v>
      </c>
      <c r="C745" s="0" t="n">
        <v>9615</v>
      </c>
    </row>
    <row r="746" customFormat="false" ht="12.75" hidden="false" customHeight="false" outlineLevel="0" collapsed="false">
      <c r="A746" s="0" t="s">
        <v>27</v>
      </c>
      <c r="B746" s="0" t="n">
        <v>12</v>
      </c>
      <c r="C746" s="0" t="n">
        <v>11689</v>
      </c>
    </row>
    <row r="747" customFormat="false" ht="12.75" hidden="false" customHeight="false" outlineLevel="0" collapsed="false">
      <c r="A747" s="0" t="s">
        <v>28</v>
      </c>
      <c r="B747" s="0" t="n">
        <v>641</v>
      </c>
      <c r="C747" s="0" t="n">
        <v>11075</v>
      </c>
    </row>
    <row r="748" customFormat="false" ht="12.75" hidden="false" customHeight="false" outlineLevel="0" collapsed="false">
      <c r="A748" s="0" t="s">
        <v>29</v>
      </c>
      <c r="B748" s="0" t="n">
        <v>90</v>
      </c>
      <c r="C748" s="0" t="n">
        <v>11673</v>
      </c>
    </row>
    <row r="749" customFormat="false" ht="12.75" hidden="false" customHeight="false" outlineLevel="0" collapsed="false">
      <c r="A749" s="0" t="s">
        <v>30</v>
      </c>
      <c r="B749" s="0" t="n">
        <v>5</v>
      </c>
      <c r="C749" s="0" t="n">
        <v>11818</v>
      </c>
    </row>
    <row r="750" customFormat="false" ht="12.75" hidden="false" customHeight="false" outlineLevel="0" collapsed="false">
      <c r="A750" s="0" t="s">
        <v>31</v>
      </c>
      <c r="B750" s="0" t="n">
        <v>13</v>
      </c>
      <c r="C750" s="0" t="n">
        <v>11806</v>
      </c>
    </row>
    <row r="751" customFormat="false" ht="12.75" hidden="false" customHeight="false" outlineLevel="0" collapsed="false">
      <c r="A751" s="0" t="s">
        <v>32</v>
      </c>
      <c r="B751" s="0" t="n">
        <v>28</v>
      </c>
      <c r="C751" s="0" t="n">
        <v>11799</v>
      </c>
    </row>
    <row r="752" customFormat="false" ht="12.75" hidden="false" customHeight="false" outlineLevel="0" collapsed="false">
      <c r="A752" s="0" t="s">
        <v>33</v>
      </c>
      <c r="B752" s="0" t="n">
        <v>54</v>
      </c>
      <c r="C752" s="0" t="n">
        <v>11816</v>
      </c>
    </row>
    <row r="753" customFormat="false" ht="12.75" hidden="false" customHeight="false" outlineLevel="0" collapsed="false">
      <c r="A753" s="0" t="s">
        <v>34</v>
      </c>
      <c r="B753" s="0" t="n">
        <v>34</v>
      </c>
      <c r="C753" s="0" t="n">
        <v>11844</v>
      </c>
    </row>
    <row r="754" customFormat="false" ht="12.75" hidden="false" customHeight="false" outlineLevel="0" collapsed="false">
      <c r="A754" s="0" t="s">
        <v>35</v>
      </c>
      <c r="B754" s="0" t="n">
        <v>20</v>
      </c>
      <c r="C754" s="0" t="n">
        <v>11868</v>
      </c>
    </row>
    <row r="755" customFormat="false" ht="12.75" hidden="false" customHeight="false" outlineLevel="0" collapsed="false">
      <c r="A755" s="0" t="s">
        <v>36</v>
      </c>
      <c r="B755" s="0" t="n">
        <v>106</v>
      </c>
      <c r="C755" s="0" t="n">
        <v>11793</v>
      </c>
    </row>
    <row r="756" customFormat="false" ht="12.75" hidden="false" customHeight="false" outlineLevel="0" collapsed="false">
      <c r="A756" s="0" t="s">
        <v>37</v>
      </c>
      <c r="B756" s="0" t="n">
        <v>60</v>
      </c>
      <c r="C756" s="0" t="n">
        <v>11840</v>
      </c>
    </row>
    <row r="757" customFormat="false" ht="12.75" hidden="false" customHeight="false" outlineLevel="0" collapsed="false">
      <c r="A757" s="0" t="s">
        <v>38</v>
      </c>
      <c r="B757" s="0" t="n">
        <v>23</v>
      </c>
      <c r="C757" s="0" t="n">
        <v>12743</v>
      </c>
    </row>
    <row r="758" customFormat="false" ht="12.75" hidden="false" customHeight="false" outlineLevel="0" collapsed="false">
      <c r="A758" s="0" t="s">
        <v>39</v>
      </c>
      <c r="B758" s="0" t="n">
        <v>35</v>
      </c>
      <c r="C758" s="0" t="n">
        <v>12725</v>
      </c>
    </row>
    <row r="759" customFormat="false" ht="12.75" hidden="false" customHeight="false" outlineLevel="0" collapsed="false">
      <c r="A759" s="0" t="s">
        <v>40</v>
      </c>
      <c r="B759" s="0" t="s">
        <v>156</v>
      </c>
      <c r="C759" s="0" t="n">
        <v>12768</v>
      </c>
    </row>
    <row r="760" customFormat="false" ht="12.75" hidden="false" customHeight="false" outlineLevel="0" collapsed="false">
      <c r="A760" s="0" t="s">
        <v>41</v>
      </c>
      <c r="B760" s="0" t="n">
        <v>32</v>
      </c>
      <c r="C760" s="0" t="n">
        <v>12737</v>
      </c>
    </row>
    <row r="761" customFormat="false" ht="12.75" hidden="false" customHeight="false" outlineLevel="0" collapsed="false">
      <c r="A761" s="0" t="s">
        <v>42</v>
      </c>
      <c r="B761" s="0" t="n">
        <v>320</v>
      </c>
      <c r="C761" s="0" t="n">
        <v>12428</v>
      </c>
    </row>
    <row r="762" customFormat="false" ht="12.75" hidden="false" customHeight="false" outlineLevel="0" collapsed="false">
      <c r="A762" s="0" t="s">
        <v>43</v>
      </c>
      <c r="B762" s="0" t="n">
        <v>58</v>
      </c>
      <c r="C762" s="0" t="n">
        <v>12407</v>
      </c>
    </row>
    <row r="763" customFormat="false" ht="12.75" hidden="false" customHeight="false" outlineLevel="0" collapsed="false">
      <c r="A763" s="0" t="s">
        <v>44</v>
      </c>
      <c r="B763" s="0" t="n">
        <v>159</v>
      </c>
      <c r="C763" s="0" t="n">
        <v>12287</v>
      </c>
    </row>
    <row r="764" customFormat="false" ht="12.75" hidden="false" customHeight="false" outlineLevel="0" collapsed="false">
      <c r="A764" s="0" t="s">
        <v>45</v>
      </c>
      <c r="B764" s="0" t="n">
        <v>20</v>
      </c>
      <c r="C764" s="0" t="n">
        <v>12733</v>
      </c>
    </row>
    <row r="765" customFormat="false" ht="12.75" hidden="false" customHeight="false" outlineLevel="0" collapsed="false">
      <c r="A765" s="0" t="s">
        <v>46</v>
      </c>
      <c r="B765" s="0" t="n">
        <v>2</v>
      </c>
      <c r="C765" s="0" t="n">
        <v>12784</v>
      </c>
    </row>
    <row r="766" customFormat="false" ht="12.75" hidden="false" customHeight="false" outlineLevel="0" collapsed="false">
      <c r="A766" s="0" t="s">
        <v>47</v>
      </c>
      <c r="B766" s="0" t="n">
        <v>70</v>
      </c>
      <c r="C766" s="0" t="n">
        <v>12714</v>
      </c>
    </row>
    <row r="767" customFormat="false" ht="12.75" hidden="false" customHeight="false" outlineLevel="0" collapsed="false">
      <c r="A767" s="0" t="s">
        <v>48</v>
      </c>
      <c r="B767" s="0" t="n">
        <v>51</v>
      </c>
      <c r="C767" s="0" t="n">
        <v>12692</v>
      </c>
    </row>
    <row r="768" customFormat="false" ht="12.75" hidden="false" customHeight="false" outlineLevel="0" collapsed="false">
      <c r="A768" s="0" t="s">
        <v>49</v>
      </c>
      <c r="B768" s="0" t="n">
        <v>2</v>
      </c>
      <c r="C768" s="0" t="n">
        <v>12775</v>
      </c>
    </row>
    <row r="769" customFormat="false" ht="12.75" hidden="false" customHeight="false" outlineLevel="0" collapsed="false">
      <c r="A769" s="0" t="s">
        <v>50</v>
      </c>
      <c r="B769" s="0" t="n">
        <v>703</v>
      </c>
      <c r="C769" s="0" t="n">
        <v>12078</v>
      </c>
    </row>
    <row r="770" customFormat="false" ht="12.75" hidden="false" customHeight="false" outlineLevel="0" collapsed="false">
      <c r="A770" s="0" t="s">
        <v>51</v>
      </c>
      <c r="B770" s="0" t="n">
        <v>18</v>
      </c>
      <c r="C770" s="0" t="n">
        <v>12111</v>
      </c>
    </row>
    <row r="771" customFormat="false" ht="12.75" hidden="false" customHeight="false" outlineLevel="0" collapsed="false">
      <c r="A771" s="0" t="s">
        <v>132</v>
      </c>
      <c r="B771" s="3" t="n">
        <v>4560</v>
      </c>
      <c r="C771" s="0" t="n">
        <v>7596</v>
      </c>
    </row>
    <row r="772" customFormat="false" ht="12.75" hidden="false" customHeight="false" outlineLevel="0" collapsed="false">
      <c r="A772" s="0" t="s">
        <v>1</v>
      </c>
      <c r="B772" s="0" t="n">
        <v>17</v>
      </c>
      <c r="C772" s="0" t="n">
        <v>13153</v>
      </c>
    </row>
    <row r="773" customFormat="false" ht="12.75" hidden="false" customHeight="false" outlineLevel="0" collapsed="false">
      <c r="A773" s="0" t="s">
        <v>2</v>
      </c>
      <c r="B773" s="0" t="n">
        <v>10</v>
      </c>
      <c r="C773" s="0" t="n">
        <v>13354</v>
      </c>
    </row>
    <row r="774" customFormat="false" ht="12.75" hidden="false" customHeight="false" outlineLevel="0" collapsed="false">
      <c r="A774" s="0" t="s">
        <v>3</v>
      </c>
      <c r="B774" s="0" t="n">
        <v>106</v>
      </c>
      <c r="C774" s="0" t="n">
        <v>13250</v>
      </c>
    </row>
    <row r="775" customFormat="false" ht="12.75" hidden="false" customHeight="false" outlineLevel="0" collapsed="false">
      <c r="A775" s="0" t="s">
        <v>4</v>
      </c>
      <c r="B775" s="0" t="n">
        <v>175</v>
      </c>
      <c r="C775" s="0" t="n">
        <v>13125</v>
      </c>
    </row>
    <row r="776" customFormat="false" ht="12.75" hidden="false" customHeight="false" outlineLevel="0" collapsed="false">
      <c r="A776" s="0" t="s">
        <v>5</v>
      </c>
      <c r="B776" s="0" t="n">
        <v>185</v>
      </c>
      <c r="C776" s="0" t="n">
        <v>12991</v>
      </c>
    </row>
    <row r="777" customFormat="false" ht="12.75" hidden="false" customHeight="false" outlineLevel="0" collapsed="false">
      <c r="A777" s="0" t="s">
        <v>6</v>
      </c>
      <c r="B777" s="0" t="n">
        <v>841</v>
      </c>
      <c r="C777" s="0" t="n">
        <v>12268</v>
      </c>
    </row>
    <row r="778" customFormat="false" ht="12.75" hidden="false" customHeight="false" outlineLevel="0" collapsed="false">
      <c r="A778" s="0" t="s">
        <v>7</v>
      </c>
      <c r="B778" s="0" t="n">
        <v>5</v>
      </c>
      <c r="C778" s="0" t="n">
        <v>12310</v>
      </c>
    </row>
    <row r="779" customFormat="false" ht="12.75" hidden="false" customHeight="false" outlineLevel="0" collapsed="false">
      <c r="A779" s="0" t="s">
        <v>8</v>
      </c>
      <c r="B779" s="0" t="s">
        <v>156</v>
      </c>
      <c r="C779" s="0" t="n">
        <v>12312</v>
      </c>
    </row>
    <row r="780" customFormat="false" ht="12.75" hidden="false" customHeight="false" outlineLevel="0" collapsed="false">
      <c r="A780" s="0" t="s">
        <v>9</v>
      </c>
      <c r="B780" s="0" t="n">
        <v>55</v>
      </c>
      <c r="C780" s="0" t="n">
        <v>12259</v>
      </c>
    </row>
    <row r="781" customFormat="false" ht="12.75" hidden="false" customHeight="false" outlineLevel="0" collapsed="false">
      <c r="A781" s="0" t="s">
        <v>10</v>
      </c>
      <c r="B781" s="0" t="n">
        <v>132</v>
      </c>
      <c r="C781" s="0" t="n">
        <v>12207</v>
      </c>
    </row>
    <row r="782" customFormat="false" ht="12.75" hidden="false" customHeight="false" outlineLevel="0" collapsed="false">
      <c r="A782" s="0" t="s">
        <v>11</v>
      </c>
      <c r="B782" s="0" t="n">
        <v>71</v>
      </c>
      <c r="C782" s="0" t="n">
        <v>12830</v>
      </c>
    </row>
    <row r="783" customFormat="false" ht="12.75" hidden="false" customHeight="false" outlineLevel="0" collapsed="false">
      <c r="A783" s="0" t="s">
        <v>12</v>
      </c>
      <c r="B783" s="0" t="n">
        <v>19</v>
      </c>
      <c r="C783" s="0" t="n">
        <v>13128</v>
      </c>
    </row>
    <row r="784" customFormat="false" ht="12.75" hidden="false" customHeight="false" outlineLevel="0" collapsed="false">
      <c r="A784" s="0" t="s">
        <v>13</v>
      </c>
      <c r="B784" s="0" t="n">
        <v>6</v>
      </c>
      <c r="C784" s="0" t="n">
        <v>13125</v>
      </c>
    </row>
    <row r="785" customFormat="false" ht="12.75" hidden="false" customHeight="false" outlineLevel="0" collapsed="false">
      <c r="A785" s="0" t="s">
        <v>14</v>
      </c>
      <c r="B785" s="0" t="n">
        <v>232</v>
      </c>
      <c r="C785" s="0" t="n">
        <v>12894</v>
      </c>
    </row>
    <row r="786" customFormat="false" ht="12.75" hidden="false" customHeight="false" outlineLevel="0" collapsed="false">
      <c r="A786" s="0" t="s">
        <v>15</v>
      </c>
      <c r="B786" s="0" t="n">
        <v>77</v>
      </c>
      <c r="C786" s="0" t="n">
        <v>13379</v>
      </c>
    </row>
    <row r="787" customFormat="false" ht="12.75" hidden="false" customHeight="false" outlineLevel="0" collapsed="false">
      <c r="A787" s="0" t="s">
        <v>16</v>
      </c>
      <c r="B787" s="0" t="n">
        <v>253</v>
      </c>
      <c r="C787" s="0" t="n">
        <v>14515</v>
      </c>
    </row>
    <row r="788" customFormat="false" ht="12.75" hidden="false" customHeight="false" outlineLevel="0" collapsed="false">
      <c r="A788" s="0" t="s">
        <v>18</v>
      </c>
      <c r="B788" s="0" t="n">
        <v>38</v>
      </c>
      <c r="C788" s="0" t="n">
        <v>14488</v>
      </c>
    </row>
    <row r="789" customFormat="false" ht="12.75" hidden="false" customHeight="false" outlineLevel="0" collapsed="false">
      <c r="A789" s="0" t="s">
        <v>19</v>
      </c>
      <c r="B789" s="0" t="n">
        <v>39</v>
      </c>
      <c r="C789" s="0" t="n">
        <v>14482</v>
      </c>
    </row>
    <row r="790" customFormat="false" ht="12.75" hidden="false" customHeight="false" outlineLevel="0" collapsed="false">
      <c r="A790" s="0" t="s">
        <v>20</v>
      </c>
      <c r="B790" s="0" t="n">
        <v>5</v>
      </c>
      <c r="C790" s="0" t="n">
        <v>14532</v>
      </c>
    </row>
    <row r="791" customFormat="false" ht="12.75" hidden="false" customHeight="false" outlineLevel="0" collapsed="false">
      <c r="A791" s="0" t="s">
        <v>21</v>
      </c>
      <c r="B791" s="0" t="n">
        <v>16</v>
      </c>
      <c r="C791" s="0" t="n">
        <v>14530</v>
      </c>
    </row>
    <row r="792" customFormat="false" ht="12.75" hidden="false" customHeight="false" outlineLevel="0" collapsed="false">
      <c r="A792" s="0" t="s">
        <v>22</v>
      </c>
      <c r="B792" s="0" t="n">
        <v>22</v>
      </c>
      <c r="C792" s="0" t="n">
        <v>14569</v>
      </c>
    </row>
    <row r="793" customFormat="false" ht="12.75" hidden="false" customHeight="false" outlineLevel="0" collapsed="false">
      <c r="A793" s="0" t="s">
        <v>23</v>
      </c>
      <c r="B793" s="0" t="n">
        <v>67</v>
      </c>
      <c r="C793" s="0" t="n">
        <v>14527</v>
      </c>
    </row>
    <row r="794" customFormat="false" ht="12.75" hidden="false" customHeight="false" outlineLevel="0" collapsed="false">
      <c r="A794" s="0" t="s">
        <v>24</v>
      </c>
      <c r="B794" s="0" t="n">
        <v>107</v>
      </c>
      <c r="C794" s="0" t="n">
        <v>14765</v>
      </c>
    </row>
    <row r="795" customFormat="false" ht="12.75" hidden="false" customHeight="false" outlineLevel="0" collapsed="false">
      <c r="A795" s="0" t="s">
        <v>25</v>
      </c>
      <c r="B795" s="0" t="n">
        <v>21</v>
      </c>
      <c r="C795" s="0" t="n">
        <v>14781</v>
      </c>
    </row>
    <row r="796" customFormat="false" ht="12.75" hidden="false" customHeight="false" outlineLevel="0" collapsed="false">
      <c r="A796" s="0" t="s">
        <v>26</v>
      </c>
      <c r="B796" s="3" t="n">
        <v>2086</v>
      </c>
      <c r="C796" s="0" t="n">
        <v>12777</v>
      </c>
    </row>
    <row r="797" customFormat="false" ht="12.75" hidden="false" customHeight="false" outlineLevel="0" collapsed="false">
      <c r="A797" s="0" t="s">
        <v>27</v>
      </c>
      <c r="B797" s="0" t="n">
        <v>27</v>
      </c>
      <c r="C797" s="0" t="n">
        <v>13156</v>
      </c>
    </row>
    <row r="798" customFormat="false" ht="12.75" hidden="false" customHeight="false" outlineLevel="0" collapsed="false">
      <c r="A798" s="0" t="s">
        <v>28</v>
      </c>
      <c r="B798" s="0" t="n">
        <v>688</v>
      </c>
      <c r="C798" s="0" t="n">
        <v>12476</v>
      </c>
    </row>
    <row r="799" customFormat="false" ht="12.75" hidden="false" customHeight="false" outlineLevel="0" collapsed="false">
      <c r="A799" s="0" t="s">
        <v>29</v>
      </c>
      <c r="B799" s="0" t="n">
        <v>150</v>
      </c>
      <c r="C799" s="0" t="n">
        <v>12335</v>
      </c>
    </row>
    <row r="800" customFormat="false" ht="12.75" hidden="false" customHeight="false" outlineLevel="0" collapsed="false">
      <c r="A800" s="0" t="s">
        <v>30</v>
      </c>
      <c r="B800" s="0" t="n">
        <v>1</v>
      </c>
      <c r="C800" s="0" t="n">
        <v>12398</v>
      </c>
    </row>
    <row r="801" customFormat="false" ht="12.75" hidden="false" customHeight="false" outlineLevel="0" collapsed="false">
      <c r="A801" s="0" t="s">
        <v>31</v>
      </c>
      <c r="B801" s="0" t="n">
        <v>21</v>
      </c>
      <c r="C801" s="0" t="n">
        <v>12380</v>
      </c>
    </row>
    <row r="802" customFormat="false" ht="12.75" hidden="false" customHeight="false" outlineLevel="0" collapsed="false">
      <c r="A802" s="0" t="s">
        <v>32</v>
      </c>
      <c r="B802" s="0" t="n">
        <v>71</v>
      </c>
      <c r="C802" s="0" t="n">
        <v>12414</v>
      </c>
    </row>
    <row r="803" customFormat="false" ht="12.75" hidden="false" customHeight="false" outlineLevel="0" collapsed="false">
      <c r="A803" s="0" t="s">
        <v>33</v>
      </c>
      <c r="B803" s="0" t="n">
        <v>62</v>
      </c>
      <c r="C803" s="0" t="n">
        <v>12365</v>
      </c>
    </row>
    <row r="804" customFormat="false" ht="12.75" hidden="false" customHeight="false" outlineLevel="0" collapsed="false">
      <c r="A804" s="0" t="s">
        <v>34</v>
      </c>
      <c r="B804" s="0" t="n">
        <v>44</v>
      </c>
      <c r="C804" s="0" t="n">
        <v>12429</v>
      </c>
    </row>
    <row r="805" customFormat="false" ht="12.75" hidden="false" customHeight="false" outlineLevel="0" collapsed="false">
      <c r="A805" s="0" t="s">
        <v>35</v>
      </c>
      <c r="B805" s="0" t="n">
        <v>31</v>
      </c>
      <c r="C805" s="0" t="n">
        <v>12586</v>
      </c>
    </row>
    <row r="806" customFormat="false" ht="12.75" hidden="false" customHeight="false" outlineLevel="0" collapsed="false">
      <c r="A806" s="0" t="s">
        <v>36</v>
      </c>
      <c r="B806" s="0" t="n">
        <v>107</v>
      </c>
      <c r="C806" s="0" t="n">
        <v>12479</v>
      </c>
    </row>
    <row r="807" customFormat="false" ht="12.75" hidden="false" customHeight="false" outlineLevel="0" collapsed="false">
      <c r="A807" s="0" t="s">
        <v>37</v>
      </c>
      <c r="B807" s="0" t="n">
        <v>926</v>
      </c>
      <c r="C807" s="0" t="n">
        <v>13334</v>
      </c>
    </row>
    <row r="808" customFormat="false" ht="12.75" hidden="false" customHeight="false" outlineLevel="0" collapsed="false">
      <c r="A808" s="0" t="s">
        <v>38</v>
      </c>
      <c r="B808" s="0" t="n">
        <v>17</v>
      </c>
      <c r="C808" s="0" t="n">
        <v>13343</v>
      </c>
    </row>
    <row r="809" customFormat="false" ht="12.75" hidden="false" customHeight="false" outlineLevel="0" collapsed="false">
      <c r="A809" s="0" t="s">
        <v>39</v>
      </c>
      <c r="B809" s="0" t="n">
        <v>43</v>
      </c>
      <c r="C809" s="0" t="n">
        <v>13302</v>
      </c>
    </row>
    <row r="810" customFormat="false" ht="12.75" hidden="false" customHeight="false" outlineLevel="0" collapsed="false">
      <c r="A810" s="0" t="s">
        <v>40</v>
      </c>
      <c r="B810" s="0" t="n">
        <v>1</v>
      </c>
      <c r="C810" s="0" t="n">
        <v>13413</v>
      </c>
    </row>
    <row r="811" customFormat="false" ht="12.75" hidden="false" customHeight="false" outlineLevel="0" collapsed="false">
      <c r="A811" s="0" t="s">
        <v>41</v>
      </c>
      <c r="B811" s="0" t="n">
        <v>11</v>
      </c>
      <c r="C811" s="0" t="n">
        <v>13412</v>
      </c>
    </row>
    <row r="812" customFormat="false" ht="12.75" hidden="false" customHeight="false" outlineLevel="0" collapsed="false">
      <c r="A812" s="0" t="s">
        <v>42</v>
      </c>
      <c r="B812" s="0" t="n">
        <v>37</v>
      </c>
      <c r="C812" s="0" t="n">
        <v>13582</v>
      </c>
    </row>
    <row r="813" customFormat="false" ht="12.75" hidden="false" customHeight="false" outlineLevel="0" collapsed="false">
      <c r="A813" s="0" t="s">
        <v>43</v>
      </c>
      <c r="B813" s="0" t="n">
        <v>39</v>
      </c>
      <c r="C813" s="0" t="n">
        <v>13551</v>
      </c>
    </row>
    <row r="814" customFormat="false" ht="12.75" hidden="false" customHeight="false" outlineLevel="0" collapsed="false">
      <c r="A814" s="0" t="s">
        <v>44</v>
      </c>
      <c r="B814" s="0" t="n">
        <v>466</v>
      </c>
      <c r="C814" s="0" t="n">
        <v>14963</v>
      </c>
    </row>
    <row r="815" customFormat="false" ht="12.75" hidden="false" customHeight="false" outlineLevel="0" collapsed="false">
      <c r="A815" s="0" t="s">
        <v>45</v>
      </c>
      <c r="B815" s="0" t="n">
        <v>53</v>
      </c>
      <c r="C815" s="0" t="n">
        <v>15064</v>
      </c>
    </row>
    <row r="816" customFormat="false" ht="12.75" hidden="false" customHeight="false" outlineLevel="0" collapsed="false">
      <c r="A816" s="0" t="s">
        <v>46</v>
      </c>
      <c r="B816" s="0" t="s">
        <v>156</v>
      </c>
      <c r="C816" s="0" t="n">
        <v>15075</v>
      </c>
    </row>
    <row r="817" customFormat="false" ht="12.75" hidden="false" customHeight="false" outlineLevel="0" collapsed="false">
      <c r="A817" s="0" t="s">
        <v>47</v>
      </c>
      <c r="B817" s="0" t="n">
        <v>29</v>
      </c>
      <c r="C817" s="0" t="n">
        <v>15046</v>
      </c>
    </row>
    <row r="818" customFormat="false" ht="12.75" hidden="false" customHeight="false" outlineLevel="0" collapsed="false">
      <c r="A818" s="0" t="s">
        <v>48</v>
      </c>
      <c r="B818" s="0" t="n">
        <v>85</v>
      </c>
      <c r="C818" s="0" t="n">
        <v>15168</v>
      </c>
    </row>
    <row r="819" customFormat="false" ht="12.75" hidden="false" customHeight="false" outlineLevel="0" collapsed="false">
      <c r="A819" s="0" t="s">
        <v>49</v>
      </c>
      <c r="B819" s="0" t="n">
        <v>6</v>
      </c>
      <c r="C819" s="0" t="n">
        <v>15177</v>
      </c>
    </row>
    <row r="820" customFormat="false" ht="12.75" hidden="false" customHeight="false" outlineLevel="0" collapsed="false">
      <c r="A820" s="0" t="s">
        <v>50</v>
      </c>
      <c r="B820" s="0" t="n">
        <v>51</v>
      </c>
      <c r="C820" s="0" t="n">
        <v>15544</v>
      </c>
    </row>
    <row r="821" customFormat="false" ht="12.75" hidden="false" customHeight="false" outlineLevel="0" collapsed="false">
      <c r="A821" s="0" t="s">
        <v>51</v>
      </c>
      <c r="B821" s="0" t="n">
        <v>45</v>
      </c>
      <c r="C821" s="0" t="n">
        <v>15646</v>
      </c>
    </row>
    <row r="822" customFormat="false" ht="12.75" hidden="false" customHeight="false" outlineLevel="0" collapsed="false">
      <c r="A822" s="0" t="s">
        <v>133</v>
      </c>
      <c r="B822" s="3" t="n">
        <v>5574</v>
      </c>
      <c r="C822" s="0" t="n">
        <v>10081</v>
      </c>
    </row>
    <row r="823" customFormat="false" ht="12.75" hidden="false" customHeight="false" outlineLevel="0" collapsed="false">
      <c r="A823" s="0" t="s">
        <v>1</v>
      </c>
      <c r="B823" s="0" t="n">
        <v>211</v>
      </c>
      <c r="C823" s="0" t="n">
        <v>15922</v>
      </c>
    </row>
    <row r="824" customFormat="false" ht="12.75" hidden="false" customHeight="false" outlineLevel="0" collapsed="false">
      <c r="A824" s="0" t="s">
        <v>2</v>
      </c>
      <c r="B824" s="0" t="n">
        <v>2</v>
      </c>
      <c r="C824" s="0" t="n">
        <v>16588</v>
      </c>
    </row>
    <row r="825" customFormat="false" ht="12.75" hidden="false" customHeight="false" outlineLevel="0" collapsed="false">
      <c r="A825" s="0" t="s">
        <v>3</v>
      </c>
      <c r="B825" s="0" t="n">
        <v>50</v>
      </c>
      <c r="C825" s="0" t="n">
        <v>16548</v>
      </c>
    </row>
    <row r="826" customFormat="false" ht="12.75" hidden="false" customHeight="false" outlineLevel="0" collapsed="false">
      <c r="A826" s="0" t="s">
        <v>4</v>
      </c>
      <c r="B826" s="0" t="n">
        <v>51</v>
      </c>
      <c r="C826" s="0" t="n">
        <v>16525</v>
      </c>
    </row>
    <row r="827" customFormat="false" ht="12.75" hidden="false" customHeight="false" outlineLevel="0" collapsed="false">
      <c r="A827" s="0" t="s">
        <v>5</v>
      </c>
      <c r="B827" s="0" t="n">
        <v>118</v>
      </c>
      <c r="C827" s="0" t="n">
        <v>16686</v>
      </c>
    </row>
    <row r="828" customFormat="false" ht="12.75" hidden="false" customHeight="false" outlineLevel="0" collapsed="false">
      <c r="A828" s="0" t="s">
        <v>6</v>
      </c>
      <c r="B828" s="0" t="n">
        <v>47</v>
      </c>
      <c r="C828" s="0" t="n">
        <v>16802</v>
      </c>
    </row>
    <row r="829" customFormat="false" ht="12.75" hidden="false" customHeight="false" outlineLevel="0" collapsed="false">
      <c r="A829" s="0" t="s">
        <v>7</v>
      </c>
      <c r="B829" s="0" t="n">
        <v>2</v>
      </c>
      <c r="C829" s="0" t="n">
        <v>16895</v>
      </c>
    </row>
    <row r="830" customFormat="false" ht="12.75" hidden="false" customHeight="false" outlineLevel="0" collapsed="false">
      <c r="A830" s="0" t="s">
        <v>8</v>
      </c>
      <c r="B830" s="0" t="n">
        <v>2</v>
      </c>
      <c r="C830" s="0" t="n">
        <v>16915</v>
      </c>
    </row>
    <row r="831" customFormat="false" ht="12.75" hidden="false" customHeight="false" outlineLevel="0" collapsed="false">
      <c r="A831" s="0" t="s">
        <v>9</v>
      </c>
      <c r="B831" s="0" t="n">
        <v>80</v>
      </c>
      <c r="C831" s="0" t="n">
        <v>16835</v>
      </c>
    </row>
    <row r="832" customFormat="false" ht="12.75" hidden="false" customHeight="false" outlineLevel="0" collapsed="false">
      <c r="A832" s="0" t="s">
        <v>10</v>
      </c>
      <c r="B832" s="0" t="n">
        <v>694</v>
      </c>
      <c r="C832" s="0" t="n">
        <v>16226</v>
      </c>
    </row>
    <row r="833" customFormat="false" ht="12.75" hidden="false" customHeight="false" outlineLevel="0" collapsed="false">
      <c r="A833" s="0" t="s">
        <v>11</v>
      </c>
      <c r="B833" s="0" t="n">
        <v>317</v>
      </c>
      <c r="C833" s="0" t="n">
        <v>16898</v>
      </c>
    </row>
    <row r="834" customFormat="false" ht="12.75" hidden="false" customHeight="false" outlineLevel="0" collapsed="false">
      <c r="A834" s="0" t="s">
        <v>12</v>
      </c>
      <c r="B834" s="0" t="n">
        <v>3</v>
      </c>
      <c r="C834" s="0" t="n">
        <v>17149</v>
      </c>
    </row>
    <row r="835" customFormat="false" ht="12.75" hidden="false" customHeight="false" outlineLevel="0" collapsed="false">
      <c r="A835" s="0" t="s">
        <v>13</v>
      </c>
      <c r="B835" s="0" t="n">
        <v>1</v>
      </c>
      <c r="C835" s="0" t="n">
        <v>17168</v>
      </c>
    </row>
    <row r="836" customFormat="false" ht="12.75" hidden="false" customHeight="false" outlineLevel="0" collapsed="false">
      <c r="A836" s="0" t="s">
        <v>14</v>
      </c>
      <c r="B836" s="0" t="n">
        <v>562</v>
      </c>
      <c r="C836" s="0" t="n">
        <v>16633</v>
      </c>
    </row>
    <row r="837" customFormat="false" ht="12.75" hidden="false" customHeight="false" outlineLevel="0" collapsed="false">
      <c r="A837" s="0" t="s">
        <v>15</v>
      </c>
      <c r="B837" s="3" t="n">
        <v>1389</v>
      </c>
      <c r="C837" s="0" t="n">
        <v>15349</v>
      </c>
    </row>
    <row r="838" customFormat="false" ht="12.75" hidden="false" customHeight="false" outlineLevel="0" collapsed="false">
      <c r="A838" s="0" t="s">
        <v>16</v>
      </c>
      <c r="B838" s="0" t="n">
        <v>11</v>
      </c>
      <c r="C838" s="0" t="n">
        <v>15359</v>
      </c>
    </row>
    <row r="839" customFormat="false" ht="12.75" hidden="false" customHeight="false" outlineLevel="0" collapsed="false">
      <c r="A839" s="0" t="s">
        <v>17</v>
      </c>
      <c r="B839" s="0" t="n">
        <v>33</v>
      </c>
      <c r="C839" s="0" t="n">
        <v>15372</v>
      </c>
    </row>
    <row r="840" customFormat="false" ht="12.75" hidden="false" customHeight="false" outlineLevel="0" collapsed="false">
      <c r="A840" s="0" t="s">
        <v>19</v>
      </c>
      <c r="B840" s="0" t="n">
        <v>55</v>
      </c>
      <c r="C840" s="0" t="n">
        <v>15351</v>
      </c>
    </row>
    <row r="841" customFormat="false" ht="12.75" hidden="false" customHeight="false" outlineLevel="0" collapsed="false">
      <c r="A841" s="0" t="s">
        <v>20</v>
      </c>
      <c r="B841" s="0" t="n">
        <v>14</v>
      </c>
      <c r="C841" s="0" t="n">
        <v>15371</v>
      </c>
    </row>
    <row r="842" customFormat="false" ht="12.75" hidden="false" customHeight="false" outlineLevel="0" collapsed="false">
      <c r="A842" s="0" t="s">
        <v>21</v>
      </c>
      <c r="B842" s="0" t="n">
        <v>61</v>
      </c>
      <c r="C842" s="0" t="n">
        <v>15319</v>
      </c>
    </row>
    <row r="843" customFormat="false" ht="12.75" hidden="false" customHeight="false" outlineLevel="0" collapsed="false">
      <c r="A843" s="0" t="s">
        <v>22</v>
      </c>
      <c r="B843" s="0" t="n">
        <v>25</v>
      </c>
      <c r="C843" s="0" t="n">
        <v>15328</v>
      </c>
    </row>
    <row r="844" customFormat="false" ht="12.75" hidden="false" customHeight="false" outlineLevel="0" collapsed="false">
      <c r="A844" s="0" t="s">
        <v>23</v>
      </c>
      <c r="B844" s="0" t="n">
        <v>345</v>
      </c>
      <c r="C844" s="0" t="n">
        <v>15003</v>
      </c>
    </row>
    <row r="845" customFormat="false" ht="12.75" hidden="false" customHeight="false" outlineLevel="0" collapsed="false">
      <c r="A845" s="0" t="s">
        <v>24</v>
      </c>
      <c r="B845" s="0" t="n">
        <v>37</v>
      </c>
      <c r="C845" s="0" t="n">
        <v>15009</v>
      </c>
    </row>
    <row r="846" customFormat="false" ht="12.75" hidden="false" customHeight="false" outlineLevel="0" collapsed="false">
      <c r="A846" s="0" t="s">
        <v>25</v>
      </c>
      <c r="B846" s="0" t="n">
        <v>82</v>
      </c>
      <c r="C846" s="0" t="n">
        <v>14952</v>
      </c>
    </row>
    <row r="847" customFormat="false" ht="12.75" hidden="false" customHeight="false" outlineLevel="0" collapsed="false">
      <c r="A847" s="0" t="s">
        <v>26</v>
      </c>
      <c r="B847" s="0" t="n">
        <v>406</v>
      </c>
      <c r="C847" s="0" t="n">
        <v>15858</v>
      </c>
    </row>
    <row r="848" customFormat="false" ht="12.75" hidden="false" customHeight="false" outlineLevel="0" collapsed="false">
      <c r="A848" s="0" t="s">
        <v>27</v>
      </c>
      <c r="B848" s="0" t="n">
        <v>8</v>
      </c>
      <c r="C848" s="0" t="n">
        <v>16048</v>
      </c>
    </row>
    <row r="849" customFormat="false" ht="12.75" hidden="false" customHeight="false" outlineLevel="0" collapsed="false">
      <c r="A849" s="0" t="s">
        <v>28</v>
      </c>
      <c r="B849" s="0" t="n">
        <v>9</v>
      </c>
      <c r="C849" s="0" t="n">
        <v>16050</v>
      </c>
    </row>
    <row r="850" customFormat="false" ht="12.75" hidden="false" customHeight="false" outlineLevel="0" collapsed="false">
      <c r="A850" s="0" t="s">
        <v>29</v>
      </c>
      <c r="B850" s="0" t="n">
        <v>64</v>
      </c>
      <c r="C850" s="0" t="n">
        <v>15996</v>
      </c>
    </row>
    <row r="851" customFormat="false" ht="12.75" hidden="false" customHeight="false" outlineLevel="0" collapsed="false">
      <c r="A851" s="0" t="s">
        <v>30</v>
      </c>
      <c r="B851" s="0" t="n">
        <v>3</v>
      </c>
      <c r="C851" s="0" t="n">
        <v>16064</v>
      </c>
    </row>
    <row r="852" customFormat="false" ht="12.75" hidden="false" customHeight="false" outlineLevel="0" collapsed="false">
      <c r="A852" s="0" t="s">
        <v>31</v>
      </c>
      <c r="B852" s="0" t="n">
        <v>105</v>
      </c>
      <c r="C852" s="0" t="n">
        <v>15960</v>
      </c>
    </row>
    <row r="853" customFormat="false" ht="12.75" hidden="false" customHeight="false" outlineLevel="0" collapsed="false">
      <c r="A853" s="0" t="s">
        <v>32</v>
      </c>
      <c r="B853" s="0" t="n">
        <v>13</v>
      </c>
      <c r="C853" s="0" t="n">
        <v>15971</v>
      </c>
    </row>
    <row r="854" customFormat="false" ht="12.75" hidden="false" customHeight="false" outlineLevel="0" collapsed="false">
      <c r="A854" s="0" t="s">
        <v>33</v>
      </c>
      <c r="B854" s="0" t="n">
        <v>108</v>
      </c>
      <c r="C854" s="0" t="n">
        <v>15914</v>
      </c>
    </row>
    <row r="855" customFormat="false" ht="12.75" hidden="false" customHeight="false" outlineLevel="0" collapsed="false">
      <c r="A855" s="0" t="s">
        <v>34</v>
      </c>
      <c r="B855" s="0" t="n">
        <v>188</v>
      </c>
      <c r="C855" s="0" t="n">
        <v>15806</v>
      </c>
    </row>
    <row r="856" customFormat="false" ht="12.75" hidden="false" customHeight="false" outlineLevel="0" collapsed="false">
      <c r="A856" s="0" t="s">
        <v>35</v>
      </c>
      <c r="B856" s="0" t="s">
        <v>156</v>
      </c>
      <c r="C856" s="0" t="n">
        <v>15883</v>
      </c>
    </row>
    <row r="857" customFormat="false" ht="12.75" hidden="false" customHeight="false" outlineLevel="0" collapsed="false">
      <c r="A857" s="0" t="s">
        <v>36</v>
      </c>
      <c r="B857" s="3" t="n">
        <v>1781</v>
      </c>
      <c r="C857" s="0" t="n">
        <v>14107</v>
      </c>
    </row>
    <row r="858" customFormat="false" ht="12.75" hidden="false" customHeight="false" outlineLevel="0" collapsed="false">
      <c r="A858" s="0" t="s">
        <v>37</v>
      </c>
      <c r="B858" s="0" t="n">
        <v>26</v>
      </c>
      <c r="C858" s="0" t="n">
        <v>14128</v>
      </c>
    </row>
    <row r="859" customFormat="false" ht="12.75" hidden="false" customHeight="false" outlineLevel="0" collapsed="false">
      <c r="A859" s="0" t="s">
        <v>38</v>
      </c>
      <c r="B859" s="0" t="n">
        <v>2</v>
      </c>
      <c r="C859" s="0" t="n">
        <v>14222</v>
      </c>
    </row>
    <row r="860" customFormat="false" ht="12.75" hidden="false" customHeight="false" outlineLevel="0" collapsed="false">
      <c r="A860" s="0" t="s">
        <v>39</v>
      </c>
      <c r="B860" s="0" t="n">
        <v>112</v>
      </c>
      <c r="C860" s="0" t="n">
        <v>14120</v>
      </c>
    </row>
    <row r="861" customFormat="false" ht="12.75" hidden="false" customHeight="false" outlineLevel="0" collapsed="false">
      <c r="A861" s="0" t="s">
        <v>40</v>
      </c>
      <c r="B861" s="0" t="n">
        <v>10</v>
      </c>
      <c r="C861" s="0" t="n">
        <v>14168</v>
      </c>
    </row>
    <row r="862" customFormat="false" ht="12.75" hidden="false" customHeight="false" outlineLevel="0" collapsed="false">
      <c r="A862" s="0" t="s">
        <v>41</v>
      </c>
      <c r="B862" s="0" t="n">
        <v>207</v>
      </c>
      <c r="C862" s="0" t="n">
        <v>13962</v>
      </c>
    </row>
    <row r="863" customFormat="false" ht="12.75" hidden="false" customHeight="false" outlineLevel="0" collapsed="false">
      <c r="A863" s="0" t="s">
        <v>42</v>
      </c>
      <c r="B863" s="0" t="n">
        <v>8</v>
      </c>
      <c r="C863" s="0" t="n">
        <v>14001</v>
      </c>
    </row>
    <row r="864" customFormat="false" ht="12.75" hidden="false" customHeight="false" outlineLevel="0" collapsed="false">
      <c r="A864" s="0" t="s">
        <v>43</v>
      </c>
      <c r="B864" s="3" t="n">
        <v>1878</v>
      </c>
      <c r="C864" s="0" t="n">
        <v>12124</v>
      </c>
    </row>
    <row r="865" customFormat="false" ht="12.75" hidden="false" customHeight="false" outlineLevel="0" collapsed="false">
      <c r="A865" s="0" t="s">
        <v>44</v>
      </c>
      <c r="B865" s="0" t="n">
        <v>154</v>
      </c>
      <c r="C865" s="0" t="n">
        <v>12234</v>
      </c>
    </row>
    <row r="866" customFormat="false" ht="12.75" hidden="false" customHeight="false" outlineLevel="0" collapsed="false">
      <c r="A866" s="0" t="s">
        <v>45</v>
      </c>
      <c r="B866" s="0" t="n">
        <v>11</v>
      </c>
      <c r="C866" s="0" t="n">
        <v>15119</v>
      </c>
    </row>
    <row r="867" customFormat="false" ht="12.75" hidden="false" customHeight="false" outlineLevel="0" collapsed="false">
      <c r="A867" s="0" t="s">
        <v>46</v>
      </c>
      <c r="B867" s="0" t="s">
        <v>156</v>
      </c>
      <c r="C867" s="0" t="n">
        <v>15153</v>
      </c>
    </row>
    <row r="868" customFormat="false" ht="12.75" hidden="false" customHeight="false" outlineLevel="0" collapsed="false">
      <c r="A868" s="0" t="s">
        <v>47</v>
      </c>
      <c r="B868" s="0" t="n">
        <v>207</v>
      </c>
      <c r="C868" s="0" t="n">
        <v>14946</v>
      </c>
    </row>
    <row r="869" customFormat="false" ht="12.75" hidden="false" customHeight="false" outlineLevel="0" collapsed="false">
      <c r="A869" s="0" t="s">
        <v>48</v>
      </c>
      <c r="B869" s="0" t="n">
        <v>15</v>
      </c>
      <c r="C869" s="0" t="n">
        <v>15028</v>
      </c>
    </row>
    <row r="870" customFormat="false" ht="12.75" hidden="false" customHeight="false" outlineLevel="0" collapsed="false">
      <c r="A870" s="0" t="s">
        <v>49</v>
      </c>
      <c r="B870" s="0" t="n">
        <v>418</v>
      </c>
      <c r="C870" s="0" t="n">
        <v>14639</v>
      </c>
    </row>
    <row r="871" customFormat="false" ht="12.75" hidden="false" customHeight="false" outlineLevel="0" collapsed="false">
      <c r="A871" s="0" t="s">
        <v>50</v>
      </c>
      <c r="B871" s="0" t="n">
        <v>147</v>
      </c>
      <c r="C871" s="0" t="n">
        <v>14499</v>
      </c>
    </row>
    <row r="872" customFormat="false" ht="12.75" hidden="false" customHeight="false" outlineLevel="0" collapsed="false">
      <c r="A872" s="0" t="s">
        <v>51</v>
      </c>
      <c r="B872" s="0" t="n">
        <v>9</v>
      </c>
      <c r="C872" s="0" t="n">
        <v>14506</v>
      </c>
    </row>
    <row r="873" customFormat="false" ht="12.75" hidden="false" customHeight="false" outlineLevel="0" collapsed="false">
      <c r="A873" s="0" t="s">
        <v>134</v>
      </c>
      <c r="B873" s="3" t="n">
        <v>6052</v>
      </c>
      <c r="C873" s="0" t="n">
        <v>8474</v>
      </c>
    </row>
    <row r="874" customFormat="false" ht="12.75" hidden="false" customHeight="false" outlineLevel="0" collapsed="false">
      <c r="A874" s="0" t="s">
        <v>1</v>
      </c>
      <c r="B874" s="0" t="n">
        <v>668</v>
      </c>
      <c r="C874" s="0" t="n">
        <v>9950</v>
      </c>
    </row>
    <row r="875" customFormat="false" ht="12.75" hidden="false" customHeight="false" outlineLevel="0" collapsed="false">
      <c r="A875" s="0" t="s">
        <v>2</v>
      </c>
      <c r="B875" s="0" t="n">
        <v>10</v>
      </c>
      <c r="C875" s="0" t="n">
        <v>9943</v>
      </c>
    </row>
    <row r="876" customFormat="false" ht="12.75" hidden="false" customHeight="false" outlineLevel="0" collapsed="false">
      <c r="A876" s="0" t="s">
        <v>3</v>
      </c>
      <c r="B876" s="0" t="n">
        <v>28</v>
      </c>
      <c r="C876" s="0" t="n">
        <v>9923</v>
      </c>
    </row>
    <row r="877" customFormat="false" ht="12.75" hidden="false" customHeight="false" outlineLevel="0" collapsed="false">
      <c r="A877" s="0" t="s">
        <v>4</v>
      </c>
      <c r="B877" s="0" t="n">
        <v>279</v>
      </c>
      <c r="C877" s="0" t="n">
        <v>9654</v>
      </c>
    </row>
    <row r="878" customFormat="false" ht="12.75" hidden="false" customHeight="false" outlineLevel="0" collapsed="false">
      <c r="A878" s="0" t="s">
        <v>5</v>
      </c>
      <c r="B878" s="0" t="n">
        <v>163</v>
      </c>
      <c r="C878" s="0" t="n">
        <v>9491</v>
      </c>
    </row>
    <row r="879" customFormat="false" ht="12.75" hidden="false" customHeight="false" outlineLevel="0" collapsed="false">
      <c r="A879" s="0" t="s">
        <v>6</v>
      </c>
      <c r="B879" s="0" t="n">
        <v>95</v>
      </c>
      <c r="C879" s="0" t="n">
        <v>9424</v>
      </c>
    </row>
    <row r="880" customFormat="false" ht="12.75" hidden="false" customHeight="false" outlineLevel="0" collapsed="false">
      <c r="A880" s="0" t="s">
        <v>7</v>
      </c>
      <c r="B880" s="0" t="n">
        <v>22</v>
      </c>
      <c r="C880" s="0" t="n">
        <v>9409</v>
      </c>
    </row>
    <row r="881" customFormat="false" ht="12.75" hidden="false" customHeight="false" outlineLevel="0" collapsed="false">
      <c r="A881" s="0" t="s">
        <v>8</v>
      </c>
      <c r="B881" s="0" t="s">
        <v>156</v>
      </c>
      <c r="C881" s="0" t="n">
        <v>9608</v>
      </c>
    </row>
    <row r="882" customFormat="false" ht="12.75" hidden="false" customHeight="false" outlineLevel="0" collapsed="false">
      <c r="A882" s="0" t="s">
        <v>9</v>
      </c>
      <c r="B882" s="0" t="n">
        <v>85</v>
      </c>
      <c r="C882" s="0" t="n">
        <v>9529</v>
      </c>
    </row>
    <row r="883" customFormat="false" ht="12.75" hidden="false" customHeight="false" outlineLevel="0" collapsed="false">
      <c r="A883" s="0" t="s">
        <v>10</v>
      </c>
      <c r="B883" s="0" t="n">
        <v>989</v>
      </c>
      <c r="C883" s="0" t="n">
        <v>8572</v>
      </c>
    </row>
    <row r="884" customFormat="false" ht="12.75" hidden="false" customHeight="false" outlineLevel="0" collapsed="false">
      <c r="A884" s="0" t="s">
        <v>11</v>
      </c>
      <c r="B884" s="0" t="n">
        <v>254</v>
      </c>
      <c r="C884" s="0" t="n">
        <v>8469</v>
      </c>
    </row>
    <row r="885" customFormat="false" ht="12.75" hidden="false" customHeight="false" outlineLevel="0" collapsed="false">
      <c r="A885" s="0" t="s">
        <v>12</v>
      </c>
      <c r="B885" s="0" t="n">
        <v>20</v>
      </c>
      <c r="C885" s="0" t="n">
        <v>8466</v>
      </c>
    </row>
    <row r="886" customFormat="false" ht="12.75" hidden="false" customHeight="false" outlineLevel="0" collapsed="false">
      <c r="A886" s="0" t="s">
        <v>13</v>
      </c>
      <c r="B886" s="0" t="n">
        <v>27</v>
      </c>
      <c r="C886" s="0" t="n">
        <v>8446</v>
      </c>
    </row>
    <row r="887" customFormat="false" ht="12.75" hidden="false" customHeight="false" outlineLevel="0" collapsed="false">
      <c r="A887" s="0" t="s">
        <v>14</v>
      </c>
      <c r="B887" s="0" t="n">
        <v>105</v>
      </c>
      <c r="C887" s="0" t="n">
        <v>8342</v>
      </c>
    </row>
    <row r="888" customFormat="false" ht="12.75" hidden="false" customHeight="false" outlineLevel="0" collapsed="false">
      <c r="A888" s="0" t="s">
        <v>15</v>
      </c>
      <c r="B888" s="0" t="n">
        <v>21</v>
      </c>
      <c r="C888" s="0" t="n">
        <v>8336</v>
      </c>
    </row>
    <row r="889" customFormat="false" ht="12.75" hidden="false" customHeight="false" outlineLevel="0" collapsed="false">
      <c r="A889" s="0" t="s">
        <v>16</v>
      </c>
      <c r="B889" s="0" t="n">
        <v>46</v>
      </c>
      <c r="C889" s="0" t="n">
        <v>8300</v>
      </c>
    </row>
    <row r="890" customFormat="false" ht="12.75" hidden="false" customHeight="false" outlineLevel="0" collapsed="false">
      <c r="A890" s="0" t="s">
        <v>17</v>
      </c>
      <c r="B890" s="0" t="n">
        <v>34</v>
      </c>
      <c r="C890" s="0" t="n">
        <v>8267</v>
      </c>
    </row>
    <row r="891" customFormat="false" ht="12.75" hidden="false" customHeight="false" outlineLevel="0" collapsed="false">
      <c r="A891" s="0" t="s">
        <v>18</v>
      </c>
      <c r="B891" s="0" t="n">
        <v>34</v>
      </c>
      <c r="C891" s="0" t="n">
        <v>8234</v>
      </c>
    </row>
    <row r="892" customFormat="false" ht="12.75" hidden="false" customHeight="false" outlineLevel="0" collapsed="false">
      <c r="A892" s="0" t="s">
        <v>20</v>
      </c>
      <c r="B892" s="0" t="n">
        <v>9</v>
      </c>
      <c r="C892" s="0" t="n">
        <v>8231</v>
      </c>
    </row>
    <row r="893" customFormat="false" ht="12.75" hidden="false" customHeight="false" outlineLevel="0" collapsed="false">
      <c r="A893" s="0" t="s">
        <v>21</v>
      </c>
      <c r="B893" s="0" t="n">
        <v>34</v>
      </c>
      <c r="C893" s="0" t="n">
        <v>8204</v>
      </c>
    </row>
    <row r="894" customFormat="false" ht="12.75" hidden="false" customHeight="false" outlineLevel="0" collapsed="false">
      <c r="A894" s="0" t="s">
        <v>22</v>
      </c>
      <c r="B894" s="0" t="n">
        <v>20</v>
      </c>
      <c r="C894" s="0" t="n">
        <v>8214</v>
      </c>
    </row>
    <row r="895" customFormat="false" ht="12.75" hidden="false" customHeight="false" outlineLevel="0" collapsed="false">
      <c r="A895" s="0" t="s">
        <v>23</v>
      </c>
      <c r="B895" s="0" t="n">
        <v>43</v>
      </c>
      <c r="C895" s="0" t="n">
        <v>9160</v>
      </c>
    </row>
    <row r="896" customFormat="false" ht="12.75" hidden="false" customHeight="false" outlineLevel="0" collapsed="false">
      <c r="A896" s="0" t="s">
        <v>24</v>
      </c>
      <c r="B896" s="0" t="n">
        <v>25</v>
      </c>
      <c r="C896" s="0" t="n">
        <v>9154</v>
      </c>
    </row>
    <row r="897" customFormat="false" ht="12.75" hidden="false" customHeight="false" outlineLevel="0" collapsed="false">
      <c r="A897" s="0" t="s">
        <v>25</v>
      </c>
      <c r="B897" s="3" t="n">
        <v>1312</v>
      </c>
      <c r="C897" s="0" t="n">
        <v>7847</v>
      </c>
    </row>
    <row r="898" customFormat="false" ht="12.75" hidden="false" customHeight="false" outlineLevel="0" collapsed="false">
      <c r="A898" s="0" t="s">
        <v>26</v>
      </c>
      <c r="B898" s="0" t="n">
        <v>198</v>
      </c>
      <c r="C898" s="0" t="n">
        <v>7651</v>
      </c>
    </row>
    <row r="899" customFormat="false" ht="12.75" hidden="false" customHeight="false" outlineLevel="0" collapsed="false">
      <c r="A899" s="0" t="s">
        <v>27</v>
      </c>
      <c r="B899" s="0" t="n">
        <v>11</v>
      </c>
      <c r="C899" s="0" t="n">
        <v>7652</v>
      </c>
    </row>
    <row r="900" customFormat="false" ht="12.75" hidden="false" customHeight="false" outlineLevel="0" collapsed="false">
      <c r="A900" s="0" t="s">
        <v>28</v>
      </c>
      <c r="B900" s="0" t="n">
        <v>10</v>
      </c>
      <c r="C900" s="0" t="n">
        <v>7643</v>
      </c>
    </row>
    <row r="901" customFormat="false" ht="12.75" hidden="false" customHeight="false" outlineLevel="0" collapsed="false">
      <c r="A901" s="0" t="s">
        <v>29</v>
      </c>
      <c r="B901" s="0" t="n">
        <v>71</v>
      </c>
      <c r="C901" s="0" t="n">
        <v>7572</v>
      </c>
    </row>
    <row r="902" customFormat="false" ht="12.75" hidden="false" customHeight="false" outlineLevel="0" collapsed="false">
      <c r="A902" s="0" t="s">
        <v>30</v>
      </c>
      <c r="B902" s="0" t="n">
        <v>1</v>
      </c>
      <c r="C902" s="0" t="n">
        <v>7588</v>
      </c>
    </row>
    <row r="903" customFormat="false" ht="12.75" hidden="false" customHeight="false" outlineLevel="0" collapsed="false">
      <c r="A903" s="0" t="s">
        <v>31</v>
      </c>
      <c r="B903" s="0" t="n">
        <v>24</v>
      </c>
      <c r="C903" s="0" t="n">
        <v>8086</v>
      </c>
    </row>
    <row r="904" customFormat="false" ht="12.75" hidden="false" customHeight="false" outlineLevel="0" collapsed="false">
      <c r="A904" s="0" t="s">
        <v>32</v>
      </c>
      <c r="B904" s="0" t="n">
        <v>51</v>
      </c>
      <c r="C904" s="0" t="n">
        <v>8097</v>
      </c>
    </row>
    <row r="905" customFormat="false" ht="12.75" hidden="false" customHeight="false" outlineLevel="0" collapsed="false">
      <c r="A905" s="0" t="s">
        <v>33</v>
      </c>
      <c r="B905" s="0" t="n">
        <v>80</v>
      </c>
      <c r="C905" s="0" t="n">
        <v>8020</v>
      </c>
    </row>
    <row r="906" customFormat="false" ht="12.75" hidden="false" customHeight="false" outlineLevel="0" collapsed="false">
      <c r="A906" s="0" t="s">
        <v>34</v>
      </c>
      <c r="B906" s="0" t="n">
        <v>77</v>
      </c>
      <c r="C906" s="0" t="n">
        <v>8143</v>
      </c>
    </row>
    <row r="907" customFormat="false" ht="12.75" hidden="false" customHeight="false" outlineLevel="0" collapsed="false">
      <c r="A907" s="0" t="s">
        <v>35</v>
      </c>
      <c r="B907" s="0" t="n">
        <v>5</v>
      </c>
      <c r="C907" s="0" t="n">
        <v>8154</v>
      </c>
    </row>
    <row r="908" customFormat="false" ht="12.75" hidden="false" customHeight="false" outlineLevel="0" collapsed="false">
      <c r="A908" s="0" t="s">
        <v>36</v>
      </c>
      <c r="B908" s="0" t="n">
        <v>47</v>
      </c>
      <c r="C908" s="0" t="n">
        <v>8107</v>
      </c>
    </row>
    <row r="909" customFormat="false" ht="12.75" hidden="false" customHeight="false" outlineLevel="0" collapsed="false">
      <c r="A909" s="0" t="s">
        <v>37</v>
      </c>
      <c r="B909" s="0" t="n">
        <v>96</v>
      </c>
      <c r="C909" s="0" t="n">
        <v>8034</v>
      </c>
    </row>
    <row r="910" customFormat="false" ht="12.75" hidden="false" customHeight="false" outlineLevel="0" collapsed="false">
      <c r="A910" s="0" t="s">
        <v>38</v>
      </c>
      <c r="B910" s="0" t="n">
        <v>10</v>
      </c>
      <c r="C910" s="0" t="n">
        <v>8027</v>
      </c>
    </row>
    <row r="911" customFormat="false" ht="12.75" hidden="false" customHeight="false" outlineLevel="0" collapsed="false">
      <c r="A911" s="0" t="s">
        <v>39</v>
      </c>
      <c r="B911" s="0" t="n">
        <v>58</v>
      </c>
      <c r="C911" s="0" t="n">
        <v>7971</v>
      </c>
    </row>
    <row r="912" customFormat="false" ht="12.75" hidden="false" customHeight="false" outlineLevel="0" collapsed="false">
      <c r="A912" s="0" t="s">
        <v>40</v>
      </c>
      <c r="B912" s="0" t="n">
        <v>1</v>
      </c>
      <c r="C912" s="0" t="n">
        <v>8043</v>
      </c>
    </row>
    <row r="913" customFormat="false" ht="12.75" hidden="false" customHeight="false" outlineLevel="0" collapsed="false">
      <c r="A913" s="0" t="s">
        <v>41</v>
      </c>
      <c r="B913" s="0" t="n">
        <v>47</v>
      </c>
      <c r="C913" s="0" t="n">
        <v>8088</v>
      </c>
    </row>
    <row r="914" customFormat="false" ht="12.75" hidden="false" customHeight="false" outlineLevel="0" collapsed="false">
      <c r="A914" s="0" t="s">
        <v>42</v>
      </c>
      <c r="B914" s="0" t="n">
        <v>1</v>
      </c>
      <c r="C914" s="0" t="n">
        <v>8127</v>
      </c>
    </row>
    <row r="915" customFormat="false" ht="12.75" hidden="false" customHeight="false" outlineLevel="0" collapsed="false">
      <c r="A915" s="0" t="s">
        <v>43</v>
      </c>
      <c r="B915" s="0" t="n">
        <v>264</v>
      </c>
      <c r="C915" s="0" t="n">
        <v>7863</v>
      </c>
    </row>
    <row r="916" customFormat="false" ht="12.75" hidden="false" customHeight="false" outlineLevel="0" collapsed="false">
      <c r="A916" s="0" t="s">
        <v>44</v>
      </c>
      <c r="B916" s="3" t="n">
        <v>2896</v>
      </c>
      <c r="C916" s="0" t="n">
        <v>4979</v>
      </c>
    </row>
    <row r="917" customFormat="false" ht="12.75" hidden="false" customHeight="false" outlineLevel="0" collapsed="false">
      <c r="A917" s="0" t="s">
        <v>45</v>
      </c>
      <c r="B917" s="0" t="n">
        <v>34</v>
      </c>
      <c r="C917" s="0" t="n">
        <v>4976</v>
      </c>
    </row>
    <row r="918" customFormat="false" ht="12.75" hidden="false" customHeight="false" outlineLevel="0" collapsed="false">
      <c r="A918" s="0" t="s">
        <v>46</v>
      </c>
      <c r="B918" s="0" t="s">
        <v>156</v>
      </c>
      <c r="C918" s="0" t="n">
        <v>4978</v>
      </c>
    </row>
    <row r="919" customFormat="false" ht="12.75" hidden="false" customHeight="false" outlineLevel="0" collapsed="false">
      <c r="A919" s="0" t="s">
        <v>47</v>
      </c>
      <c r="B919" s="0" t="n">
        <v>97</v>
      </c>
      <c r="C919" s="0" t="n">
        <v>5062</v>
      </c>
    </row>
    <row r="920" customFormat="false" ht="12.75" hidden="false" customHeight="false" outlineLevel="0" collapsed="false">
      <c r="A920" s="0" t="s">
        <v>48</v>
      </c>
      <c r="B920" s="0" t="n">
        <v>29</v>
      </c>
      <c r="C920" s="0" t="n">
        <v>5091</v>
      </c>
    </row>
    <row r="921" customFormat="false" ht="12.75" hidden="false" customHeight="false" outlineLevel="0" collapsed="false">
      <c r="A921" s="0" t="s">
        <v>49</v>
      </c>
      <c r="B921" s="0" t="n">
        <v>7</v>
      </c>
      <c r="C921" s="0" t="n">
        <v>5095</v>
      </c>
    </row>
    <row r="922" customFormat="false" ht="12.75" hidden="false" customHeight="false" outlineLevel="0" collapsed="false">
      <c r="A922" s="0" t="s">
        <v>50</v>
      </c>
      <c r="B922" s="0" t="n">
        <v>16</v>
      </c>
      <c r="C922" s="0" t="n">
        <v>5081</v>
      </c>
    </row>
    <row r="923" customFormat="false" ht="12.75" hidden="false" customHeight="false" outlineLevel="0" collapsed="false">
      <c r="A923" s="0" t="s">
        <v>51</v>
      </c>
      <c r="B923" s="0" t="n">
        <v>20</v>
      </c>
      <c r="C923" s="0" t="n">
        <v>5070</v>
      </c>
    </row>
    <row r="924" customFormat="false" ht="12.75" hidden="false" customHeight="false" outlineLevel="0" collapsed="false">
      <c r="A924" s="0" t="s">
        <v>135</v>
      </c>
      <c r="B924" s="3" t="n">
        <v>2144</v>
      </c>
      <c r="C924" s="0" t="n">
        <v>2927</v>
      </c>
    </row>
    <row r="925" customFormat="false" ht="12.75" hidden="false" customHeight="false" outlineLevel="0" collapsed="false">
      <c r="A925" s="0" t="s">
        <v>1</v>
      </c>
      <c r="B925" s="0" t="n">
        <v>3</v>
      </c>
      <c r="C925" s="0" t="n">
        <v>6386</v>
      </c>
    </row>
    <row r="926" customFormat="false" ht="12.75" hidden="false" customHeight="false" outlineLevel="0" collapsed="false">
      <c r="A926" s="0" t="s">
        <v>2</v>
      </c>
      <c r="B926" s="0" t="n">
        <v>8</v>
      </c>
      <c r="C926" s="0" t="n">
        <v>6490</v>
      </c>
    </row>
    <row r="927" customFormat="false" ht="12.75" hidden="false" customHeight="false" outlineLevel="0" collapsed="false">
      <c r="A927" s="0" t="s">
        <v>3</v>
      </c>
      <c r="B927" s="0" t="n">
        <v>10</v>
      </c>
      <c r="C927" s="0" t="n">
        <v>6498</v>
      </c>
    </row>
    <row r="928" customFormat="false" ht="12.75" hidden="false" customHeight="false" outlineLevel="0" collapsed="false">
      <c r="A928" s="0" t="s">
        <v>4</v>
      </c>
      <c r="B928" s="0" t="s">
        <v>156</v>
      </c>
      <c r="C928" s="0" t="n">
        <v>6591</v>
      </c>
    </row>
    <row r="929" customFormat="false" ht="12.75" hidden="false" customHeight="false" outlineLevel="0" collapsed="false">
      <c r="A929" s="0" t="s">
        <v>5</v>
      </c>
      <c r="B929" s="0" t="n">
        <v>28</v>
      </c>
      <c r="C929" s="0" t="n">
        <v>6581</v>
      </c>
    </row>
    <row r="930" customFormat="false" ht="12.75" hidden="false" customHeight="false" outlineLevel="0" collapsed="false">
      <c r="A930" s="0" t="s">
        <v>6</v>
      </c>
      <c r="B930" s="0" t="n">
        <v>7</v>
      </c>
      <c r="C930" s="0" t="n">
        <v>6856</v>
      </c>
    </row>
    <row r="931" customFormat="false" ht="12.75" hidden="false" customHeight="false" outlineLevel="0" collapsed="false">
      <c r="A931" s="0" t="s">
        <v>7</v>
      </c>
      <c r="B931" s="0" t="n">
        <v>199</v>
      </c>
      <c r="C931" s="0" t="n">
        <v>6715</v>
      </c>
    </row>
    <row r="932" customFormat="false" ht="12.75" hidden="false" customHeight="false" outlineLevel="0" collapsed="false">
      <c r="A932" s="0" t="s">
        <v>8</v>
      </c>
      <c r="B932" s="0" t="n">
        <v>6</v>
      </c>
      <c r="C932" s="0" t="n">
        <v>7030</v>
      </c>
    </row>
    <row r="933" customFormat="false" ht="12.75" hidden="false" customHeight="false" outlineLevel="0" collapsed="false">
      <c r="A933" s="0" t="s">
        <v>9</v>
      </c>
      <c r="B933" s="0" t="n">
        <v>32</v>
      </c>
      <c r="C933" s="0" t="n">
        <v>7854</v>
      </c>
    </row>
    <row r="934" customFormat="false" ht="12.75" hidden="false" customHeight="false" outlineLevel="0" collapsed="false">
      <c r="A934" s="0" t="s">
        <v>10</v>
      </c>
      <c r="B934" s="0" t="n">
        <v>151</v>
      </c>
      <c r="C934" s="0" t="n">
        <v>7730</v>
      </c>
    </row>
    <row r="935" customFormat="false" ht="12.75" hidden="false" customHeight="false" outlineLevel="0" collapsed="false">
      <c r="A935" s="0" t="s">
        <v>11</v>
      </c>
      <c r="B935" s="0" t="n">
        <v>17</v>
      </c>
      <c r="C935" s="0" t="n">
        <v>8461</v>
      </c>
    </row>
    <row r="936" customFormat="false" ht="12.75" hidden="false" customHeight="false" outlineLevel="0" collapsed="false">
      <c r="A936" s="0" t="s">
        <v>12</v>
      </c>
      <c r="B936" s="0" t="n">
        <v>7</v>
      </c>
      <c r="C936" s="0" t="n">
        <v>8754</v>
      </c>
    </row>
    <row r="937" customFormat="false" ht="12.75" hidden="false" customHeight="false" outlineLevel="0" collapsed="false">
      <c r="A937" s="0" t="s">
        <v>13</v>
      </c>
      <c r="B937" s="0" t="n">
        <v>1</v>
      </c>
      <c r="C937" s="0" t="n">
        <v>8787</v>
      </c>
    </row>
    <row r="938" customFormat="false" ht="12.75" hidden="false" customHeight="false" outlineLevel="0" collapsed="false">
      <c r="A938" s="0" t="s">
        <v>14</v>
      </c>
      <c r="B938" s="0" t="n">
        <v>15</v>
      </c>
      <c r="C938" s="0" t="n">
        <v>8778</v>
      </c>
    </row>
    <row r="939" customFormat="false" ht="12.75" hidden="false" customHeight="false" outlineLevel="0" collapsed="false">
      <c r="A939" s="0" t="s">
        <v>15</v>
      </c>
      <c r="B939" s="0" t="n">
        <v>10</v>
      </c>
      <c r="C939" s="0" t="n">
        <v>8937</v>
      </c>
    </row>
    <row r="940" customFormat="false" ht="12.75" hidden="false" customHeight="false" outlineLevel="0" collapsed="false">
      <c r="A940" s="0" t="s">
        <v>16</v>
      </c>
      <c r="B940" s="0" t="n">
        <v>1</v>
      </c>
      <c r="C940" s="0" t="n">
        <v>9026</v>
      </c>
    </row>
    <row r="941" customFormat="false" ht="12.75" hidden="false" customHeight="false" outlineLevel="0" collapsed="false">
      <c r="A941" s="0" t="s">
        <v>17</v>
      </c>
      <c r="B941" s="0" t="n">
        <v>1</v>
      </c>
      <c r="C941" s="0" t="n">
        <v>9056</v>
      </c>
    </row>
    <row r="942" customFormat="false" ht="12.75" hidden="false" customHeight="false" outlineLevel="0" collapsed="false">
      <c r="A942" s="0" t="s">
        <v>18</v>
      </c>
      <c r="B942" s="0" t="n">
        <v>6</v>
      </c>
      <c r="C942" s="0" t="n">
        <v>9070</v>
      </c>
    </row>
    <row r="943" customFormat="false" ht="12.75" hidden="false" customHeight="false" outlineLevel="0" collapsed="false">
      <c r="A943" s="0" t="s">
        <v>19</v>
      </c>
      <c r="B943" s="0" t="n">
        <v>7</v>
      </c>
      <c r="C943" s="0" t="n">
        <v>9111</v>
      </c>
    </row>
    <row r="944" customFormat="false" ht="12.75" hidden="false" customHeight="false" outlineLevel="0" collapsed="false">
      <c r="A944" s="0" t="s">
        <v>21</v>
      </c>
      <c r="B944" s="0" t="n">
        <v>30</v>
      </c>
      <c r="C944" s="0" t="n">
        <v>9138</v>
      </c>
    </row>
    <row r="945" customFormat="false" ht="12.75" hidden="false" customHeight="false" outlineLevel="0" collapsed="false">
      <c r="A945" s="0" t="s">
        <v>22</v>
      </c>
      <c r="B945" s="0" t="n">
        <v>989</v>
      </c>
      <c r="C945" s="0" t="n">
        <v>8225</v>
      </c>
    </row>
    <row r="946" customFormat="false" ht="12.75" hidden="false" customHeight="false" outlineLevel="0" collapsed="false">
      <c r="A946" s="0" t="s">
        <v>23</v>
      </c>
      <c r="B946" s="0" t="n">
        <v>19</v>
      </c>
      <c r="C946" s="0" t="n">
        <v>8614</v>
      </c>
    </row>
    <row r="947" customFormat="false" ht="12.75" hidden="false" customHeight="false" outlineLevel="0" collapsed="false">
      <c r="A947" s="0" t="s">
        <v>24</v>
      </c>
      <c r="B947" s="0" t="n">
        <v>5</v>
      </c>
      <c r="C947" s="0" t="n">
        <v>8738</v>
      </c>
    </row>
    <row r="948" customFormat="false" ht="12.75" hidden="false" customHeight="false" outlineLevel="0" collapsed="false">
      <c r="A948" s="0" t="s">
        <v>25</v>
      </c>
      <c r="B948" s="0" t="n">
        <v>2</v>
      </c>
      <c r="C948" s="0" t="n">
        <v>8778</v>
      </c>
    </row>
    <row r="949" customFormat="false" ht="12.75" hidden="false" customHeight="false" outlineLevel="0" collapsed="false">
      <c r="A949" s="0" t="s">
        <v>26</v>
      </c>
      <c r="B949" s="0" t="n">
        <v>12</v>
      </c>
      <c r="C949" s="0" t="n">
        <v>8788</v>
      </c>
    </row>
    <row r="950" customFormat="false" ht="12.75" hidden="false" customHeight="false" outlineLevel="0" collapsed="false">
      <c r="A950" s="0" t="s">
        <v>27</v>
      </c>
      <c r="B950" s="0" t="n">
        <v>1</v>
      </c>
      <c r="C950" s="0" t="n">
        <v>8844</v>
      </c>
    </row>
    <row r="951" customFormat="false" ht="12.75" hidden="false" customHeight="false" outlineLevel="0" collapsed="false">
      <c r="A951" s="0" t="s">
        <v>28</v>
      </c>
      <c r="B951" s="0" t="s">
        <v>156</v>
      </c>
      <c r="C951" s="0" t="n">
        <v>8864</v>
      </c>
    </row>
    <row r="952" customFormat="false" ht="12.75" hidden="false" customHeight="false" outlineLevel="0" collapsed="false">
      <c r="A952" s="0" t="s">
        <v>29</v>
      </c>
      <c r="B952" s="0" t="n">
        <v>17</v>
      </c>
      <c r="C952" s="0" t="n">
        <v>8854</v>
      </c>
    </row>
    <row r="953" customFormat="false" ht="12.75" hidden="false" customHeight="false" outlineLevel="0" collapsed="false">
      <c r="A953" s="0" t="s">
        <v>30</v>
      </c>
      <c r="B953" s="0" t="n">
        <v>522</v>
      </c>
      <c r="C953" s="0" t="n">
        <v>8414</v>
      </c>
    </row>
    <row r="954" customFormat="false" ht="12.75" hidden="false" customHeight="false" outlineLevel="0" collapsed="false">
      <c r="A954" s="0" t="s">
        <v>31</v>
      </c>
      <c r="B954" s="0" t="n">
        <v>62</v>
      </c>
      <c r="C954" s="0" t="n">
        <v>8397</v>
      </c>
    </row>
    <row r="955" customFormat="false" ht="12.75" hidden="false" customHeight="false" outlineLevel="0" collapsed="false">
      <c r="A955" s="0" t="s">
        <v>32</v>
      </c>
      <c r="B955" s="0" t="n">
        <v>3</v>
      </c>
      <c r="C955" s="0" t="n">
        <v>12251</v>
      </c>
    </row>
    <row r="956" customFormat="false" ht="12.75" hidden="false" customHeight="false" outlineLevel="0" collapsed="false">
      <c r="A956" s="0" t="s">
        <v>33</v>
      </c>
      <c r="B956" s="0" t="n">
        <v>200</v>
      </c>
      <c r="C956" s="0" t="n">
        <v>12090</v>
      </c>
    </row>
    <row r="957" customFormat="false" ht="12.75" hidden="false" customHeight="false" outlineLevel="0" collapsed="false">
      <c r="A957" s="0" t="s">
        <v>34</v>
      </c>
      <c r="B957" s="0" t="n">
        <v>16</v>
      </c>
      <c r="C957" s="0" t="n">
        <v>13348</v>
      </c>
    </row>
    <row r="958" customFormat="false" ht="12.75" hidden="false" customHeight="false" outlineLevel="0" collapsed="false">
      <c r="A958" s="0" t="s">
        <v>35</v>
      </c>
      <c r="B958" s="0" t="s">
        <v>156</v>
      </c>
      <c r="C958" s="0" t="n">
        <v>14217</v>
      </c>
    </row>
    <row r="959" customFormat="false" ht="12.75" hidden="false" customHeight="false" outlineLevel="0" collapsed="false">
      <c r="A959" s="0" t="s">
        <v>36</v>
      </c>
      <c r="B959" s="0" t="n">
        <v>23</v>
      </c>
      <c r="C959" s="0" t="n">
        <v>14194</v>
      </c>
    </row>
    <row r="960" customFormat="false" ht="12.75" hidden="false" customHeight="false" outlineLevel="0" collapsed="false">
      <c r="A960" s="0" t="s">
        <v>37</v>
      </c>
      <c r="B960" s="0" t="n">
        <v>3</v>
      </c>
      <c r="C960" s="0" t="n">
        <v>14518</v>
      </c>
    </row>
    <row r="961" customFormat="false" ht="12.75" hidden="false" customHeight="false" outlineLevel="0" collapsed="false">
      <c r="A961" s="0" t="s">
        <v>38</v>
      </c>
      <c r="B961" s="0" t="n">
        <v>2</v>
      </c>
      <c r="C961" s="0" t="n">
        <v>14536</v>
      </c>
    </row>
    <row r="962" customFormat="false" ht="12.75" hidden="false" customHeight="false" outlineLevel="0" collapsed="false">
      <c r="A962" s="0" t="s">
        <v>39</v>
      </c>
      <c r="B962" s="0" t="n">
        <v>73</v>
      </c>
      <c r="C962" s="0" t="n">
        <v>14475</v>
      </c>
    </row>
    <row r="963" customFormat="false" ht="12.75" hidden="false" customHeight="false" outlineLevel="0" collapsed="false">
      <c r="A963" s="0" t="s">
        <v>40</v>
      </c>
      <c r="B963" s="0" t="n">
        <v>92</v>
      </c>
      <c r="C963" s="0" t="n">
        <v>17051</v>
      </c>
    </row>
    <row r="964" customFormat="false" ht="12.75" hidden="false" customHeight="false" outlineLevel="0" collapsed="false">
      <c r="A964" s="0" t="s">
        <v>41</v>
      </c>
      <c r="B964" s="0" t="n">
        <v>40</v>
      </c>
      <c r="C964" s="0" t="n">
        <v>17100</v>
      </c>
    </row>
    <row r="965" customFormat="false" ht="12.75" hidden="false" customHeight="false" outlineLevel="0" collapsed="false">
      <c r="A965" s="0" t="s">
        <v>42</v>
      </c>
      <c r="B965" s="0" t="s">
        <v>156</v>
      </c>
      <c r="C965" s="0" t="n">
        <v>17616</v>
      </c>
    </row>
    <row r="966" customFormat="false" ht="12.75" hidden="false" customHeight="false" outlineLevel="0" collapsed="false">
      <c r="A966" s="0" t="s">
        <v>43</v>
      </c>
      <c r="B966" s="0" t="n">
        <v>12</v>
      </c>
      <c r="C966" s="0" t="n">
        <v>17604</v>
      </c>
    </row>
    <row r="967" customFormat="false" ht="12.75" hidden="false" customHeight="false" outlineLevel="0" collapsed="false">
      <c r="A967" s="0" t="s">
        <v>44</v>
      </c>
      <c r="B967" s="0" t="n">
        <v>31</v>
      </c>
      <c r="C967" s="0" t="n">
        <v>17689</v>
      </c>
    </row>
    <row r="968" customFormat="false" ht="12.75" hidden="false" customHeight="false" outlineLevel="0" collapsed="false">
      <c r="A968" s="0" t="s">
        <v>45</v>
      </c>
      <c r="B968" s="0" t="n">
        <v>2</v>
      </c>
      <c r="C968" s="0" t="n">
        <v>17873</v>
      </c>
    </row>
    <row r="969" customFormat="false" ht="12.75" hidden="false" customHeight="false" outlineLevel="0" collapsed="false">
      <c r="A969" s="0" t="s">
        <v>46</v>
      </c>
      <c r="B969" s="0" t="n">
        <v>181</v>
      </c>
      <c r="C969" s="0" t="n">
        <v>17716</v>
      </c>
    </row>
    <row r="970" customFormat="false" ht="12.75" hidden="false" customHeight="false" outlineLevel="0" collapsed="false">
      <c r="A970" s="0" t="s">
        <v>47</v>
      </c>
      <c r="B970" s="0" t="n">
        <v>58</v>
      </c>
      <c r="C970" s="0" t="n">
        <v>17709</v>
      </c>
    </row>
    <row r="971" customFormat="false" ht="12.75" hidden="false" customHeight="false" outlineLevel="0" collapsed="false">
      <c r="A971" s="0" t="s">
        <v>48</v>
      </c>
      <c r="B971" s="0" t="n">
        <v>11</v>
      </c>
      <c r="C971" s="0" t="n">
        <v>19967</v>
      </c>
    </row>
    <row r="972" customFormat="false" ht="12.75" hidden="false" customHeight="false" outlineLevel="0" collapsed="false">
      <c r="A972" s="0" t="s">
        <v>49</v>
      </c>
      <c r="B972" s="0" t="n">
        <v>2</v>
      </c>
      <c r="C972" s="0" t="n">
        <v>20020</v>
      </c>
    </row>
    <row r="973" customFormat="false" ht="12.75" hidden="false" customHeight="false" outlineLevel="0" collapsed="false">
      <c r="A973" s="0" t="s">
        <v>50</v>
      </c>
      <c r="B973" s="0" t="n">
        <v>9</v>
      </c>
      <c r="C973" s="0" t="n">
        <v>20621</v>
      </c>
    </row>
    <row r="974" customFormat="false" ht="12.75" hidden="false" customHeight="false" outlineLevel="0" collapsed="false">
      <c r="A974" s="0" t="s">
        <v>51</v>
      </c>
      <c r="B974" s="0" t="n">
        <v>1</v>
      </c>
      <c r="C974" s="0" t="n">
        <v>20643</v>
      </c>
    </row>
    <row r="975" customFormat="false" ht="12.75" hidden="false" customHeight="false" outlineLevel="0" collapsed="false">
      <c r="A975" s="0" t="s">
        <v>136</v>
      </c>
      <c r="B975" s="3" t="n">
        <v>3462</v>
      </c>
      <c r="C975" s="0" t="n">
        <v>17188</v>
      </c>
    </row>
    <row r="976" customFormat="false" ht="12.75" hidden="false" customHeight="false" outlineLevel="0" collapsed="false">
      <c r="A976" s="0" t="s">
        <v>1</v>
      </c>
      <c r="B976" s="0" t="n">
        <v>112</v>
      </c>
      <c r="C976" s="0" t="n">
        <v>19798</v>
      </c>
    </row>
    <row r="977" customFormat="false" ht="12.75" hidden="false" customHeight="false" outlineLevel="0" collapsed="false">
      <c r="A977" s="0" t="s">
        <v>2</v>
      </c>
      <c r="B977" s="0" t="n">
        <v>18</v>
      </c>
      <c r="C977" s="0" t="n">
        <v>19796</v>
      </c>
    </row>
    <row r="978" customFormat="false" ht="12.75" hidden="false" customHeight="false" outlineLevel="0" collapsed="false">
      <c r="A978" s="0" t="s">
        <v>3</v>
      </c>
      <c r="B978" s="0" t="n">
        <v>93</v>
      </c>
      <c r="C978" s="0" t="n">
        <v>19724</v>
      </c>
    </row>
    <row r="979" customFormat="false" ht="12.75" hidden="false" customHeight="false" outlineLevel="0" collapsed="false">
      <c r="A979" s="0" t="s">
        <v>4</v>
      </c>
      <c r="B979" s="0" t="n">
        <v>18</v>
      </c>
      <c r="C979" s="0" t="n">
        <v>19786</v>
      </c>
    </row>
    <row r="980" customFormat="false" ht="12.75" hidden="false" customHeight="false" outlineLevel="0" collapsed="false">
      <c r="A980" s="0" t="s">
        <v>5</v>
      </c>
      <c r="B980" s="0" t="n">
        <v>282</v>
      </c>
      <c r="C980" s="0" t="n">
        <v>19513</v>
      </c>
    </row>
    <row r="981" customFormat="false" ht="12.75" hidden="false" customHeight="false" outlineLevel="0" collapsed="false">
      <c r="A981" s="0" t="s">
        <v>6</v>
      </c>
      <c r="B981" s="0" t="n">
        <v>58</v>
      </c>
      <c r="C981" s="0" t="n">
        <v>19892</v>
      </c>
    </row>
    <row r="982" customFormat="false" ht="12.75" hidden="false" customHeight="false" outlineLevel="0" collapsed="false">
      <c r="A982" s="0" t="s">
        <v>7</v>
      </c>
      <c r="B982" s="0" t="n">
        <v>321</v>
      </c>
      <c r="C982" s="0" t="n">
        <v>19638</v>
      </c>
    </row>
    <row r="983" customFormat="false" ht="12.75" hidden="false" customHeight="false" outlineLevel="0" collapsed="false">
      <c r="A983" s="0" t="s">
        <v>8</v>
      </c>
      <c r="B983" s="0" t="n">
        <v>856</v>
      </c>
      <c r="C983" s="0" t="n">
        <v>20316</v>
      </c>
    </row>
    <row r="984" customFormat="false" ht="12.75" hidden="false" customHeight="false" outlineLevel="0" collapsed="false">
      <c r="A984" s="0" t="s">
        <v>9</v>
      </c>
      <c r="B984" s="0" t="n">
        <v>27</v>
      </c>
      <c r="C984" s="0" t="n">
        <v>20340</v>
      </c>
    </row>
    <row r="985" customFormat="false" ht="12.75" hidden="false" customHeight="false" outlineLevel="0" collapsed="false">
      <c r="A985" s="0" t="s">
        <v>10</v>
      </c>
      <c r="B985" s="0" t="n">
        <v>748</v>
      </c>
      <c r="C985" s="0" t="n">
        <v>19974</v>
      </c>
    </row>
    <row r="986" customFormat="false" ht="12.75" hidden="false" customHeight="false" outlineLevel="0" collapsed="false">
      <c r="A986" s="0" t="s">
        <v>11</v>
      </c>
      <c r="B986" s="0" t="n">
        <v>300</v>
      </c>
      <c r="C986" s="0" t="n">
        <v>20860</v>
      </c>
    </row>
    <row r="987" customFormat="false" ht="12.75" hidden="false" customHeight="false" outlineLevel="0" collapsed="false">
      <c r="A987" s="0" t="s">
        <v>12</v>
      </c>
      <c r="B987" s="0" t="n">
        <v>34</v>
      </c>
      <c r="C987" s="0" t="n">
        <v>21006</v>
      </c>
    </row>
    <row r="988" customFormat="false" ht="12.75" hidden="false" customHeight="false" outlineLevel="0" collapsed="false">
      <c r="A988" s="0" t="s">
        <v>13</v>
      </c>
      <c r="B988" s="0" t="n">
        <v>6</v>
      </c>
      <c r="C988" s="0" t="n">
        <v>21021</v>
      </c>
    </row>
    <row r="989" customFormat="false" ht="12.75" hidden="false" customHeight="false" outlineLevel="0" collapsed="false">
      <c r="A989" s="0" t="s">
        <v>14</v>
      </c>
      <c r="B989" s="0" t="n">
        <v>169</v>
      </c>
      <c r="C989" s="0" t="n">
        <v>20852</v>
      </c>
    </row>
    <row r="990" customFormat="false" ht="12.75" hidden="false" customHeight="false" outlineLevel="0" collapsed="false">
      <c r="A990" s="0" t="s">
        <v>15</v>
      </c>
      <c r="B990" s="0" t="n">
        <v>90</v>
      </c>
      <c r="C990" s="0" t="n">
        <v>20885</v>
      </c>
    </row>
    <row r="991" customFormat="false" ht="12.75" hidden="false" customHeight="false" outlineLevel="0" collapsed="false">
      <c r="A991" s="0" t="s">
        <v>16</v>
      </c>
      <c r="B991" s="0" t="n">
        <v>31</v>
      </c>
      <c r="C991" s="0" t="n">
        <v>20896</v>
      </c>
    </row>
    <row r="992" customFormat="false" ht="12.75" hidden="false" customHeight="false" outlineLevel="0" collapsed="false">
      <c r="A992" s="0" t="s">
        <v>17</v>
      </c>
      <c r="B992" s="0" t="n">
        <v>20</v>
      </c>
      <c r="C992" s="0" t="n">
        <v>20892</v>
      </c>
    </row>
    <row r="993" customFormat="false" ht="12.75" hidden="false" customHeight="false" outlineLevel="0" collapsed="false">
      <c r="A993" s="0" t="s">
        <v>18</v>
      </c>
      <c r="B993" s="0" t="n">
        <v>48</v>
      </c>
      <c r="C993" s="0" t="n">
        <v>20879</v>
      </c>
    </row>
    <row r="994" customFormat="false" ht="12.75" hidden="false" customHeight="false" outlineLevel="0" collapsed="false">
      <c r="A994" s="0" t="s">
        <v>19</v>
      </c>
      <c r="B994" s="0" t="n">
        <v>57</v>
      </c>
      <c r="C994" s="0" t="n">
        <v>20834</v>
      </c>
    </row>
    <row r="995" customFormat="false" ht="12.75" hidden="false" customHeight="false" outlineLevel="0" collapsed="false">
      <c r="A995" s="0" t="s">
        <v>20</v>
      </c>
      <c r="B995" s="0" t="n">
        <v>76</v>
      </c>
      <c r="C995" s="0" t="n">
        <v>20808</v>
      </c>
    </row>
    <row r="996" customFormat="false" ht="12.75" hidden="false" customHeight="false" outlineLevel="0" collapsed="false">
      <c r="A996" s="0" t="s">
        <v>22</v>
      </c>
      <c r="B996" s="0" t="n">
        <v>408</v>
      </c>
      <c r="C996" s="0" t="n">
        <v>23266</v>
      </c>
    </row>
    <row r="997" customFormat="false" ht="12.75" hidden="false" customHeight="false" outlineLevel="0" collapsed="false">
      <c r="A997" s="0" t="s">
        <v>23</v>
      </c>
      <c r="B997" s="0" t="n">
        <v>129</v>
      </c>
      <c r="C997" s="0" t="n">
        <v>23249</v>
      </c>
    </row>
    <row r="998" customFormat="false" ht="12.75" hidden="false" customHeight="false" outlineLevel="0" collapsed="false">
      <c r="A998" s="0" t="s">
        <v>24</v>
      </c>
      <c r="B998" s="0" t="n">
        <v>42</v>
      </c>
      <c r="C998" s="0" t="n">
        <v>23261</v>
      </c>
    </row>
    <row r="999" customFormat="false" ht="12.75" hidden="false" customHeight="false" outlineLevel="0" collapsed="false">
      <c r="A999" s="0" t="s">
        <v>25</v>
      </c>
      <c r="B999" s="0" t="n">
        <v>22</v>
      </c>
      <c r="C999" s="0" t="n">
        <v>23302</v>
      </c>
    </row>
    <row r="1000" customFormat="false" ht="12.75" hidden="false" customHeight="false" outlineLevel="0" collapsed="false">
      <c r="A1000" s="0" t="s">
        <v>26</v>
      </c>
      <c r="B1000" s="0" t="n">
        <v>57</v>
      </c>
      <c r="C1000" s="0" t="n">
        <v>23252</v>
      </c>
    </row>
    <row r="1001" customFormat="false" ht="12.75" hidden="false" customHeight="false" outlineLevel="0" collapsed="false">
      <c r="A1001" s="0" t="s">
        <v>27</v>
      </c>
      <c r="B1001" s="0" t="n">
        <v>20</v>
      </c>
      <c r="C1001" s="0" t="n">
        <v>23265</v>
      </c>
    </row>
    <row r="1002" customFormat="false" ht="12.75" hidden="false" customHeight="false" outlineLevel="0" collapsed="false">
      <c r="A1002" s="0" t="s">
        <v>28</v>
      </c>
      <c r="B1002" s="0" t="n">
        <v>7</v>
      </c>
      <c r="C1002" s="0" t="n">
        <v>23263</v>
      </c>
    </row>
    <row r="1003" customFormat="false" ht="12.75" hidden="false" customHeight="false" outlineLevel="0" collapsed="false">
      <c r="A1003" s="0" t="s">
        <v>29</v>
      </c>
      <c r="B1003" s="0" t="n">
        <v>82</v>
      </c>
      <c r="C1003" s="0" t="n">
        <v>23190</v>
      </c>
    </row>
    <row r="1004" customFormat="false" ht="12.75" hidden="false" customHeight="false" outlineLevel="0" collapsed="false">
      <c r="A1004" s="0" t="s">
        <v>30</v>
      </c>
      <c r="B1004" s="0" t="n">
        <v>45</v>
      </c>
      <c r="C1004" s="0" t="n">
        <v>23264</v>
      </c>
    </row>
    <row r="1005" customFormat="false" ht="12.75" hidden="false" customHeight="false" outlineLevel="0" collapsed="false">
      <c r="A1005" s="0" t="s">
        <v>31</v>
      </c>
      <c r="B1005" s="3" t="n">
        <v>3857</v>
      </c>
      <c r="C1005" s="0" t="n">
        <v>22366</v>
      </c>
    </row>
    <row r="1006" customFormat="false" ht="12.75" hidden="false" customHeight="false" outlineLevel="0" collapsed="false">
      <c r="A1006" s="0" t="s">
        <v>32</v>
      </c>
      <c r="B1006" s="0" t="n">
        <v>39</v>
      </c>
      <c r="C1006" s="0" t="n">
        <v>23185</v>
      </c>
    </row>
    <row r="1007" customFormat="false" ht="12.75" hidden="false" customHeight="false" outlineLevel="0" collapsed="false">
      <c r="A1007" s="0" t="s">
        <v>33</v>
      </c>
      <c r="B1007" s="3" t="n">
        <v>1274</v>
      </c>
      <c r="C1007" s="0" t="n">
        <v>21941</v>
      </c>
    </row>
    <row r="1008" customFormat="false" ht="12.75" hidden="false" customHeight="false" outlineLevel="0" collapsed="false">
      <c r="A1008" s="0" t="s">
        <v>34</v>
      </c>
      <c r="B1008" s="0" t="n">
        <v>869</v>
      </c>
      <c r="C1008" s="0" t="n">
        <v>23456</v>
      </c>
    </row>
    <row r="1009" customFormat="false" ht="12.75" hidden="false" customHeight="false" outlineLevel="0" collapsed="false">
      <c r="A1009" s="0" t="s">
        <v>35</v>
      </c>
      <c r="B1009" s="0" t="s">
        <v>156</v>
      </c>
      <c r="C1009" s="0" t="n">
        <v>23508</v>
      </c>
    </row>
    <row r="1010" customFormat="false" ht="12.75" hidden="false" customHeight="false" outlineLevel="0" collapsed="false">
      <c r="A1010" s="0" t="s">
        <v>36</v>
      </c>
      <c r="B1010" s="0" t="n">
        <v>327</v>
      </c>
      <c r="C1010" s="0" t="n">
        <v>23181</v>
      </c>
    </row>
    <row r="1011" customFormat="false" ht="12.75" hidden="false" customHeight="false" outlineLevel="0" collapsed="false">
      <c r="A1011" s="0" t="s">
        <v>37</v>
      </c>
      <c r="B1011" s="0" t="n">
        <v>20</v>
      </c>
      <c r="C1011" s="0" t="n">
        <v>23318</v>
      </c>
    </row>
    <row r="1012" customFormat="false" ht="12.75" hidden="false" customHeight="false" outlineLevel="0" collapsed="false">
      <c r="A1012" s="0" t="s">
        <v>38</v>
      </c>
      <c r="B1012" s="0" t="n">
        <v>12</v>
      </c>
      <c r="C1012" s="0" t="n">
        <v>23327</v>
      </c>
    </row>
    <row r="1013" customFormat="false" ht="12.75" hidden="false" customHeight="false" outlineLevel="0" collapsed="false">
      <c r="A1013" s="0" t="s">
        <v>39</v>
      </c>
      <c r="B1013" s="3" t="n">
        <v>2668</v>
      </c>
      <c r="C1013" s="0" t="n">
        <v>20680</v>
      </c>
    </row>
    <row r="1014" customFormat="false" ht="12.75" hidden="false" customHeight="false" outlineLevel="0" collapsed="false">
      <c r="A1014" s="0" t="s">
        <v>40</v>
      </c>
      <c r="B1014" s="0" t="n">
        <v>89</v>
      </c>
      <c r="C1014" s="0" t="n">
        <v>21148</v>
      </c>
    </row>
    <row r="1015" customFormat="false" ht="12.75" hidden="false" customHeight="false" outlineLevel="0" collapsed="false">
      <c r="A1015" s="0" t="s">
        <v>41</v>
      </c>
      <c r="B1015" s="0" t="n">
        <v>516</v>
      </c>
      <c r="C1015" s="0" t="n">
        <v>20879</v>
      </c>
    </row>
    <row r="1016" customFormat="false" ht="12.75" hidden="false" customHeight="false" outlineLevel="0" collapsed="false">
      <c r="A1016" s="0" t="s">
        <v>42</v>
      </c>
      <c r="B1016" s="0" t="s">
        <v>156</v>
      </c>
      <c r="C1016" s="0" t="n">
        <v>20995</v>
      </c>
    </row>
    <row r="1017" customFormat="false" ht="12.75" hidden="false" customHeight="false" outlineLevel="0" collapsed="false">
      <c r="A1017" s="0" t="s">
        <v>43</v>
      </c>
      <c r="B1017" s="0" t="n">
        <v>116</v>
      </c>
      <c r="C1017" s="0" t="n">
        <v>20882</v>
      </c>
    </row>
    <row r="1018" customFormat="false" ht="12.75" hidden="false" customHeight="false" outlineLevel="0" collapsed="false">
      <c r="A1018" s="0" t="s">
        <v>44</v>
      </c>
      <c r="B1018" s="0" t="n">
        <v>186</v>
      </c>
      <c r="C1018" s="0" t="n">
        <v>20749</v>
      </c>
    </row>
    <row r="1019" customFormat="false" ht="12.75" hidden="false" customHeight="false" outlineLevel="0" collapsed="false">
      <c r="A1019" s="0" t="s">
        <v>45</v>
      </c>
      <c r="B1019" s="0" t="n">
        <v>24</v>
      </c>
      <c r="C1019" s="0" t="n">
        <v>20830</v>
      </c>
    </row>
    <row r="1020" customFormat="false" ht="12.75" hidden="false" customHeight="false" outlineLevel="0" collapsed="false">
      <c r="A1020" s="0" t="s">
        <v>46</v>
      </c>
      <c r="B1020" s="0" t="n">
        <v>51</v>
      </c>
      <c r="C1020" s="0" t="n">
        <v>20789</v>
      </c>
    </row>
    <row r="1021" customFormat="false" ht="12.75" hidden="false" customHeight="false" outlineLevel="0" collapsed="false">
      <c r="A1021" s="0" t="s">
        <v>47</v>
      </c>
      <c r="B1021" s="3" t="n">
        <v>2269</v>
      </c>
      <c r="C1021" s="0" t="n">
        <v>19467</v>
      </c>
    </row>
    <row r="1022" customFormat="false" ht="12.75" hidden="false" customHeight="false" outlineLevel="0" collapsed="false">
      <c r="A1022" s="0" t="s">
        <v>48</v>
      </c>
      <c r="B1022" s="0" t="n">
        <v>55</v>
      </c>
      <c r="C1022" s="0" t="n">
        <v>19714</v>
      </c>
    </row>
    <row r="1023" customFormat="false" ht="12.75" hidden="false" customHeight="false" outlineLevel="0" collapsed="false">
      <c r="A1023" s="0" t="s">
        <v>49</v>
      </c>
      <c r="B1023" s="0" t="n">
        <v>610</v>
      </c>
      <c r="C1023" s="0" t="n">
        <v>19174</v>
      </c>
    </row>
    <row r="1024" customFormat="false" ht="12.75" hidden="false" customHeight="false" outlineLevel="0" collapsed="false">
      <c r="A1024" s="0" t="s">
        <v>50</v>
      </c>
      <c r="B1024" s="0" t="n">
        <v>23</v>
      </c>
      <c r="C1024" s="0" t="n">
        <v>19172</v>
      </c>
    </row>
    <row r="1025" customFormat="false" ht="12.75" hidden="false" customHeight="false" outlineLevel="0" collapsed="false">
      <c r="A1025" s="0" t="s">
        <v>51</v>
      </c>
      <c r="B1025" s="0" t="n">
        <v>7</v>
      </c>
      <c r="C1025" s="0" t="n">
        <v>19198</v>
      </c>
    </row>
    <row r="1026" customFormat="false" ht="12.75" hidden="false" customHeight="false" outlineLevel="0" collapsed="false">
      <c r="A1026" s="0" t="s">
        <v>137</v>
      </c>
      <c r="B1026" s="3" t="n">
        <v>2722</v>
      </c>
      <c r="C1026" s="0" t="n">
        <v>16479</v>
      </c>
    </row>
    <row r="1027" customFormat="false" ht="12.75" hidden="false" customHeight="false" outlineLevel="0" collapsed="false">
      <c r="A1027" s="0" t="s">
        <v>1</v>
      </c>
      <c r="B1027" s="0" t="n">
        <v>16</v>
      </c>
      <c r="C1027" s="0" t="n">
        <v>38463</v>
      </c>
    </row>
    <row r="1028" customFormat="false" ht="12.75" hidden="false" customHeight="false" outlineLevel="0" collapsed="false">
      <c r="A1028" s="0" t="s">
        <v>2</v>
      </c>
      <c r="B1028" s="0" t="n">
        <v>21</v>
      </c>
      <c r="C1028" s="0" t="n">
        <v>38588</v>
      </c>
    </row>
    <row r="1029" customFormat="false" ht="12.75" hidden="false" customHeight="false" outlineLevel="0" collapsed="false">
      <c r="A1029" s="0" t="s">
        <v>3</v>
      </c>
      <c r="B1029" s="0" t="n">
        <v>80</v>
      </c>
      <c r="C1029" s="0" t="n">
        <v>38593</v>
      </c>
    </row>
    <row r="1030" customFormat="false" ht="12.75" hidden="false" customHeight="false" outlineLevel="0" collapsed="false">
      <c r="A1030" s="0" t="s">
        <v>4</v>
      </c>
      <c r="B1030" s="0" t="n">
        <v>9</v>
      </c>
      <c r="C1030" s="0" t="n">
        <v>38804</v>
      </c>
    </row>
    <row r="1031" customFormat="false" ht="12.75" hidden="false" customHeight="false" outlineLevel="0" collapsed="false">
      <c r="A1031" s="0" t="s">
        <v>5</v>
      </c>
      <c r="B1031" s="0" t="n">
        <v>437</v>
      </c>
      <c r="C1031" s="0" t="n">
        <v>38583</v>
      </c>
    </row>
    <row r="1032" customFormat="false" ht="12.75" hidden="false" customHeight="false" outlineLevel="0" collapsed="false">
      <c r="A1032" s="0" t="s">
        <v>6</v>
      </c>
      <c r="B1032" s="0" t="n">
        <v>67</v>
      </c>
      <c r="C1032" s="0" t="n">
        <v>39034</v>
      </c>
    </row>
    <row r="1033" customFormat="false" ht="12.75" hidden="false" customHeight="false" outlineLevel="0" collapsed="false">
      <c r="A1033" s="0" t="s">
        <v>7</v>
      </c>
      <c r="B1033" s="3" t="n">
        <v>1534</v>
      </c>
      <c r="C1033" s="0" t="n">
        <v>37617</v>
      </c>
    </row>
    <row r="1034" customFormat="false" ht="12.75" hidden="false" customHeight="false" outlineLevel="0" collapsed="false">
      <c r="A1034" s="0" t="s">
        <v>8</v>
      </c>
      <c r="B1034" s="0" t="n">
        <v>51</v>
      </c>
      <c r="C1034" s="0" t="n">
        <v>37592</v>
      </c>
    </row>
    <row r="1035" customFormat="false" ht="12.75" hidden="false" customHeight="false" outlineLevel="0" collapsed="false">
      <c r="A1035" s="0" t="s">
        <v>9</v>
      </c>
      <c r="B1035" s="0" t="n">
        <v>382</v>
      </c>
      <c r="C1035" s="0" t="n">
        <v>37228</v>
      </c>
    </row>
    <row r="1036" customFormat="false" ht="12.75" hidden="false" customHeight="false" outlineLevel="0" collapsed="false">
      <c r="A1036" s="0" t="s">
        <v>10</v>
      </c>
      <c r="B1036" s="3" t="n">
        <v>1186</v>
      </c>
      <c r="C1036" s="0" t="n">
        <v>36222</v>
      </c>
    </row>
    <row r="1037" customFormat="false" ht="12.75" hidden="false" customHeight="false" outlineLevel="0" collapsed="false">
      <c r="A1037" s="0" t="s">
        <v>11</v>
      </c>
      <c r="B1037" s="0" t="n">
        <v>180</v>
      </c>
      <c r="C1037" s="0" t="n">
        <v>37400</v>
      </c>
    </row>
    <row r="1038" customFormat="false" ht="12.75" hidden="false" customHeight="false" outlineLevel="0" collapsed="false">
      <c r="A1038" s="0" t="s">
        <v>12</v>
      </c>
      <c r="B1038" s="0" t="n">
        <v>21</v>
      </c>
      <c r="C1038" s="0" t="n">
        <v>37877</v>
      </c>
    </row>
    <row r="1039" customFormat="false" ht="12.75" hidden="false" customHeight="false" outlineLevel="0" collapsed="false">
      <c r="A1039" s="0" t="s">
        <v>13</v>
      </c>
      <c r="B1039" s="0" t="s">
        <v>156</v>
      </c>
      <c r="C1039" s="0" t="n">
        <v>37926</v>
      </c>
    </row>
    <row r="1040" customFormat="false" ht="12.75" hidden="false" customHeight="false" outlineLevel="0" collapsed="false">
      <c r="A1040" s="0" t="s">
        <v>14</v>
      </c>
      <c r="B1040" s="0" t="n">
        <v>123</v>
      </c>
      <c r="C1040" s="0" t="n">
        <v>37815</v>
      </c>
    </row>
    <row r="1041" customFormat="false" ht="12.75" hidden="false" customHeight="false" outlineLevel="0" collapsed="false">
      <c r="A1041" s="0" t="s">
        <v>15</v>
      </c>
      <c r="B1041" s="0" t="n">
        <v>42</v>
      </c>
      <c r="C1041" s="0" t="n">
        <v>41157</v>
      </c>
    </row>
    <row r="1042" customFormat="false" ht="12.75" hidden="false" customHeight="false" outlineLevel="0" collapsed="false">
      <c r="A1042" s="0" t="s">
        <v>16</v>
      </c>
      <c r="B1042" s="0" t="n">
        <v>16</v>
      </c>
      <c r="C1042" s="0" t="n">
        <v>42148</v>
      </c>
    </row>
    <row r="1043" customFormat="false" ht="12.75" hidden="false" customHeight="false" outlineLevel="0" collapsed="false">
      <c r="A1043" s="0" t="s">
        <v>17</v>
      </c>
      <c r="B1043" s="0" t="n">
        <v>35</v>
      </c>
      <c r="C1043" s="0" t="n">
        <v>42289</v>
      </c>
    </row>
    <row r="1044" customFormat="false" ht="12.75" hidden="false" customHeight="false" outlineLevel="0" collapsed="false">
      <c r="A1044" s="0" t="s">
        <v>18</v>
      </c>
      <c r="B1044" s="0" t="n">
        <v>12</v>
      </c>
      <c r="C1044" s="0" t="n">
        <v>42438</v>
      </c>
    </row>
    <row r="1045" customFormat="false" ht="12.75" hidden="false" customHeight="false" outlineLevel="0" collapsed="false">
      <c r="A1045" s="0" t="s">
        <v>19</v>
      </c>
      <c r="B1045" s="0" t="n">
        <v>50</v>
      </c>
      <c r="C1045" s="0" t="n">
        <v>42908</v>
      </c>
    </row>
    <row r="1046" customFormat="false" ht="12.75" hidden="false" customHeight="false" outlineLevel="0" collapsed="false">
      <c r="A1046" s="0" t="s">
        <v>20</v>
      </c>
      <c r="B1046" s="3" t="n">
        <v>2866</v>
      </c>
      <c r="C1046" s="0" t="n">
        <v>40151</v>
      </c>
    </row>
    <row r="1047" customFormat="false" ht="12.75" hidden="false" customHeight="false" outlineLevel="0" collapsed="false">
      <c r="A1047" s="0" t="s">
        <v>21</v>
      </c>
      <c r="B1047" s="0" t="n">
        <v>112</v>
      </c>
      <c r="C1047" s="0" t="n">
        <v>40078</v>
      </c>
    </row>
    <row r="1048" customFormat="false" ht="12.75" hidden="false" customHeight="false" outlineLevel="0" collapsed="false">
      <c r="A1048" s="0" t="s">
        <v>23</v>
      </c>
      <c r="B1048" s="0" t="n">
        <v>54</v>
      </c>
      <c r="C1048" s="0" t="n">
        <v>40107</v>
      </c>
    </row>
    <row r="1049" customFormat="false" ht="12.75" hidden="false" customHeight="false" outlineLevel="0" collapsed="false">
      <c r="A1049" s="0" t="s">
        <v>24</v>
      </c>
      <c r="B1049" s="0" t="n">
        <v>63</v>
      </c>
      <c r="C1049" s="0" t="n">
        <v>40323</v>
      </c>
    </row>
    <row r="1050" customFormat="false" ht="12.75" hidden="false" customHeight="false" outlineLevel="0" collapsed="false">
      <c r="A1050" s="0" t="s">
        <v>25</v>
      </c>
      <c r="B1050" s="0" t="n">
        <v>7</v>
      </c>
      <c r="C1050" s="0" t="n">
        <v>40600</v>
      </c>
    </row>
    <row r="1051" customFormat="false" ht="12.75" hidden="false" customHeight="false" outlineLevel="0" collapsed="false">
      <c r="A1051" s="0" t="s">
        <v>26</v>
      </c>
      <c r="B1051" s="0" t="n">
        <v>33</v>
      </c>
      <c r="C1051" s="0" t="n">
        <v>40659</v>
      </c>
    </row>
    <row r="1052" customFormat="false" ht="12.75" hidden="false" customHeight="false" outlineLevel="0" collapsed="false">
      <c r="A1052" s="0" t="s">
        <v>27</v>
      </c>
      <c r="B1052" s="0" t="n">
        <v>5</v>
      </c>
      <c r="C1052" s="0" t="n">
        <v>41016</v>
      </c>
    </row>
    <row r="1053" customFormat="false" ht="12.75" hidden="false" customHeight="false" outlineLevel="0" collapsed="false">
      <c r="A1053" s="0" t="s">
        <v>28</v>
      </c>
      <c r="B1053" s="0" t="n">
        <v>9</v>
      </c>
      <c r="C1053" s="0" t="n">
        <v>41022</v>
      </c>
    </row>
    <row r="1054" customFormat="false" ht="12.75" hidden="false" customHeight="false" outlineLevel="0" collapsed="false">
      <c r="A1054" s="0" t="s">
        <v>29</v>
      </c>
      <c r="B1054" s="0" t="n">
        <v>119</v>
      </c>
      <c r="C1054" s="0" t="n">
        <v>40931</v>
      </c>
    </row>
    <row r="1055" customFormat="false" ht="12.75" hidden="false" customHeight="false" outlineLevel="0" collapsed="false">
      <c r="A1055" s="0" t="s">
        <v>30</v>
      </c>
      <c r="B1055" s="3" t="n">
        <v>2959</v>
      </c>
      <c r="C1055" s="0" t="n">
        <v>38344</v>
      </c>
    </row>
    <row r="1056" customFormat="false" ht="12.75" hidden="false" customHeight="false" outlineLevel="0" collapsed="false">
      <c r="A1056" s="0" t="s">
        <v>31</v>
      </c>
      <c r="B1056" s="0" t="n">
        <v>858</v>
      </c>
      <c r="C1056" s="0" t="n">
        <v>37527</v>
      </c>
    </row>
    <row r="1057" customFormat="false" ht="12.75" hidden="false" customHeight="false" outlineLevel="0" collapsed="false">
      <c r="A1057" s="0" t="s">
        <v>32</v>
      </c>
      <c r="B1057" s="0" t="n">
        <v>30</v>
      </c>
      <c r="C1057" s="0" t="n">
        <v>37630</v>
      </c>
    </row>
    <row r="1058" customFormat="false" ht="12.75" hidden="false" customHeight="false" outlineLevel="0" collapsed="false">
      <c r="A1058" s="0" t="s">
        <v>33</v>
      </c>
      <c r="B1058" s="3" t="n">
        <v>2384</v>
      </c>
      <c r="C1058" s="0" t="n">
        <v>35284</v>
      </c>
    </row>
    <row r="1059" customFormat="false" ht="12.75" hidden="false" customHeight="false" outlineLevel="0" collapsed="false">
      <c r="A1059" s="0" t="s">
        <v>34</v>
      </c>
      <c r="B1059" s="0" t="n">
        <v>52</v>
      </c>
      <c r="C1059" s="0" t="n">
        <v>35782</v>
      </c>
    </row>
    <row r="1060" customFormat="false" ht="12.75" hidden="false" customHeight="false" outlineLevel="0" collapsed="false">
      <c r="A1060" s="0" t="s">
        <v>35</v>
      </c>
      <c r="B1060" s="0" t="s">
        <v>156</v>
      </c>
      <c r="C1060" s="0" t="n">
        <v>35899</v>
      </c>
    </row>
    <row r="1061" customFormat="false" ht="12.75" hidden="false" customHeight="false" outlineLevel="0" collapsed="false">
      <c r="A1061" s="0" t="s">
        <v>36</v>
      </c>
      <c r="B1061" s="0" t="n">
        <v>157</v>
      </c>
      <c r="C1061" s="0" t="n">
        <v>35784</v>
      </c>
    </row>
    <row r="1062" customFormat="false" ht="12.75" hidden="false" customHeight="false" outlineLevel="0" collapsed="false">
      <c r="A1062" s="0" t="s">
        <v>37</v>
      </c>
      <c r="B1062" s="0" t="n">
        <v>21</v>
      </c>
      <c r="C1062" s="0" t="n">
        <v>39451</v>
      </c>
    </row>
    <row r="1063" customFormat="false" ht="12.75" hidden="false" customHeight="false" outlineLevel="0" collapsed="false">
      <c r="A1063" s="0" t="s">
        <v>38</v>
      </c>
      <c r="B1063" s="0" t="n">
        <v>21</v>
      </c>
      <c r="C1063" s="0" t="n">
        <v>39497</v>
      </c>
    </row>
    <row r="1064" customFormat="false" ht="12.75" hidden="false" customHeight="false" outlineLevel="0" collapsed="false">
      <c r="A1064" s="0" t="s">
        <v>39</v>
      </c>
      <c r="B1064" s="0" t="n">
        <v>557</v>
      </c>
      <c r="C1064" s="0" t="n">
        <v>38961</v>
      </c>
    </row>
    <row r="1065" customFormat="false" ht="12.75" hidden="false" customHeight="false" outlineLevel="0" collapsed="false">
      <c r="A1065" s="0" t="s">
        <v>40</v>
      </c>
      <c r="B1065" s="0" t="n">
        <v>247</v>
      </c>
      <c r="C1065" s="0" t="n">
        <v>39199</v>
      </c>
    </row>
    <row r="1066" customFormat="false" ht="12.75" hidden="false" customHeight="false" outlineLevel="0" collapsed="false">
      <c r="A1066" s="0" t="s">
        <v>41</v>
      </c>
      <c r="B1066" s="0" t="n">
        <v>116</v>
      </c>
      <c r="C1066" s="0" t="n">
        <v>39083</v>
      </c>
    </row>
    <row r="1067" customFormat="false" ht="12.75" hidden="false" customHeight="false" outlineLevel="0" collapsed="false">
      <c r="A1067" s="0" t="s">
        <v>42</v>
      </c>
      <c r="B1067" s="0" t="n">
        <v>3</v>
      </c>
      <c r="C1067" s="0" t="n">
        <v>39330</v>
      </c>
    </row>
    <row r="1068" customFormat="false" ht="12.75" hidden="false" customHeight="false" outlineLevel="0" collapsed="false">
      <c r="A1068" s="0" t="s">
        <v>43</v>
      </c>
      <c r="B1068" s="0" t="n">
        <v>53</v>
      </c>
      <c r="C1068" s="0" t="n">
        <v>39293</v>
      </c>
    </row>
    <row r="1069" customFormat="false" ht="12.75" hidden="false" customHeight="false" outlineLevel="0" collapsed="false">
      <c r="A1069" s="0" t="s">
        <v>44</v>
      </c>
      <c r="B1069" s="0" t="n">
        <v>105</v>
      </c>
      <c r="C1069" s="0" t="n">
        <v>39709</v>
      </c>
    </row>
    <row r="1070" customFormat="false" ht="12.75" hidden="false" customHeight="false" outlineLevel="0" collapsed="false">
      <c r="A1070" s="0" t="s">
        <v>45</v>
      </c>
      <c r="B1070" s="0" t="n">
        <v>10</v>
      </c>
      <c r="C1070" s="0" t="n">
        <v>39896</v>
      </c>
    </row>
    <row r="1071" customFormat="false" ht="12.75" hidden="false" customHeight="false" outlineLevel="0" collapsed="false">
      <c r="A1071" s="0" t="s">
        <v>46</v>
      </c>
      <c r="B1071" s="0" t="n">
        <v>947</v>
      </c>
      <c r="C1071" s="0" t="n">
        <v>38984</v>
      </c>
    </row>
    <row r="1072" customFormat="false" ht="12.75" hidden="false" customHeight="false" outlineLevel="0" collapsed="false">
      <c r="A1072" s="0" t="s">
        <v>47</v>
      </c>
      <c r="B1072" s="0" t="n">
        <v>302</v>
      </c>
      <c r="C1072" s="0" t="n">
        <v>38716</v>
      </c>
    </row>
    <row r="1073" customFormat="false" ht="12.75" hidden="false" customHeight="false" outlineLevel="0" collapsed="false">
      <c r="A1073" s="0" t="s">
        <v>48</v>
      </c>
      <c r="B1073" s="0" t="n">
        <v>70</v>
      </c>
      <c r="C1073" s="0" t="n">
        <v>38819</v>
      </c>
    </row>
    <row r="1074" customFormat="false" ht="12.75" hidden="false" customHeight="false" outlineLevel="0" collapsed="false">
      <c r="A1074" s="0" t="s">
        <v>49</v>
      </c>
      <c r="B1074" s="0" t="n">
        <v>21</v>
      </c>
      <c r="C1074" s="0" t="n">
        <v>38871</v>
      </c>
    </row>
    <row r="1075" customFormat="false" ht="12.75" hidden="false" customHeight="false" outlineLevel="0" collapsed="false">
      <c r="A1075" s="0" t="s">
        <v>50</v>
      </c>
      <c r="B1075" s="0" t="n">
        <v>33</v>
      </c>
      <c r="C1075" s="0" t="n">
        <v>38933</v>
      </c>
    </row>
    <row r="1076" customFormat="false" ht="12.75" hidden="false" customHeight="false" outlineLevel="0" collapsed="false">
      <c r="A1076" s="0" t="s">
        <v>51</v>
      </c>
      <c r="B1076" s="0" t="n">
        <v>3</v>
      </c>
      <c r="C1076" s="0" t="n">
        <v>39884</v>
      </c>
    </row>
    <row r="1077" customFormat="false" ht="12.75" hidden="false" customHeight="false" outlineLevel="0" collapsed="false">
      <c r="A1077" s="0" t="s">
        <v>138</v>
      </c>
      <c r="B1077" s="3" t="n">
        <v>22000</v>
      </c>
      <c r="C1077" s="0" t="n">
        <v>17916</v>
      </c>
    </row>
    <row r="1078" customFormat="false" ht="12.75" hidden="false" customHeight="false" outlineLevel="0" collapsed="false">
      <c r="A1078" s="0" t="s">
        <v>1</v>
      </c>
      <c r="B1078" s="0" t="n">
        <v>146</v>
      </c>
      <c r="C1078" s="0" t="n">
        <v>33149</v>
      </c>
    </row>
    <row r="1079" customFormat="false" ht="12.75" hidden="false" customHeight="false" outlineLevel="0" collapsed="false">
      <c r="A1079" s="0" t="s">
        <v>2</v>
      </c>
      <c r="B1079" s="0" t="n">
        <v>85</v>
      </c>
      <c r="C1079" s="0" t="n">
        <v>33098</v>
      </c>
    </row>
    <row r="1080" customFormat="false" ht="12.75" hidden="false" customHeight="false" outlineLevel="0" collapsed="false">
      <c r="A1080" s="0" t="s">
        <v>3</v>
      </c>
      <c r="B1080" s="0" t="n">
        <v>220</v>
      </c>
      <c r="C1080" s="0" t="n">
        <v>32900</v>
      </c>
    </row>
    <row r="1081" customFormat="false" ht="12.75" hidden="false" customHeight="false" outlineLevel="0" collapsed="false">
      <c r="A1081" s="0" t="s">
        <v>4</v>
      </c>
      <c r="B1081" s="0" t="n">
        <v>216</v>
      </c>
      <c r="C1081" s="0" t="n">
        <v>32892</v>
      </c>
    </row>
    <row r="1082" customFormat="false" ht="12.75" hidden="false" customHeight="false" outlineLevel="0" collapsed="false">
      <c r="A1082" s="0" t="s">
        <v>5</v>
      </c>
      <c r="B1082" s="0" t="n">
        <v>518</v>
      </c>
      <c r="C1082" s="0" t="n">
        <v>32386</v>
      </c>
    </row>
    <row r="1083" customFormat="false" ht="12.75" hidden="false" customHeight="false" outlineLevel="0" collapsed="false">
      <c r="A1083" s="0" t="s">
        <v>6</v>
      </c>
      <c r="B1083" s="0" t="n">
        <v>117</v>
      </c>
      <c r="C1083" s="0" t="n">
        <v>32708</v>
      </c>
    </row>
    <row r="1084" customFormat="false" ht="12.75" hidden="false" customHeight="false" outlineLevel="0" collapsed="false">
      <c r="A1084" s="0" t="s">
        <v>7</v>
      </c>
      <c r="B1084" s="0" t="n">
        <v>26</v>
      </c>
      <c r="C1084" s="0" t="n">
        <v>32899</v>
      </c>
    </row>
    <row r="1085" customFormat="false" ht="12.75" hidden="false" customHeight="false" outlineLevel="0" collapsed="false">
      <c r="A1085" s="0" t="s">
        <v>8</v>
      </c>
      <c r="B1085" s="0" t="n">
        <v>18</v>
      </c>
      <c r="C1085" s="0" t="n">
        <v>32903</v>
      </c>
    </row>
    <row r="1086" customFormat="false" ht="12.75" hidden="false" customHeight="false" outlineLevel="0" collapsed="false">
      <c r="A1086" s="0" t="s">
        <v>9</v>
      </c>
      <c r="B1086" s="0" t="n">
        <v>180</v>
      </c>
      <c r="C1086" s="0" t="n">
        <v>32723</v>
      </c>
    </row>
    <row r="1087" customFormat="false" ht="12.75" hidden="false" customHeight="false" outlineLevel="0" collapsed="false">
      <c r="A1087" s="0" t="s">
        <v>10</v>
      </c>
      <c r="B1087" s="3" t="n">
        <v>1358</v>
      </c>
      <c r="C1087" s="0" t="n">
        <v>31490</v>
      </c>
    </row>
    <row r="1088" customFormat="false" ht="12.75" hidden="false" customHeight="false" outlineLevel="0" collapsed="false">
      <c r="A1088" s="0" t="s">
        <v>11</v>
      </c>
      <c r="B1088" s="0" t="n">
        <v>498</v>
      </c>
      <c r="C1088" s="0" t="n">
        <v>31412</v>
      </c>
    </row>
    <row r="1089" customFormat="false" ht="12.75" hidden="false" customHeight="false" outlineLevel="0" collapsed="false">
      <c r="A1089" s="0" t="s">
        <v>12</v>
      </c>
      <c r="B1089" s="0" t="n">
        <v>49</v>
      </c>
      <c r="C1089" s="0" t="n">
        <v>31396</v>
      </c>
    </row>
    <row r="1090" customFormat="false" ht="12.75" hidden="false" customHeight="false" outlineLevel="0" collapsed="false">
      <c r="A1090" s="0" t="s">
        <v>13</v>
      </c>
      <c r="B1090" s="0" t="n">
        <v>12</v>
      </c>
      <c r="C1090" s="0" t="n">
        <v>31440</v>
      </c>
    </row>
    <row r="1091" customFormat="false" ht="12.75" hidden="false" customHeight="false" outlineLevel="0" collapsed="false">
      <c r="A1091" s="0" t="s">
        <v>14</v>
      </c>
      <c r="B1091" s="3" t="n">
        <v>3384</v>
      </c>
      <c r="C1091" s="0" t="n">
        <v>28069</v>
      </c>
    </row>
    <row r="1092" customFormat="false" ht="12.75" hidden="false" customHeight="false" outlineLevel="0" collapsed="false">
      <c r="A1092" s="0" t="s">
        <v>15</v>
      </c>
      <c r="B1092" s="3" t="n">
        <v>1007</v>
      </c>
      <c r="C1092" s="0" t="n">
        <v>27806</v>
      </c>
    </row>
    <row r="1093" customFormat="false" ht="12.75" hidden="false" customHeight="false" outlineLevel="0" collapsed="false">
      <c r="A1093" s="0" t="s">
        <v>16</v>
      </c>
      <c r="B1093" s="0" t="n">
        <v>176</v>
      </c>
      <c r="C1093" s="0" t="n">
        <v>27733</v>
      </c>
    </row>
    <row r="1094" customFormat="false" ht="12.75" hidden="false" customHeight="false" outlineLevel="0" collapsed="false">
      <c r="A1094" s="0" t="s">
        <v>17</v>
      </c>
      <c r="B1094" s="0" t="n">
        <v>161</v>
      </c>
      <c r="C1094" s="0" t="n">
        <v>28381</v>
      </c>
    </row>
    <row r="1095" customFormat="false" ht="12.75" hidden="false" customHeight="false" outlineLevel="0" collapsed="false">
      <c r="A1095" s="0" t="s">
        <v>18</v>
      </c>
      <c r="B1095" s="0" t="n">
        <v>520</v>
      </c>
      <c r="C1095" s="0" t="n">
        <v>27965</v>
      </c>
    </row>
    <row r="1096" customFormat="false" ht="12.75" hidden="false" customHeight="false" outlineLevel="0" collapsed="false">
      <c r="A1096" s="0" t="s">
        <v>19</v>
      </c>
      <c r="B1096" s="0" t="n">
        <v>109</v>
      </c>
      <c r="C1096" s="0" t="n">
        <v>27886</v>
      </c>
    </row>
    <row r="1097" customFormat="false" ht="12.75" hidden="false" customHeight="false" outlineLevel="0" collapsed="false">
      <c r="A1097" s="0" t="s">
        <v>20</v>
      </c>
      <c r="B1097" s="0" t="n">
        <v>39</v>
      </c>
      <c r="C1097" s="0" t="n">
        <v>27901</v>
      </c>
    </row>
    <row r="1098" customFormat="false" ht="12.75" hidden="false" customHeight="false" outlineLevel="0" collapsed="false">
      <c r="A1098" s="0" t="s">
        <v>21</v>
      </c>
      <c r="B1098" s="0" t="n">
        <v>83</v>
      </c>
      <c r="C1098" s="0" t="n">
        <v>27822</v>
      </c>
    </row>
    <row r="1099" customFormat="false" ht="12.75" hidden="false" customHeight="false" outlineLevel="0" collapsed="false">
      <c r="A1099" s="0" t="s">
        <v>22</v>
      </c>
      <c r="B1099" s="0" t="n">
        <v>279</v>
      </c>
      <c r="C1099" s="0" t="n">
        <v>27557</v>
      </c>
    </row>
    <row r="1100" customFormat="false" ht="12.75" hidden="false" customHeight="false" outlineLevel="0" collapsed="false">
      <c r="A1100" s="0" t="s">
        <v>24</v>
      </c>
      <c r="B1100" s="0" t="n">
        <v>284</v>
      </c>
      <c r="C1100" s="0" t="n">
        <v>27323</v>
      </c>
    </row>
    <row r="1101" customFormat="false" ht="12.75" hidden="false" customHeight="false" outlineLevel="0" collapsed="false">
      <c r="A1101" s="0" t="s">
        <v>25</v>
      </c>
      <c r="B1101" s="0" t="n">
        <v>92</v>
      </c>
      <c r="C1101" s="0" t="n">
        <v>27562</v>
      </c>
    </row>
    <row r="1102" customFormat="false" ht="12.75" hidden="false" customHeight="false" outlineLevel="0" collapsed="false">
      <c r="A1102" s="0" t="s">
        <v>26</v>
      </c>
      <c r="B1102" s="0" t="n">
        <v>362</v>
      </c>
      <c r="C1102" s="0" t="n">
        <v>27248</v>
      </c>
    </row>
    <row r="1103" customFormat="false" ht="12.75" hidden="false" customHeight="false" outlineLevel="0" collapsed="false">
      <c r="A1103" s="0" t="s">
        <v>27</v>
      </c>
      <c r="B1103" s="0" t="n">
        <v>15</v>
      </c>
      <c r="C1103" s="0" t="n">
        <v>27511</v>
      </c>
    </row>
    <row r="1104" customFormat="false" ht="12.75" hidden="false" customHeight="false" outlineLevel="0" collapsed="false">
      <c r="A1104" s="0" t="s">
        <v>28</v>
      </c>
      <c r="B1104" s="0" t="n">
        <v>28</v>
      </c>
      <c r="C1104" s="0" t="n">
        <v>27590</v>
      </c>
    </row>
    <row r="1105" customFormat="false" ht="12.75" hidden="false" customHeight="false" outlineLevel="0" collapsed="false">
      <c r="A1105" s="0" t="s">
        <v>29</v>
      </c>
      <c r="B1105" s="0" t="n">
        <v>372</v>
      </c>
      <c r="C1105" s="0" t="n">
        <v>27387</v>
      </c>
    </row>
    <row r="1106" customFormat="false" ht="12.75" hidden="false" customHeight="false" outlineLevel="0" collapsed="false">
      <c r="A1106" s="0" t="s">
        <v>30</v>
      </c>
      <c r="B1106" s="0" t="n">
        <v>41</v>
      </c>
      <c r="C1106" s="0" t="n">
        <v>27557</v>
      </c>
    </row>
    <row r="1107" customFormat="false" ht="12.75" hidden="false" customHeight="false" outlineLevel="0" collapsed="false">
      <c r="A1107" s="0" t="s">
        <v>31</v>
      </c>
      <c r="B1107" s="0" t="n">
        <v>133</v>
      </c>
      <c r="C1107" s="0" t="n">
        <v>27431</v>
      </c>
    </row>
    <row r="1108" customFormat="false" ht="12.75" hidden="false" customHeight="false" outlineLevel="0" collapsed="false">
      <c r="A1108" s="0" t="s">
        <v>32</v>
      </c>
      <c r="B1108" s="0" t="n">
        <v>38</v>
      </c>
      <c r="C1108" s="0" t="n">
        <v>27412</v>
      </c>
    </row>
    <row r="1109" customFormat="false" ht="12.75" hidden="false" customHeight="false" outlineLevel="0" collapsed="false">
      <c r="A1109" s="0" t="s">
        <v>33</v>
      </c>
      <c r="B1109" s="0" t="n">
        <v>550</v>
      </c>
      <c r="C1109" s="0" t="n">
        <v>26891</v>
      </c>
    </row>
    <row r="1110" customFormat="false" ht="12.75" hidden="false" customHeight="false" outlineLevel="0" collapsed="false">
      <c r="A1110" s="0" t="s">
        <v>34</v>
      </c>
      <c r="B1110" s="0" t="n">
        <v>117</v>
      </c>
      <c r="C1110" s="0" t="n">
        <v>27001</v>
      </c>
    </row>
    <row r="1111" customFormat="false" ht="12.75" hidden="false" customHeight="false" outlineLevel="0" collapsed="false">
      <c r="A1111" s="0" t="s">
        <v>35</v>
      </c>
      <c r="B1111" s="0" t="n">
        <v>42</v>
      </c>
      <c r="C1111" s="0" t="n">
        <v>27023</v>
      </c>
    </row>
    <row r="1112" customFormat="false" ht="12.75" hidden="false" customHeight="false" outlineLevel="0" collapsed="false">
      <c r="A1112" s="0" t="s">
        <v>36</v>
      </c>
      <c r="B1112" s="3" t="n">
        <v>3688</v>
      </c>
      <c r="C1112" s="0" t="n">
        <v>24562</v>
      </c>
    </row>
    <row r="1113" customFormat="false" ht="12.75" hidden="false" customHeight="false" outlineLevel="0" collapsed="false">
      <c r="A1113" s="0" t="s">
        <v>37</v>
      </c>
      <c r="B1113" s="0" t="n">
        <v>67</v>
      </c>
      <c r="C1113" s="0" t="n">
        <v>24553</v>
      </c>
    </row>
    <row r="1114" customFormat="false" ht="12.75" hidden="false" customHeight="false" outlineLevel="0" collapsed="false">
      <c r="A1114" s="0" t="s">
        <v>38</v>
      </c>
      <c r="B1114" s="0" t="n">
        <v>21</v>
      </c>
      <c r="C1114" s="0" t="n">
        <v>24560</v>
      </c>
    </row>
    <row r="1115" customFormat="false" ht="12.75" hidden="false" customHeight="false" outlineLevel="0" collapsed="false">
      <c r="A1115" s="0" t="s">
        <v>39</v>
      </c>
      <c r="B1115" s="0" t="n">
        <v>485</v>
      </c>
      <c r="C1115" s="0" t="n">
        <v>24127</v>
      </c>
    </row>
    <row r="1116" customFormat="false" ht="12.75" hidden="false" customHeight="false" outlineLevel="0" collapsed="false">
      <c r="A1116" s="0" t="s">
        <v>40</v>
      </c>
      <c r="B1116" s="0" t="s">
        <v>156</v>
      </c>
      <c r="C1116" s="0" t="n">
        <v>24169</v>
      </c>
    </row>
    <row r="1117" customFormat="false" ht="12.75" hidden="false" customHeight="false" outlineLevel="0" collapsed="false">
      <c r="A1117" s="0" t="s">
        <v>41</v>
      </c>
      <c r="B1117" s="0" t="n">
        <v>250</v>
      </c>
      <c r="C1117" s="0" t="n">
        <v>23924</v>
      </c>
    </row>
    <row r="1118" customFormat="false" ht="12.75" hidden="false" customHeight="false" outlineLevel="0" collapsed="false">
      <c r="A1118" s="0" t="s">
        <v>42</v>
      </c>
      <c r="B1118" s="0" t="n">
        <v>16</v>
      </c>
      <c r="C1118" s="0" t="n">
        <v>23926</v>
      </c>
    </row>
    <row r="1119" customFormat="false" ht="12.75" hidden="false" customHeight="false" outlineLevel="0" collapsed="false">
      <c r="A1119" s="0" t="s">
        <v>43</v>
      </c>
      <c r="B1119" s="0" t="n">
        <v>521</v>
      </c>
      <c r="C1119" s="0" t="n">
        <v>24049</v>
      </c>
    </row>
    <row r="1120" customFormat="false" ht="12.75" hidden="false" customHeight="false" outlineLevel="0" collapsed="false">
      <c r="A1120" s="0" t="s">
        <v>44</v>
      </c>
      <c r="B1120" s="0" t="n">
        <v>197</v>
      </c>
      <c r="C1120" s="0" t="n">
        <v>23887</v>
      </c>
    </row>
    <row r="1121" customFormat="false" ht="12.75" hidden="false" customHeight="false" outlineLevel="0" collapsed="false">
      <c r="A1121" s="0" t="s">
        <v>45</v>
      </c>
      <c r="B1121" s="0" t="n">
        <v>35</v>
      </c>
      <c r="C1121" s="0" t="n">
        <v>24104</v>
      </c>
    </row>
    <row r="1122" customFormat="false" ht="12.75" hidden="false" customHeight="false" outlineLevel="0" collapsed="false">
      <c r="A1122" s="0" t="s">
        <v>46</v>
      </c>
      <c r="B1122" s="0" t="n">
        <v>34</v>
      </c>
      <c r="C1122" s="0" t="n">
        <v>24082</v>
      </c>
    </row>
    <row r="1123" customFormat="false" ht="12.75" hidden="false" customHeight="false" outlineLevel="0" collapsed="false">
      <c r="A1123" s="0" t="s">
        <v>47</v>
      </c>
      <c r="B1123" s="0" t="n">
        <v>173</v>
      </c>
      <c r="C1123" s="0" t="n">
        <v>23912</v>
      </c>
    </row>
    <row r="1124" customFormat="false" ht="12.75" hidden="false" customHeight="false" outlineLevel="0" collapsed="false">
      <c r="A1124" s="0" t="s">
        <v>48</v>
      </c>
      <c r="B1124" s="0" t="n">
        <v>73</v>
      </c>
      <c r="C1124" s="0" t="n">
        <v>23886</v>
      </c>
    </row>
    <row r="1125" customFormat="false" ht="12.75" hidden="false" customHeight="false" outlineLevel="0" collapsed="false">
      <c r="A1125" s="0" t="s">
        <v>49</v>
      </c>
      <c r="B1125" s="0" t="n">
        <v>95</v>
      </c>
      <c r="C1125" s="0" t="n">
        <v>23883</v>
      </c>
    </row>
    <row r="1126" customFormat="false" ht="12.75" hidden="false" customHeight="false" outlineLevel="0" collapsed="false">
      <c r="A1126" s="0" t="s">
        <v>50</v>
      </c>
      <c r="B1126" s="0" t="n">
        <v>954</v>
      </c>
      <c r="C1126" s="0" t="n">
        <v>22929</v>
      </c>
    </row>
    <row r="1127" customFormat="false" ht="12.75" hidden="false" customHeight="false" outlineLevel="0" collapsed="false">
      <c r="A1127" s="0" t="s">
        <v>51</v>
      </c>
      <c r="B1127" s="0" t="n">
        <v>32</v>
      </c>
      <c r="C1127" s="0" t="n">
        <v>25808</v>
      </c>
    </row>
    <row r="1128" customFormat="false" ht="12.75" hidden="false" customHeight="false" outlineLevel="0" collapsed="false">
      <c r="A1128" s="0" t="s">
        <v>139</v>
      </c>
      <c r="B1128" s="3" t="n">
        <v>15379</v>
      </c>
      <c r="C1128" s="0" t="n">
        <v>10468</v>
      </c>
    </row>
    <row r="1129" customFormat="false" ht="12.75" hidden="false" customHeight="false" outlineLevel="0" collapsed="false">
      <c r="A1129" s="0" t="s">
        <v>1</v>
      </c>
      <c r="B1129" s="0" t="n">
        <v>34</v>
      </c>
      <c r="C1129" s="0" t="n">
        <v>15047</v>
      </c>
    </row>
    <row r="1130" customFormat="false" ht="12.75" hidden="false" customHeight="false" outlineLevel="0" collapsed="false">
      <c r="A1130" s="0" t="s">
        <v>2</v>
      </c>
      <c r="B1130" s="0" t="n">
        <v>22</v>
      </c>
      <c r="C1130" s="0" t="n">
        <v>15985</v>
      </c>
    </row>
    <row r="1131" customFormat="false" ht="12.75" hidden="false" customHeight="false" outlineLevel="0" collapsed="false">
      <c r="A1131" s="0" t="s">
        <v>3</v>
      </c>
      <c r="B1131" s="0" t="n">
        <v>208</v>
      </c>
      <c r="C1131" s="0" t="n">
        <v>15803</v>
      </c>
    </row>
    <row r="1132" customFormat="false" ht="12.75" hidden="false" customHeight="false" outlineLevel="0" collapsed="false">
      <c r="A1132" s="0" t="s">
        <v>4</v>
      </c>
      <c r="B1132" s="0" t="n">
        <v>12</v>
      </c>
      <c r="C1132" s="0" t="n">
        <v>15810</v>
      </c>
    </row>
    <row r="1133" customFormat="false" ht="12.75" hidden="false" customHeight="false" outlineLevel="0" collapsed="false">
      <c r="A1133" s="0" t="s">
        <v>5</v>
      </c>
      <c r="B1133" s="0" t="n">
        <v>439</v>
      </c>
      <c r="C1133" s="0" t="n">
        <v>15629</v>
      </c>
    </row>
    <row r="1134" customFormat="false" ht="12.75" hidden="false" customHeight="false" outlineLevel="0" collapsed="false">
      <c r="A1134" s="0" t="s">
        <v>6</v>
      </c>
      <c r="B1134" s="0" t="n">
        <v>217</v>
      </c>
      <c r="C1134" s="0" t="n">
        <v>15484</v>
      </c>
    </row>
    <row r="1135" customFormat="false" ht="12.75" hidden="false" customHeight="false" outlineLevel="0" collapsed="false">
      <c r="A1135" s="0" t="s">
        <v>7</v>
      </c>
      <c r="B1135" s="0" t="n">
        <v>22</v>
      </c>
      <c r="C1135" s="0" t="n">
        <v>15493</v>
      </c>
    </row>
    <row r="1136" customFormat="false" ht="12.75" hidden="false" customHeight="false" outlineLevel="0" collapsed="false">
      <c r="A1136" s="0" t="s">
        <v>8</v>
      </c>
      <c r="B1136" s="0" t="s">
        <v>156</v>
      </c>
      <c r="C1136" s="0" t="n">
        <v>15496</v>
      </c>
    </row>
    <row r="1137" customFormat="false" ht="12.75" hidden="false" customHeight="false" outlineLevel="0" collapsed="false">
      <c r="A1137" s="0" t="s">
        <v>9</v>
      </c>
      <c r="B1137" s="0" t="n">
        <v>125</v>
      </c>
      <c r="C1137" s="0" t="n">
        <v>15372</v>
      </c>
    </row>
    <row r="1138" customFormat="false" ht="12.75" hidden="false" customHeight="false" outlineLevel="0" collapsed="false">
      <c r="A1138" s="0" t="s">
        <v>10</v>
      </c>
      <c r="B1138" s="0" t="n">
        <v>420</v>
      </c>
      <c r="C1138" s="0" t="n">
        <v>15024</v>
      </c>
    </row>
    <row r="1139" customFormat="false" ht="12.75" hidden="false" customHeight="false" outlineLevel="0" collapsed="false">
      <c r="A1139" s="0" t="s">
        <v>11</v>
      </c>
      <c r="B1139" s="0" t="n">
        <v>33</v>
      </c>
      <c r="C1139" s="0" t="n">
        <v>15551</v>
      </c>
    </row>
    <row r="1140" customFormat="false" ht="12.75" hidden="false" customHeight="false" outlineLevel="0" collapsed="false">
      <c r="A1140" s="0" t="s">
        <v>12</v>
      </c>
      <c r="B1140" s="0" t="n">
        <v>56</v>
      </c>
      <c r="C1140" s="0" t="n">
        <v>15747</v>
      </c>
    </row>
    <row r="1141" customFormat="false" ht="12.75" hidden="false" customHeight="false" outlineLevel="0" collapsed="false">
      <c r="A1141" s="0" t="s">
        <v>13</v>
      </c>
      <c r="B1141" s="0" t="n">
        <v>13</v>
      </c>
      <c r="C1141" s="0" t="n">
        <v>15752</v>
      </c>
    </row>
    <row r="1142" customFormat="false" ht="12.75" hidden="false" customHeight="false" outlineLevel="0" collapsed="false">
      <c r="A1142" s="0" t="s">
        <v>14</v>
      </c>
      <c r="B1142" s="0" t="n">
        <v>744</v>
      </c>
      <c r="C1142" s="0" t="n">
        <v>15010</v>
      </c>
    </row>
    <row r="1143" customFormat="false" ht="12.75" hidden="false" customHeight="false" outlineLevel="0" collapsed="false">
      <c r="A1143" s="0" t="s">
        <v>15</v>
      </c>
      <c r="B1143" s="0" t="n">
        <v>103</v>
      </c>
      <c r="C1143" s="0" t="n">
        <v>15054</v>
      </c>
    </row>
    <row r="1144" customFormat="false" ht="12.75" hidden="false" customHeight="false" outlineLevel="0" collapsed="false">
      <c r="A1144" s="0" t="s">
        <v>16</v>
      </c>
      <c r="B1144" s="0" t="n">
        <v>809</v>
      </c>
      <c r="C1144" s="0" t="n">
        <v>14283</v>
      </c>
    </row>
    <row r="1145" customFormat="false" ht="12.75" hidden="false" customHeight="false" outlineLevel="0" collapsed="false">
      <c r="A1145" s="0" t="s">
        <v>17</v>
      </c>
      <c r="B1145" s="0" t="n">
        <v>104</v>
      </c>
      <c r="C1145" s="0" t="n">
        <v>14189</v>
      </c>
    </row>
    <row r="1146" customFormat="false" ht="12.75" hidden="false" customHeight="false" outlineLevel="0" collapsed="false">
      <c r="A1146" s="0" t="s">
        <v>18</v>
      </c>
      <c r="B1146" s="0" t="n">
        <v>30</v>
      </c>
      <c r="C1146" s="0" t="n">
        <v>14191</v>
      </c>
    </row>
    <row r="1147" customFormat="false" ht="12.75" hidden="false" customHeight="false" outlineLevel="0" collapsed="false">
      <c r="A1147" s="0" t="s">
        <v>19</v>
      </c>
      <c r="B1147" s="0" t="n">
        <v>54</v>
      </c>
      <c r="C1147" s="0" t="n">
        <v>14176</v>
      </c>
    </row>
    <row r="1148" customFormat="false" ht="12.75" hidden="false" customHeight="false" outlineLevel="0" collapsed="false">
      <c r="A1148" s="0" t="s">
        <v>20</v>
      </c>
      <c r="B1148" s="0" t="n">
        <v>4</v>
      </c>
      <c r="C1148" s="0" t="n">
        <v>15865</v>
      </c>
    </row>
    <row r="1149" customFormat="false" ht="12.75" hidden="false" customHeight="false" outlineLevel="0" collapsed="false">
      <c r="A1149" s="0" t="s">
        <v>21</v>
      </c>
      <c r="B1149" s="0" t="n">
        <v>14</v>
      </c>
      <c r="C1149" s="0" t="n">
        <v>15851</v>
      </c>
    </row>
    <row r="1150" customFormat="false" ht="12.75" hidden="false" customHeight="false" outlineLevel="0" collapsed="false">
      <c r="A1150" s="0" t="s">
        <v>22</v>
      </c>
      <c r="B1150" s="0" t="n">
        <v>50</v>
      </c>
      <c r="C1150" s="0" t="n">
        <v>15807</v>
      </c>
    </row>
    <row r="1151" customFormat="false" ht="12.75" hidden="false" customHeight="false" outlineLevel="0" collapsed="false">
      <c r="A1151" s="0" t="s">
        <v>23</v>
      </c>
      <c r="B1151" s="0" t="n">
        <v>331</v>
      </c>
      <c r="C1151" s="0" t="n">
        <v>15491</v>
      </c>
    </row>
    <row r="1152" customFormat="false" ht="12.75" hidden="false" customHeight="false" outlineLevel="0" collapsed="false">
      <c r="A1152" s="0" t="s">
        <v>25</v>
      </c>
      <c r="B1152" s="0" t="n">
        <v>48</v>
      </c>
      <c r="C1152" s="0" t="n">
        <v>15506</v>
      </c>
    </row>
    <row r="1153" customFormat="false" ht="12.75" hidden="false" customHeight="false" outlineLevel="0" collapsed="false">
      <c r="A1153" s="0" t="s">
        <v>26</v>
      </c>
      <c r="B1153" s="0" t="n">
        <v>278</v>
      </c>
      <c r="C1153" s="0" t="n">
        <v>15235</v>
      </c>
    </row>
    <row r="1154" customFormat="false" ht="12.75" hidden="false" customHeight="false" outlineLevel="0" collapsed="false">
      <c r="A1154" s="0" t="s">
        <v>27</v>
      </c>
      <c r="B1154" s="0" t="n">
        <v>107</v>
      </c>
      <c r="C1154" s="0" t="n">
        <v>15281</v>
      </c>
    </row>
    <row r="1155" customFormat="false" ht="12.75" hidden="false" customHeight="false" outlineLevel="0" collapsed="false">
      <c r="A1155" s="0" t="s">
        <v>28</v>
      </c>
      <c r="B1155" s="0" t="n">
        <v>169</v>
      </c>
      <c r="C1155" s="0" t="n">
        <v>15113</v>
      </c>
    </row>
    <row r="1156" customFormat="false" ht="12.75" hidden="false" customHeight="false" outlineLevel="0" collapsed="false">
      <c r="A1156" s="0" t="s">
        <v>29</v>
      </c>
      <c r="B1156" s="0" t="n">
        <v>211</v>
      </c>
      <c r="C1156" s="0" t="n">
        <v>14903</v>
      </c>
    </row>
    <row r="1157" customFormat="false" ht="12.75" hidden="false" customHeight="false" outlineLevel="0" collapsed="false">
      <c r="A1157" s="0" t="s">
        <v>30</v>
      </c>
      <c r="B1157" s="0" t="n">
        <v>7</v>
      </c>
      <c r="C1157" s="0" t="n">
        <v>14907</v>
      </c>
    </row>
    <row r="1158" customFormat="false" ht="12.75" hidden="false" customHeight="false" outlineLevel="0" collapsed="false">
      <c r="A1158" s="0" t="s">
        <v>31</v>
      </c>
      <c r="B1158" s="0" t="n">
        <v>19</v>
      </c>
      <c r="C1158" s="0" t="n">
        <v>14900</v>
      </c>
    </row>
    <row r="1159" customFormat="false" ht="12.75" hidden="false" customHeight="false" outlineLevel="0" collapsed="false">
      <c r="A1159" s="0" t="s">
        <v>32</v>
      </c>
      <c r="B1159" s="0" t="n">
        <v>29</v>
      </c>
      <c r="C1159" s="0" t="n">
        <v>14883</v>
      </c>
    </row>
    <row r="1160" customFormat="false" ht="12.75" hidden="false" customHeight="false" outlineLevel="0" collapsed="false">
      <c r="A1160" s="0" t="s">
        <v>33</v>
      </c>
      <c r="B1160" s="0" t="n">
        <v>227</v>
      </c>
      <c r="C1160" s="0" t="n">
        <v>14672</v>
      </c>
    </row>
    <row r="1161" customFormat="false" ht="12.75" hidden="false" customHeight="false" outlineLevel="0" collapsed="false">
      <c r="A1161" s="0" t="s">
        <v>34</v>
      </c>
      <c r="B1161" s="0" t="n">
        <v>64</v>
      </c>
      <c r="C1161" s="0" t="n">
        <v>14645</v>
      </c>
    </row>
    <row r="1162" customFormat="false" ht="12.75" hidden="false" customHeight="false" outlineLevel="0" collapsed="false">
      <c r="A1162" s="0" t="s">
        <v>35</v>
      </c>
      <c r="B1162" s="3" t="n">
        <v>1227</v>
      </c>
      <c r="C1162" s="0" t="n">
        <v>13492</v>
      </c>
    </row>
    <row r="1163" customFormat="false" ht="12.75" hidden="false" customHeight="false" outlineLevel="0" collapsed="false">
      <c r="A1163" s="0" t="s">
        <v>36</v>
      </c>
      <c r="B1163" s="0" t="n">
        <v>58</v>
      </c>
      <c r="C1163" s="0" t="n">
        <v>13440</v>
      </c>
    </row>
    <row r="1164" customFormat="false" ht="12.75" hidden="false" customHeight="false" outlineLevel="0" collapsed="false">
      <c r="A1164" s="0" t="s">
        <v>37</v>
      </c>
      <c r="B1164" s="0" t="n">
        <v>28</v>
      </c>
      <c r="C1164" s="0" t="n">
        <v>13449</v>
      </c>
    </row>
    <row r="1165" customFormat="false" ht="12.75" hidden="false" customHeight="false" outlineLevel="0" collapsed="false">
      <c r="A1165" s="0" t="s">
        <v>38</v>
      </c>
      <c r="B1165" s="0" t="n">
        <v>52</v>
      </c>
      <c r="C1165" s="0" t="n">
        <v>13416</v>
      </c>
    </row>
    <row r="1166" customFormat="false" ht="12.75" hidden="false" customHeight="false" outlineLevel="0" collapsed="false">
      <c r="A1166" s="0" t="s">
        <v>39</v>
      </c>
      <c r="B1166" s="0" t="n">
        <v>42</v>
      </c>
      <c r="C1166" s="0" t="n">
        <v>13377</v>
      </c>
    </row>
    <row r="1167" customFormat="false" ht="12.75" hidden="false" customHeight="false" outlineLevel="0" collapsed="false">
      <c r="A1167" s="0" t="s">
        <v>40</v>
      </c>
      <c r="B1167" s="0" t="n">
        <v>5</v>
      </c>
      <c r="C1167" s="0" t="n">
        <v>13404</v>
      </c>
    </row>
    <row r="1168" customFormat="false" ht="12.75" hidden="false" customHeight="false" outlineLevel="0" collapsed="false">
      <c r="A1168" s="0" t="s">
        <v>41</v>
      </c>
      <c r="B1168" s="0" t="n">
        <v>18</v>
      </c>
      <c r="C1168" s="0" t="n">
        <v>13387</v>
      </c>
    </row>
    <row r="1169" customFormat="false" ht="12.75" hidden="false" customHeight="false" outlineLevel="0" collapsed="false">
      <c r="A1169" s="0" t="s">
        <v>42</v>
      </c>
      <c r="B1169" s="0" t="n">
        <v>644</v>
      </c>
      <c r="C1169" s="0" t="n">
        <v>12773</v>
      </c>
    </row>
    <row r="1170" customFormat="false" ht="12.75" hidden="false" customHeight="false" outlineLevel="0" collapsed="false">
      <c r="A1170" s="0" t="s">
        <v>43</v>
      </c>
      <c r="B1170" s="0" t="n">
        <v>35</v>
      </c>
      <c r="C1170" s="0" t="n">
        <v>12738</v>
      </c>
    </row>
    <row r="1171" customFormat="false" ht="12.75" hidden="false" customHeight="false" outlineLevel="0" collapsed="false">
      <c r="A1171" s="0" t="s">
        <v>44</v>
      </c>
      <c r="B1171" s="0" t="n">
        <v>252</v>
      </c>
      <c r="C1171" s="0" t="n">
        <v>13508</v>
      </c>
    </row>
    <row r="1172" customFormat="false" ht="12.75" hidden="false" customHeight="false" outlineLevel="0" collapsed="false">
      <c r="A1172" s="0" t="s">
        <v>45</v>
      </c>
      <c r="B1172" s="0" t="n">
        <v>12</v>
      </c>
      <c r="C1172" s="0" t="n">
        <v>13910</v>
      </c>
    </row>
    <row r="1173" customFormat="false" ht="12.75" hidden="false" customHeight="false" outlineLevel="0" collapsed="false">
      <c r="A1173" s="0" t="s">
        <v>46</v>
      </c>
      <c r="B1173" s="0" t="n">
        <v>3</v>
      </c>
      <c r="C1173" s="0" t="n">
        <v>13911</v>
      </c>
    </row>
    <row r="1174" customFormat="false" ht="12.75" hidden="false" customHeight="false" outlineLevel="0" collapsed="false">
      <c r="A1174" s="0" t="s">
        <v>47</v>
      </c>
      <c r="B1174" s="0" t="n">
        <v>47</v>
      </c>
      <c r="C1174" s="0" t="n">
        <v>13865</v>
      </c>
    </row>
    <row r="1175" customFormat="false" ht="12.75" hidden="false" customHeight="false" outlineLevel="0" collapsed="false">
      <c r="A1175" s="0" t="s">
        <v>48</v>
      </c>
      <c r="B1175" s="0" t="n">
        <v>92</v>
      </c>
      <c r="C1175" s="0" t="n">
        <v>13814</v>
      </c>
    </row>
    <row r="1176" customFormat="false" ht="12.75" hidden="false" customHeight="false" outlineLevel="0" collapsed="false">
      <c r="A1176" s="0" t="s">
        <v>49</v>
      </c>
      <c r="B1176" s="0" t="s">
        <v>156</v>
      </c>
      <c r="C1176" s="0" t="n">
        <v>13830</v>
      </c>
    </row>
    <row r="1177" customFormat="false" ht="12.75" hidden="false" customHeight="false" outlineLevel="0" collapsed="false">
      <c r="A1177" s="0" t="s">
        <v>50</v>
      </c>
      <c r="B1177" s="3" t="n">
        <v>2911</v>
      </c>
      <c r="C1177" s="0" t="n">
        <v>10926</v>
      </c>
    </row>
    <row r="1178" customFormat="false" ht="12.75" hidden="false" customHeight="false" outlineLevel="0" collapsed="false">
      <c r="A1178" s="0" t="s">
        <v>51</v>
      </c>
      <c r="B1178" s="0" t="n">
        <v>39</v>
      </c>
      <c r="C1178" s="0" t="n">
        <v>10901</v>
      </c>
    </row>
    <row r="1179" customFormat="false" ht="12.75" hidden="false" customHeight="false" outlineLevel="0" collapsed="false">
      <c r="A1179" s="0" t="s">
        <v>140</v>
      </c>
      <c r="B1179" s="3" t="n">
        <v>4613</v>
      </c>
      <c r="C1179" s="0" t="n">
        <v>6289</v>
      </c>
    </row>
    <row r="1180" customFormat="false" ht="12.75" hidden="false" customHeight="false" outlineLevel="0" collapsed="false">
      <c r="A1180" s="0" t="s">
        <v>1</v>
      </c>
      <c r="B1180" s="0" t="n">
        <v>960</v>
      </c>
      <c r="C1180" s="0" t="n">
        <v>17604</v>
      </c>
    </row>
    <row r="1181" customFormat="false" ht="12.75" hidden="false" customHeight="false" outlineLevel="0" collapsed="false">
      <c r="A1181" s="0" t="s">
        <v>2</v>
      </c>
      <c r="B1181" s="0" t="n">
        <v>26</v>
      </c>
      <c r="C1181" s="0" t="n">
        <v>17698</v>
      </c>
    </row>
    <row r="1182" customFormat="false" ht="12.75" hidden="false" customHeight="false" outlineLevel="0" collapsed="false">
      <c r="A1182" s="0" t="s">
        <v>3</v>
      </c>
      <c r="B1182" s="0" t="n">
        <v>19</v>
      </c>
      <c r="C1182" s="0" t="n">
        <v>17694</v>
      </c>
    </row>
    <row r="1183" customFormat="false" ht="12.75" hidden="false" customHeight="false" outlineLevel="0" collapsed="false">
      <c r="A1183" s="0" t="s">
        <v>4</v>
      </c>
      <c r="B1183" s="0" t="n">
        <v>258</v>
      </c>
      <c r="C1183" s="0" t="n">
        <v>17549</v>
      </c>
    </row>
    <row r="1184" customFormat="false" ht="12.75" hidden="false" customHeight="false" outlineLevel="0" collapsed="false">
      <c r="A1184" s="0" t="s">
        <v>5</v>
      </c>
      <c r="B1184" s="0" t="n">
        <v>72</v>
      </c>
      <c r="C1184" s="0" t="n">
        <v>18386</v>
      </c>
    </row>
    <row r="1185" customFormat="false" ht="12.75" hidden="false" customHeight="false" outlineLevel="0" collapsed="false">
      <c r="A1185" s="0" t="s">
        <v>6</v>
      </c>
      <c r="B1185" s="0" t="n">
        <v>31</v>
      </c>
      <c r="C1185" s="0" t="n">
        <v>18621</v>
      </c>
    </row>
    <row r="1186" customFormat="false" ht="12.75" hidden="false" customHeight="false" outlineLevel="0" collapsed="false">
      <c r="A1186" s="0" t="s">
        <v>7</v>
      </c>
      <c r="B1186" s="0" t="n">
        <v>3</v>
      </c>
      <c r="C1186" s="0" t="n">
        <v>19094</v>
      </c>
    </row>
    <row r="1187" customFormat="false" ht="12.75" hidden="false" customHeight="false" outlineLevel="0" collapsed="false">
      <c r="A1187" s="0" t="s">
        <v>8</v>
      </c>
      <c r="B1187" s="0" t="n">
        <v>1</v>
      </c>
      <c r="C1187" s="0" t="n">
        <v>19102</v>
      </c>
    </row>
    <row r="1188" customFormat="false" ht="12.75" hidden="false" customHeight="false" outlineLevel="0" collapsed="false">
      <c r="A1188" s="0" t="s">
        <v>9</v>
      </c>
      <c r="B1188" s="0" t="n">
        <v>72</v>
      </c>
      <c r="C1188" s="0" t="n">
        <v>19032</v>
      </c>
    </row>
    <row r="1189" customFormat="false" ht="12.75" hidden="false" customHeight="false" outlineLevel="0" collapsed="false">
      <c r="A1189" s="0" t="s">
        <v>10</v>
      </c>
      <c r="B1189" s="0" t="n">
        <v>560</v>
      </c>
      <c r="C1189" s="0" t="n">
        <v>18629</v>
      </c>
    </row>
    <row r="1190" customFormat="false" ht="12.75" hidden="false" customHeight="false" outlineLevel="0" collapsed="false">
      <c r="A1190" s="0" t="s">
        <v>11</v>
      </c>
      <c r="B1190" s="0" t="n">
        <v>252</v>
      </c>
      <c r="C1190" s="0" t="n">
        <v>18901</v>
      </c>
    </row>
    <row r="1191" customFormat="false" ht="12.75" hidden="false" customHeight="false" outlineLevel="0" collapsed="false">
      <c r="A1191" s="0" t="s">
        <v>12</v>
      </c>
      <c r="B1191" s="0" t="n">
        <v>18</v>
      </c>
      <c r="C1191" s="0" t="n">
        <v>19098</v>
      </c>
    </row>
    <row r="1192" customFormat="false" ht="12.75" hidden="false" customHeight="false" outlineLevel="0" collapsed="false">
      <c r="A1192" s="0" t="s">
        <v>13</v>
      </c>
      <c r="B1192" s="0" t="n">
        <v>2</v>
      </c>
      <c r="C1192" s="0" t="n">
        <v>19124</v>
      </c>
    </row>
    <row r="1193" customFormat="false" ht="12.75" hidden="false" customHeight="false" outlineLevel="0" collapsed="false">
      <c r="A1193" s="0" t="s">
        <v>14</v>
      </c>
      <c r="B1193" s="0" t="n">
        <v>147</v>
      </c>
      <c r="C1193" s="0" t="n">
        <v>18981</v>
      </c>
    </row>
    <row r="1194" customFormat="false" ht="12.75" hidden="false" customHeight="false" outlineLevel="0" collapsed="false">
      <c r="A1194" s="0" t="s">
        <v>15</v>
      </c>
      <c r="B1194" s="0" t="n">
        <v>38</v>
      </c>
      <c r="C1194" s="0" t="n">
        <v>21001</v>
      </c>
    </row>
    <row r="1195" customFormat="false" ht="12.75" hidden="false" customHeight="false" outlineLevel="0" collapsed="false">
      <c r="A1195" s="0" t="s">
        <v>16</v>
      </c>
      <c r="B1195" s="0" t="n">
        <v>10</v>
      </c>
      <c r="C1195" s="0" t="n">
        <v>21373</v>
      </c>
    </row>
    <row r="1196" customFormat="false" ht="12.75" hidden="false" customHeight="false" outlineLevel="0" collapsed="false">
      <c r="A1196" s="0" t="s">
        <v>17</v>
      </c>
      <c r="B1196" s="0" t="n">
        <v>32</v>
      </c>
      <c r="C1196" s="0" t="n">
        <v>22236</v>
      </c>
    </row>
    <row r="1197" customFormat="false" ht="12.75" hidden="false" customHeight="false" outlineLevel="0" collapsed="false">
      <c r="A1197" s="0" t="s">
        <v>18</v>
      </c>
      <c r="B1197" s="0" t="n">
        <v>39</v>
      </c>
      <c r="C1197" s="0" t="n">
        <v>23717</v>
      </c>
    </row>
    <row r="1198" customFormat="false" ht="12.75" hidden="false" customHeight="false" outlineLevel="0" collapsed="false">
      <c r="A1198" s="0" t="s">
        <v>19</v>
      </c>
      <c r="B1198" s="3" t="n">
        <v>1693</v>
      </c>
      <c r="C1198" s="0" t="n">
        <v>22227</v>
      </c>
    </row>
    <row r="1199" customFormat="false" ht="12.75" hidden="false" customHeight="false" outlineLevel="0" collapsed="false">
      <c r="A1199" s="0" t="s">
        <v>20</v>
      </c>
      <c r="B1199" s="0" t="s">
        <v>156</v>
      </c>
      <c r="C1199" s="0" t="n">
        <v>22517</v>
      </c>
    </row>
    <row r="1200" customFormat="false" ht="12.75" hidden="false" customHeight="false" outlineLevel="0" collapsed="false">
      <c r="A1200" s="0" t="s">
        <v>21</v>
      </c>
      <c r="B1200" s="0" t="n">
        <v>6</v>
      </c>
      <c r="C1200" s="0" t="n">
        <v>22514</v>
      </c>
    </row>
    <row r="1201" customFormat="false" ht="12.75" hidden="false" customHeight="false" outlineLevel="0" collapsed="false">
      <c r="A1201" s="0" t="s">
        <v>22</v>
      </c>
      <c r="B1201" s="0" t="n">
        <v>15</v>
      </c>
      <c r="C1201" s="0" t="n">
        <v>22535</v>
      </c>
    </row>
    <row r="1202" customFormat="false" ht="12.75" hidden="false" customHeight="false" outlineLevel="0" collapsed="false">
      <c r="A1202" s="0" t="s">
        <v>23</v>
      </c>
      <c r="B1202" s="0" t="n">
        <v>63</v>
      </c>
      <c r="C1202" s="0" t="n">
        <v>22535</v>
      </c>
    </row>
    <row r="1203" customFormat="false" ht="12.75" hidden="false" customHeight="false" outlineLevel="0" collapsed="false">
      <c r="A1203" s="0" t="s">
        <v>24</v>
      </c>
      <c r="B1203" s="0" t="n">
        <v>7</v>
      </c>
      <c r="C1203" s="0" t="n">
        <v>22769</v>
      </c>
    </row>
    <row r="1204" customFormat="false" ht="12.75" hidden="false" customHeight="false" outlineLevel="0" collapsed="false">
      <c r="A1204" s="0" t="s">
        <v>26</v>
      </c>
      <c r="B1204" s="0" t="n">
        <v>153</v>
      </c>
      <c r="C1204" s="0" t="n">
        <v>22763</v>
      </c>
    </row>
    <row r="1205" customFormat="false" ht="12.75" hidden="false" customHeight="false" outlineLevel="0" collapsed="false">
      <c r="A1205" s="0" t="s">
        <v>27</v>
      </c>
      <c r="B1205" s="0" t="n">
        <v>1</v>
      </c>
      <c r="C1205" s="0" t="n">
        <v>22924</v>
      </c>
    </row>
    <row r="1206" customFormat="false" ht="12.75" hidden="false" customHeight="false" outlineLevel="0" collapsed="false">
      <c r="A1206" s="0" t="s">
        <v>28</v>
      </c>
      <c r="B1206" s="0" t="n">
        <v>1</v>
      </c>
      <c r="C1206" s="0" t="n">
        <v>22934</v>
      </c>
    </row>
    <row r="1207" customFormat="false" ht="12.75" hidden="false" customHeight="false" outlineLevel="0" collapsed="false">
      <c r="A1207" s="0" t="s">
        <v>29</v>
      </c>
      <c r="B1207" s="0" t="n">
        <v>11</v>
      </c>
      <c r="C1207" s="0" t="n">
        <v>23258</v>
      </c>
    </row>
    <row r="1208" customFormat="false" ht="12.75" hidden="false" customHeight="false" outlineLevel="0" collapsed="false">
      <c r="A1208" s="0" t="s">
        <v>30</v>
      </c>
      <c r="B1208" s="0" t="n">
        <v>12</v>
      </c>
      <c r="C1208" s="0" t="n">
        <v>23394</v>
      </c>
    </row>
    <row r="1209" customFormat="false" ht="12.75" hidden="false" customHeight="false" outlineLevel="0" collapsed="false">
      <c r="A1209" s="0" t="s">
        <v>31</v>
      </c>
      <c r="B1209" s="0" t="n">
        <v>12</v>
      </c>
      <c r="C1209" s="0" t="n">
        <v>23382</v>
      </c>
    </row>
    <row r="1210" customFormat="false" ht="12.75" hidden="false" customHeight="false" outlineLevel="0" collapsed="false">
      <c r="A1210" s="0" t="s">
        <v>32</v>
      </c>
      <c r="B1210" s="0" t="n">
        <v>16</v>
      </c>
      <c r="C1210" s="0" t="n">
        <v>23413</v>
      </c>
    </row>
    <row r="1211" customFormat="false" ht="12.75" hidden="false" customHeight="false" outlineLevel="0" collapsed="false">
      <c r="A1211" s="0" t="s">
        <v>33</v>
      </c>
      <c r="B1211" s="0" t="n">
        <v>37</v>
      </c>
      <c r="C1211" s="0" t="n">
        <v>23411</v>
      </c>
    </row>
    <row r="1212" customFormat="false" ht="12.75" hidden="false" customHeight="false" outlineLevel="0" collapsed="false">
      <c r="A1212" s="0" t="s">
        <v>34</v>
      </c>
      <c r="B1212" s="0" t="n">
        <v>74</v>
      </c>
      <c r="C1212" s="0" t="n">
        <v>23434</v>
      </c>
    </row>
    <row r="1213" customFormat="false" ht="12.75" hidden="false" customHeight="false" outlineLevel="0" collapsed="false">
      <c r="A1213" s="0" t="s">
        <v>35</v>
      </c>
      <c r="B1213" s="0" t="n">
        <v>6</v>
      </c>
      <c r="C1213" s="0" t="n">
        <v>23541</v>
      </c>
    </row>
    <row r="1214" customFormat="false" ht="12.75" hidden="false" customHeight="false" outlineLevel="0" collapsed="false">
      <c r="A1214" s="0" t="s">
        <v>36</v>
      </c>
      <c r="B1214" s="0" t="n">
        <v>37</v>
      </c>
      <c r="C1214" s="0" t="n">
        <v>23507</v>
      </c>
    </row>
    <row r="1215" customFormat="false" ht="12.75" hidden="false" customHeight="false" outlineLevel="0" collapsed="false">
      <c r="A1215" s="0" t="s">
        <v>37</v>
      </c>
      <c r="B1215" s="0" t="n">
        <v>19</v>
      </c>
      <c r="C1215" s="0" t="n">
        <v>23634</v>
      </c>
    </row>
    <row r="1216" customFormat="false" ht="12.75" hidden="false" customHeight="false" outlineLevel="0" collapsed="false">
      <c r="A1216" s="0" t="s">
        <v>38</v>
      </c>
      <c r="B1216" s="0" t="n">
        <v>3</v>
      </c>
      <c r="C1216" s="0" t="n">
        <v>24656</v>
      </c>
    </row>
    <row r="1217" customFormat="false" ht="12.75" hidden="false" customHeight="false" outlineLevel="0" collapsed="false">
      <c r="A1217" s="0" t="s">
        <v>39</v>
      </c>
      <c r="B1217" s="0" t="n">
        <v>32</v>
      </c>
      <c r="C1217" s="0" t="n">
        <v>24644</v>
      </c>
    </row>
    <row r="1218" customFormat="false" ht="12.75" hidden="false" customHeight="false" outlineLevel="0" collapsed="false">
      <c r="A1218" s="0" t="s">
        <v>40</v>
      </c>
      <c r="B1218" s="0" t="n">
        <v>1</v>
      </c>
      <c r="C1218" s="0" t="n">
        <v>24746</v>
      </c>
    </row>
    <row r="1219" customFormat="false" ht="12.75" hidden="false" customHeight="false" outlineLevel="0" collapsed="false">
      <c r="A1219" s="0" t="s">
        <v>41</v>
      </c>
      <c r="B1219" s="0" t="n">
        <v>30</v>
      </c>
      <c r="C1219" s="0" t="n">
        <v>24719</v>
      </c>
    </row>
    <row r="1220" customFormat="false" ht="12.75" hidden="false" customHeight="false" outlineLevel="0" collapsed="false">
      <c r="A1220" s="0" t="s">
        <v>42</v>
      </c>
      <c r="B1220" s="0" t="s">
        <v>156</v>
      </c>
      <c r="C1220" s="0" t="n">
        <v>24872</v>
      </c>
    </row>
    <row r="1221" customFormat="false" ht="12.75" hidden="false" customHeight="false" outlineLevel="0" collapsed="false">
      <c r="A1221" s="0" t="s">
        <v>43</v>
      </c>
      <c r="B1221" s="3" t="n">
        <v>1022</v>
      </c>
      <c r="C1221" s="0" t="n">
        <v>23912</v>
      </c>
    </row>
    <row r="1222" customFormat="false" ht="12.75" hidden="false" customHeight="false" outlineLevel="0" collapsed="false">
      <c r="A1222" s="0" t="s">
        <v>44</v>
      </c>
      <c r="B1222" s="0" t="n">
        <v>414</v>
      </c>
      <c r="C1222" s="0" t="n">
        <v>24175</v>
      </c>
    </row>
    <row r="1223" customFormat="false" ht="12.75" hidden="false" customHeight="false" outlineLevel="0" collapsed="false">
      <c r="A1223" s="0" t="s">
        <v>45</v>
      </c>
      <c r="B1223" s="0" t="n">
        <v>4</v>
      </c>
      <c r="C1223" s="0" t="n">
        <v>24922</v>
      </c>
    </row>
    <row r="1224" customFormat="false" ht="12.75" hidden="false" customHeight="false" outlineLevel="0" collapsed="false">
      <c r="A1224" s="0" t="s">
        <v>46</v>
      </c>
      <c r="B1224" s="0" t="n">
        <v>1</v>
      </c>
      <c r="C1224" s="0" t="n">
        <v>24992</v>
      </c>
    </row>
    <row r="1225" customFormat="false" ht="12.75" hidden="false" customHeight="false" outlineLevel="0" collapsed="false">
      <c r="A1225" s="0" t="s">
        <v>47</v>
      </c>
      <c r="B1225" s="0" t="n">
        <v>41</v>
      </c>
      <c r="C1225" s="0" t="n">
        <v>24953</v>
      </c>
    </row>
    <row r="1226" customFormat="false" ht="12.75" hidden="false" customHeight="false" outlineLevel="0" collapsed="false">
      <c r="A1226" s="0" t="s">
        <v>48</v>
      </c>
      <c r="B1226" s="0" t="n">
        <v>16</v>
      </c>
      <c r="C1226" s="0" t="n">
        <v>24990</v>
      </c>
    </row>
    <row r="1227" customFormat="false" ht="12.75" hidden="false" customHeight="false" outlineLevel="0" collapsed="false">
      <c r="A1227" s="0" t="s">
        <v>49</v>
      </c>
      <c r="B1227" s="0" t="n">
        <v>7</v>
      </c>
      <c r="C1227" s="0" t="n">
        <v>25064</v>
      </c>
    </row>
    <row r="1228" customFormat="false" ht="12.75" hidden="false" customHeight="false" outlineLevel="0" collapsed="false">
      <c r="A1228" s="0" t="s">
        <v>50</v>
      </c>
      <c r="B1228" s="0" t="n">
        <v>14</v>
      </c>
      <c r="C1228" s="0" t="n">
        <v>25071</v>
      </c>
    </row>
    <row r="1229" customFormat="false" ht="12.75" hidden="false" customHeight="false" outlineLevel="0" collapsed="false">
      <c r="A1229" s="0" t="s">
        <v>51</v>
      </c>
      <c r="B1229" s="0" t="n">
        <v>1</v>
      </c>
      <c r="C1229" s="0" t="n">
        <v>25251</v>
      </c>
    </row>
    <row r="1230" customFormat="false" ht="12.75" hidden="false" customHeight="false" outlineLevel="0" collapsed="false">
      <c r="A1230" s="0" t="s">
        <v>141</v>
      </c>
      <c r="B1230" s="3" t="n">
        <v>12275</v>
      </c>
      <c r="C1230" s="0" t="n">
        <v>13002</v>
      </c>
    </row>
    <row r="1231" customFormat="false" ht="12.75" hidden="false" customHeight="false" outlineLevel="0" collapsed="false">
      <c r="A1231" s="0" t="s">
        <v>1</v>
      </c>
      <c r="B1231" s="0" t="n">
        <v>120</v>
      </c>
      <c r="C1231" s="0" t="n">
        <v>16999</v>
      </c>
    </row>
    <row r="1232" customFormat="false" ht="12.75" hidden="false" customHeight="false" outlineLevel="0" collapsed="false">
      <c r="A1232" s="0" t="s">
        <v>2</v>
      </c>
      <c r="B1232" s="0" t="n">
        <v>15</v>
      </c>
      <c r="C1232" s="0" t="n">
        <v>16985</v>
      </c>
    </row>
    <row r="1233" customFormat="false" ht="12.75" hidden="false" customHeight="false" outlineLevel="0" collapsed="false">
      <c r="A1233" s="0" t="s">
        <v>3</v>
      </c>
      <c r="B1233" s="0" t="n">
        <v>113</v>
      </c>
      <c r="C1233" s="0" t="n">
        <v>16881</v>
      </c>
    </row>
    <row r="1234" customFormat="false" ht="12.75" hidden="false" customHeight="false" outlineLevel="0" collapsed="false">
      <c r="A1234" s="0" t="s">
        <v>4</v>
      </c>
      <c r="B1234" s="0" t="n">
        <v>909</v>
      </c>
      <c r="C1234" s="0" t="n">
        <v>16034</v>
      </c>
    </row>
    <row r="1235" customFormat="false" ht="12.75" hidden="false" customHeight="false" outlineLevel="0" collapsed="false">
      <c r="A1235" s="0" t="s">
        <v>5</v>
      </c>
      <c r="B1235" s="0" t="n">
        <v>266</v>
      </c>
      <c r="C1235" s="0" t="n">
        <v>15769</v>
      </c>
    </row>
    <row r="1236" customFormat="false" ht="12.75" hidden="false" customHeight="false" outlineLevel="0" collapsed="false">
      <c r="A1236" s="0" t="s">
        <v>6</v>
      </c>
      <c r="B1236" s="0" t="n">
        <v>476</v>
      </c>
      <c r="C1236" s="0" t="n">
        <v>15382</v>
      </c>
    </row>
    <row r="1237" customFormat="false" ht="12.75" hidden="false" customHeight="false" outlineLevel="0" collapsed="false">
      <c r="A1237" s="0" t="s">
        <v>7</v>
      </c>
      <c r="B1237" s="0" t="n">
        <v>9</v>
      </c>
      <c r="C1237" s="0" t="n">
        <v>15460</v>
      </c>
    </row>
    <row r="1238" customFormat="false" ht="12.75" hidden="false" customHeight="false" outlineLevel="0" collapsed="false">
      <c r="A1238" s="0" t="s">
        <v>8</v>
      </c>
      <c r="B1238" s="0" t="n">
        <v>2</v>
      </c>
      <c r="C1238" s="0" t="n">
        <v>15460</v>
      </c>
    </row>
    <row r="1239" customFormat="false" ht="12.75" hidden="false" customHeight="false" outlineLevel="0" collapsed="false">
      <c r="A1239" s="0" t="s">
        <v>9</v>
      </c>
      <c r="B1239" s="0" t="n">
        <v>157</v>
      </c>
      <c r="C1239" s="0" t="n">
        <v>15303</v>
      </c>
    </row>
    <row r="1240" customFormat="false" ht="12.75" hidden="false" customHeight="false" outlineLevel="0" collapsed="false">
      <c r="A1240" s="0" t="s">
        <v>10</v>
      </c>
      <c r="B1240" s="0" t="n">
        <v>524</v>
      </c>
      <c r="C1240" s="0" t="n">
        <v>14784</v>
      </c>
    </row>
    <row r="1241" customFormat="false" ht="12.75" hidden="false" customHeight="false" outlineLevel="0" collapsed="false">
      <c r="A1241" s="0" t="s">
        <v>11</v>
      </c>
      <c r="B1241" s="0" t="n">
        <v>215</v>
      </c>
      <c r="C1241" s="0" t="n">
        <v>14591</v>
      </c>
    </row>
    <row r="1242" customFormat="false" ht="12.75" hidden="false" customHeight="false" outlineLevel="0" collapsed="false">
      <c r="A1242" s="0" t="s">
        <v>12</v>
      </c>
      <c r="B1242" s="0" t="n">
        <v>28</v>
      </c>
      <c r="C1242" s="0" t="n">
        <v>14568</v>
      </c>
    </row>
    <row r="1243" customFormat="false" ht="12.75" hidden="false" customHeight="false" outlineLevel="0" collapsed="false">
      <c r="A1243" s="0" t="s">
        <v>13</v>
      </c>
      <c r="B1243" s="0" t="n">
        <v>4</v>
      </c>
      <c r="C1243" s="0" t="n">
        <v>14575</v>
      </c>
    </row>
    <row r="1244" customFormat="false" ht="12.75" hidden="false" customHeight="false" outlineLevel="0" collapsed="false">
      <c r="A1244" s="0" t="s">
        <v>14</v>
      </c>
      <c r="B1244" s="3" t="n">
        <v>2058</v>
      </c>
      <c r="C1244" s="0" t="n">
        <v>12763</v>
      </c>
    </row>
    <row r="1245" customFormat="false" ht="12.75" hidden="false" customHeight="false" outlineLevel="0" collapsed="false">
      <c r="A1245" s="0" t="s">
        <v>15</v>
      </c>
      <c r="B1245" s="0" t="n">
        <v>382</v>
      </c>
      <c r="C1245" s="0" t="n">
        <v>12390</v>
      </c>
    </row>
    <row r="1246" customFormat="false" ht="12.75" hidden="false" customHeight="false" outlineLevel="0" collapsed="false">
      <c r="A1246" s="0" t="s">
        <v>16</v>
      </c>
      <c r="B1246" s="0" t="n">
        <v>895</v>
      </c>
      <c r="C1246" s="0" t="n">
        <v>11500</v>
      </c>
    </row>
    <row r="1247" customFormat="false" ht="12.75" hidden="false" customHeight="false" outlineLevel="0" collapsed="false">
      <c r="A1247" s="0" t="s">
        <v>17</v>
      </c>
      <c r="B1247" s="3" t="n">
        <v>1520</v>
      </c>
      <c r="C1247" s="0" t="n">
        <v>9992</v>
      </c>
    </row>
    <row r="1248" customFormat="false" ht="12.75" hidden="false" customHeight="false" outlineLevel="0" collapsed="false">
      <c r="A1248" s="0" t="s">
        <v>18</v>
      </c>
      <c r="B1248" s="0" t="n">
        <v>203</v>
      </c>
      <c r="C1248" s="0" t="n">
        <v>9800</v>
      </c>
    </row>
    <row r="1249" customFormat="false" ht="12.75" hidden="false" customHeight="false" outlineLevel="0" collapsed="false">
      <c r="A1249" s="0" t="s">
        <v>19</v>
      </c>
      <c r="B1249" s="0" t="n">
        <v>290</v>
      </c>
      <c r="C1249" s="0" t="n">
        <v>9514</v>
      </c>
    </row>
    <row r="1250" customFormat="false" ht="12.75" hidden="false" customHeight="false" outlineLevel="0" collapsed="false">
      <c r="A1250" s="0" t="s">
        <v>20</v>
      </c>
      <c r="B1250" s="0" t="n">
        <v>3</v>
      </c>
      <c r="C1250" s="0" t="n">
        <v>9518</v>
      </c>
    </row>
    <row r="1251" customFormat="false" ht="12.75" hidden="false" customHeight="false" outlineLevel="0" collapsed="false">
      <c r="A1251" s="0" t="s">
        <v>21</v>
      </c>
      <c r="B1251" s="0" t="n">
        <v>36</v>
      </c>
      <c r="C1251" s="0" t="n">
        <v>9484</v>
      </c>
    </row>
    <row r="1252" customFormat="false" ht="12.75" hidden="false" customHeight="false" outlineLevel="0" collapsed="false">
      <c r="A1252" s="0" t="s">
        <v>22</v>
      </c>
      <c r="B1252" s="0" t="n">
        <v>63</v>
      </c>
      <c r="C1252" s="0" t="n">
        <v>9423</v>
      </c>
    </row>
    <row r="1253" customFormat="false" ht="12.75" hidden="false" customHeight="false" outlineLevel="0" collapsed="false">
      <c r="A1253" s="0" t="s">
        <v>23</v>
      </c>
      <c r="B1253" s="0" t="n">
        <v>241</v>
      </c>
      <c r="C1253" s="0" t="n">
        <v>9189</v>
      </c>
    </row>
    <row r="1254" customFormat="false" ht="12.75" hidden="false" customHeight="false" outlineLevel="0" collapsed="false">
      <c r="A1254" s="0" t="s">
        <v>24</v>
      </c>
      <c r="B1254" s="0" t="n">
        <v>147</v>
      </c>
      <c r="C1254" s="0" t="n">
        <v>9068</v>
      </c>
    </row>
    <row r="1255" customFormat="false" ht="12.75" hidden="false" customHeight="false" outlineLevel="0" collapsed="false">
      <c r="A1255" s="0" t="s">
        <v>25</v>
      </c>
      <c r="B1255" s="0" t="n">
        <v>162</v>
      </c>
      <c r="C1255" s="0" t="n">
        <v>8962</v>
      </c>
    </row>
    <row r="1256" customFormat="false" ht="12.75" hidden="false" customHeight="false" outlineLevel="0" collapsed="false">
      <c r="A1256" s="0" t="s">
        <v>27</v>
      </c>
      <c r="B1256" s="0" t="n">
        <v>11</v>
      </c>
      <c r="C1256" s="0" t="n">
        <v>8952</v>
      </c>
    </row>
    <row r="1257" customFormat="false" ht="12.75" hidden="false" customHeight="false" outlineLevel="0" collapsed="false">
      <c r="A1257" s="0" t="s">
        <v>28</v>
      </c>
      <c r="B1257" s="0" t="n">
        <v>335</v>
      </c>
      <c r="C1257" s="0" t="n">
        <v>8642</v>
      </c>
    </row>
    <row r="1258" customFormat="false" ht="12.75" hidden="false" customHeight="false" outlineLevel="0" collapsed="false">
      <c r="A1258" s="0" t="s">
        <v>29</v>
      </c>
      <c r="B1258" s="0" t="n">
        <v>148</v>
      </c>
      <c r="C1258" s="0" t="n">
        <v>8506</v>
      </c>
    </row>
    <row r="1259" customFormat="false" ht="12.75" hidden="false" customHeight="false" outlineLevel="0" collapsed="false">
      <c r="A1259" s="0" t="s">
        <v>30</v>
      </c>
      <c r="B1259" s="0" t="s">
        <v>156</v>
      </c>
      <c r="C1259" s="0" t="n">
        <v>8565</v>
      </c>
    </row>
    <row r="1260" customFormat="false" ht="12.75" hidden="false" customHeight="false" outlineLevel="0" collapsed="false">
      <c r="A1260" s="0" t="s">
        <v>31</v>
      </c>
      <c r="B1260" s="0" t="n">
        <v>47</v>
      </c>
      <c r="C1260" s="0" t="n">
        <v>8519</v>
      </c>
    </row>
    <row r="1261" customFormat="false" ht="12.75" hidden="false" customHeight="false" outlineLevel="0" collapsed="false">
      <c r="A1261" s="0" t="s">
        <v>32</v>
      </c>
      <c r="B1261" s="0" t="n">
        <v>35</v>
      </c>
      <c r="C1261" s="0" t="n">
        <v>8487</v>
      </c>
    </row>
    <row r="1262" customFormat="false" ht="12.75" hidden="false" customHeight="false" outlineLevel="0" collapsed="false">
      <c r="A1262" s="0" t="s">
        <v>33</v>
      </c>
      <c r="B1262" s="0" t="n">
        <v>97</v>
      </c>
      <c r="C1262" s="0" t="n">
        <v>8407</v>
      </c>
    </row>
    <row r="1263" customFormat="false" ht="12.75" hidden="false" customHeight="false" outlineLevel="0" collapsed="false">
      <c r="A1263" s="0" t="s">
        <v>34</v>
      </c>
      <c r="B1263" s="0" t="n">
        <v>113</v>
      </c>
      <c r="C1263" s="0" t="n">
        <v>8307</v>
      </c>
    </row>
    <row r="1264" customFormat="false" ht="12.75" hidden="false" customHeight="false" outlineLevel="0" collapsed="false">
      <c r="A1264" s="0" t="s">
        <v>35</v>
      </c>
      <c r="B1264" s="0" t="n">
        <v>3</v>
      </c>
      <c r="C1264" s="0" t="n">
        <v>8308</v>
      </c>
    </row>
    <row r="1265" customFormat="false" ht="12.75" hidden="false" customHeight="false" outlineLevel="0" collapsed="false">
      <c r="A1265" s="0" t="s">
        <v>36</v>
      </c>
      <c r="B1265" s="0" t="n">
        <v>146</v>
      </c>
      <c r="C1265" s="0" t="n">
        <v>8348</v>
      </c>
    </row>
    <row r="1266" customFormat="false" ht="12.75" hidden="false" customHeight="false" outlineLevel="0" collapsed="false">
      <c r="A1266" s="0" t="s">
        <v>37</v>
      </c>
      <c r="B1266" s="3" t="n">
        <v>1025</v>
      </c>
      <c r="C1266" s="0" t="n">
        <v>7331</v>
      </c>
    </row>
    <row r="1267" customFormat="false" ht="12.75" hidden="false" customHeight="false" outlineLevel="0" collapsed="false">
      <c r="A1267" s="0" t="s">
        <v>38</v>
      </c>
      <c r="B1267" s="0" t="n">
        <v>20</v>
      </c>
      <c r="C1267" s="0" t="n">
        <v>7316</v>
      </c>
    </row>
    <row r="1268" customFormat="false" ht="12.75" hidden="false" customHeight="false" outlineLevel="0" collapsed="false">
      <c r="A1268" s="0" t="s">
        <v>39</v>
      </c>
      <c r="B1268" s="0" t="n">
        <v>103</v>
      </c>
      <c r="C1268" s="0" t="n">
        <v>7290</v>
      </c>
    </row>
    <row r="1269" customFormat="false" ht="12.75" hidden="false" customHeight="false" outlineLevel="0" collapsed="false">
      <c r="A1269" s="0" t="s">
        <v>40</v>
      </c>
      <c r="B1269" s="0" t="n">
        <v>3</v>
      </c>
      <c r="C1269" s="0" t="n">
        <v>7291</v>
      </c>
    </row>
    <row r="1270" customFormat="false" ht="12.75" hidden="false" customHeight="false" outlineLevel="0" collapsed="false">
      <c r="A1270" s="0" t="s">
        <v>41</v>
      </c>
      <c r="B1270" s="0" t="n">
        <v>153</v>
      </c>
      <c r="C1270" s="0" t="n">
        <v>7138</v>
      </c>
    </row>
    <row r="1271" customFormat="false" ht="12.75" hidden="false" customHeight="false" outlineLevel="0" collapsed="false">
      <c r="A1271" s="0" t="s">
        <v>42</v>
      </c>
      <c r="B1271" s="0" t="n">
        <v>62</v>
      </c>
      <c r="C1271" s="0" t="n">
        <v>7078</v>
      </c>
    </row>
    <row r="1272" customFormat="false" ht="12.75" hidden="false" customHeight="false" outlineLevel="0" collapsed="false">
      <c r="A1272" s="0" t="s">
        <v>43</v>
      </c>
      <c r="B1272" s="0" t="n">
        <v>677</v>
      </c>
      <c r="C1272" s="0" t="n">
        <v>6448</v>
      </c>
    </row>
    <row r="1273" customFormat="false" ht="12.75" hidden="false" customHeight="false" outlineLevel="0" collapsed="false">
      <c r="A1273" s="0" t="s">
        <v>44</v>
      </c>
      <c r="B1273" s="0" t="n">
        <v>751</v>
      </c>
      <c r="C1273" s="0" t="n">
        <v>5702</v>
      </c>
    </row>
    <row r="1274" customFormat="false" ht="12.75" hidden="false" customHeight="false" outlineLevel="0" collapsed="false">
      <c r="A1274" s="0" t="s">
        <v>45</v>
      </c>
      <c r="B1274" s="0" t="n">
        <v>71</v>
      </c>
      <c r="C1274" s="0" t="n">
        <v>5665</v>
      </c>
    </row>
    <row r="1275" customFormat="false" ht="12.75" hidden="false" customHeight="false" outlineLevel="0" collapsed="false">
      <c r="A1275" s="0" t="s">
        <v>46</v>
      </c>
      <c r="B1275" s="0" t="n">
        <v>2</v>
      </c>
      <c r="C1275" s="0" t="n">
        <v>5729</v>
      </c>
    </row>
    <row r="1276" customFormat="false" ht="12.75" hidden="false" customHeight="false" outlineLevel="0" collapsed="false">
      <c r="A1276" s="0" t="s">
        <v>47</v>
      </c>
      <c r="B1276" s="0" t="n">
        <v>53</v>
      </c>
      <c r="C1276" s="0" t="n">
        <v>5676</v>
      </c>
    </row>
    <row r="1277" customFormat="false" ht="12.75" hidden="false" customHeight="false" outlineLevel="0" collapsed="false">
      <c r="A1277" s="0" t="s">
        <v>48</v>
      </c>
      <c r="B1277" s="0" t="n">
        <v>81</v>
      </c>
      <c r="C1277" s="0" t="n">
        <v>5601</v>
      </c>
    </row>
    <row r="1278" customFormat="false" ht="12.75" hidden="false" customHeight="false" outlineLevel="0" collapsed="false">
      <c r="A1278" s="0" t="s">
        <v>49</v>
      </c>
      <c r="B1278" s="0" t="n">
        <v>21</v>
      </c>
      <c r="C1278" s="0" t="n">
        <v>5945</v>
      </c>
    </row>
    <row r="1279" customFormat="false" ht="12.75" hidden="false" customHeight="false" outlineLevel="0" collapsed="false">
      <c r="A1279" s="0" t="s">
        <v>50</v>
      </c>
      <c r="B1279" s="0" t="n">
        <v>181</v>
      </c>
      <c r="C1279" s="0" t="n">
        <v>5768</v>
      </c>
    </row>
    <row r="1280" customFormat="false" ht="12.75" hidden="false" customHeight="false" outlineLevel="0" collapsed="false">
      <c r="A1280" s="0" t="s">
        <v>51</v>
      </c>
      <c r="B1280" s="0" t="n">
        <v>26</v>
      </c>
      <c r="C1280" s="0" t="n">
        <v>5751</v>
      </c>
    </row>
    <row r="1281" customFormat="false" ht="12.75" hidden="false" customHeight="false" outlineLevel="0" collapsed="false">
      <c r="A1281" s="0" t="s">
        <v>142</v>
      </c>
      <c r="B1281" s="3" t="n">
        <v>4117</v>
      </c>
      <c r="C1281" s="0" t="n">
        <v>1848</v>
      </c>
    </row>
    <row r="1282" customFormat="false" ht="12.75" hidden="false" customHeight="false" outlineLevel="0" collapsed="false">
      <c r="A1282" s="0" t="s">
        <v>1</v>
      </c>
      <c r="B1282" s="0" t="n">
        <v>1</v>
      </c>
      <c r="C1282" s="0" t="n">
        <v>5500</v>
      </c>
    </row>
    <row r="1283" customFormat="false" ht="12.75" hidden="false" customHeight="false" outlineLevel="0" collapsed="false">
      <c r="A1283" s="0" t="s">
        <v>2</v>
      </c>
      <c r="B1283" s="0" t="n">
        <v>9</v>
      </c>
      <c r="C1283" s="0" t="n">
        <v>5517</v>
      </c>
    </row>
    <row r="1284" customFormat="false" ht="12.75" hidden="false" customHeight="false" outlineLevel="0" collapsed="false">
      <c r="A1284" s="0" t="s">
        <v>3</v>
      </c>
      <c r="B1284" s="0" t="n">
        <v>62</v>
      </c>
      <c r="C1284" s="0" t="n">
        <v>5462</v>
      </c>
    </row>
    <row r="1285" customFormat="false" ht="12.75" hidden="false" customHeight="false" outlineLevel="0" collapsed="false">
      <c r="A1285" s="0" t="s">
        <v>4</v>
      </c>
      <c r="B1285" s="0" t="n">
        <v>1</v>
      </c>
      <c r="C1285" s="0" t="n">
        <v>5546</v>
      </c>
    </row>
    <row r="1286" customFormat="false" ht="12.75" hidden="false" customHeight="false" outlineLevel="0" collapsed="false">
      <c r="A1286" s="0" t="s">
        <v>5</v>
      </c>
      <c r="B1286" s="0" t="n">
        <v>89</v>
      </c>
      <c r="C1286" s="0" t="n">
        <v>5518</v>
      </c>
    </row>
    <row r="1287" customFormat="false" ht="12.75" hidden="false" customHeight="false" outlineLevel="0" collapsed="false">
      <c r="A1287" s="0" t="s">
        <v>6</v>
      </c>
      <c r="B1287" s="0" t="n">
        <v>87</v>
      </c>
      <c r="C1287" s="0" t="n">
        <v>5561</v>
      </c>
    </row>
    <row r="1288" customFormat="false" ht="12.75" hidden="false" customHeight="false" outlineLevel="0" collapsed="false">
      <c r="A1288" s="0" t="s">
        <v>7</v>
      </c>
      <c r="B1288" s="0" t="n">
        <v>2</v>
      </c>
      <c r="C1288" s="0" t="n">
        <v>6155</v>
      </c>
    </row>
    <row r="1289" customFormat="false" ht="12.75" hidden="false" customHeight="false" outlineLevel="0" collapsed="false">
      <c r="A1289" s="0" t="s">
        <v>8</v>
      </c>
      <c r="B1289" s="0" t="s">
        <v>156</v>
      </c>
      <c r="C1289" s="0" t="n">
        <v>6162</v>
      </c>
    </row>
    <row r="1290" customFormat="false" ht="12.75" hidden="false" customHeight="false" outlineLevel="0" collapsed="false">
      <c r="A1290" s="0" t="s">
        <v>9</v>
      </c>
      <c r="B1290" s="0" t="n">
        <v>5</v>
      </c>
      <c r="C1290" s="0" t="n">
        <v>6159</v>
      </c>
    </row>
    <row r="1291" customFormat="false" ht="12.75" hidden="false" customHeight="false" outlineLevel="0" collapsed="false">
      <c r="A1291" s="0" t="s">
        <v>10</v>
      </c>
      <c r="B1291" s="0" t="n">
        <v>22</v>
      </c>
      <c r="C1291" s="0" t="n">
        <v>6158</v>
      </c>
    </row>
    <row r="1292" customFormat="false" ht="12.75" hidden="false" customHeight="false" outlineLevel="0" collapsed="false">
      <c r="A1292" s="0" t="s">
        <v>11</v>
      </c>
      <c r="B1292" s="0" t="n">
        <v>5</v>
      </c>
      <c r="C1292" s="0" t="n">
        <v>6241</v>
      </c>
    </row>
    <row r="1293" customFormat="false" ht="12.75" hidden="false" customHeight="false" outlineLevel="0" collapsed="false">
      <c r="A1293" s="0" t="s">
        <v>12</v>
      </c>
      <c r="B1293" s="0" t="n">
        <v>11</v>
      </c>
      <c r="C1293" s="0" t="n">
        <v>6259</v>
      </c>
    </row>
    <row r="1294" customFormat="false" ht="12.75" hidden="false" customHeight="false" outlineLevel="0" collapsed="false">
      <c r="A1294" s="0" t="s">
        <v>13</v>
      </c>
      <c r="B1294" s="0" t="n">
        <v>246</v>
      </c>
      <c r="C1294" s="0" t="n">
        <v>6028</v>
      </c>
    </row>
    <row r="1295" customFormat="false" ht="12.75" hidden="false" customHeight="false" outlineLevel="0" collapsed="false">
      <c r="A1295" s="0" t="s">
        <v>14</v>
      </c>
      <c r="B1295" s="0" t="n">
        <v>9</v>
      </c>
      <c r="C1295" s="0" t="n">
        <v>6029</v>
      </c>
    </row>
    <row r="1296" customFormat="false" ht="12.75" hidden="false" customHeight="false" outlineLevel="0" collapsed="false">
      <c r="A1296" s="0" t="s">
        <v>15</v>
      </c>
      <c r="B1296" s="0" t="n">
        <v>5</v>
      </c>
      <c r="C1296" s="0" t="n">
        <v>6215</v>
      </c>
    </row>
    <row r="1297" customFormat="false" ht="12.75" hidden="false" customHeight="false" outlineLevel="0" collapsed="false">
      <c r="A1297" s="0" t="s">
        <v>16</v>
      </c>
      <c r="B1297" s="0" t="n">
        <v>12</v>
      </c>
      <c r="C1297" s="0" t="n">
        <v>6269</v>
      </c>
    </row>
    <row r="1298" customFormat="false" ht="12.75" hidden="false" customHeight="false" outlineLevel="0" collapsed="false">
      <c r="A1298" s="0" t="s">
        <v>17</v>
      </c>
      <c r="B1298" s="0" t="n">
        <v>11</v>
      </c>
      <c r="C1298" s="0" t="n">
        <v>7219</v>
      </c>
    </row>
    <row r="1299" customFormat="false" ht="12.75" hidden="false" customHeight="false" outlineLevel="0" collapsed="false">
      <c r="A1299" s="0" t="s">
        <v>18</v>
      </c>
      <c r="B1299" s="0" t="n">
        <v>4</v>
      </c>
      <c r="C1299" s="0" t="n">
        <v>7622</v>
      </c>
    </row>
    <row r="1300" customFormat="false" ht="12.75" hidden="false" customHeight="false" outlineLevel="0" collapsed="false">
      <c r="A1300" s="0" t="s">
        <v>19</v>
      </c>
      <c r="B1300" s="0" t="n">
        <v>7</v>
      </c>
      <c r="C1300" s="0" t="n">
        <v>7631</v>
      </c>
    </row>
    <row r="1301" customFormat="false" ht="12.75" hidden="false" customHeight="false" outlineLevel="0" collapsed="false">
      <c r="A1301" s="0" t="s">
        <v>20</v>
      </c>
      <c r="B1301" s="0" t="n">
        <v>2</v>
      </c>
      <c r="C1301" s="0" t="n">
        <v>7640</v>
      </c>
    </row>
    <row r="1302" customFormat="false" ht="12.75" hidden="false" customHeight="false" outlineLevel="0" collapsed="false">
      <c r="A1302" s="0" t="s">
        <v>21</v>
      </c>
      <c r="B1302" s="0" t="n">
        <v>2</v>
      </c>
      <c r="C1302" s="0" t="n">
        <v>7639</v>
      </c>
    </row>
    <row r="1303" customFormat="false" ht="12.75" hidden="false" customHeight="false" outlineLevel="0" collapsed="false">
      <c r="A1303" s="0" t="s">
        <v>22</v>
      </c>
      <c r="B1303" s="0" t="n">
        <v>7</v>
      </c>
      <c r="C1303" s="0" t="n">
        <v>7642</v>
      </c>
    </row>
    <row r="1304" customFormat="false" ht="12.75" hidden="false" customHeight="false" outlineLevel="0" collapsed="false">
      <c r="A1304" s="0" t="s">
        <v>23</v>
      </c>
      <c r="B1304" s="0" t="n">
        <v>26</v>
      </c>
      <c r="C1304" s="0" t="n">
        <v>7624</v>
      </c>
    </row>
    <row r="1305" customFormat="false" ht="12.75" hidden="false" customHeight="false" outlineLevel="0" collapsed="false">
      <c r="A1305" s="0" t="s">
        <v>24</v>
      </c>
      <c r="B1305" s="0" t="n">
        <v>56</v>
      </c>
      <c r="C1305" s="0" t="n">
        <v>7596</v>
      </c>
    </row>
    <row r="1306" customFormat="false" ht="12.75" hidden="false" customHeight="false" outlineLevel="0" collapsed="false">
      <c r="A1306" s="0" t="s">
        <v>25</v>
      </c>
      <c r="B1306" s="0" t="n">
        <v>1</v>
      </c>
      <c r="C1306" s="0" t="n">
        <v>7891</v>
      </c>
    </row>
    <row r="1307" customFormat="false" ht="12.75" hidden="false" customHeight="false" outlineLevel="0" collapsed="false">
      <c r="A1307" s="0" t="s">
        <v>26</v>
      </c>
      <c r="B1307" s="0" t="n">
        <v>25</v>
      </c>
      <c r="C1307" s="0" t="n">
        <v>7871</v>
      </c>
    </row>
    <row r="1308" customFormat="false" ht="12.75" hidden="false" customHeight="false" outlineLevel="0" collapsed="false">
      <c r="A1308" s="0" t="s">
        <v>28</v>
      </c>
      <c r="B1308" s="0" t="n">
        <v>12</v>
      </c>
      <c r="C1308" s="0" t="n">
        <v>8442</v>
      </c>
    </row>
    <row r="1309" customFormat="false" ht="12.75" hidden="false" customHeight="false" outlineLevel="0" collapsed="false">
      <c r="A1309" s="0" t="s">
        <v>29</v>
      </c>
      <c r="B1309" s="0" t="n">
        <v>59</v>
      </c>
      <c r="C1309" s="0" t="n">
        <v>8400</v>
      </c>
    </row>
    <row r="1310" customFormat="false" ht="12.75" hidden="false" customHeight="false" outlineLevel="0" collapsed="false">
      <c r="A1310" s="0" t="s">
        <v>30</v>
      </c>
      <c r="B1310" s="0" t="n">
        <v>1</v>
      </c>
      <c r="C1310" s="0" t="n">
        <v>8495</v>
      </c>
    </row>
    <row r="1311" customFormat="false" ht="12.75" hidden="false" customHeight="false" outlineLevel="0" collapsed="false">
      <c r="A1311" s="0" t="s">
        <v>31</v>
      </c>
      <c r="B1311" s="0" t="n">
        <v>3</v>
      </c>
      <c r="C1311" s="0" t="n">
        <v>8494</v>
      </c>
    </row>
    <row r="1312" customFormat="false" ht="12.75" hidden="false" customHeight="false" outlineLevel="0" collapsed="false">
      <c r="A1312" s="0" t="s">
        <v>32</v>
      </c>
      <c r="B1312" s="0" t="n">
        <v>17</v>
      </c>
      <c r="C1312" s="0" t="n">
        <v>8489</v>
      </c>
    </row>
    <row r="1313" customFormat="false" ht="12.75" hidden="false" customHeight="false" outlineLevel="0" collapsed="false">
      <c r="A1313" s="0" t="s">
        <v>33</v>
      </c>
      <c r="B1313" s="0" t="n">
        <v>13</v>
      </c>
      <c r="C1313" s="0" t="n">
        <v>8493</v>
      </c>
    </row>
    <row r="1314" customFormat="false" ht="12.75" hidden="false" customHeight="false" outlineLevel="0" collapsed="false">
      <c r="A1314" s="0" t="s">
        <v>34</v>
      </c>
      <c r="B1314" s="0" t="n">
        <v>4</v>
      </c>
      <c r="C1314" s="0" t="n">
        <v>8513</v>
      </c>
    </row>
    <row r="1315" customFormat="false" ht="12.75" hidden="false" customHeight="false" outlineLevel="0" collapsed="false">
      <c r="A1315" s="0" t="s">
        <v>35</v>
      </c>
      <c r="B1315" s="0" t="n">
        <v>186</v>
      </c>
      <c r="C1315" s="0" t="n">
        <v>8338</v>
      </c>
    </row>
    <row r="1316" customFormat="false" ht="12.75" hidden="false" customHeight="false" outlineLevel="0" collapsed="false">
      <c r="A1316" s="0" t="s">
        <v>36</v>
      </c>
      <c r="B1316" s="0" t="n">
        <v>8</v>
      </c>
      <c r="C1316" s="0" t="n">
        <v>8363</v>
      </c>
    </row>
    <row r="1317" customFormat="false" ht="12.75" hidden="false" customHeight="false" outlineLevel="0" collapsed="false">
      <c r="A1317" s="0" t="s">
        <v>37</v>
      </c>
      <c r="B1317" s="0" t="n">
        <v>5</v>
      </c>
      <c r="C1317" s="0" t="n">
        <v>8382</v>
      </c>
    </row>
    <row r="1318" customFormat="false" ht="12.75" hidden="false" customHeight="false" outlineLevel="0" collapsed="false">
      <c r="A1318" s="0" t="s">
        <v>38</v>
      </c>
      <c r="B1318" s="0" t="n">
        <v>77</v>
      </c>
      <c r="C1318" s="0" t="n">
        <v>8354</v>
      </c>
    </row>
    <row r="1319" customFormat="false" ht="12.75" hidden="false" customHeight="false" outlineLevel="0" collapsed="false">
      <c r="A1319" s="0" t="s">
        <v>39</v>
      </c>
      <c r="B1319" s="0" t="n">
        <v>4</v>
      </c>
      <c r="C1319" s="0" t="n">
        <v>8374</v>
      </c>
    </row>
    <row r="1320" customFormat="false" ht="12.75" hidden="false" customHeight="false" outlineLevel="0" collapsed="false">
      <c r="A1320" s="0" t="s">
        <v>40</v>
      </c>
      <c r="B1320" s="0" t="s">
        <v>156</v>
      </c>
      <c r="C1320" s="0" t="n">
        <v>8388</v>
      </c>
    </row>
    <row r="1321" customFormat="false" ht="12.75" hidden="false" customHeight="false" outlineLevel="0" collapsed="false">
      <c r="A1321" s="0" t="s">
        <v>41</v>
      </c>
      <c r="B1321" s="0" t="n">
        <v>2</v>
      </c>
      <c r="C1321" s="0" t="n">
        <v>8386</v>
      </c>
    </row>
    <row r="1322" customFormat="false" ht="12.75" hidden="false" customHeight="false" outlineLevel="0" collapsed="false">
      <c r="A1322" s="0" t="s">
        <v>42</v>
      </c>
      <c r="B1322" s="0" t="n">
        <v>47</v>
      </c>
      <c r="C1322" s="0" t="n">
        <v>8353</v>
      </c>
    </row>
    <row r="1323" customFormat="false" ht="12.75" hidden="false" customHeight="false" outlineLevel="0" collapsed="false">
      <c r="A1323" s="0" t="s">
        <v>43</v>
      </c>
      <c r="B1323" s="0" t="n">
        <v>5</v>
      </c>
      <c r="C1323" s="0" t="n">
        <v>8778</v>
      </c>
    </row>
    <row r="1324" customFormat="false" ht="12.75" hidden="false" customHeight="false" outlineLevel="0" collapsed="false">
      <c r="A1324" s="0" t="s">
        <v>44</v>
      </c>
      <c r="B1324" s="0" t="n">
        <v>34</v>
      </c>
      <c r="C1324" s="0" t="n">
        <v>8782</v>
      </c>
    </row>
    <row r="1325" customFormat="false" ht="12.75" hidden="false" customHeight="false" outlineLevel="0" collapsed="false">
      <c r="A1325" s="0" t="s">
        <v>45</v>
      </c>
      <c r="B1325" s="0" t="n">
        <v>66</v>
      </c>
      <c r="C1325" s="0" t="n">
        <v>8904</v>
      </c>
    </row>
    <row r="1326" customFormat="false" ht="12.75" hidden="false" customHeight="false" outlineLevel="0" collapsed="false">
      <c r="A1326" s="0" t="s">
        <v>46</v>
      </c>
      <c r="B1326" s="0" t="s">
        <v>156</v>
      </c>
      <c r="C1326" s="0" t="n">
        <v>8925</v>
      </c>
    </row>
    <row r="1327" customFormat="false" ht="12.75" hidden="false" customHeight="false" outlineLevel="0" collapsed="false">
      <c r="A1327" s="0" t="s">
        <v>47</v>
      </c>
      <c r="B1327" s="0" t="n">
        <v>6</v>
      </c>
      <c r="C1327" s="0" t="n">
        <v>8921</v>
      </c>
    </row>
    <row r="1328" customFormat="false" ht="12.75" hidden="false" customHeight="false" outlineLevel="0" collapsed="false">
      <c r="A1328" s="0" t="s">
        <v>48</v>
      </c>
      <c r="B1328" s="0" t="n">
        <v>365</v>
      </c>
      <c r="C1328" s="0" t="n">
        <v>8577</v>
      </c>
    </row>
    <row r="1329" customFormat="false" ht="12.75" hidden="false" customHeight="false" outlineLevel="0" collapsed="false">
      <c r="A1329" s="0" t="s">
        <v>49</v>
      </c>
      <c r="B1329" s="0" t="n">
        <v>4</v>
      </c>
      <c r="C1329" s="0" t="n">
        <v>8606</v>
      </c>
    </row>
    <row r="1330" customFormat="false" ht="12.75" hidden="false" customHeight="false" outlineLevel="0" collapsed="false">
      <c r="A1330" s="0" t="s">
        <v>50</v>
      </c>
      <c r="B1330" s="0" t="n">
        <v>9</v>
      </c>
      <c r="C1330" s="0" t="n">
        <v>8601</v>
      </c>
    </row>
    <row r="1331" customFormat="false" ht="12.75" hidden="false" customHeight="false" outlineLevel="0" collapsed="false">
      <c r="A1331" s="0" t="s">
        <v>51</v>
      </c>
      <c r="B1331" s="0" t="n">
        <v>214</v>
      </c>
      <c r="C1331" s="0" t="n">
        <v>8468</v>
      </c>
    </row>
    <row r="1332" customFormat="false" ht="12.75" hidden="false" customHeight="false" outlineLevel="0" collapsed="false">
      <c r="A1332" s="0" t="s">
        <v>143</v>
      </c>
      <c r="B1332" s="3" t="n">
        <v>3653</v>
      </c>
      <c r="C1332" s="0" t="n">
        <v>4966</v>
      </c>
    </row>
    <row r="1333" customFormat="false" ht="12.75" hidden="false" customHeight="false" outlineLevel="0" collapsed="false">
      <c r="A1333" s="0" t="s">
        <v>1</v>
      </c>
      <c r="B1333" s="0" t="n">
        <v>26</v>
      </c>
      <c r="C1333" s="0" t="n">
        <v>6113</v>
      </c>
    </row>
    <row r="1334" customFormat="false" ht="12.75" hidden="false" customHeight="false" outlineLevel="0" collapsed="false">
      <c r="A1334" s="0" t="s">
        <v>2</v>
      </c>
      <c r="B1334" s="0" t="n">
        <v>7</v>
      </c>
      <c r="C1334" s="0" t="n">
        <v>6107</v>
      </c>
    </row>
    <row r="1335" customFormat="false" ht="12.75" hidden="false" customHeight="false" outlineLevel="0" collapsed="false">
      <c r="A1335" s="0" t="s">
        <v>3</v>
      </c>
      <c r="B1335" s="0" t="n">
        <v>85</v>
      </c>
      <c r="C1335" s="0" t="n">
        <v>6038</v>
      </c>
    </row>
    <row r="1336" customFormat="false" ht="12.75" hidden="false" customHeight="false" outlineLevel="0" collapsed="false">
      <c r="A1336" s="0" t="s">
        <v>4</v>
      </c>
      <c r="B1336" s="0" t="n">
        <v>61</v>
      </c>
      <c r="C1336" s="0" t="n">
        <v>6427</v>
      </c>
    </row>
    <row r="1337" customFormat="false" ht="12.75" hidden="false" customHeight="false" outlineLevel="0" collapsed="false">
      <c r="A1337" s="0" t="s">
        <v>5</v>
      </c>
      <c r="B1337" s="0" t="n">
        <v>130</v>
      </c>
      <c r="C1337" s="0" t="n">
        <v>6308</v>
      </c>
    </row>
    <row r="1338" customFormat="false" ht="12.75" hidden="false" customHeight="false" outlineLevel="0" collapsed="false">
      <c r="A1338" s="0" t="s">
        <v>6</v>
      </c>
      <c r="B1338" s="0" t="n">
        <v>596</v>
      </c>
      <c r="C1338" s="0" t="n">
        <v>8634</v>
      </c>
    </row>
    <row r="1339" customFormat="false" ht="12.75" hidden="false" customHeight="false" outlineLevel="0" collapsed="false">
      <c r="A1339" s="0" t="s">
        <v>7</v>
      </c>
      <c r="B1339" s="0" t="n">
        <v>7</v>
      </c>
      <c r="C1339" s="0" t="n">
        <v>8732</v>
      </c>
    </row>
    <row r="1340" customFormat="false" ht="12.75" hidden="false" customHeight="false" outlineLevel="0" collapsed="false">
      <c r="A1340" s="0" t="s">
        <v>8</v>
      </c>
      <c r="B1340" s="0" t="n">
        <v>2</v>
      </c>
      <c r="C1340" s="0" t="n">
        <v>8734</v>
      </c>
    </row>
    <row r="1341" customFormat="false" ht="12.75" hidden="false" customHeight="false" outlineLevel="0" collapsed="false">
      <c r="A1341" s="0" t="s">
        <v>9</v>
      </c>
      <c r="B1341" s="0" t="n">
        <v>21</v>
      </c>
      <c r="C1341" s="0" t="n">
        <v>8713</v>
      </c>
    </row>
    <row r="1342" customFormat="false" ht="12.75" hidden="false" customHeight="false" outlineLevel="0" collapsed="false">
      <c r="A1342" s="0" t="s">
        <v>10</v>
      </c>
      <c r="B1342" s="0" t="n">
        <v>88</v>
      </c>
      <c r="C1342" s="0" t="n">
        <v>8639</v>
      </c>
    </row>
    <row r="1343" customFormat="false" ht="12.75" hidden="false" customHeight="false" outlineLevel="0" collapsed="false">
      <c r="A1343" s="0" t="s">
        <v>11</v>
      </c>
      <c r="B1343" s="0" t="n">
        <v>29</v>
      </c>
      <c r="C1343" s="0" t="n">
        <v>8659</v>
      </c>
    </row>
    <row r="1344" customFormat="false" ht="12.75" hidden="false" customHeight="false" outlineLevel="0" collapsed="false">
      <c r="A1344" s="0" t="s">
        <v>12</v>
      </c>
      <c r="B1344" s="0" t="n">
        <v>15</v>
      </c>
      <c r="C1344" s="0" t="n">
        <v>8656</v>
      </c>
    </row>
    <row r="1345" customFormat="false" ht="12.75" hidden="false" customHeight="false" outlineLevel="0" collapsed="false">
      <c r="A1345" s="0" t="s">
        <v>13</v>
      </c>
      <c r="B1345" s="0" t="n">
        <v>10</v>
      </c>
      <c r="C1345" s="0" t="n">
        <v>8681</v>
      </c>
    </row>
    <row r="1346" customFormat="false" ht="12.75" hidden="false" customHeight="false" outlineLevel="0" collapsed="false">
      <c r="A1346" s="0" t="s">
        <v>14</v>
      </c>
      <c r="B1346" s="0" t="n">
        <v>191</v>
      </c>
      <c r="C1346" s="0" t="n">
        <v>8815</v>
      </c>
    </row>
    <row r="1347" customFormat="false" ht="12.75" hidden="false" customHeight="false" outlineLevel="0" collapsed="false">
      <c r="A1347" s="0" t="s">
        <v>15</v>
      </c>
      <c r="B1347" s="0" t="n">
        <v>66</v>
      </c>
      <c r="C1347" s="0" t="n">
        <v>8814</v>
      </c>
    </row>
    <row r="1348" customFormat="false" ht="12.75" hidden="false" customHeight="false" outlineLevel="0" collapsed="false">
      <c r="A1348" s="0" t="s">
        <v>16</v>
      </c>
      <c r="B1348" s="0" t="n">
        <v>961</v>
      </c>
      <c r="C1348" s="0" t="n">
        <v>7866</v>
      </c>
    </row>
    <row r="1349" customFormat="false" ht="12.75" hidden="false" customHeight="false" outlineLevel="0" collapsed="false">
      <c r="A1349" s="0" t="s">
        <v>17</v>
      </c>
      <c r="B1349" s="0" t="n">
        <v>407</v>
      </c>
      <c r="C1349" s="0" t="n">
        <v>7469</v>
      </c>
    </row>
    <row r="1350" customFormat="false" ht="12.75" hidden="false" customHeight="false" outlineLevel="0" collapsed="false">
      <c r="A1350" s="0" t="s">
        <v>18</v>
      </c>
      <c r="B1350" s="0" t="n">
        <v>16</v>
      </c>
      <c r="C1350" s="0" t="n">
        <v>7462</v>
      </c>
    </row>
    <row r="1351" customFormat="false" ht="12.75" hidden="false" customHeight="false" outlineLevel="0" collapsed="false">
      <c r="A1351" s="0" t="s">
        <v>19</v>
      </c>
      <c r="B1351" s="0" t="n">
        <v>11</v>
      </c>
      <c r="C1351" s="0" t="n">
        <v>7465</v>
      </c>
    </row>
    <row r="1352" customFormat="false" ht="12.75" hidden="false" customHeight="false" outlineLevel="0" collapsed="false">
      <c r="A1352" s="0" t="s">
        <v>20</v>
      </c>
      <c r="B1352" s="0" t="n">
        <v>1</v>
      </c>
      <c r="C1352" s="0" t="n">
        <v>7498</v>
      </c>
    </row>
    <row r="1353" customFormat="false" ht="12.75" hidden="false" customHeight="false" outlineLevel="0" collapsed="false">
      <c r="A1353" s="0" t="s">
        <v>21</v>
      </c>
      <c r="B1353" s="0" t="n">
        <v>10</v>
      </c>
      <c r="C1353" s="0" t="n">
        <v>7489</v>
      </c>
    </row>
    <row r="1354" customFormat="false" ht="12.75" hidden="false" customHeight="false" outlineLevel="0" collapsed="false">
      <c r="A1354" s="0" t="s">
        <v>22</v>
      </c>
      <c r="B1354" s="0" t="n">
        <v>8</v>
      </c>
      <c r="C1354" s="0" t="n">
        <v>7482</v>
      </c>
    </row>
    <row r="1355" customFormat="false" ht="12.75" hidden="false" customHeight="false" outlineLevel="0" collapsed="false">
      <c r="A1355" s="0" t="s">
        <v>23</v>
      </c>
      <c r="B1355" s="0" t="n">
        <v>28</v>
      </c>
      <c r="C1355" s="0" t="n">
        <v>7464</v>
      </c>
    </row>
    <row r="1356" customFormat="false" ht="12.75" hidden="false" customHeight="false" outlineLevel="0" collapsed="false">
      <c r="A1356" s="0" t="s">
        <v>24</v>
      </c>
      <c r="B1356" s="0" t="n">
        <v>296</v>
      </c>
      <c r="C1356" s="0" t="n">
        <v>7192</v>
      </c>
    </row>
    <row r="1357" customFormat="false" ht="12.75" hidden="false" customHeight="false" outlineLevel="0" collapsed="false">
      <c r="A1357" s="0" t="s">
        <v>25</v>
      </c>
      <c r="B1357" s="0" t="n">
        <v>5</v>
      </c>
      <c r="C1357" s="0" t="n">
        <v>7206</v>
      </c>
    </row>
    <row r="1358" customFormat="false" ht="12.75" hidden="false" customHeight="false" outlineLevel="0" collapsed="false">
      <c r="A1358" s="0" t="s">
        <v>26</v>
      </c>
      <c r="B1358" s="0" t="n">
        <v>583</v>
      </c>
      <c r="C1358" s="0" t="n">
        <v>6625</v>
      </c>
    </row>
    <row r="1359" customFormat="false" ht="12.75" hidden="false" customHeight="false" outlineLevel="0" collapsed="false">
      <c r="A1359" s="0" t="s">
        <v>27</v>
      </c>
      <c r="B1359" s="0" t="n">
        <v>17</v>
      </c>
      <c r="C1359" s="0" t="n">
        <v>6635</v>
      </c>
    </row>
    <row r="1360" customFormat="false" ht="12.75" hidden="false" customHeight="false" outlineLevel="0" collapsed="false">
      <c r="A1360" s="0" t="s">
        <v>29</v>
      </c>
      <c r="B1360" s="0" t="n">
        <v>96</v>
      </c>
      <c r="C1360" s="0" t="n">
        <v>6572</v>
      </c>
    </row>
    <row r="1361" customFormat="false" ht="12.75" hidden="false" customHeight="false" outlineLevel="0" collapsed="false">
      <c r="A1361" s="0" t="s">
        <v>30</v>
      </c>
      <c r="B1361" s="0" t="n">
        <v>2</v>
      </c>
      <c r="C1361" s="0" t="n">
        <v>6581</v>
      </c>
    </row>
    <row r="1362" customFormat="false" ht="12.75" hidden="false" customHeight="false" outlineLevel="0" collapsed="false">
      <c r="A1362" s="0" t="s">
        <v>31</v>
      </c>
      <c r="B1362" s="0" t="n">
        <v>12</v>
      </c>
      <c r="C1362" s="0" t="n">
        <v>6571</v>
      </c>
    </row>
    <row r="1363" customFormat="false" ht="12.75" hidden="false" customHeight="false" outlineLevel="0" collapsed="false">
      <c r="A1363" s="0" t="s">
        <v>32</v>
      </c>
      <c r="B1363" s="0" t="n">
        <v>17</v>
      </c>
      <c r="C1363" s="0" t="n">
        <v>6564</v>
      </c>
    </row>
    <row r="1364" customFormat="false" ht="12.75" hidden="false" customHeight="false" outlineLevel="0" collapsed="false">
      <c r="A1364" s="0" t="s">
        <v>33</v>
      </c>
      <c r="B1364" s="0" t="n">
        <v>24</v>
      </c>
      <c r="C1364" s="0" t="n">
        <v>6598</v>
      </c>
    </row>
    <row r="1365" customFormat="false" ht="12.75" hidden="false" customHeight="false" outlineLevel="0" collapsed="false">
      <c r="A1365" s="0" t="s">
        <v>34</v>
      </c>
      <c r="B1365" s="0" t="n">
        <v>11</v>
      </c>
      <c r="C1365" s="0" t="n">
        <v>6603</v>
      </c>
    </row>
    <row r="1366" customFormat="false" ht="12.75" hidden="false" customHeight="false" outlineLevel="0" collapsed="false">
      <c r="A1366" s="0" t="s">
        <v>35</v>
      </c>
      <c r="B1366" s="0" t="n">
        <v>33</v>
      </c>
      <c r="C1366" s="0" t="n">
        <v>6576</v>
      </c>
    </row>
    <row r="1367" customFormat="false" ht="12.75" hidden="false" customHeight="false" outlineLevel="0" collapsed="false">
      <c r="A1367" s="0" t="s">
        <v>36</v>
      </c>
      <c r="B1367" s="0" t="n">
        <v>24</v>
      </c>
      <c r="C1367" s="0" t="n">
        <v>6554</v>
      </c>
    </row>
    <row r="1368" customFormat="false" ht="12.75" hidden="false" customHeight="false" outlineLevel="0" collapsed="false">
      <c r="A1368" s="0" t="s">
        <v>37</v>
      </c>
      <c r="B1368" s="0" t="n">
        <v>49</v>
      </c>
      <c r="C1368" s="0" t="n">
        <v>6545</v>
      </c>
    </row>
    <row r="1369" customFormat="false" ht="12.75" hidden="false" customHeight="false" outlineLevel="0" collapsed="false">
      <c r="A1369" s="0" t="s">
        <v>38</v>
      </c>
      <c r="B1369" s="0" t="n">
        <v>24</v>
      </c>
      <c r="C1369" s="0" t="n">
        <v>6536</v>
      </c>
    </row>
    <row r="1370" customFormat="false" ht="12.75" hidden="false" customHeight="false" outlineLevel="0" collapsed="false">
      <c r="A1370" s="0" t="s">
        <v>39</v>
      </c>
      <c r="B1370" s="0" t="n">
        <v>14</v>
      </c>
      <c r="C1370" s="0" t="n">
        <v>6596</v>
      </c>
    </row>
    <row r="1371" customFormat="false" ht="12.75" hidden="false" customHeight="false" outlineLevel="0" collapsed="false">
      <c r="A1371" s="0" t="s">
        <v>40</v>
      </c>
      <c r="B1371" s="0" t="s">
        <v>156</v>
      </c>
      <c r="C1371" s="0" t="n">
        <v>6609</v>
      </c>
    </row>
    <row r="1372" customFormat="false" ht="12.75" hidden="false" customHeight="false" outlineLevel="0" collapsed="false">
      <c r="A1372" s="0" t="s">
        <v>41</v>
      </c>
      <c r="B1372" s="0" t="n">
        <v>14</v>
      </c>
      <c r="C1372" s="0" t="n">
        <v>6596</v>
      </c>
    </row>
    <row r="1373" customFormat="false" ht="12.75" hidden="false" customHeight="false" outlineLevel="0" collapsed="false">
      <c r="A1373" s="0" t="s">
        <v>42</v>
      </c>
      <c r="B1373" s="0" t="n">
        <v>430</v>
      </c>
      <c r="C1373" s="0" t="n">
        <v>6170</v>
      </c>
    </row>
    <row r="1374" customFormat="false" ht="12.75" hidden="false" customHeight="false" outlineLevel="0" collapsed="false">
      <c r="A1374" s="0" t="s">
        <v>43</v>
      </c>
      <c r="B1374" s="0" t="n">
        <v>38</v>
      </c>
      <c r="C1374" s="0" t="n">
        <v>6138</v>
      </c>
    </row>
    <row r="1375" customFormat="false" ht="12.75" hidden="false" customHeight="false" outlineLevel="0" collapsed="false">
      <c r="A1375" s="0" t="s">
        <v>44</v>
      </c>
      <c r="B1375" s="0" t="n">
        <v>188</v>
      </c>
      <c r="C1375" s="0" t="n">
        <v>5964</v>
      </c>
    </row>
    <row r="1376" customFormat="false" ht="12.75" hidden="false" customHeight="false" outlineLevel="0" collapsed="false">
      <c r="A1376" s="0" t="s">
        <v>45</v>
      </c>
      <c r="B1376" s="0" t="n">
        <v>21</v>
      </c>
      <c r="C1376" s="0" t="n">
        <v>6028</v>
      </c>
    </row>
    <row r="1377" customFormat="false" ht="12.75" hidden="false" customHeight="false" outlineLevel="0" collapsed="false">
      <c r="A1377" s="0" t="s">
        <v>46</v>
      </c>
      <c r="B1377" s="0" t="n">
        <v>2</v>
      </c>
      <c r="C1377" s="0" t="n">
        <v>6855</v>
      </c>
    </row>
    <row r="1378" customFormat="false" ht="12.75" hidden="false" customHeight="false" outlineLevel="0" collapsed="false">
      <c r="A1378" s="0" t="s">
        <v>47</v>
      </c>
      <c r="B1378" s="0" t="n">
        <v>21</v>
      </c>
      <c r="C1378" s="0" t="n">
        <v>6837</v>
      </c>
    </row>
    <row r="1379" customFormat="false" ht="12.75" hidden="false" customHeight="false" outlineLevel="0" collapsed="false">
      <c r="A1379" s="0" t="s">
        <v>48</v>
      </c>
      <c r="B1379" s="0" t="n">
        <v>33</v>
      </c>
      <c r="C1379" s="0" t="n">
        <v>6810</v>
      </c>
    </row>
    <row r="1380" customFormat="false" ht="12.75" hidden="false" customHeight="false" outlineLevel="0" collapsed="false">
      <c r="A1380" s="0" t="s">
        <v>49</v>
      </c>
      <c r="B1380" s="0" t="n">
        <v>4</v>
      </c>
      <c r="C1380" s="0" t="n">
        <v>6861</v>
      </c>
    </row>
    <row r="1381" customFormat="false" ht="12.75" hidden="false" customHeight="false" outlineLevel="0" collapsed="false">
      <c r="A1381" s="0" t="s">
        <v>50</v>
      </c>
      <c r="B1381" s="0" t="n">
        <v>81</v>
      </c>
      <c r="C1381" s="0" t="n">
        <v>6784</v>
      </c>
    </row>
    <row r="1382" customFormat="false" ht="12.75" hidden="false" customHeight="false" outlineLevel="0" collapsed="false">
      <c r="A1382" s="0" t="s">
        <v>51</v>
      </c>
      <c r="B1382" s="0" t="n">
        <v>151</v>
      </c>
      <c r="C1382" s="0" t="n">
        <v>6644</v>
      </c>
    </row>
    <row r="1383" customFormat="false" ht="12.75" hidden="false" customHeight="false" outlineLevel="0" collapsed="false">
      <c r="A1383" s="0" t="s">
        <v>144</v>
      </c>
      <c r="B1383" s="3" t="n">
        <v>1173</v>
      </c>
      <c r="C1383" s="0" t="n">
        <v>5504</v>
      </c>
    </row>
    <row r="1384" customFormat="false" ht="12.75" hidden="false" customHeight="false" outlineLevel="0" collapsed="false">
      <c r="A1384" s="0" t="s">
        <v>1</v>
      </c>
      <c r="B1384" s="0" t="n">
        <v>1</v>
      </c>
      <c r="C1384" s="0" t="n">
        <v>6317</v>
      </c>
    </row>
    <row r="1385" customFormat="false" ht="12.75" hidden="false" customHeight="false" outlineLevel="0" collapsed="false">
      <c r="A1385" s="0" t="s">
        <v>2</v>
      </c>
      <c r="B1385" s="0" t="n">
        <v>16</v>
      </c>
      <c r="C1385" s="0" t="n">
        <v>6304</v>
      </c>
    </row>
    <row r="1386" customFormat="false" ht="12.75" hidden="false" customHeight="false" outlineLevel="0" collapsed="false">
      <c r="A1386" s="0" t="s">
        <v>3</v>
      </c>
      <c r="B1386" s="0" t="n">
        <v>450</v>
      </c>
      <c r="C1386" s="0" t="n">
        <v>5856</v>
      </c>
    </row>
    <row r="1387" customFormat="false" ht="12.75" hidden="false" customHeight="false" outlineLevel="0" collapsed="false">
      <c r="A1387" s="0" t="s">
        <v>4</v>
      </c>
      <c r="B1387" s="0" t="n">
        <v>11</v>
      </c>
      <c r="C1387" s="0" t="n">
        <v>5862</v>
      </c>
    </row>
    <row r="1388" customFormat="false" ht="12.75" hidden="false" customHeight="false" outlineLevel="0" collapsed="false">
      <c r="A1388" s="0" t="s">
        <v>5</v>
      </c>
      <c r="B1388" s="3" t="n">
        <v>2922</v>
      </c>
      <c r="C1388" s="0" t="n">
        <v>2943</v>
      </c>
    </row>
    <row r="1389" customFormat="false" ht="12.75" hidden="false" customHeight="false" outlineLevel="0" collapsed="false">
      <c r="A1389" s="0" t="s">
        <v>6</v>
      </c>
      <c r="B1389" s="0" t="n">
        <v>105</v>
      </c>
      <c r="C1389" s="0" t="n">
        <v>2896</v>
      </c>
    </row>
    <row r="1390" customFormat="false" ht="12.75" hidden="false" customHeight="false" outlineLevel="0" collapsed="false">
      <c r="A1390" s="0" t="s">
        <v>7</v>
      </c>
      <c r="B1390" s="0" t="n">
        <v>4</v>
      </c>
      <c r="C1390" s="0" t="n">
        <v>2915</v>
      </c>
    </row>
    <row r="1391" customFormat="false" ht="12.75" hidden="false" customHeight="false" outlineLevel="0" collapsed="false">
      <c r="A1391" s="0" t="s">
        <v>8</v>
      </c>
      <c r="B1391" s="0" t="s">
        <v>156</v>
      </c>
      <c r="C1391" s="0" t="n">
        <v>3547</v>
      </c>
    </row>
    <row r="1392" customFormat="false" ht="12.75" hidden="false" customHeight="false" outlineLevel="0" collapsed="false">
      <c r="A1392" s="0" t="s">
        <v>9</v>
      </c>
      <c r="B1392" s="0" t="n">
        <v>14</v>
      </c>
      <c r="C1392" s="0" t="n">
        <v>3543</v>
      </c>
    </row>
    <row r="1393" customFormat="false" ht="12.75" hidden="false" customHeight="false" outlineLevel="0" collapsed="false">
      <c r="A1393" s="0" t="s">
        <v>10</v>
      </c>
      <c r="B1393" s="0" t="n">
        <v>49</v>
      </c>
      <c r="C1393" s="0" t="n">
        <v>3546</v>
      </c>
    </row>
    <row r="1394" customFormat="false" ht="12.75" hidden="false" customHeight="false" outlineLevel="0" collapsed="false">
      <c r="A1394" s="0" t="s">
        <v>11</v>
      </c>
      <c r="B1394" s="0" t="n">
        <v>12</v>
      </c>
      <c r="C1394" s="0" t="n">
        <v>3721</v>
      </c>
    </row>
    <row r="1395" customFormat="false" ht="12.75" hidden="false" customHeight="false" outlineLevel="0" collapsed="false">
      <c r="A1395" s="0" t="s">
        <v>12</v>
      </c>
      <c r="B1395" s="0" t="n">
        <v>35</v>
      </c>
      <c r="C1395" s="0" t="n">
        <v>3708</v>
      </c>
    </row>
    <row r="1396" customFormat="false" ht="12.75" hidden="false" customHeight="false" outlineLevel="0" collapsed="false">
      <c r="A1396" s="0" t="s">
        <v>13</v>
      </c>
      <c r="B1396" s="0" t="n">
        <v>325</v>
      </c>
      <c r="C1396" s="0" t="n">
        <v>3387</v>
      </c>
    </row>
    <row r="1397" customFormat="false" ht="12.75" hidden="false" customHeight="false" outlineLevel="0" collapsed="false">
      <c r="A1397" s="0" t="s">
        <v>14</v>
      </c>
      <c r="B1397" s="0" t="n">
        <v>65</v>
      </c>
      <c r="C1397" s="0" t="n">
        <v>3324</v>
      </c>
    </row>
    <row r="1398" customFormat="false" ht="12.75" hidden="false" customHeight="false" outlineLevel="0" collapsed="false">
      <c r="A1398" s="0" t="s">
        <v>15</v>
      </c>
      <c r="B1398" s="0" t="n">
        <v>13</v>
      </c>
      <c r="C1398" s="0" t="n">
        <v>3346</v>
      </c>
    </row>
    <row r="1399" customFormat="false" ht="12.75" hidden="false" customHeight="false" outlineLevel="0" collapsed="false">
      <c r="A1399" s="0" t="s">
        <v>16</v>
      </c>
      <c r="B1399" s="0" t="n">
        <v>10</v>
      </c>
      <c r="C1399" s="0" t="n">
        <v>3346</v>
      </c>
    </row>
    <row r="1400" customFormat="false" ht="12.75" hidden="false" customHeight="false" outlineLevel="0" collapsed="false">
      <c r="A1400" s="0" t="s">
        <v>17</v>
      </c>
      <c r="B1400" s="0" t="n">
        <v>9</v>
      </c>
      <c r="C1400" s="0" t="n">
        <v>3339</v>
      </c>
    </row>
    <row r="1401" customFormat="false" ht="12.75" hidden="false" customHeight="false" outlineLevel="0" collapsed="false">
      <c r="A1401" s="0" t="s">
        <v>18</v>
      </c>
      <c r="B1401" s="0" t="n">
        <v>14</v>
      </c>
      <c r="C1401" s="0" t="n">
        <v>3330</v>
      </c>
    </row>
    <row r="1402" customFormat="false" ht="12.75" hidden="false" customHeight="false" outlineLevel="0" collapsed="false">
      <c r="A1402" s="0" t="s">
        <v>19</v>
      </c>
      <c r="B1402" s="0" t="n">
        <v>34</v>
      </c>
      <c r="C1402" s="0" t="n">
        <v>3301</v>
      </c>
    </row>
    <row r="1403" customFormat="false" ht="12.75" hidden="false" customHeight="false" outlineLevel="0" collapsed="false">
      <c r="A1403" s="0" t="s">
        <v>20</v>
      </c>
      <c r="B1403" s="0" t="n">
        <v>1</v>
      </c>
      <c r="C1403" s="0" t="n">
        <v>3303</v>
      </c>
    </row>
    <row r="1404" customFormat="false" ht="12.75" hidden="false" customHeight="false" outlineLevel="0" collapsed="false">
      <c r="A1404" s="0" t="s">
        <v>21</v>
      </c>
      <c r="B1404" s="0" t="n">
        <v>1</v>
      </c>
      <c r="C1404" s="0" t="n">
        <v>3956</v>
      </c>
    </row>
    <row r="1405" customFormat="false" ht="12.75" hidden="false" customHeight="false" outlineLevel="0" collapsed="false">
      <c r="A1405" s="0" t="s">
        <v>22</v>
      </c>
      <c r="B1405" s="0" t="n">
        <v>10</v>
      </c>
      <c r="C1405" s="0" t="n">
        <v>3977</v>
      </c>
    </row>
    <row r="1406" customFormat="false" ht="12.75" hidden="false" customHeight="false" outlineLevel="0" collapsed="false">
      <c r="A1406" s="0" t="s">
        <v>23</v>
      </c>
      <c r="B1406" s="0" t="n">
        <v>24</v>
      </c>
      <c r="C1406" s="0" t="n">
        <v>4757</v>
      </c>
    </row>
    <row r="1407" customFormat="false" ht="12.75" hidden="false" customHeight="false" outlineLevel="0" collapsed="false">
      <c r="A1407" s="0" t="s">
        <v>24</v>
      </c>
      <c r="B1407" s="0" t="n">
        <v>19</v>
      </c>
      <c r="C1407" s="0" t="n">
        <v>4752</v>
      </c>
    </row>
    <row r="1408" customFormat="false" ht="12.75" hidden="false" customHeight="false" outlineLevel="0" collapsed="false">
      <c r="A1408" s="0" t="s">
        <v>25</v>
      </c>
      <c r="B1408" s="0" t="n">
        <v>2</v>
      </c>
      <c r="C1408" s="0" t="n">
        <v>4759</v>
      </c>
    </row>
    <row r="1409" customFormat="false" ht="12.75" hidden="false" customHeight="false" outlineLevel="0" collapsed="false">
      <c r="A1409" s="0" t="s">
        <v>26</v>
      </c>
      <c r="B1409" s="0" t="n">
        <v>27</v>
      </c>
      <c r="C1409" s="0" t="n">
        <v>4735</v>
      </c>
    </row>
    <row r="1410" customFormat="false" ht="12.75" hidden="false" customHeight="false" outlineLevel="0" collapsed="false">
      <c r="A1410" s="0" t="s">
        <v>27</v>
      </c>
      <c r="B1410" s="0" t="n">
        <v>33</v>
      </c>
      <c r="C1410" s="0" t="n">
        <v>4729</v>
      </c>
    </row>
    <row r="1411" customFormat="false" ht="12.75" hidden="false" customHeight="false" outlineLevel="0" collapsed="false">
      <c r="A1411" s="0" t="s">
        <v>28</v>
      </c>
      <c r="B1411" s="0" t="n">
        <v>11</v>
      </c>
      <c r="C1411" s="0" t="n">
        <v>4720</v>
      </c>
    </row>
    <row r="1412" customFormat="false" ht="12.75" hidden="false" customHeight="false" outlineLevel="0" collapsed="false">
      <c r="A1412" s="0" t="s">
        <v>30</v>
      </c>
      <c r="B1412" s="0" t="n">
        <v>2</v>
      </c>
      <c r="C1412" s="0" t="n">
        <v>4719</v>
      </c>
    </row>
    <row r="1413" customFormat="false" ht="12.75" hidden="false" customHeight="false" outlineLevel="0" collapsed="false">
      <c r="A1413" s="0" t="s">
        <v>31</v>
      </c>
      <c r="B1413" s="0" t="n">
        <v>10</v>
      </c>
      <c r="C1413" s="0" t="n">
        <v>4725</v>
      </c>
    </row>
    <row r="1414" customFormat="false" ht="12.75" hidden="false" customHeight="false" outlineLevel="0" collapsed="false">
      <c r="A1414" s="0" t="s">
        <v>32</v>
      </c>
      <c r="B1414" s="0" t="n">
        <v>58</v>
      </c>
      <c r="C1414" s="0" t="n">
        <v>4811</v>
      </c>
    </row>
    <row r="1415" customFormat="false" ht="12.75" hidden="false" customHeight="false" outlineLevel="0" collapsed="false">
      <c r="A1415" s="0" t="s">
        <v>33</v>
      </c>
      <c r="B1415" s="0" t="n">
        <v>16</v>
      </c>
      <c r="C1415" s="0" t="n">
        <v>4804</v>
      </c>
    </row>
    <row r="1416" customFormat="false" ht="12.75" hidden="false" customHeight="false" outlineLevel="0" collapsed="false">
      <c r="A1416" s="0" t="s">
        <v>34</v>
      </c>
      <c r="B1416" s="0" t="n">
        <v>6</v>
      </c>
      <c r="C1416" s="0" t="n">
        <v>5258</v>
      </c>
    </row>
    <row r="1417" customFormat="false" ht="12.75" hidden="false" customHeight="false" outlineLevel="0" collapsed="false">
      <c r="A1417" s="0" t="s">
        <v>35</v>
      </c>
      <c r="B1417" s="0" t="n">
        <v>2</v>
      </c>
      <c r="C1417" s="0" t="n">
        <v>5284</v>
      </c>
    </row>
    <row r="1418" customFormat="false" ht="12.75" hidden="false" customHeight="false" outlineLevel="0" collapsed="false">
      <c r="A1418" s="0" t="s">
        <v>36</v>
      </c>
      <c r="B1418" s="0" t="n">
        <v>40</v>
      </c>
      <c r="C1418" s="0" t="n">
        <v>5244</v>
      </c>
    </row>
    <row r="1419" customFormat="false" ht="12.75" hidden="false" customHeight="false" outlineLevel="0" collapsed="false">
      <c r="A1419" s="0" t="s">
        <v>37</v>
      </c>
      <c r="B1419" s="0" t="n">
        <v>15</v>
      </c>
      <c r="C1419" s="0" t="n">
        <v>5261</v>
      </c>
    </row>
    <row r="1420" customFormat="false" ht="12.75" hidden="false" customHeight="false" outlineLevel="0" collapsed="false">
      <c r="A1420" s="0" t="s">
        <v>38</v>
      </c>
      <c r="B1420" s="0" t="n">
        <v>74</v>
      </c>
      <c r="C1420" s="0" t="n">
        <v>5192</v>
      </c>
    </row>
    <row r="1421" customFormat="false" ht="12.75" hidden="false" customHeight="false" outlineLevel="0" collapsed="false">
      <c r="A1421" s="0" t="s">
        <v>39</v>
      </c>
      <c r="B1421" s="0" t="n">
        <v>13</v>
      </c>
      <c r="C1421" s="0" t="n">
        <v>5187</v>
      </c>
    </row>
    <row r="1422" customFormat="false" ht="12.75" hidden="false" customHeight="false" outlineLevel="0" collapsed="false">
      <c r="A1422" s="0" t="s">
        <v>40</v>
      </c>
      <c r="B1422" s="0" t="n">
        <v>1</v>
      </c>
      <c r="C1422" s="0" t="n">
        <v>5280</v>
      </c>
    </row>
    <row r="1423" customFormat="false" ht="12.75" hidden="false" customHeight="false" outlineLevel="0" collapsed="false">
      <c r="A1423" s="0" t="s">
        <v>41</v>
      </c>
      <c r="B1423" s="0" t="n">
        <v>4</v>
      </c>
      <c r="C1423" s="0" t="n">
        <v>5419</v>
      </c>
    </row>
    <row r="1424" customFormat="false" ht="12.75" hidden="false" customHeight="false" outlineLevel="0" collapsed="false">
      <c r="A1424" s="0" t="s">
        <v>42</v>
      </c>
      <c r="B1424" s="0" t="n">
        <v>6</v>
      </c>
      <c r="C1424" s="0" t="n">
        <v>5441</v>
      </c>
    </row>
    <row r="1425" customFormat="false" ht="12.75" hidden="false" customHeight="false" outlineLevel="0" collapsed="false">
      <c r="A1425" s="0" t="s">
        <v>43</v>
      </c>
      <c r="B1425" s="0" t="n">
        <v>14</v>
      </c>
      <c r="C1425" s="0" t="n">
        <v>5429</v>
      </c>
    </row>
    <row r="1426" customFormat="false" ht="12.75" hidden="false" customHeight="false" outlineLevel="0" collapsed="false">
      <c r="A1426" s="0" t="s">
        <v>44</v>
      </c>
      <c r="B1426" s="0" t="n">
        <v>85</v>
      </c>
      <c r="C1426" s="0" t="n">
        <v>5366</v>
      </c>
    </row>
    <row r="1427" customFormat="false" ht="12.75" hidden="false" customHeight="false" outlineLevel="0" collapsed="false">
      <c r="A1427" s="0" t="s">
        <v>45</v>
      </c>
      <c r="B1427" s="0" t="n">
        <v>829</v>
      </c>
      <c r="C1427" s="0" t="n">
        <v>4573</v>
      </c>
    </row>
    <row r="1428" customFormat="false" ht="12.75" hidden="false" customHeight="false" outlineLevel="0" collapsed="false">
      <c r="A1428" s="0" t="s">
        <v>46</v>
      </c>
      <c r="B1428" s="0" t="n">
        <v>3</v>
      </c>
      <c r="C1428" s="0" t="n">
        <v>4574</v>
      </c>
    </row>
    <row r="1429" customFormat="false" ht="12.75" hidden="false" customHeight="false" outlineLevel="0" collapsed="false">
      <c r="A1429" s="0" t="s">
        <v>47</v>
      </c>
      <c r="B1429" s="0" t="n">
        <v>6</v>
      </c>
      <c r="C1429" s="0" t="n">
        <v>4837</v>
      </c>
    </row>
    <row r="1430" customFormat="false" ht="12.75" hidden="false" customHeight="false" outlineLevel="0" collapsed="false">
      <c r="A1430" s="0" t="s">
        <v>48</v>
      </c>
      <c r="B1430" s="0" t="n">
        <v>55</v>
      </c>
      <c r="C1430" s="0" t="n">
        <v>4834</v>
      </c>
    </row>
    <row r="1431" customFormat="false" ht="12.75" hidden="false" customHeight="false" outlineLevel="0" collapsed="false">
      <c r="A1431" s="0" t="s">
        <v>49</v>
      </c>
      <c r="B1431" s="0" t="n">
        <v>4</v>
      </c>
      <c r="C1431" s="0" t="n">
        <v>4841</v>
      </c>
    </row>
    <row r="1432" customFormat="false" ht="12.75" hidden="false" customHeight="false" outlineLevel="0" collapsed="false">
      <c r="A1432" s="0" t="s">
        <v>50</v>
      </c>
      <c r="B1432" s="0" t="n">
        <v>11</v>
      </c>
      <c r="C1432" s="0" t="n">
        <v>4836</v>
      </c>
    </row>
    <row r="1433" customFormat="false" ht="12.75" hidden="false" customHeight="false" outlineLevel="0" collapsed="false">
      <c r="A1433" s="0" t="s">
        <v>51</v>
      </c>
      <c r="B1433" s="0" t="n">
        <v>33</v>
      </c>
      <c r="C1433" s="0" t="n">
        <v>4808</v>
      </c>
    </row>
    <row r="1434" customFormat="false" ht="12.75" hidden="false" customHeight="false" outlineLevel="0" collapsed="false">
      <c r="A1434" s="0" t="s">
        <v>145</v>
      </c>
      <c r="B1434" s="0" t="n">
        <v>814</v>
      </c>
      <c r="C1434" s="0" t="n">
        <v>4000</v>
      </c>
    </row>
    <row r="1435" customFormat="false" ht="12.75" hidden="false" customHeight="false" outlineLevel="0" collapsed="false">
      <c r="A1435" s="0" t="s">
        <v>1</v>
      </c>
      <c r="B1435" s="0" t="n">
        <v>3</v>
      </c>
      <c r="C1435" s="0" t="n">
        <v>7428</v>
      </c>
    </row>
    <row r="1436" customFormat="false" ht="12.75" hidden="false" customHeight="false" outlineLevel="0" collapsed="false">
      <c r="A1436" s="0" t="s">
        <v>2</v>
      </c>
      <c r="B1436" s="0" t="n">
        <v>2</v>
      </c>
      <c r="C1436" s="0" t="n">
        <v>7450</v>
      </c>
    </row>
    <row r="1437" customFormat="false" ht="12.75" hidden="false" customHeight="false" outlineLevel="0" collapsed="false">
      <c r="A1437" s="0" t="s">
        <v>3</v>
      </c>
      <c r="B1437" s="0" t="n">
        <v>17</v>
      </c>
      <c r="C1437" s="0" t="n">
        <v>7457</v>
      </c>
    </row>
    <row r="1438" customFormat="false" ht="12.75" hidden="false" customHeight="false" outlineLevel="0" collapsed="false">
      <c r="A1438" s="0" t="s">
        <v>4</v>
      </c>
      <c r="B1438" s="0" t="n">
        <v>3</v>
      </c>
      <c r="C1438" s="0" t="n">
        <v>7615</v>
      </c>
    </row>
    <row r="1439" customFormat="false" ht="12.75" hidden="false" customHeight="false" outlineLevel="0" collapsed="false">
      <c r="A1439" s="0" t="s">
        <v>5</v>
      </c>
      <c r="B1439" s="0" t="n">
        <v>58</v>
      </c>
      <c r="C1439" s="0" t="n">
        <v>7580</v>
      </c>
    </row>
    <row r="1440" customFormat="false" ht="12.75" hidden="false" customHeight="false" outlineLevel="0" collapsed="false">
      <c r="A1440" s="0" t="s">
        <v>6</v>
      </c>
      <c r="B1440" s="0" t="n">
        <v>23</v>
      </c>
      <c r="C1440" s="0" t="n">
        <v>8096</v>
      </c>
    </row>
    <row r="1441" customFormat="false" ht="12.75" hidden="false" customHeight="false" outlineLevel="0" collapsed="false">
      <c r="A1441" s="0" t="s">
        <v>7</v>
      </c>
      <c r="B1441" s="0" t="n">
        <v>632</v>
      </c>
      <c r="C1441" s="0" t="n">
        <v>7590</v>
      </c>
    </row>
    <row r="1442" customFormat="false" ht="12.75" hidden="false" customHeight="false" outlineLevel="0" collapsed="false">
      <c r="A1442" s="0" t="s">
        <v>8</v>
      </c>
      <c r="B1442" s="0" t="n">
        <v>10</v>
      </c>
      <c r="C1442" s="0" t="n">
        <v>8316</v>
      </c>
    </row>
    <row r="1443" customFormat="false" ht="12.75" hidden="false" customHeight="false" outlineLevel="0" collapsed="false">
      <c r="A1443" s="0" t="s">
        <v>9</v>
      </c>
      <c r="B1443" s="0" t="n">
        <v>52</v>
      </c>
      <c r="C1443" s="0" t="n">
        <v>8434</v>
      </c>
    </row>
    <row r="1444" customFormat="false" ht="12.75" hidden="false" customHeight="false" outlineLevel="0" collapsed="false">
      <c r="A1444" s="0" t="s">
        <v>10</v>
      </c>
      <c r="B1444" s="0" t="n">
        <v>187</v>
      </c>
      <c r="C1444" s="0" t="n">
        <v>9029</v>
      </c>
    </row>
    <row r="1445" customFormat="false" ht="12.75" hidden="false" customHeight="false" outlineLevel="0" collapsed="false">
      <c r="A1445" s="0" t="s">
        <v>11</v>
      </c>
      <c r="B1445" s="0" t="n">
        <v>22</v>
      </c>
      <c r="C1445" s="0" t="n">
        <v>10982</v>
      </c>
    </row>
    <row r="1446" customFormat="false" ht="12.75" hidden="false" customHeight="false" outlineLevel="0" collapsed="false">
      <c r="A1446" s="0" t="s">
        <v>12</v>
      </c>
      <c r="B1446" s="0" t="n">
        <v>4</v>
      </c>
      <c r="C1446" s="0" t="n">
        <v>11314</v>
      </c>
    </row>
    <row r="1447" customFormat="false" ht="12.75" hidden="false" customHeight="false" outlineLevel="0" collapsed="false">
      <c r="A1447" s="0" t="s">
        <v>13</v>
      </c>
      <c r="B1447" s="0" t="n">
        <v>2</v>
      </c>
      <c r="C1447" s="0" t="n">
        <v>11360</v>
      </c>
    </row>
    <row r="1448" customFormat="false" ht="12.75" hidden="false" customHeight="false" outlineLevel="0" collapsed="false">
      <c r="A1448" s="0" t="s">
        <v>14</v>
      </c>
      <c r="B1448" s="0" t="n">
        <v>35</v>
      </c>
      <c r="C1448" s="0" t="n">
        <v>11327</v>
      </c>
    </row>
    <row r="1449" customFormat="false" ht="12.75" hidden="false" customHeight="false" outlineLevel="0" collapsed="false">
      <c r="A1449" s="0" t="s">
        <v>15</v>
      </c>
      <c r="B1449" s="0" t="n">
        <v>10</v>
      </c>
      <c r="C1449" s="0" t="n">
        <v>11318.4583333333</v>
      </c>
    </row>
    <row r="1450" customFormat="false" ht="12.75" hidden="false" customHeight="false" outlineLevel="0" collapsed="false">
      <c r="A1450" s="0" t="s">
        <v>16</v>
      </c>
      <c r="B1450" s="0" t="n">
        <v>2</v>
      </c>
      <c r="C1450" s="0" t="n">
        <v>11420.4583333333</v>
      </c>
    </row>
    <row r="1451" customFormat="false" ht="12.75" hidden="false" customHeight="false" outlineLevel="0" collapsed="false">
      <c r="A1451" s="0" t="s">
        <v>17</v>
      </c>
      <c r="B1451" s="0" t="n">
        <v>5</v>
      </c>
      <c r="C1451" s="0" t="n">
        <v>11415.4583333333</v>
      </c>
    </row>
    <row r="1452" customFormat="false" ht="12.75" hidden="false" customHeight="false" outlineLevel="0" collapsed="false">
      <c r="A1452" s="0" t="s">
        <v>18</v>
      </c>
      <c r="B1452" s="0" t="n">
        <v>5</v>
      </c>
      <c r="C1452" s="0" t="n">
        <v>11423.4583333333</v>
      </c>
    </row>
    <row r="1453" customFormat="false" ht="12.75" hidden="false" customHeight="false" outlineLevel="0" collapsed="false">
      <c r="A1453" s="0" t="s">
        <v>19</v>
      </c>
      <c r="B1453" s="0" t="n">
        <v>3</v>
      </c>
      <c r="C1453" s="0" t="n">
        <v>11451.4583333333</v>
      </c>
    </row>
    <row r="1454" customFormat="false" ht="12.75" hidden="false" customHeight="false" outlineLevel="0" collapsed="false">
      <c r="A1454" s="0" t="s">
        <v>20</v>
      </c>
      <c r="B1454" s="0" t="n">
        <v>654</v>
      </c>
      <c r="C1454" s="0" t="n">
        <v>10904.4583333333</v>
      </c>
    </row>
    <row r="1455" customFormat="false" ht="12.75" hidden="false" customHeight="false" outlineLevel="0" collapsed="false">
      <c r="A1455" s="0" t="s">
        <v>21</v>
      </c>
      <c r="B1455" s="0" t="n">
        <v>31</v>
      </c>
      <c r="C1455" s="0" t="n">
        <v>11121.4583333333</v>
      </c>
    </row>
    <row r="1456" customFormat="false" ht="12.75" hidden="false" customHeight="false" outlineLevel="0" collapsed="false">
      <c r="A1456" s="0" t="s">
        <v>22</v>
      </c>
      <c r="B1456" s="0" t="n">
        <v>804</v>
      </c>
      <c r="C1456" s="0" t="n">
        <v>11954.4583333333</v>
      </c>
    </row>
    <row r="1457" customFormat="false" ht="12.75" hidden="false" customHeight="false" outlineLevel="0" collapsed="false">
      <c r="A1457" s="0" t="s">
        <v>23</v>
      </c>
      <c r="B1457" s="0" t="n">
        <v>14</v>
      </c>
      <c r="C1457" s="0" t="n">
        <v>12798.4583333333</v>
      </c>
    </row>
    <row r="1458" customFormat="false" ht="12.75" hidden="false" customHeight="false" outlineLevel="0" collapsed="false">
      <c r="A1458" s="0" t="s">
        <v>24</v>
      </c>
      <c r="B1458" s="0" t="n">
        <v>9</v>
      </c>
      <c r="C1458" s="0" t="n">
        <v>12995.4583333333</v>
      </c>
    </row>
    <row r="1459" customFormat="false" ht="12.75" hidden="false" customHeight="false" outlineLevel="0" collapsed="false">
      <c r="A1459" s="0" t="s">
        <v>25</v>
      </c>
      <c r="B1459" s="0" t="n">
        <v>3</v>
      </c>
      <c r="C1459" s="0" t="n">
        <v>13114.4583333333</v>
      </c>
    </row>
    <row r="1460" customFormat="false" ht="12.75" hidden="false" customHeight="false" outlineLevel="0" collapsed="false">
      <c r="A1460" s="0" t="s">
        <v>26</v>
      </c>
      <c r="B1460" s="0" t="n">
        <v>27</v>
      </c>
      <c r="C1460" s="0" t="n">
        <v>13107.4583333333</v>
      </c>
    </row>
    <row r="1461" customFormat="false" ht="12.75" hidden="false" customHeight="false" outlineLevel="0" collapsed="false">
      <c r="A1461" s="0" t="s">
        <v>27</v>
      </c>
      <c r="B1461" s="0" t="n">
        <v>2</v>
      </c>
      <c r="C1461" s="0" t="n">
        <v>13195.4583333333</v>
      </c>
    </row>
    <row r="1462" customFormat="false" ht="12.75" hidden="false" customHeight="false" outlineLevel="0" collapsed="false">
      <c r="A1462" s="0" t="s">
        <v>28</v>
      </c>
      <c r="B1462" s="0" t="n">
        <v>1</v>
      </c>
      <c r="C1462" s="0" t="n">
        <v>13221.4583333333</v>
      </c>
    </row>
    <row r="1463" customFormat="false" ht="12.75" hidden="false" customHeight="false" outlineLevel="0" collapsed="false">
      <c r="A1463" s="0" t="s">
        <v>29</v>
      </c>
      <c r="B1463" s="0" t="n">
        <v>16</v>
      </c>
      <c r="C1463" s="0" t="n">
        <v>13210.4583333333</v>
      </c>
    </row>
    <row r="1464" customFormat="false" ht="12.75" hidden="false" customHeight="false" outlineLevel="0" collapsed="false">
      <c r="A1464" s="0" t="s">
        <v>31</v>
      </c>
      <c r="B1464" s="0" t="n">
        <v>144</v>
      </c>
      <c r="C1464" s="0" t="n">
        <v>13218.4583333333</v>
      </c>
    </row>
    <row r="1465" customFormat="false" ht="12.75" hidden="false" customHeight="false" outlineLevel="0" collapsed="false">
      <c r="A1465" s="0" t="s">
        <v>32</v>
      </c>
      <c r="B1465" s="0" t="n">
        <v>9</v>
      </c>
      <c r="C1465" s="0" t="n">
        <v>13389.4583333333</v>
      </c>
    </row>
    <row r="1466" customFormat="false" ht="12.75" hidden="false" customHeight="false" outlineLevel="0" collapsed="false">
      <c r="A1466" s="0" t="s">
        <v>33</v>
      </c>
      <c r="B1466" s="0" t="n">
        <v>460</v>
      </c>
      <c r="C1466" s="0" t="n">
        <v>12964.4583333333</v>
      </c>
    </row>
    <row r="1467" customFormat="false" ht="12.75" hidden="false" customHeight="false" outlineLevel="0" collapsed="false">
      <c r="A1467" s="0" t="s">
        <v>34</v>
      </c>
      <c r="B1467" s="0" t="n">
        <v>28</v>
      </c>
      <c r="C1467" s="0" t="n">
        <v>16294.4583333333</v>
      </c>
    </row>
    <row r="1468" customFormat="false" ht="12.75" hidden="false" customHeight="false" outlineLevel="0" collapsed="false">
      <c r="A1468" s="0" t="s">
        <v>35</v>
      </c>
      <c r="B1468" s="0" t="s">
        <v>156</v>
      </c>
      <c r="C1468" s="0" t="n">
        <v>17004.4583333333</v>
      </c>
    </row>
    <row r="1469" customFormat="false" ht="12.75" hidden="false" customHeight="false" outlineLevel="0" collapsed="false">
      <c r="A1469" s="0" t="s">
        <v>36</v>
      </c>
      <c r="B1469" s="0" t="n">
        <v>32</v>
      </c>
      <c r="C1469" s="0" t="n">
        <v>16983.4583333333</v>
      </c>
    </row>
    <row r="1470" customFormat="false" ht="12.75" hidden="false" customHeight="false" outlineLevel="0" collapsed="false">
      <c r="A1470" s="0" t="s">
        <v>37</v>
      </c>
      <c r="B1470" s="0" t="n">
        <v>5</v>
      </c>
      <c r="C1470" s="0" t="n">
        <v>17561.4583333333</v>
      </c>
    </row>
    <row r="1471" customFormat="false" ht="12.75" hidden="false" customHeight="false" outlineLevel="0" collapsed="false">
      <c r="A1471" s="0" t="s">
        <v>38</v>
      </c>
      <c r="B1471" s="0" t="n">
        <v>8</v>
      </c>
      <c r="C1471" s="0" t="n">
        <v>17576.4583333333</v>
      </c>
    </row>
    <row r="1472" customFormat="false" ht="12.75" hidden="false" customHeight="false" outlineLevel="0" collapsed="false">
      <c r="A1472" s="0" t="s">
        <v>39</v>
      </c>
      <c r="B1472" s="0" t="n">
        <v>94</v>
      </c>
      <c r="C1472" s="0" t="n">
        <v>17503.4583333333</v>
      </c>
    </row>
    <row r="1473" customFormat="false" ht="12.75" hidden="false" customHeight="false" outlineLevel="0" collapsed="false">
      <c r="A1473" s="0" t="s">
        <v>40</v>
      </c>
      <c r="B1473" s="0" t="n">
        <v>143</v>
      </c>
      <c r="C1473" s="0" t="n">
        <v>21366.4583333333</v>
      </c>
    </row>
    <row r="1474" customFormat="false" ht="12.75" hidden="false" customHeight="false" outlineLevel="0" collapsed="false">
      <c r="A1474" s="0" t="s">
        <v>41</v>
      </c>
      <c r="B1474" s="0" t="n">
        <v>28</v>
      </c>
      <c r="C1474" s="0" t="n">
        <v>21538.4583333333</v>
      </c>
    </row>
    <row r="1475" customFormat="false" ht="12.75" hidden="false" customHeight="false" outlineLevel="0" collapsed="false">
      <c r="A1475" s="0" t="s">
        <v>42</v>
      </c>
      <c r="B1475" s="0" t="n">
        <v>2</v>
      </c>
      <c r="C1475" s="0" t="n">
        <v>22030.4583333333</v>
      </c>
    </row>
    <row r="1476" customFormat="false" ht="12.75" hidden="false" customHeight="false" outlineLevel="0" collapsed="false">
      <c r="A1476" s="0" t="s">
        <v>43</v>
      </c>
      <c r="B1476" s="0" t="n">
        <v>22</v>
      </c>
      <c r="C1476" s="0" t="n">
        <v>22018.4583333333</v>
      </c>
    </row>
    <row r="1477" customFormat="false" ht="12.75" hidden="false" customHeight="false" outlineLevel="0" collapsed="false">
      <c r="A1477" s="0" t="s">
        <v>44</v>
      </c>
      <c r="B1477" s="0" t="n">
        <v>36</v>
      </c>
      <c r="C1477" s="0" t="n">
        <v>22091.4583333333</v>
      </c>
    </row>
    <row r="1478" customFormat="false" ht="12.75" hidden="false" customHeight="false" outlineLevel="0" collapsed="false">
      <c r="A1478" s="0" t="s">
        <v>45</v>
      </c>
      <c r="B1478" s="0" t="n">
        <v>4</v>
      </c>
      <c r="C1478" s="0" t="n">
        <v>22323.4583333333</v>
      </c>
    </row>
    <row r="1479" customFormat="false" ht="12.75" hidden="false" customHeight="false" outlineLevel="0" collapsed="false">
      <c r="A1479" s="0" t="s">
        <v>46</v>
      </c>
      <c r="B1479" s="0" t="n">
        <v>269</v>
      </c>
      <c r="C1479" s="0" t="n">
        <v>22089.4583333333</v>
      </c>
    </row>
    <row r="1480" customFormat="false" ht="12.75" hidden="false" customHeight="false" outlineLevel="0" collapsed="false">
      <c r="A1480" s="0" t="s">
        <v>47</v>
      </c>
      <c r="B1480" s="0" t="n">
        <v>52</v>
      </c>
      <c r="C1480" s="0" t="n">
        <v>22389.4583333333</v>
      </c>
    </row>
    <row r="1481" customFormat="false" ht="12.75" hidden="false" customHeight="false" outlineLevel="0" collapsed="false">
      <c r="A1481" s="0" t="s">
        <v>48</v>
      </c>
      <c r="B1481" s="0" t="n">
        <v>11</v>
      </c>
      <c r="C1481" s="0" t="n">
        <v>23061.4583333333</v>
      </c>
    </row>
    <row r="1482" customFormat="false" ht="12.75" hidden="false" customHeight="false" outlineLevel="0" collapsed="false">
      <c r="A1482" s="0" t="s">
        <v>49</v>
      </c>
      <c r="B1482" s="0" t="n">
        <v>6</v>
      </c>
      <c r="C1482" s="0" t="n">
        <v>23114.4583333333</v>
      </c>
    </row>
    <row r="1483" customFormat="false" ht="12.75" hidden="false" customHeight="false" outlineLevel="0" collapsed="false">
      <c r="A1483" s="0" t="s">
        <v>50</v>
      </c>
      <c r="B1483" s="0" t="n">
        <v>5</v>
      </c>
      <c r="C1483" s="0" t="n">
        <v>23207.4583333333</v>
      </c>
    </row>
    <row r="1484" customFormat="false" ht="12.75" hidden="false" customHeight="false" outlineLevel="0" collapsed="false">
      <c r="A1484" s="0" t="s">
        <v>51</v>
      </c>
      <c r="B1484" s="0" t="n">
        <v>6</v>
      </c>
      <c r="C1484" s="0" t="n">
        <v>23219.4583333333</v>
      </c>
    </row>
    <row r="1485" customFormat="false" ht="12.75" hidden="false" customHeight="false" outlineLevel="0" collapsed="false">
      <c r="A1485" s="0" t="s">
        <v>146</v>
      </c>
      <c r="B1485" s="3" t="n">
        <v>3431</v>
      </c>
      <c r="C1485" s="0" t="n">
        <v>19801.4583333333</v>
      </c>
    </row>
    <row r="1486" customFormat="false" ht="12.75" hidden="false" customHeight="false" outlineLevel="0" collapsed="false">
      <c r="A1486" s="0" t="s">
        <v>1</v>
      </c>
      <c r="B1486" s="0" t="n">
        <v>24</v>
      </c>
      <c r="C1486" s="0" t="n">
        <v>25214.4583333333</v>
      </c>
    </row>
    <row r="1487" customFormat="false" ht="12.75" hidden="false" customHeight="false" outlineLevel="0" collapsed="false">
      <c r="A1487" s="0" t="s">
        <v>2</v>
      </c>
      <c r="B1487" s="0" t="n">
        <v>24</v>
      </c>
      <c r="C1487" s="0" t="n">
        <v>25199.4583333333</v>
      </c>
    </row>
    <row r="1488" customFormat="false" ht="12.75" hidden="false" customHeight="false" outlineLevel="0" collapsed="false">
      <c r="A1488" s="0" t="s">
        <v>3</v>
      </c>
      <c r="B1488" s="0" t="n">
        <v>161</v>
      </c>
      <c r="C1488" s="0" t="n">
        <v>25044.4583333333</v>
      </c>
    </row>
    <row r="1489" customFormat="false" ht="12.75" hidden="false" customHeight="false" outlineLevel="0" collapsed="false">
      <c r="A1489" s="0" t="s">
        <v>4</v>
      </c>
      <c r="B1489" s="0" t="n">
        <v>23</v>
      </c>
      <c r="C1489" s="0" t="n">
        <v>25819.4583333333</v>
      </c>
    </row>
    <row r="1490" customFormat="false" ht="12.75" hidden="false" customHeight="false" outlineLevel="0" collapsed="false">
      <c r="A1490" s="0" t="s">
        <v>5</v>
      </c>
      <c r="B1490" s="0" t="n">
        <v>539</v>
      </c>
      <c r="C1490" s="0" t="n">
        <v>25297.4583333333</v>
      </c>
    </row>
    <row r="1491" customFormat="false" ht="12.75" hidden="false" customHeight="false" outlineLevel="0" collapsed="false">
      <c r="A1491" s="0" t="s">
        <v>6</v>
      </c>
      <c r="B1491" s="0" t="n">
        <v>126</v>
      </c>
      <c r="C1491" s="0" t="n">
        <v>25492.4583333333</v>
      </c>
    </row>
    <row r="1492" customFormat="false" ht="12.75" hidden="false" customHeight="false" outlineLevel="0" collapsed="false">
      <c r="A1492" s="0" t="s">
        <v>7</v>
      </c>
      <c r="B1492" s="0" t="n">
        <v>736</v>
      </c>
      <c r="C1492" s="0" t="n">
        <v>25503.4583333333</v>
      </c>
    </row>
    <row r="1493" customFormat="false" ht="12.75" hidden="false" customHeight="false" outlineLevel="0" collapsed="false">
      <c r="A1493" s="0" t="s">
        <v>8</v>
      </c>
      <c r="B1493" s="0" t="n">
        <v>170</v>
      </c>
      <c r="C1493" s="0" t="n">
        <v>25334.4583333333</v>
      </c>
    </row>
    <row r="1494" customFormat="false" ht="12.75" hidden="false" customHeight="false" outlineLevel="0" collapsed="false">
      <c r="A1494" s="0" t="s">
        <v>9</v>
      </c>
      <c r="B1494" s="0" t="n">
        <v>782</v>
      </c>
      <c r="C1494" s="0" t="n">
        <v>24553.4583333333</v>
      </c>
    </row>
    <row r="1495" customFormat="false" ht="12.75" hidden="false" customHeight="false" outlineLevel="0" collapsed="false">
      <c r="A1495" s="0" t="s">
        <v>10</v>
      </c>
      <c r="B1495" s="3" t="n">
        <v>1975</v>
      </c>
      <c r="C1495" s="0" t="n">
        <v>22632.4583333333</v>
      </c>
    </row>
    <row r="1496" customFormat="false" ht="12.75" hidden="false" customHeight="false" outlineLevel="0" collapsed="false">
      <c r="A1496" s="0" t="s">
        <v>11</v>
      </c>
      <c r="B1496" s="0" t="n">
        <v>336</v>
      </c>
      <c r="C1496" s="0" t="n">
        <v>22359.4583333333</v>
      </c>
    </row>
    <row r="1497" customFormat="false" ht="12.75" hidden="false" customHeight="false" outlineLevel="0" collapsed="false">
      <c r="A1497" s="0" t="s">
        <v>12</v>
      </c>
      <c r="B1497" s="0" t="n">
        <v>48</v>
      </c>
      <c r="C1497" s="0" t="n">
        <v>22331.4583333333</v>
      </c>
    </row>
    <row r="1498" customFormat="false" ht="12.75" hidden="false" customHeight="false" outlineLevel="0" collapsed="false">
      <c r="A1498" s="0" t="s">
        <v>13</v>
      </c>
      <c r="B1498" s="0" t="n">
        <v>2</v>
      </c>
      <c r="C1498" s="0" t="n">
        <v>22331.4583333333</v>
      </c>
    </row>
    <row r="1499" customFormat="false" ht="12.75" hidden="false" customHeight="false" outlineLevel="0" collapsed="false">
      <c r="A1499" s="0" t="s">
        <v>14</v>
      </c>
      <c r="B1499" s="6" t="n">
        <v>1.45833333333333</v>
      </c>
      <c r="C1499" s="0" t="n">
        <v>22352</v>
      </c>
    </row>
    <row r="1500" customFormat="false" ht="12.75" hidden="false" customHeight="false" outlineLevel="0" collapsed="false">
      <c r="A1500" s="0" t="s">
        <v>15</v>
      </c>
      <c r="B1500" s="0" t="n">
        <v>104</v>
      </c>
      <c r="C1500" s="0" t="n">
        <v>22302</v>
      </c>
    </row>
    <row r="1501" customFormat="false" ht="12.75" hidden="false" customHeight="false" outlineLevel="0" collapsed="false">
      <c r="A1501" s="0" t="s">
        <v>16</v>
      </c>
      <c r="B1501" s="0" t="s">
        <v>156</v>
      </c>
      <c r="C1501" s="0" t="n">
        <v>22321</v>
      </c>
    </row>
    <row r="1502" customFormat="false" ht="12.75" hidden="false" customHeight="false" outlineLevel="0" collapsed="false">
      <c r="A1502" s="0" t="s">
        <v>17</v>
      </c>
      <c r="B1502" s="0" t="n">
        <v>13</v>
      </c>
      <c r="C1502" s="0" t="n">
        <v>22322</v>
      </c>
    </row>
    <row r="1503" customFormat="false" ht="12.75" hidden="false" customHeight="false" outlineLevel="0" collapsed="false">
      <c r="A1503" s="0" t="s">
        <v>18</v>
      </c>
      <c r="B1503" s="0" t="n">
        <v>31</v>
      </c>
      <c r="C1503" s="0" t="n">
        <v>22312</v>
      </c>
    </row>
    <row r="1504" customFormat="false" ht="12.75" hidden="false" customHeight="false" outlineLevel="0" collapsed="false">
      <c r="A1504" s="0" t="s">
        <v>19</v>
      </c>
      <c r="B1504" s="0" t="n">
        <v>107</v>
      </c>
      <c r="C1504" s="0" t="n">
        <v>22252</v>
      </c>
    </row>
    <row r="1505" customFormat="false" ht="12.75" hidden="false" customHeight="false" outlineLevel="0" collapsed="false">
      <c r="A1505" s="0" t="s">
        <v>20</v>
      </c>
      <c r="B1505" s="0" t="n">
        <v>248</v>
      </c>
      <c r="C1505" s="0" t="n">
        <v>22033</v>
      </c>
    </row>
    <row r="1506" customFormat="false" ht="12.75" hidden="false" customHeight="false" outlineLevel="0" collapsed="false">
      <c r="A1506" s="0" t="s">
        <v>21</v>
      </c>
      <c r="B1506" s="3" t="n">
        <v>1637</v>
      </c>
      <c r="C1506" s="0" t="n">
        <v>20402</v>
      </c>
    </row>
    <row r="1507" customFormat="false" ht="12.75" hidden="false" customHeight="false" outlineLevel="0" collapsed="false">
      <c r="A1507" s="0" t="s">
        <v>22</v>
      </c>
      <c r="B1507" s="0" t="n">
        <v>858</v>
      </c>
      <c r="C1507" s="0" t="n">
        <v>19560</v>
      </c>
    </row>
    <row r="1508" customFormat="false" ht="12.75" hidden="false" customHeight="false" outlineLevel="0" collapsed="false">
      <c r="A1508" s="0" t="s">
        <v>23</v>
      </c>
      <c r="B1508" s="0" t="n">
        <v>206</v>
      </c>
      <c r="C1508" s="0" t="n">
        <v>19375</v>
      </c>
    </row>
    <row r="1509" customFormat="false" ht="12.75" hidden="false" customHeight="false" outlineLevel="0" collapsed="false">
      <c r="A1509" s="0" t="s">
        <v>24</v>
      </c>
      <c r="B1509" s="0" t="n">
        <v>122</v>
      </c>
      <c r="C1509" s="0" t="n">
        <v>19287</v>
      </c>
    </row>
    <row r="1510" customFormat="false" ht="12.75" hidden="false" customHeight="false" outlineLevel="0" collapsed="false">
      <c r="A1510" s="0" t="s">
        <v>25</v>
      </c>
      <c r="B1510" s="0" t="n">
        <v>20</v>
      </c>
      <c r="C1510" s="0" t="n">
        <v>19283</v>
      </c>
    </row>
    <row r="1511" customFormat="false" ht="12.75" hidden="false" customHeight="false" outlineLevel="0" collapsed="false">
      <c r="A1511" s="0" t="s">
        <v>26</v>
      </c>
      <c r="B1511" s="0" t="n">
        <v>90</v>
      </c>
      <c r="C1511" s="0" t="n">
        <v>19196</v>
      </c>
    </row>
    <row r="1512" customFormat="false" ht="12.75" hidden="false" customHeight="false" outlineLevel="0" collapsed="false">
      <c r="A1512" s="0" t="s">
        <v>27</v>
      </c>
      <c r="B1512" s="0" t="n">
        <v>27</v>
      </c>
      <c r="C1512" s="0" t="n">
        <v>19225</v>
      </c>
    </row>
    <row r="1513" customFormat="false" ht="12.75" hidden="false" customHeight="false" outlineLevel="0" collapsed="false">
      <c r="A1513" s="0" t="s">
        <v>28</v>
      </c>
      <c r="B1513" s="0" t="n">
        <v>5</v>
      </c>
      <c r="C1513" s="0" t="n">
        <v>19249</v>
      </c>
    </row>
    <row r="1514" customFormat="false" ht="12.75" hidden="false" customHeight="false" outlineLevel="0" collapsed="false">
      <c r="A1514" s="0" t="s">
        <v>29</v>
      </c>
      <c r="B1514" s="0" t="n">
        <v>152</v>
      </c>
      <c r="C1514" s="0" t="n">
        <v>19107</v>
      </c>
    </row>
    <row r="1515" customFormat="false" ht="12.75" hidden="false" customHeight="false" outlineLevel="0" collapsed="false">
      <c r="A1515" s="0" t="s">
        <v>30</v>
      </c>
      <c r="B1515" s="0" t="n">
        <v>180</v>
      </c>
      <c r="C1515" s="0" t="n">
        <v>19146</v>
      </c>
    </row>
    <row r="1516" customFormat="false" ht="12.75" hidden="false" customHeight="false" outlineLevel="0" collapsed="false">
      <c r="A1516" s="0" t="s">
        <v>32</v>
      </c>
      <c r="B1516" s="0" t="n">
        <v>35</v>
      </c>
      <c r="C1516" s="0" t="n">
        <v>19113</v>
      </c>
    </row>
    <row r="1517" customFormat="false" ht="12.75" hidden="false" customHeight="false" outlineLevel="0" collapsed="false">
      <c r="A1517" s="0" t="s">
        <v>33</v>
      </c>
      <c r="B1517" s="3" t="n">
        <v>3358</v>
      </c>
      <c r="C1517" s="0" t="n">
        <v>15762</v>
      </c>
    </row>
    <row r="1518" customFormat="false" ht="12.75" hidden="false" customHeight="false" outlineLevel="0" collapsed="false">
      <c r="A1518" s="0" t="s">
        <v>34</v>
      </c>
      <c r="B1518" s="0" t="n">
        <v>710</v>
      </c>
      <c r="C1518" s="0" t="n">
        <v>15093</v>
      </c>
    </row>
    <row r="1519" customFormat="false" ht="12.75" hidden="false" customHeight="false" outlineLevel="0" collapsed="false">
      <c r="A1519" s="0" t="s">
        <v>35</v>
      </c>
      <c r="B1519" s="0" t="n">
        <v>11</v>
      </c>
      <c r="C1519" s="0" t="n">
        <v>15092</v>
      </c>
    </row>
    <row r="1520" customFormat="false" ht="12.75" hidden="false" customHeight="false" outlineLevel="0" collapsed="false">
      <c r="A1520" s="0" t="s">
        <v>36</v>
      </c>
      <c r="B1520" s="0" t="n">
        <v>583</v>
      </c>
      <c r="C1520" s="0" t="n">
        <v>14512</v>
      </c>
    </row>
    <row r="1521" customFormat="false" ht="12.75" hidden="false" customHeight="false" outlineLevel="0" collapsed="false">
      <c r="A1521" s="0" t="s">
        <v>37</v>
      </c>
      <c r="B1521" s="0" t="n">
        <v>23</v>
      </c>
      <c r="C1521" s="0" t="n">
        <v>14516</v>
      </c>
    </row>
    <row r="1522" customFormat="false" ht="12.75" hidden="false" customHeight="false" outlineLevel="0" collapsed="false">
      <c r="A1522" s="0" t="s">
        <v>38</v>
      </c>
      <c r="B1522" s="0" t="n">
        <v>21</v>
      </c>
      <c r="C1522" s="0" t="n">
        <v>14586</v>
      </c>
    </row>
    <row r="1523" customFormat="false" ht="12.75" hidden="false" customHeight="false" outlineLevel="0" collapsed="false">
      <c r="A1523" s="0" t="s">
        <v>39</v>
      </c>
      <c r="B1523" s="3" t="n">
        <v>4006</v>
      </c>
      <c r="C1523" s="0" t="n">
        <v>10613</v>
      </c>
    </row>
    <row r="1524" customFormat="false" ht="12.75" hidden="false" customHeight="false" outlineLevel="0" collapsed="false">
      <c r="A1524" s="0" t="s">
        <v>40</v>
      </c>
      <c r="B1524" s="0" t="n">
        <v>200</v>
      </c>
      <c r="C1524" s="0" t="n">
        <v>10429</v>
      </c>
    </row>
    <row r="1525" customFormat="false" ht="12.75" hidden="false" customHeight="false" outlineLevel="0" collapsed="false">
      <c r="A1525" s="0" t="s">
        <v>41</v>
      </c>
      <c r="B1525" s="0" t="n">
        <v>494</v>
      </c>
      <c r="C1525" s="0" t="n">
        <v>9935</v>
      </c>
    </row>
    <row r="1526" customFormat="false" ht="12.75" hidden="false" customHeight="false" outlineLevel="0" collapsed="false">
      <c r="A1526" s="0" t="s">
        <v>42</v>
      </c>
      <c r="B1526" s="0" t="n">
        <v>10</v>
      </c>
      <c r="C1526" s="0" t="n">
        <v>9934</v>
      </c>
    </row>
    <row r="1527" customFormat="false" ht="12.75" hidden="false" customHeight="false" outlineLevel="0" collapsed="false">
      <c r="A1527" s="0" t="s">
        <v>43</v>
      </c>
      <c r="B1527" s="0" t="n">
        <v>109</v>
      </c>
      <c r="C1527" s="0" t="n">
        <v>9831</v>
      </c>
    </row>
    <row r="1528" customFormat="false" ht="12.75" hidden="false" customHeight="false" outlineLevel="0" collapsed="false">
      <c r="A1528" s="0" t="s">
        <v>44</v>
      </c>
      <c r="B1528" s="0" t="n">
        <v>236</v>
      </c>
      <c r="C1528" s="0" t="n">
        <v>9618</v>
      </c>
    </row>
    <row r="1529" customFormat="false" ht="12.75" hidden="false" customHeight="false" outlineLevel="0" collapsed="false">
      <c r="A1529" s="0" t="s">
        <v>45</v>
      </c>
      <c r="B1529" s="0" t="n">
        <v>35</v>
      </c>
      <c r="C1529" s="0" t="n">
        <v>11075</v>
      </c>
    </row>
    <row r="1530" customFormat="false" ht="12.75" hidden="false" customHeight="false" outlineLevel="0" collapsed="false">
      <c r="A1530" s="0" t="s">
        <v>46</v>
      </c>
      <c r="B1530" s="0" t="n">
        <v>352</v>
      </c>
      <c r="C1530" s="0" t="n">
        <v>10829</v>
      </c>
    </row>
    <row r="1531" customFormat="false" ht="12.75" hidden="false" customHeight="false" outlineLevel="0" collapsed="false">
      <c r="A1531" s="0" t="s">
        <v>47</v>
      </c>
      <c r="B1531" s="0" t="n">
        <v>683</v>
      </c>
      <c r="C1531" s="0" t="n">
        <v>10147</v>
      </c>
    </row>
    <row r="1532" customFormat="false" ht="12.75" hidden="false" customHeight="false" outlineLevel="0" collapsed="false">
      <c r="A1532" s="0" t="s">
        <v>48</v>
      </c>
      <c r="B1532" s="0" t="n">
        <v>59</v>
      </c>
      <c r="C1532" s="0" t="n">
        <v>10100</v>
      </c>
    </row>
    <row r="1533" customFormat="false" ht="12.75" hidden="false" customHeight="false" outlineLevel="0" collapsed="false">
      <c r="A1533" s="0" t="s">
        <v>49</v>
      </c>
      <c r="B1533" s="0" t="n">
        <v>98</v>
      </c>
      <c r="C1533" s="0" t="n">
        <v>10037</v>
      </c>
    </row>
    <row r="1534" customFormat="false" ht="12.75" hidden="false" customHeight="false" outlineLevel="0" collapsed="false">
      <c r="A1534" s="0" t="s">
        <v>50</v>
      </c>
      <c r="B1534" s="0" t="n">
        <v>18</v>
      </c>
      <c r="C1534" s="0" t="n">
        <v>10020</v>
      </c>
    </row>
    <row r="1535" customFormat="false" ht="12.75" hidden="false" customHeight="false" outlineLevel="0" collapsed="false">
      <c r="A1535" s="0" t="s">
        <v>51</v>
      </c>
      <c r="B1535" s="0" t="n">
        <v>13</v>
      </c>
      <c r="C1535" s="0" t="n">
        <v>10036</v>
      </c>
    </row>
    <row r="1536" customFormat="false" ht="12.75" hidden="false" customHeight="false" outlineLevel="0" collapsed="false">
      <c r="A1536" s="0" t="s">
        <v>147</v>
      </c>
      <c r="B1536" s="3" t="n">
        <v>5437</v>
      </c>
      <c r="C1536" s="0" t="n">
        <v>4668</v>
      </c>
    </row>
    <row r="1537" customFormat="false" ht="12.75" hidden="false" customHeight="false" outlineLevel="0" collapsed="false">
      <c r="A1537" s="0" t="s">
        <v>1</v>
      </c>
      <c r="B1537" s="0" t="n">
        <v>9</v>
      </c>
      <c r="C1537" s="0" t="n">
        <v>20642</v>
      </c>
    </row>
    <row r="1538" customFormat="false" ht="12.75" hidden="false" customHeight="false" outlineLevel="0" collapsed="false">
      <c r="A1538" s="0" t="s">
        <v>2</v>
      </c>
      <c r="B1538" s="0" t="n">
        <v>6</v>
      </c>
      <c r="C1538" s="0" t="n">
        <v>20750</v>
      </c>
    </row>
    <row r="1539" customFormat="false" ht="12.75" hidden="false" customHeight="false" outlineLevel="0" collapsed="false">
      <c r="A1539" s="0" t="s">
        <v>3</v>
      </c>
      <c r="B1539" s="0" t="n">
        <v>798</v>
      </c>
      <c r="C1539" s="0" t="n">
        <v>19993</v>
      </c>
    </row>
    <row r="1540" customFormat="false" ht="12.75" hidden="false" customHeight="false" outlineLevel="0" collapsed="false">
      <c r="A1540" s="0" t="s">
        <v>4</v>
      </c>
      <c r="B1540" s="0" t="n">
        <v>17</v>
      </c>
      <c r="C1540" s="0" t="n">
        <v>20165</v>
      </c>
    </row>
    <row r="1541" customFormat="false" ht="12.75" hidden="false" customHeight="false" outlineLevel="0" collapsed="false">
      <c r="A1541" s="0" t="s">
        <v>5</v>
      </c>
      <c r="B1541" s="0" t="n">
        <v>321</v>
      </c>
      <c r="C1541" s="0" t="n">
        <v>19844</v>
      </c>
    </row>
    <row r="1542" customFormat="false" ht="12.75" hidden="false" customHeight="false" outlineLevel="0" collapsed="false">
      <c r="A1542" s="0" t="s">
        <v>6</v>
      </c>
      <c r="B1542" s="0" t="n">
        <v>747</v>
      </c>
      <c r="C1542" s="0" t="n">
        <v>19941</v>
      </c>
    </row>
    <row r="1543" customFormat="false" ht="12.75" hidden="false" customHeight="false" outlineLevel="0" collapsed="false">
      <c r="A1543" s="0" t="s">
        <v>7</v>
      </c>
      <c r="B1543" s="0" t="n">
        <v>1</v>
      </c>
      <c r="C1543" s="0" t="n">
        <v>20062</v>
      </c>
    </row>
    <row r="1544" customFormat="false" ht="12.75" hidden="false" customHeight="false" outlineLevel="0" collapsed="false">
      <c r="A1544" s="0" t="s">
        <v>8</v>
      </c>
      <c r="B1544" s="0" t="n">
        <v>1</v>
      </c>
      <c r="C1544" s="0" t="n">
        <v>21447</v>
      </c>
    </row>
    <row r="1545" customFormat="false" ht="12.75" hidden="false" customHeight="false" outlineLevel="0" collapsed="false">
      <c r="A1545" s="0" t="s">
        <v>9</v>
      </c>
      <c r="B1545" s="0" t="n">
        <v>54</v>
      </c>
      <c r="C1545" s="0" t="n">
        <v>21890</v>
      </c>
    </row>
    <row r="1546" customFormat="false" ht="12.75" hidden="false" customHeight="false" outlineLevel="0" collapsed="false">
      <c r="A1546" s="0" t="s">
        <v>10</v>
      </c>
      <c r="B1546" s="0" t="n">
        <v>63</v>
      </c>
      <c r="C1546" s="0" t="n">
        <v>22897</v>
      </c>
    </row>
    <row r="1547" customFormat="false" ht="12.75" hidden="false" customHeight="false" outlineLevel="0" collapsed="false">
      <c r="A1547" s="0" t="s">
        <v>11</v>
      </c>
      <c r="B1547" s="0" t="n">
        <v>20</v>
      </c>
      <c r="C1547" s="0" t="n">
        <v>26006</v>
      </c>
    </row>
    <row r="1548" customFormat="false" ht="12.75" hidden="false" customHeight="false" outlineLevel="0" collapsed="false">
      <c r="A1548" s="0" t="s">
        <v>12</v>
      </c>
      <c r="B1548" s="0" t="n">
        <v>2</v>
      </c>
      <c r="C1548" s="0" t="n">
        <v>26442</v>
      </c>
    </row>
    <row r="1549" customFormat="false" ht="12.75" hidden="false" customHeight="false" outlineLevel="0" collapsed="false">
      <c r="A1549" s="0" t="s">
        <v>13</v>
      </c>
      <c r="B1549" s="0" t="n">
        <v>22</v>
      </c>
      <c r="C1549" s="0" t="n">
        <v>26515</v>
      </c>
    </row>
    <row r="1550" customFormat="false" ht="12.75" hidden="false" customHeight="false" outlineLevel="0" collapsed="false">
      <c r="A1550" s="0" t="s">
        <v>14</v>
      </c>
      <c r="B1550" s="0" t="n">
        <v>54</v>
      </c>
      <c r="C1550" s="0" t="n">
        <v>26461</v>
      </c>
    </row>
    <row r="1551" customFormat="false" ht="12.75" hidden="false" customHeight="false" outlineLevel="0" collapsed="false">
      <c r="A1551" s="0" t="s">
        <v>15</v>
      </c>
      <c r="B1551" s="0" t="n">
        <v>19</v>
      </c>
      <c r="C1551" s="0" t="n">
        <v>26802</v>
      </c>
    </row>
    <row r="1552" customFormat="false" ht="12.75" hidden="false" customHeight="false" outlineLevel="0" collapsed="false">
      <c r="A1552" s="0" t="s">
        <v>16</v>
      </c>
      <c r="B1552" s="0" t="n">
        <v>14</v>
      </c>
      <c r="C1552" s="0" t="n">
        <v>26932</v>
      </c>
    </row>
    <row r="1553" customFormat="false" ht="12.75" hidden="false" customHeight="false" outlineLevel="0" collapsed="false">
      <c r="A1553" s="0" t="s">
        <v>17</v>
      </c>
      <c r="B1553" s="0" t="n">
        <v>21</v>
      </c>
      <c r="C1553" s="0" t="n">
        <v>26945</v>
      </c>
    </row>
    <row r="1554" customFormat="false" ht="12.75" hidden="false" customHeight="false" outlineLevel="0" collapsed="false">
      <c r="A1554" s="0" t="s">
        <v>18</v>
      </c>
      <c r="B1554" s="0" t="n">
        <v>47</v>
      </c>
      <c r="C1554" s="0" t="n">
        <v>26945</v>
      </c>
    </row>
    <row r="1555" customFormat="false" ht="12.75" hidden="false" customHeight="false" outlineLevel="0" collapsed="false">
      <c r="A1555" s="0" t="s">
        <v>19</v>
      </c>
      <c r="B1555" s="0" t="n">
        <v>29</v>
      </c>
      <c r="C1555" s="0" t="n">
        <v>26968</v>
      </c>
    </row>
    <row r="1556" customFormat="false" ht="12.75" hidden="false" customHeight="false" outlineLevel="0" collapsed="false">
      <c r="A1556" s="0" t="s">
        <v>20</v>
      </c>
      <c r="B1556" s="0" t="n">
        <v>6</v>
      </c>
      <c r="C1556" s="0" t="n">
        <v>27135</v>
      </c>
    </row>
    <row r="1557" customFormat="false" ht="12.75" hidden="false" customHeight="false" outlineLevel="0" collapsed="false">
      <c r="A1557" s="0" t="s">
        <v>21</v>
      </c>
      <c r="B1557" s="0" t="n">
        <v>16</v>
      </c>
      <c r="C1557" s="0" t="n">
        <v>27762</v>
      </c>
    </row>
    <row r="1558" customFormat="false" ht="12.75" hidden="false" customHeight="false" outlineLevel="0" collapsed="false">
      <c r="A1558" s="0" t="s">
        <v>22</v>
      </c>
      <c r="B1558" s="0" t="n">
        <v>21</v>
      </c>
      <c r="C1558" s="0" t="n">
        <v>28844</v>
      </c>
    </row>
    <row r="1559" customFormat="false" ht="12.75" hidden="false" customHeight="false" outlineLevel="0" collapsed="false">
      <c r="A1559" s="0" t="s">
        <v>23</v>
      </c>
      <c r="B1559" s="0" t="n">
        <v>34</v>
      </c>
      <c r="C1559" s="0" t="n">
        <v>32228</v>
      </c>
    </row>
    <row r="1560" customFormat="false" ht="12.75" hidden="false" customHeight="false" outlineLevel="0" collapsed="false">
      <c r="A1560" s="0" t="s">
        <v>24</v>
      </c>
      <c r="B1560" s="0" t="n">
        <v>16</v>
      </c>
      <c r="C1560" s="0" t="n">
        <v>32522</v>
      </c>
    </row>
    <row r="1561" customFormat="false" ht="12.75" hidden="false" customHeight="false" outlineLevel="0" collapsed="false">
      <c r="A1561" s="0" t="s">
        <v>25</v>
      </c>
      <c r="B1561" s="0" t="n">
        <v>3</v>
      </c>
      <c r="C1561" s="0" t="n">
        <v>32627</v>
      </c>
    </row>
    <row r="1562" customFormat="false" ht="12.75" hidden="false" customHeight="false" outlineLevel="0" collapsed="false">
      <c r="A1562" s="0" t="s">
        <v>26</v>
      </c>
      <c r="B1562" s="0" t="n">
        <v>56</v>
      </c>
      <c r="C1562" s="0" t="n">
        <v>32606</v>
      </c>
    </row>
    <row r="1563" customFormat="false" ht="12.75" hidden="false" customHeight="false" outlineLevel="0" collapsed="false">
      <c r="A1563" s="0" t="s">
        <v>27</v>
      </c>
      <c r="B1563" s="0" t="n">
        <v>29</v>
      </c>
      <c r="C1563" s="0" t="n">
        <v>32760</v>
      </c>
    </row>
    <row r="1564" customFormat="false" ht="12.75" hidden="false" customHeight="false" outlineLevel="0" collapsed="false">
      <c r="A1564" s="0" t="s">
        <v>28</v>
      </c>
      <c r="B1564" s="0" t="n">
        <v>10</v>
      </c>
      <c r="C1564" s="0" t="n">
        <v>32750</v>
      </c>
    </row>
    <row r="1565" customFormat="false" ht="12.75" hidden="false" customHeight="false" outlineLevel="0" collapsed="false">
      <c r="A1565" s="0" t="s">
        <v>29</v>
      </c>
      <c r="B1565" s="0" t="n">
        <v>219</v>
      </c>
      <c r="C1565" s="0" t="n">
        <v>32555</v>
      </c>
    </row>
    <row r="1566" customFormat="false" ht="12.75" hidden="false" customHeight="false" outlineLevel="0" collapsed="false">
      <c r="A1566" s="0" t="s">
        <v>30</v>
      </c>
      <c r="B1566" s="0" t="n">
        <v>2</v>
      </c>
      <c r="C1566" s="0" t="n">
        <v>33002</v>
      </c>
    </row>
    <row r="1567" customFormat="false" ht="12.75" hidden="false" customHeight="false" outlineLevel="0" collapsed="false">
      <c r="A1567" s="0" t="s">
        <v>31</v>
      </c>
      <c r="B1567" s="0" t="n">
        <v>7</v>
      </c>
      <c r="C1567" s="0" t="n">
        <v>33476</v>
      </c>
    </row>
    <row r="1568" customFormat="false" ht="12.75" hidden="false" customHeight="false" outlineLevel="0" collapsed="false">
      <c r="A1568" s="0" t="s">
        <v>33</v>
      </c>
      <c r="B1568" s="0" t="n">
        <v>41</v>
      </c>
      <c r="C1568" s="0" t="n">
        <v>36390</v>
      </c>
    </row>
    <row r="1569" customFormat="false" ht="12.75" hidden="false" customHeight="false" outlineLevel="0" collapsed="false">
      <c r="A1569" s="0" t="s">
        <v>34</v>
      </c>
      <c r="B1569" s="0" t="n">
        <v>10</v>
      </c>
      <c r="C1569" s="0" t="n">
        <v>36512</v>
      </c>
    </row>
    <row r="1570" customFormat="false" ht="12.75" hidden="false" customHeight="false" outlineLevel="0" collapsed="false">
      <c r="A1570" s="0" t="s">
        <v>35</v>
      </c>
      <c r="B1570" s="0" t="n">
        <v>3</v>
      </c>
      <c r="C1570" s="0" t="n">
        <v>37349</v>
      </c>
    </row>
    <row r="1571" customFormat="false" ht="12.75" hidden="false" customHeight="false" outlineLevel="0" collapsed="false">
      <c r="A1571" s="0" t="s">
        <v>36</v>
      </c>
      <c r="B1571" s="0" t="n">
        <v>27</v>
      </c>
      <c r="C1571" s="0" t="n">
        <v>37322</v>
      </c>
    </row>
    <row r="1572" customFormat="false" ht="12.75" hidden="false" customHeight="false" outlineLevel="0" collapsed="false">
      <c r="A1572" s="0" t="s">
        <v>37</v>
      </c>
      <c r="B1572" s="0" t="n">
        <v>91</v>
      </c>
      <c r="C1572" s="0" t="n">
        <v>38214</v>
      </c>
    </row>
    <row r="1573" customFormat="false" ht="12.75" hidden="false" customHeight="false" outlineLevel="0" collapsed="false">
      <c r="A1573" s="0" t="s">
        <v>38</v>
      </c>
      <c r="B1573" s="0" t="n">
        <v>33</v>
      </c>
      <c r="C1573" s="0" t="n">
        <v>38247</v>
      </c>
    </row>
    <row r="1574" customFormat="false" ht="12.75" hidden="false" customHeight="false" outlineLevel="0" collapsed="false">
      <c r="A1574" s="0" t="s">
        <v>39</v>
      </c>
      <c r="B1574" s="0" t="n">
        <v>16</v>
      </c>
      <c r="C1574" s="0" t="n">
        <v>38262</v>
      </c>
    </row>
    <row r="1575" customFormat="false" ht="12.75" hidden="false" customHeight="false" outlineLevel="0" collapsed="false">
      <c r="A1575" s="0" t="s">
        <v>40</v>
      </c>
      <c r="B1575" s="0" t="s">
        <v>156</v>
      </c>
      <c r="C1575" s="0" t="n">
        <v>43064</v>
      </c>
    </row>
    <row r="1576" customFormat="false" ht="12.75" hidden="false" customHeight="false" outlineLevel="0" collapsed="false">
      <c r="A1576" s="0" t="s">
        <v>41</v>
      </c>
      <c r="B1576" s="0" t="n">
        <v>9</v>
      </c>
      <c r="C1576" s="0" t="n">
        <v>43469</v>
      </c>
    </row>
    <row r="1577" customFormat="false" ht="12.75" hidden="false" customHeight="false" outlineLevel="0" collapsed="false">
      <c r="A1577" s="0" t="s">
        <v>42</v>
      </c>
      <c r="B1577" s="0" t="n">
        <v>6</v>
      </c>
      <c r="C1577" s="0" t="n">
        <v>44122</v>
      </c>
    </row>
    <row r="1578" customFormat="false" ht="12.75" hidden="false" customHeight="false" outlineLevel="0" collapsed="false">
      <c r="A1578" s="0" t="s">
        <v>43</v>
      </c>
      <c r="B1578" s="0" t="n">
        <v>23</v>
      </c>
      <c r="C1578" s="0" t="n">
        <v>44099</v>
      </c>
    </row>
    <row r="1579" customFormat="false" ht="12.75" hidden="false" customHeight="false" outlineLevel="0" collapsed="false">
      <c r="A1579" s="0" t="s">
        <v>44</v>
      </c>
      <c r="B1579" s="3" t="n">
        <v>1492</v>
      </c>
      <c r="C1579" s="0" t="n">
        <v>42668</v>
      </c>
    </row>
    <row r="1580" customFormat="false" ht="12.75" hidden="false" customHeight="false" outlineLevel="0" collapsed="false">
      <c r="A1580" s="0" t="s">
        <v>45</v>
      </c>
      <c r="B1580" s="0" t="n">
        <v>106</v>
      </c>
      <c r="C1580" s="0" t="n">
        <v>43209</v>
      </c>
    </row>
    <row r="1581" customFormat="false" ht="12.75" hidden="false" customHeight="false" outlineLevel="0" collapsed="false">
      <c r="A1581" s="0" t="s">
        <v>46</v>
      </c>
      <c r="B1581" s="0" t="n">
        <v>1</v>
      </c>
      <c r="C1581" s="0" t="n">
        <v>43298</v>
      </c>
    </row>
    <row r="1582" customFormat="false" ht="12.75" hidden="false" customHeight="false" outlineLevel="0" collapsed="false">
      <c r="A1582" s="0" t="s">
        <v>47</v>
      </c>
      <c r="B1582" s="0" t="n">
        <v>12</v>
      </c>
      <c r="C1582" s="0" t="n">
        <v>44484</v>
      </c>
    </row>
    <row r="1583" customFormat="false" ht="12.75" hidden="false" customHeight="false" outlineLevel="0" collapsed="false">
      <c r="A1583" s="0" t="s">
        <v>48</v>
      </c>
      <c r="B1583" s="0" t="n">
        <v>35</v>
      </c>
      <c r="C1583" s="0" t="n">
        <v>45770</v>
      </c>
    </row>
    <row r="1584" customFormat="false" ht="12.75" hidden="false" customHeight="false" outlineLevel="0" collapsed="false">
      <c r="A1584" s="0" t="s">
        <v>49</v>
      </c>
      <c r="B1584" s="0" t="n">
        <v>1</v>
      </c>
      <c r="C1584" s="0" t="n">
        <v>45867</v>
      </c>
    </row>
    <row r="1585" customFormat="false" ht="12.75" hidden="false" customHeight="false" outlineLevel="0" collapsed="false">
      <c r="A1585" s="0" t="s">
        <v>50</v>
      </c>
      <c r="B1585" s="0" t="n">
        <v>29</v>
      </c>
      <c r="C1585" s="0" t="n">
        <v>45890</v>
      </c>
    </row>
    <row r="1586" customFormat="false" ht="12.75" hidden="false" customHeight="false" outlineLevel="0" collapsed="false">
      <c r="A1586" s="0" t="s">
        <v>51</v>
      </c>
      <c r="B1586" s="0" t="n">
        <v>69</v>
      </c>
      <c r="C1586" s="0" t="n">
        <v>45931</v>
      </c>
    </row>
    <row r="1587" customFormat="false" ht="12.75" hidden="false" customHeight="false" outlineLevel="0" collapsed="false">
      <c r="A1587" s="0" t="s">
        <v>148</v>
      </c>
      <c r="B1587" s="3" t="n">
        <v>15983</v>
      </c>
      <c r="C1587" s="0" t="n">
        <v>29959</v>
      </c>
    </row>
    <row r="1588" customFormat="false" ht="12.75" hidden="false" customHeight="false" outlineLevel="0" collapsed="false">
      <c r="A1588" s="0" t="s">
        <v>1</v>
      </c>
      <c r="B1588" s="0" t="n">
        <v>114</v>
      </c>
      <c r="C1588" s="0" t="n">
        <v>42510</v>
      </c>
    </row>
    <row r="1589" customFormat="false" ht="12.75" hidden="false" customHeight="false" outlineLevel="0" collapsed="false">
      <c r="A1589" s="0" t="s">
        <v>2</v>
      </c>
      <c r="B1589" s="0" t="n">
        <v>41</v>
      </c>
      <c r="C1589" s="0" t="n">
        <v>42607</v>
      </c>
    </row>
    <row r="1590" customFormat="false" ht="12.75" hidden="false" customHeight="false" outlineLevel="0" collapsed="false">
      <c r="A1590" s="0" t="s">
        <v>3</v>
      </c>
      <c r="B1590" s="0" t="n">
        <v>189</v>
      </c>
      <c r="C1590" s="0" t="n">
        <v>42429</v>
      </c>
    </row>
    <row r="1591" customFormat="false" ht="12.75" hidden="false" customHeight="false" outlineLevel="0" collapsed="false">
      <c r="A1591" s="0" t="s">
        <v>4</v>
      </c>
      <c r="B1591" s="0" t="s">
        <v>156</v>
      </c>
      <c r="C1591" s="0" t="n">
        <v>42470</v>
      </c>
    </row>
    <row r="1592" customFormat="false" ht="12.75" hidden="false" customHeight="false" outlineLevel="0" collapsed="false">
      <c r="A1592" s="0" t="s">
        <v>5</v>
      </c>
      <c r="B1592" s="0" t="n">
        <v>844</v>
      </c>
      <c r="C1592" s="0" t="n">
        <v>41672</v>
      </c>
    </row>
    <row r="1593" customFormat="false" ht="12.75" hidden="false" customHeight="false" outlineLevel="0" collapsed="false">
      <c r="A1593" s="0" t="s">
        <v>6</v>
      </c>
      <c r="B1593" s="0" t="n">
        <v>122</v>
      </c>
      <c r="C1593" s="0" t="n">
        <v>41728</v>
      </c>
    </row>
    <row r="1594" customFormat="false" ht="12.75" hidden="false" customHeight="false" outlineLevel="0" collapsed="false">
      <c r="A1594" s="0" t="s">
        <v>7</v>
      </c>
      <c r="B1594" s="3" t="n">
        <v>1386</v>
      </c>
      <c r="C1594" s="0" t="n">
        <v>40410</v>
      </c>
    </row>
    <row r="1595" customFormat="false" ht="12.75" hidden="false" customHeight="false" outlineLevel="0" collapsed="false">
      <c r="A1595" s="0" t="s">
        <v>8</v>
      </c>
      <c r="B1595" s="0" t="n">
        <v>497</v>
      </c>
      <c r="C1595" s="0" t="n">
        <v>39996</v>
      </c>
    </row>
    <row r="1596" customFormat="false" ht="12.75" hidden="false" customHeight="false" outlineLevel="0" collapsed="false">
      <c r="A1596" s="0" t="s">
        <v>9</v>
      </c>
      <c r="B1596" s="3" t="n">
        <v>1070</v>
      </c>
      <c r="C1596" s="0" t="n">
        <v>38971</v>
      </c>
    </row>
    <row r="1597" customFormat="false" ht="12.75" hidden="false" customHeight="false" outlineLevel="0" collapsed="false">
      <c r="A1597" s="0" t="s">
        <v>10</v>
      </c>
      <c r="B1597" s="3" t="n">
        <v>3129</v>
      </c>
      <c r="C1597" s="0" t="n">
        <v>36201</v>
      </c>
    </row>
    <row r="1598" customFormat="false" ht="12.75" hidden="false" customHeight="false" outlineLevel="0" collapsed="false">
      <c r="A1598" s="0" t="s">
        <v>11</v>
      </c>
      <c r="B1598" s="0" t="n">
        <v>438</v>
      </c>
      <c r="C1598" s="0" t="n">
        <v>36938</v>
      </c>
    </row>
    <row r="1599" customFormat="false" ht="12.75" hidden="false" customHeight="false" outlineLevel="0" collapsed="false">
      <c r="A1599" s="0" t="s">
        <v>12</v>
      </c>
      <c r="B1599" s="0" t="n">
        <v>95</v>
      </c>
      <c r="C1599" s="0" t="n">
        <v>38677</v>
      </c>
    </row>
    <row r="1600" customFormat="false" ht="12.75" hidden="false" customHeight="false" outlineLevel="0" collapsed="false">
      <c r="A1600" s="0" t="s">
        <v>13</v>
      </c>
      <c r="B1600" s="0" t="s">
        <v>156</v>
      </c>
      <c r="C1600" s="0" t="n">
        <v>38699</v>
      </c>
    </row>
    <row r="1601" customFormat="false" ht="12.75" hidden="false" customHeight="false" outlineLevel="0" collapsed="false">
      <c r="A1601" s="0" t="s">
        <v>14</v>
      </c>
      <c r="B1601" s="0" t="n">
        <v>360</v>
      </c>
      <c r="C1601" s="0" t="n">
        <v>38339</v>
      </c>
    </row>
    <row r="1602" customFormat="false" ht="12.75" hidden="false" customHeight="false" outlineLevel="0" collapsed="false">
      <c r="A1602" s="0" t="s">
        <v>15</v>
      </c>
      <c r="B1602" s="0" t="n">
        <v>144</v>
      </c>
      <c r="C1602" s="0" t="n">
        <v>38418</v>
      </c>
    </row>
    <row r="1603" customFormat="false" ht="12.75" hidden="false" customHeight="false" outlineLevel="0" collapsed="false">
      <c r="A1603" s="0" t="s">
        <v>16</v>
      </c>
      <c r="B1603" s="0" t="n">
        <v>34</v>
      </c>
      <c r="C1603" s="0" t="n">
        <v>38525</v>
      </c>
    </row>
    <row r="1604" customFormat="false" ht="12.75" hidden="false" customHeight="false" outlineLevel="0" collapsed="false">
      <c r="A1604" s="0" t="s">
        <v>17</v>
      </c>
      <c r="B1604" s="0" t="n">
        <v>47</v>
      </c>
      <c r="C1604" s="0" t="n">
        <v>38527</v>
      </c>
    </row>
    <row r="1605" customFormat="false" ht="12.75" hidden="false" customHeight="false" outlineLevel="0" collapsed="false">
      <c r="A1605" s="0" t="s">
        <v>18</v>
      </c>
      <c r="B1605" s="0" t="n">
        <v>52</v>
      </c>
      <c r="C1605" s="0" t="n">
        <v>38580</v>
      </c>
    </row>
    <row r="1606" customFormat="false" ht="12.75" hidden="false" customHeight="false" outlineLevel="0" collapsed="false">
      <c r="A1606" s="0" t="s">
        <v>19</v>
      </c>
      <c r="B1606" s="0" t="n">
        <v>173</v>
      </c>
      <c r="C1606" s="0" t="n">
        <v>38709</v>
      </c>
    </row>
    <row r="1607" customFormat="false" ht="12.75" hidden="false" customHeight="false" outlineLevel="0" collapsed="false">
      <c r="A1607" s="0" t="s">
        <v>20</v>
      </c>
      <c r="B1607" s="0" t="n">
        <v>643</v>
      </c>
      <c r="C1607" s="0" t="n">
        <v>38157</v>
      </c>
    </row>
    <row r="1608" customFormat="false" ht="12.75" hidden="false" customHeight="false" outlineLevel="0" collapsed="false">
      <c r="A1608" s="0" t="s">
        <v>21</v>
      </c>
      <c r="B1608" s="3" t="n">
        <v>1103</v>
      </c>
      <c r="C1608" s="0" t="n">
        <v>37071</v>
      </c>
    </row>
    <row r="1609" customFormat="false" ht="12.75" hidden="false" customHeight="false" outlineLevel="0" collapsed="false">
      <c r="A1609" s="0" t="s">
        <v>22</v>
      </c>
      <c r="B1609" s="3" t="n">
        <v>3418</v>
      </c>
      <c r="C1609" s="0" t="n">
        <v>34205</v>
      </c>
    </row>
    <row r="1610" customFormat="false" ht="12.75" hidden="false" customHeight="false" outlineLevel="0" collapsed="false">
      <c r="A1610" s="0" t="s">
        <v>23</v>
      </c>
      <c r="B1610" s="0" t="n">
        <v>310</v>
      </c>
      <c r="C1610" s="0" t="n">
        <v>34145</v>
      </c>
    </row>
    <row r="1611" customFormat="false" ht="12.75" hidden="false" customHeight="false" outlineLevel="0" collapsed="false">
      <c r="A1611" s="0" t="s">
        <v>24</v>
      </c>
      <c r="B1611" s="0" t="n">
        <v>108</v>
      </c>
      <c r="C1611" s="0" t="n">
        <v>34232</v>
      </c>
    </row>
    <row r="1612" customFormat="false" ht="12.75" hidden="false" customHeight="false" outlineLevel="0" collapsed="false">
      <c r="A1612" s="0" t="s">
        <v>25</v>
      </c>
      <c r="B1612" s="0" t="n">
        <v>35</v>
      </c>
      <c r="C1612" s="0" t="n">
        <v>34317</v>
      </c>
    </row>
    <row r="1613" customFormat="false" ht="12.75" hidden="false" customHeight="false" outlineLevel="0" collapsed="false">
      <c r="A1613" s="0" t="s">
        <v>26</v>
      </c>
      <c r="B1613" s="0" t="n">
        <v>183</v>
      </c>
      <c r="C1613" s="0" t="n">
        <v>34228</v>
      </c>
    </row>
    <row r="1614" customFormat="false" ht="12.75" hidden="false" customHeight="false" outlineLevel="0" collapsed="false">
      <c r="A1614" s="0" t="s">
        <v>27</v>
      </c>
      <c r="B1614" s="0" t="s">
        <v>156</v>
      </c>
      <c r="C1614" s="0" t="n">
        <v>34349</v>
      </c>
    </row>
    <row r="1615" customFormat="false" ht="12.75" hidden="false" customHeight="false" outlineLevel="0" collapsed="false">
      <c r="A1615" s="0" t="s">
        <v>28</v>
      </c>
      <c r="B1615" s="0" t="n">
        <v>24</v>
      </c>
      <c r="C1615" s="0" t="n">
        <v>34338</v>
      </c>
    </row>
    <row r="1616" customFormat="false" ht="12.75" hidden="false" customHeight="false" outlineLevel="0" collapsed="false">
      <c r="A1616" s="0" t="s">
        <v>29</v>
      </c>
      <c r="B1616" s="0" t="n">
        <v>449</v>
      </c>
      <c r="C1616" s="0" t="n">
        <v>33927</v>
      </c>
    </row>
    <row r="1617" customFormat="false" ht="12.75" hidden="false" customHeight="false" outlineLevel="0" collapsed="false">
      <c r="A1617" s="0" t="s">
        <v>30</v>
      </c>
      <c r="B1617" s="0" t="n">
        <v>481</v>
      </c>
      <c r="C1617" s="0" t="n">
        <v>33513</v>
      </c>
    </row>
    <row r="1618" customFormat="false" ht="12.75" hidden="false" customHeight="false" outlineLevel="0" collapsed="false">
      <c r="A1618" s="0" t="s">
        <v>31</v>
      </c>
      <c r="B1618" s="3" t="n">
        <v>2955</v>
      </c>
      <c r="C1618" s="0" t="n">
        <v>30562</v>
      </c>
    </row>
    <row r="1619" customFormat="false" ht="12.75" hidden="false" customHeight="false" outlineLevel="0" collapsed="false">
      <c r="A1619" s="0" t="s">
        <v>32</v>
      </c>
      <c r="B1619" s="0" t="n">
        <v>132</v>
      </c>
      <c r="C1619" s="0" t="n">
        <v>30578</v>
      </c>
    </row>
    <row r="1620" customFormat="false" ht="12.75" hidden="false" customHeight="false" outlineLevel="0" collapsed="false">
      <c r="A1620" s="0" t="s">
        <v>34</v>
      </c>
      <c r="B1620" s="0" t="n">
        <v>840</v>
      </c>
      <c r="C1620" s="0" t="n">
        <v>29741</v>
      </c>
    </row>
    <row r="1621" customFormat="false" ht="12.75" hidden="false" customHeight="false" outlineLevel="0" collapsed="false">
      <c r="A1621" s="0" t="s">
        <v>35</v>
      </c>
      <c r="B1621" s="0" t="s">
        <v>156</v>
      </c>
      <c r="C1621" s="0" t="n">
        <v>30260</v>
      </c>
    </row>
    <row r="1622" customFormat="false" ht="12.75" hidden="false" customHeight="false" outlineLevel="0" collapsed="false">
      <c r="A1622" s="0" t="s">
        <v>36</v>
      </c>
      <c r="B1622" s="0" t="n">
        <v>983</v>
      </c>
      <c r="C1622" s="0" t="n">
        <v>29277</v>
      </c>
    </row>
    <row r="1623" customFormat="false" ht="12.75" hidden="false" customHeight="false" outlineLevel="0" collapsed="false">
      <c r="A1623" s="0" t="s">
        <v>37</v>
      </c>
      <c r="B1623" s="0" t="n">
        <v>66</v>
      </c>
      <c r="C1623" s="0" t="n">
        <v>29417</v>
      </c>
    </row>
    <row r="1624" customFormat="false" ht="12.75" hidden="false" customHeight="false" outlineLevel="0" collapsed="false">
      <c r="A1624" s="0" t="s">
        <v>38</v>
      </c>
      <c r="B1624" s="0" t="n">
        <v>31</v>
      </c>
      <c r="C1624" s="0" t="n">
        <v>29412</v>
      </c>
    </row>
    <row r="1625" customFormat="false" ht="12.75" hidden="false" customHeight="false" outlineLevel="0" collapsed="false">
      <c r="A1625" s="0" t="s">
        <v>39</v>
      </c>
      <c r="B1625" s="3" t="n">
        <v>4802</v>
      </c>
      <c r="C1625" s="0" t="n">
        <v>24618</v>
      </c>
    </row>
    <row r="1626" customFormat="false" ht="12.75" hidden="false" customHeight="false" outlineLevel="0" collapsed="false">
      <c r="A1626" s="0" t="s">
        <v>40</v>
      </c>
      <c r="B1626" s="0" t="n">
        <v>414</v>
      </c>
      <c r="C1626" s="0" t="n">
        <v>24703</v>
      </c>
    </row>
    <row r="1627" customFormat="false" ht="12.75" hidden="false" customHeight="false" outlineLevel="0" collapsed="false">
      <c r="A1627" s="0" t="s">
        <v>41</v>
      </c>
      <c r="B1627" s="0" t="n">
        <v>659</v>
      </c>
      <c r="C1627" s="0" t="n">
        <v>24056</v>
      </c>
    </row>
    <row r="1628" customFormat="false" ht="12.75" hidden="false" customHeight="false" outlineLevel="0" collapsed="false">
      <c r="A1628" s="0" t="s">
        <v>42</v>
      </c>
      <c r="B1628" s="0" t="s">
        <v>156</v>
      </c>
      <c r="C1628" s="0" t="n">
        <v>27918</v>
      </c>
    </row>
    <row r="1629" customFormat="false" ht="12.75" hidden="false" customHeight="false" outlineLevel="0" collapsed="false">
      <c r="A1629" s="0" t="s">
        <v>43</v>
      </c>
      <c r="B1629" s="0" t="n">
        <v>61</v>
      </c>
      <c r="C1629" s="0" t="n">
        <v>27864</v>
      </c>
    </row>
    <row r="1630" customFormat="false" ht="12.75" hidden="false" customHeight="false" outlineLevel="0" collapsed="false">
      <c r="A1630" s="0" t="s">
        <v>44</v>
      </c>
      <c r="B1630" s="0" t="n">
        <v>647</v>
      </c>
      <c r="C1630" s="0" t="n">
        <v>28317</v>
      </c>
    </row>
    <row r="1631" customFormat="false" ht="12.75" hidden="false" customHeight="false" outlineLevel="0" collapsed="false">
      <c r="A1631" s="0" t="s">
        <v>45</v>
      </c>
      <c r="B1631" s="0" t="n">
        <v>90</v>
      </c>
      <c r="C1631" s="0" t="n">
        <v>28443</v>
      </c>
    </row>
    <row r="1632" customFormat="false" ht="12.75" hidden="false" customHeight="false" outlineLevel="0" collapsed="false">
      <c r="A1632" s="0" t="s">
        <v>46</v>
      </c>
      <c r="B1632" s="3" t="n">
        <v>1198</v>
      </c>
      <c r="C1632" s="0" t="n">
        <v>27266</v>
      </c>
    </row>
    <row r="1633" customFormat="false" ht="12.75" hidden="false" customHeight="false" outlineLevel="0" collapsed="false">
      <c r="A1633" s="0" t="s">
        <v>47</v>
      </c>
      <c r="B1633" s="3" t="n">
        <v>1321</v>
      </c>
      <c r="C1633" s="0" t="n">
        <v>25999</v>
      </c>
    </row>
    <row r="1634" customFormat="false" ht="12.75" hidden="false" customHeight="false" outlineLevel="0" collapsed="false">
      <c r="A1634" s="0" t="s">
        <v>48</v>
      </c>
      <c r="B1634" s="0" t="n">
        <v>98</v>
      </c>
      <c r="C1634" s="0" t="n">
        <v>28556</v>
      </c>
    </row>
    <row r="1635" customFormat="false" ht="12.75" hidden="false" customHeight="false" outlineLevel="0" collapsed="false">
      <c r="A1635" s="0" t="s">
        <v>49</v>
      </c>
      <c r="B1635" s="0" t="n">
        <v>52</v>
      </c>
      <c r="C1635" s="0" t="n">
        <v>28534</v>
      </c>
    </row>
    <row r="1636" customFormat="false" ht="12.75" hidden="false" customHeight="false" outlineLevel="0" collapsed="false">
      <c r="A1636" s="0" t="s">
        <v>50</v>
      </c>
      <c r="B1636" s="0" t="n">
        <v>110</v>
      </c>
      <c r="C1636" s="0" t="n">
        <v>29118</v>
      </c>
    </row>
    <row r="1637" customFormat="false" ht="12.75" hidden="false" customHeight="false" outlineLevel="0" collapsed="false">
      <c r="A1637" s="0" t="s">
        <v>51</v>
      </c>
      <c r="B1637" s="0" t="n">
        <v>11</v>
      </c>
      <c r="C1637" s="0" t="n">
        <v>29362</v>
      </c>
    </row>
    <row r="1638" customFormat="false" ht="12.75" hidden="false" customHeight="false" outlineLevel="0" collapsed="false">
      <c r="A1638" s="0" t="s">
        <v>149</v>
      </c>
      <c r="B1638" s="3" t="n">
        <v>12665</v>
      </c>
      <c r="C1638" s="0" t="n">
        <v>16703</v>
      </c>
    </row>
    <row r="1639" customFormat="false" ht="12.75" hidden="false" customHeight="false" outlineLevel="0" collapsed="false">
      <c r="A1639" s="0" t="s">
        <v>1</v>
      </c>
      <c r="B1639" s="0" t="n">
        <v>138</v>
      </c>
      <c r="C1639" s="0" t="n">
        <v>18954</v>
      </c>
    </row>
    <row r="1640" customFormat="false" ht="12.75" hidden="false" customHeight="false" outlineLevel="0" collapsed="false">
      <c r="A1640" s="0" t="s">
        <v>2</v>
      </c>
      <c r="B1640" s="0" t="n">
        <v>11</v>
      </c>
      <c r="C1640" s="0" t="n">
        <v>18945</v>
      </c>
    </row>
    <row r="1641" customFormat="false" ht="12.75" hidden="false" customHeight="false" outlineLevel="0" collapsed="false">
      <c r="A1641" s="0" t="s">
        <v>3</v>
      </c>
      <c r="B1641" s="0" t="n">
        <v>41</v>
      </c>
      <c r="C1641" s="0" t="n">
        <v>18905</v>
      </c>
    </row>
    <row r="1642" customFormat="false" ht="12.75" hidden="false" customHeight="false" outlineLevel="0" collapsed="false">
      <c r="A1642" s="0" t="s">
        <v>4</v>
      </c>
      <c r="B1642" s="0" t="n">
        <v>46</v>
      </c>
      <c r="C1642" s="0" t="n">
        <v>18892</v>
      </c>
    </row>
    <row r="1643" customFormat="false" ht="12.75" hidden="false" customHeight="false" outlineLevel="0" collapsed="false">
      <c r="A1643" s="0" t="s">
        <v>5</v>
      </c>
      <c r="B1643" s="0" t="n">
        <v>178</v>
      </c>
      <c r="C1643" s="0" t="n">
        <v>18719</v>
      </c>
    </row>
    <row r="1644" customFormat="false" ht="12.75" hidden="false" customHeight="false" outlineLevel="0" collapsed="false">
      <c r="A1644" s="0" t="s">
        <v>6</v>
      </c>
      <c r="B1644" s="0" t="n">
        <v>68</v>
      </c>
      <c r="C1644" s="0" t="n">
        <v>18682</v>
      </c>
    </row>
    <row r="1645" customFormat="false" ht="12.75" hidden="false" customHeight="false" outlineLevel="0" collapsed="false">
      <c r="A1645" s="0" t="s">
        <v>7</v>
      </c>
      <c r="B1645" s="0" t="n">
        <v>83</v>
      </c>
      <c r="C1645" s="0" t="n">
        <v>18647</v>
      </c>
    </row>
    <row r="1646" customFormat="false" ht="12.75" hidden="false" customHeight="false" outlineLevel="0" collapsed="false">
      <c r="A1646" s="0" t="s">
        <v>8</v>
      </c>
      <c r="B1646" s="0" t="n">
        <v>45</v>
      </c>
      <c r="C1646" s="0" t="n">
        <v>18604</v>
      </c>
    </row>
    <row r="1647" customFormat="false" ht="12.75" hidden="false" customHeight="false" outlineLevel="0" collapsed="false">
      <c r="A1647" s="0" t="s">
        <v>9</v>
      </c>
      <c r="B1647" s="0" t="n">
        <v>359</v>
      </c>
      <c r="C1647" s="0" t="n">
        <v>18245</v>
      </c>
    </row>
    <row r="1648" customFormat="false" ht="12.75" hidden="false" customHeight="false" outlineLevel="0" collapsed="false">
      <c r="A1648" s="0" t="s">
        <v>10</v>
      </c>
      <c r="B1648" s="3" t="n">
        <v>1175</v>
      </c>
      <c r="C1648" s="0" t="n">
        <v>17077</v>
      </c>
    </row>
    <row r="1649" customFormat="false" ht="12.75" hidden="false" customHeight="false" outlineLevel="0" collapsed="false">
      <c r="A1649" s="0" t="s">
        <v>11</v>
      </c>
      <c r="B1649" s="3" t="n">
        <v>1834</v>
      </c>
      <c r="C1649" s="0" t="n">
        <v>15274</v>
      </c>
    </row>
    <row r="1650" customFormat="false" ht="12.75" hidden="false" customHeight="false" outlineLevel="0" collapsed="false">
      <c r="A1650" s="0" t="s">
        <v>12</v>
      </c>
      <c r="B1650" s="0" t="n">
        <v>22</v>
      </c>
      <c r="C1650" s="0" t="n">
        <v>15257</v>
      </c>
    </row>
    <row r="1651" customFormat="false" ht="12.75" hidden="false" customHeight="false" outlineLevel="0" collapsed="false">
      <c r="A1651" s="0" t="s">
        <v>13</v>
      </c>
      <c r="B1651" s="0" t="s">
        <v>156</v>
      </c>
      <c r="C1651" s="0" t="n">
        <v>15259</v>
      </c>
    </row>
    <row r="1652" customFormat="false" ht="12.75" hidden="false" customHeight="false" outlineLevel="0" collapsed="false">
      <c r="A1652" s="0" t="s">
        <v>14</v>
      </c>
      <c r="B1652" s="0" t="n">
        <v>223</v>
      </c>
      <c r="C1652" s="0" t="n">
        <v>15045</v>
      </c>
    </row>
    <row r="1653" customFormat="false" ht="12.75" hidden="false" customHeight="false" outlineLevel="0" collapsed="false">
      <c r="A1653" s="0" t="s">
        <v>15</v>
      </c>
      <c r="B1653" s="0" t="n">
        <v>141</v>
      </c>
      <c r="C1653" s="0" t="n">
        <v>14921</v>
      </c>
    </row>
    <row r="1654" customFormat="false" ht="12.75" hidden="false" customHeight="false" outlineLevel="0" collapsed="false">
      <c r="A1654" s="0" t="s">
        <v>16</v>
      </c>
      <c r="B1654" s="0" t="n">
        <v>49</v>
      </c>
      <c r="C1654" s="0" t="n">
        <v>14883</v>
      </c>
    </row>
    <row r="1655" customFormat="false" ht="12.75" hidden="false" customHeight="false" outlineLevel="0" collapsed="false">
      <c r="A1655" s="0" t="s">
        <v>17</v>
      </c>
      <c r="B1655" s="0" t="n">
        <v>105</v>
      </c>
      <c r="C1655" s="0" t="n">
        <v>14800</v>
      </c>
    </row>
    <row r="1656" customFormat="false" ht="12.75" hidden="false" customHeight="false" outlineLevel="0" collapsed="false">
      <c r="A1656" s="0" t="s">
        <v>18</v>
      </c>
      <c r="B1656" s="0" t="n">
        <v>302</v>
      </c>
      <c r="C1656" s="0" t="n">
        <v>14513</v>
      </c>
    </row>
    <row r="1657" customFormat="false" ht="12.75" hidden="false" customHeight="false" outlineLevel="0" collapsed="false">
      <c r="A1657" s="0" t="s">
        <v>19</v>
      </c>
      <c r="B1657" s="0" t="n">
        <v>91</v>
      </c>
      <c r="C1657" s="0" t="n">
        <v>14424</v>
      </c>
    </row>
    <row r="1658" customFormat="false" ht="12.75" hidden="false" customHeight="false" outlineLevel="0" collapsed="false">
      <c r="A1658" s="0" t="s">
        <v>20</v>
      </c>
      <c r="B1658" s="0" t="n">
        <v>17</v>
      </c>
      <c r="C1658" s="0" t="n">
        <v>14411</v>
      </c>
    </row>
    <row r="1659" customFormat="false" ht="12.75" hidden="false" customHeight="false" outlineLevel="0" collapsed="false">
      <c r="A1659" s="0" t="s">
        <v>21</v>
      </c>
      <c r="B1659" s="0" t="n">
        <v>552</v>
      </c>
      <c r="C1659" s="0" t="n">
        <v>13863</v>
      </c>
    </row>
    <row r="1660" customFormat="false" ht="12.75" hidden="false" customHeight="false" outlineLevel="0" collapsed="false">
      <c r="A1660" s="0" t="s">
        <v>22</v>
      </c>
      <c r="B1660" s="0" t="n">
        <v>250</v>
      </c>
      <c r="C1660" s="0" t="n">
        <v>13616</v>
      </c>
    </row>
    <row r="1661" customFormat="false" ht="12.75" hidden="false" customHeight="false" outlineLevel="0" collapsed="false">
      <c r="A1661" s="0" t="s">
        <v>23</v>
      </c>
      <c r="B1661" s="0" t="n">
        <v>195</v>
      </c>
      <c r="C1661" s="0" t="n">
        <v>13423</v>
      </c>
    </row>
    <row r="1662" customFormat="false" ht="12.75" hidden="false" customHeight="false" outlineLevel="0" collapsed="false">
      <c r="A1662" s="0" t="s">
        <v>24</v>
      </c>
      <c r="B1662" s="0" t="n">
        <v>120</v>
      </c>
      <c r="C1662" s="0" t="n">
        <v>13318</v>
      </c>
    </row>
    <row r="1663" customFormat="false" ht="12.75" hidden="false" customHeight="false" outlineLevel="0" collapsed="false">
      <c r="A1663" s="0" t="s">
        <v>25</v>
      </c>
      <c r="B1663" s="0" t="n">
        <v>94</v>
      </c>
      <c r="C1663" s="0" t="n">
        <v>14148</v>
      </c>
    </row>
    <row r="1664" customFormat="false" ht="12.75" hidden="false" customHeight="false" outlineLevel="0" collapsed="false">
      <c r="A1664" s="0" t="s">
        <v>26</v>
      </c>
      <c r="B1664" s="0" t="n">
        <v>121</v>
      </c>
      <c r="C1664" s="0" t="n">
        <v>14028</v>
      </c>
    </row>
    <row r="1665" customFormat="false" ht="12.75" hidden="false" customHeight="false" outlineLevel="0" collapsed="false">
      <c r="A1665" s="0" t="s">
        <v>27</v>
      </c>
      <c r="B1665" s="0" t="n">
        <v>13</v>
      </c>
      <c r="C1665" s="0" t="n">
        <v>14030</v>
      </c>
    </row>
    <row r="1666" customFormat="false" ht="12.75" hidden="false" customHeight="false" outlineLevel="0" collapsed="false">
      <c r="A1666" s="0" t="s">
        <v>28</v>
      </c>
      <c r="B1666" s="0" t="n">
        <v>38</v>
      </c>
      <c r="C1666" s="0" t="n">
        <v>14096</v>
      </c>
    </row>
    <row r="1667" customFormat="false" ht="12.75" hidden="false" customHeight="false" outlineLevel="0" collapsed="false">
      <c r="A1667" s="0" t="s">
        <v>29</v>
      </c>
      <c r="B1667" s="0" t="n">
        <v>67</v>
      </c>
      <c r="C1667" s="0" t="n">
        <v>14054</v>
      </c>
    </row>
    <row r="1668" customFormat="false" ht="12.75" hidden="false" customHeight="false" outlineLevel="0" collapsed="false">
      <c r="A1668" s="0" t="s">
        <v>30</v>
      </c>
      <c r="B1668" s="0" t="n">
        <v>4</v>
      </c>
      <c r="C1668" s="0" t="n">
        <v>14066</v>
      </c>
    </row>
    <row r="1669" customFormat="false" ht="12.75" hidden="false" customHeight="false" outlineLevel="0" collapsed="false">
      <c r="A1669" s="0" t="s">
        <v>31</v>
      </c>
      <c r="B1669" s="0" t="n">
        <v>148</v>
      </c>
      <c r="C1669" s="0" t="n">
        <v>13920</v>
      </c>
    </row>
    <row r="1670" customFormat="false" ht="12.75" hidden="false" customHeight="false" outlineLevel="0" collapsed="false">
      <c r="A1670" s="0" t="s">
        <v>32</v>
      </c>
      <c r="B1670" s="0" t="n">
        <v>3</v>
      </c>
      <c r="C1670" s="0" t="n">
        <v>13919</v>
      </c>
    </row>
    <row r="1671" customFormat="false" ht="12.75" hidden="false" customHeight="false" outlineLevel="0" collapsed="false">
      <c r="A1671" s="0" t="s">
        <v>33</v>
      </c>
      <c r="B1671" s="0" t="n">
        <v>519</v>
      </c>
      <c r="C1671" s="0" t="n">
        <v>13401</v>
      </c>
    </row>
    <row r="1672" customFormat="false" ht="12.75" hidden="false" customHeight="false" outlineLevel="0" collapsed="false">
      <c r="A1672" s="0" t="s">
        <v>35</v>
      </c>
      <c r="B1672" s="0" t="s">
        <v>156</v>
      </c>
      <c r="C1672" s="0" t="n">
        <v>13403</v>
      </c>
    </row>
    <row r="1673" customFormat="false" ht="12.75" hidden="false" customHeight="false" outlineLevel="0" collapsed="false">
      <c r="A1673" s="0" t="s">
        <v>36</v>
      </c>
      <c r="B1673" s="0" t="n">
        <v>206</v>
      </c>
      <c r="C1673" s="0" t="n">
        <v>13200</v>
      </c>
    </row>
    <row r="1674" customFormat="false" ht="12.75" hidden="false" customHeight="false" outlineLevel="0" collapsed="false">
      <c r="A1674" s="0" t="s">
        <v>37</v>
      </c>
      <c r="B1674" s="0" t="n">
        <v>26</v>
      </c>
      <c r="C1674" s="0" t="n">
        <v>13179</v>
      </c>
    </row>
    <row r="1675" customFormat="false" ht="12.75" hidden="false" customHeight="false" outlineLevel="0" collapsed="false">
      <c r="A1675" s="0" t="s">
        <v>38</v>
      </c>
      <c r="B1675" s="0" t="n">
        <v>8</v>
      </c>
      <c r="C1675" s="0" t="n">
        <v>13175</v>
      </c>
    </row>
    <row r="1676" customFormat="false" ht="12.75" hidden="false" customHeight="false" outlineLevel="0" collapsed="false">
      <c r="A1676" s="0" t="s">
        <v>39</v>
      </c>
      <c r="B1676" s="0" t="n">
        <v>499</v>
      </c>
      <c r="C1676" s="0" t="n">
        <v>12681</v>
      </c>
    </row>
    <row r="1677" customFormat="false" ht="12.75" hidden="false" customHeight="false" outlineLevel="0" collapsed="false">
      <c r="A1677" s="0" t="s">
        <v>40</v>
      </c>
      <c r="B1677" s="0" t="n">
        <v>12</v>
      </c>
      <c r="C1677" s="0" t="n">
        <v>12674</v>
      </c>
    </row>
    <row r="1678" customFormat="false" ht="12.75" hidden="false" customHeight="false" outlineLevel="0" collapsed="false">
      <c r="A1678" s="0" t="s">
        <v>41</v>
      </c>
      <c r="B1678" s="3" t="n">
        <v>3862</v>
      </c>
      <c r="C1678" s="0" t="n">
        <v>8812</v>
      </c>
    </row>
    <row r="1679" customFormat="false" ht="12.75" hidden="false" customHeight="false" outlineLevel="0" collapsed="false">
      <c r="A1679" s="0" t="s">
        <v>42</v>
      </c>
      <c r="B1679" s="0" t="n">
        <v>7</v>
      </c>
      <c r="C1679" s="0" t="n">
        <v>8806</v>
      </c>
    </row>
    <row r="1680" customFormat="false" ht="12.75" hidden="false" customHeight="false" outlineLevel="0" collapsed="false">
      <c r="A1680" s="0" t="s">
        <v>43</v>
      </c>
      <c r="B1680" s="3" t="n">
        <v>1100</v>
      </c>
      <c r="C1680" s="0" t="n">
        <v>7891</v>
      </c>
    </row>
    <row r="1681" customFormat="false" ht="12.75" hidden="false" customHeight="false" outlineLevel="0" collapsed="false">
      <c r="A1681" s="0" t="s">
        <v>44</v>
      </c>
      <c r="B1681" s="0" t="n">
        <v>216</v>
      </c>
      <c r="C1681" s="0" t="n">
        <v>7679</v>
      </c>
    </row>
    <row r="1682" customFormat="false" ht="12.75" hidden="false" customHeight="false" outlineLevel="0" collapsed="false">
      <c r="A1682" s="0" t="s">
        <v>45</v>
      </c>
      <c r="B1682" s="0" t="n">
        <v>21</v>
      </c>
      <c r="C1682" s="0" t="n">
        <v>7685</v>
      </c>
    </row>
    <row r="1683" customFormat="false" ht="12.75" hidden="false" customHeight="false" outlineLevel="0" collapsed="false">
      <c r="A1683" s="0" t="s">
        <v>46</v>
      </c>
      <c r="B1683" s="0" t="n">
        <v>54</v>
      </c>
      <c r="C1683" s="0" t="n">
        <v>7634</v>
      </c>
    </row>
    <row r="1684" customFormat="false" ht="12.75" hidden="false" customHeight="false" outlineLevel="0" collapsed="false">
      <c r="A1684" s="0" t="s">
        <v>47</v>
      </c>
      <c r="B1684" s="3" t="n">
        <v>2655</v>
      </c>
      <c r="C1684" s="0" t="n">
        <v>4979</v>
      </c>
    </row>
    <row r="1685" customFormat="false" ht="12.75" hidden="false" customHeight="false" outlineLevel="0" collapsed="false">
      <c r="A1685" s="0" t="s">
        <v>48</v>
      </c>
      <c r="B1685" s="0" t="n">
        <v>30</v>
      </c>
      <c r="C1685" s="0" t="n">
        <v>4951</v>
      </c>
    </row>
    <row r="1686" customFormat="false" ht="12.75" hidden="false" customHeight="false" outlineLevel="0" collapsed="false">
      <c r="A1686" s="0" t="s">
        <v>49</v>
      </c>
      <c r="B1686" s="0" t="n">
        <v>694</v>
      </c>
      <c r="C1686" s="0" t="n">
        <v>4275</v>
      </c>
    </row>
    <row r="1687" customFormat="false" ht="12.75" hidden="false" customHeight="false" outlineLevel="0" collapsed="false">
      <c r="A1687" s="0" t="s">
        <v>50</v>
      </c>
      <c r="B1687" s="0" t="n">
        <v>255</v>
      </c>
      <c r="C1687" s="0" t="n">
        <v>4021</v>
      </c>
    </row>
    <row r="1688" customFormat="false" ht="12.75" hidden="false" customHeight="false" outlineLevel="0" collapsed="false">
      <c r="A1688" s="0" t="s">
        <v>51</v>
      </c>
      <c r="B1688" s="0" t="n">
        <v>6</v>
      </c>
      <c r="C1688" s="0" t="n">
        <v>4065</v>
      </c>
    </row>
    <row r="1689" customFormat="false" ht="12.75" hidden="false" customHeight="false" outlineLevel="0" collapsed="false">
      <c r="A1689" s="0" t="s">
        <v>150</v>
      </c>
      <c r="B1689" s="3" t="n">
        <v>2389</v>
      </c>
      <c r="C1689" s="0" t="n">
        <v>1706</v>
      </c>
    </row>
    <row r="1690" customFormat="false" ht="12.75" hidden="false" customHeight="false" outlineLevel="0" collapsed="false">
      <c r="A1690" s="0" t="s">
        <v>1</v>
      </c>
      <c r="B1690" s="0" t="n">
        <v>2</v>
      </c>
      <c r="C1690" s="0" t="n">
        <v>17701</v>
      </c>
    </row>
    <row r="1691" customFormat="false" ht="12.75" hidden="false" customHeight="false" outlineLevel="0" collapsed="false">
      <c r="A1691" s="0" t="s">
        <v>2</v>
      </c>
      <c r="B1691" s="0" t="n">
        <v>1</v>
      </c>
      <c r="C1691" s="0" t="n">
        <v>17958</v>
      </c>
    </row>
    <row r="1692" customFormat="false" ht="12.75" hidden="false" customHeight="false" outlineLevel="0" collapsed="false">
      <c r="A1692" s="0" t="s">
        <v>3</v>
      </c>
      <c r="B1692" s="0" t="n">
        <v>33</v>
      </c>
      <c r="C1692" s="0" t="n">
        <v>17958</v>
      </c>
    </row>
    <row r="1693" customFormat="false" ht="12.75" hidden="false" customHeight="false" outlineLevel="0" collapsed="false">
      <c r="A1693" s="0" t="s">
        <v>4</v>
      </c>
      <c r="B1693" s="0" t="n">
        <v>5</v>
      </c>
      <c r="C1693" s="0" t="n">
        <v>18090</v>
      </c>
    </row>
    <row r="1694" customFormat="false" ht="12.75" hidden="false" customHeight="false" outlineLevel="0" collapsed="false">
      <c r="A1694" s="0" t="s">
        <v>5</v>
      </c>
      <c r="B1694" s="0" t="n">
        <v>31</v>
      </c>
      <c r="C1694" s="0" t="n">
        <v>18070</v>
      </c>
    </row>
    <row r="1695" customFormat="false" ht="12.75" hidden="false" customHeight="false" outlineLevel="0" collapsed="false">
      <c r="A1695" s="0" t="s">
        <v>6</v>
      </c>
      <c r="B1695" s="0" t="n">
        <v>48</v>
      </c>
      <c r="C1695" s="0" t="n">
        <v>18560</v>
      </c>
    </row>
    <row r="1696" customFormat="false" ht="12.75" hidden="false" customHeight="false" outlineLevel="0" collapsed="false">
      <c r="A1696" s="0" t="s">
        <v>7</v>
      </c>
      <c r="B1696" s="0" t="n">
        <v>2</v>
      </c>
      <c r="C1696" s="0" t="n">
        <v>18791</v>
      </c>
    </row>
    <row r="1697" customFormat="false" ht="12.75" hidden="false" customHeight="false" outlineLevel="0" collapsed="false">
      <c r="A1697" s="0" t="s">
        <v>8</v>
      </c>
      <c r="B1697" s="0" t="s">
        <v>156</v>
      </c>
      <c r="C1697" s="0" t="n">
        <v>19035</v>
      </c>
    </row>
    <row r="1698" customFormat="false" ht="12.75" hidden="false" customHeight="false" outlineLevel="0" collapsed="false">
      <c r="A1698" s="0" t="s">
        <v>9</v>
      </c>
      <c r="B1698" s="0" t="n">
        <v>7</v>
      </c>
      <c r="C1698" s="0" t="n">
        <v>19089</v>
      </c>
    </row>
    <row r="1699" customFormat="false" ht="12.75" hidden="false" customHeight="false" outlineLevel="0" collapsed="false">
      <c r="A1699" s="0" t="s">
        <v>10</v>
      </c>
      <c r="B1699" s="0" t="n">
        <v>31</v>
      </c>
      <c r="C1699" s="0" t="n">
        <v>19347</v>
      </c>
    </row>
    <row r="1700" customFormat="false" ht="12.75" hidden="false" customHeight="false" outlineLevel="0" collapsed="false">
      <c r="A1700" s="0" t="s">
        <v>11</v>
      </c>
      <c r="B1700" s="0" t="n">
        <v>5</v>
      </c>
      <c r="C1700" s="0" t="n">
        <v>20972</v>
      </c>
    </row>
    <row r="1701" customFormat="false" ht="12.75" hidden="false" customHeight="false" outlineLevel="0" collapsed="false">
      <c r="A1701" s="0" t="s">
        <v>12</v>
      </c>
      <c r="B1701" s="0" t="n">
        <v>2</v>
      </c>
      <c r="C1701" s="0" t="n">
        <v>21493</v>
      </c>
    </row>
    <row r="1702" customFormat="false" ht="12.75" hidden="false" customHeight="false" outlineLevel="0" collapsed="false">
      <c r="A1702" s="0" t="s">
        <v>13</v>
      </c>
      <c r="B1702" s="0" t="n">
        <v>9</v>
      </c>
      <c r="C1702" s="0" t="n">
        <v>21526</v>
      </c>
    </row>
    <row r="1703" customFormat="false" ht="12.75" hidden="false" customHeight="false" outlineLevel="0" collapsed="false">
      <c r="A1703" s="0" t="s">
        <v>14</v>
      </c>
      <c r="B1703" s="0" t="n">
        <v>17</v>
      </c>
      <c r="C1703" s="0" t="n">
        <v>21518</v>
      </c>
    </row>
    <row r="1704" customFormat="false" ht="12.75" hidden="false" customHeight="false" outlineLevel="0" collapsed="false">
      <c r="A1704" s="0" t="s">
        <v>15</v>
      </c>
      <c r="B1704" s="0" t="n">
        <v>11</v>
      </c>
      <c r="C1704" s="0" t="n">
        <v>22540</v>
      </c>
    </row>
    <row r="1705" customFormat="false" ht="12.75" hidden="false" customHeight="false" outlineLevel="0" collapsed="false">
      <c r="A1705" s="0" t="s">
        <v>16</v>
      </c>
      <c r="B1705" s="0" t="n">
        <v>22</v>
      </c>
      <c r="C1705" s="0" t="n">
        <v>24806</v>
      </c>
    </row>
    <row r="1706" customFormat="false" ht="12.75" hidden="false" customHeight="false" outlineLevel="0" collapsed="false">
      <c r="A1706" s="0" t="s">
        <v>17</v>
      </c>
      <c r="B1706" s="0" t="n">
        <v>15</v>
      </c>
      <c r="C1706" s="0" t="n">
        <v>24923</v>
      </c>
    </row>
    <row r="1707" customFormat="false" ht="12.75" hidden="false" customHeight="false" outlineLevel="0" collapsed="false">
      <c r="A1707" s="0" t="s">
        <v>18</v>
      </c>
      <c r="B1707" s="0" t="n">
        <v>2</v>
      </c>
      <c r="C1707" s="0" t="n">
        <v>24947</v>
      </c>
    </row>
    <row r="1708" customFormat="false" ht="12.75" hidden="false" customHeight="false" outlineLevel="0" collapsed="false">
      <c r="A1708" s="0" t="s">
        <v>19</v>
      </c>
      <c r="B1708" s="0" t="n">
        <v>4</v>
      </c>
      <c r="C1708" s="0" t="n">
        <v>27057</v>
      </c>
    </row>
    <row r="1709" customFormat="false" ht="12.75" hidden="false" customHeight="false" outlineLevel="0" collapsed="false">
      <c r="A1709" s="0" t="s">
        <v>20</v>
      </c>
      <c r="B1709" s="0" t="n">
        <v>4</v>
      </c>
      <c r="C1709" s="0" t="n">
        <v>27286</v>
      </c>
    </row>
    <row r="1710" customFormat="false" ht="12.75" hidden="false" customHeight="false" outlineLevel="0" collapsed="false">
      <c r="A1710" s="0" t="s">
        <v>21</v>
      </c>
      <c r="B1710" s="0" t="n">
        <v>3</v>
      </c>
      <c r="C1710" s="0" t="n">
        <v>27333</v>
      </c>
    </row>
    <row r="1711" customFormat="false" ht="12.75" hidden="false" customHeight="false" outlineLevel="0" collapsed="false">
      <c r="A1711" s="0" t="s">
        <v>22</v>
      </c>
      <c r="B1711" s="0" t="n">
        <v>2</v>
      </c>
      <c r="C1711" s="0" t="n">
        <v>27516</v>
      </c>
    </row>
    <row r="1712" customFormat="false" ht="12.75" hidden="false" customHeight="false" outlineLevel="0" collapsed="false">
      <c r="A1712" s="0" t="s">
        <v>23</v>
      </c>
      <c r="B1712" s="0" t="n">
        <v>15</v>
      </c>
      <c r="C1712" s="0" t="n">
        <v>27692</v>
      </c>
    </row>
    <row r="1713" customFormat="false" ht="12.75" hidden="false" customHeight="false" outlineLevel="0" collapsed="false">
      <c r="A1713" s="0" t="s">
        <v>24</v>
      </c>
      <c r="B1713" s="0" t="n">
        <v>924</v>
      </c>
      <c r="C1713" s="0" t="n">
        <v>28726</v>
      </c>
    </row>
    <row r="1714" customFormat="false" ht="12.75" hidden="false" customHeight="false" outlineLevel="0" collapsed="false">
      <c r="A1714" s="0" t="s">
        <v>25</v>
      </c>
      <c r="B1714" s="0" t="n">
        <v>1</v>
      </c>
      <c r="C1714" s="0" t="n">
        <v>28907</v>
      </c>
    </row>
    <row r="1715" customFormat="false" ht="12.75" hidden="false" customHeight="false" outlineLevel="0" collapsed="false">
      <c r="A1715" s="0" t="s">
        <v>26</v>
      </c>
      <c r="B1715" s="0" t="n">
        <v>15</v>
      </c>
      <c r="C1715" s="0" t="n">
        <v>29073</v>
      </c>
    </row>
    <row r="1716" customFormat="false" ht="12.75" hidden="false" customHeight="false" outlineLevel="0" collapsed="false">
      <c r="A1716" s="0" t="s">
        <v>27</v>
      </c>
      <c r="B1716" s="0" t="n">
        <v>104</v>
      </c>
      <c r="C1716" s="0" t="n">
        <v>29381</v>
      </c>
    </row>
    <row r="1717" customFormat="false" ht="12.75" hidden="false" customHeight="false" outlineLevel="0" collapsed="false">
      <c r="A1717" s="0" t="s">
        <v>28</v>
      </c>
      <c r="B1717" s="0" t="n">
        <v>25</v>
      </c>
      <c r="C1717" s="0" t="n">
        <v>29363</v>
      </c>
    </row>
    <row r="1718" customFormat="false" ht="12.75" hidden="false" customHeight="false" outlineLevel="0" collapsed="false">
      <c r="A1718" s="0" t="s">
        <v>29</v>
      </c>
      <c r="B1718" s="0" t="n">
        <v>16</v>
      </c>
      <c r="C1718" s="0" t="n">
        <v>29408</v>
      </c>
    </row>
    <row r="1719" customFormat="false" ht="12.75" hidden="false" customHeight="false" outlineLevel="0" collapsed="false">
      <c r="A1719" s="0" t="s">
        <v>30</v>
      </c>
      <c r="B1719" s="0" t="n">
        <v>2</v>
      </c>
      <c r="C1719" s="0" t="n">
        <v>29659</v>
      </c>
    </row>
    <row r="1720" customFormat="false" ht="12.75" hidden="false" customHeight="false" outlineLevel="0" collapsed="false">
      <c r="A1720" s="0" t="s">
        <v>31</v>
      </c>
      <c r="B1720" s="0" t="n">
        <v>2</v>
      </c>
      <c r="C1720" s="0" t="n">
        <v>29702</v>
      </c>
    </row>
    <row r="1721" customFormat="false" ht="12.75" hidden="false" customHeight="false" outlineLevel="0" collapsed="false">
      <c r="A1721" s="0" t="s">
        <v>32</v>
      </c>
      <c r="B1721" s="0" t="n">
        <v>1</v>
      </c>
      <c r="C1721" s="0" t="n">
        <v>29965</v>
      </c>
    </row>
    <row r="1722" customFormat="false" ht="12.75" hidden="false" customHeight="false" outlineLevel="0" collapsed="false">
      <c r="A1722" s="0" t="s">
        <v>33</v>
      </c>
      <c r="B1722" s="0" t="n">
        <v>2</v>
      </c>
      <c r="C1722" s="0" t="n">
        <v>30035</v>
      </c>
    </row>
    <row r="1723" customFormat="false" ht="12.75" hidden="false" customHeight="false" outlineLevel="0" collapsed="false">
      <c r="A1723" s="0" t="s">
        <v>34</v>
      </c>
      <c r="B1723" s="0" t="n">
        <v>3</v>
      </c>
      <c r="C1723" s="0" t="n">
        <v>31087</v>
      </c>
    </row>
    <row r="1724" customFormat="false" ht="12.75" hidden="false" customHeight="false" outlineLevel="0" collapsed="false">
      <c r="A1724" s="0" t="s">
        <v>36</v>
      </c>
      <c r="B1724" s="0" t="n">
        <v>5</v>
      </c>
      <c r="C1724" s="0" t="n">
        <v>31682</v>
      </c>
    </row>
    <row r="1725" customFormat="false" ht="12.75" hidden="false" customHeight="false" outlineLevel="0" collapsed="false">
      <c r="A1725" s="0" t="s">
        <v>37</v>
      </c>
      <c r="B1725" s="0" t="n">
        <v>4</v>
      </c>
      <c r="C1725" s="0" t="n">
        <v>31678</v>
      </c>
    </row>
    <row r="1726" customFormat="false" ht="12.75" hidden="false" customHeight="false" outlineLevel="0" collapsed="false">
      <c r="A1726" s="0" t="s">
        <v>38</v>
      </c>
      <c r="B1726" s="0" t="n">
        <v>5</v>
      </c>
      <c r="C1726" s="0" t="n">
        <v>31737</v>
      </c>
    </row>
    <row r="1727" customFormat="false" ht="12.75" hidden="false" customHeight="false" outlineLevel="0" collapsed="false">
      <c r="A1727" s="0" t="s">
        <v>39</v>
      </c>
      <c r="B1727" s="0" t="n">
        <v>5</v>
      </c>
      <c r="C1727" s="0" t="n">
        <v>31759</v>
      </c>
    </row>
    <row r="1728" customFormat="false" ht="12.75" hidden="false" customHeight="false" outlineLevel="0" collapsed="false">
      <c r="A1728" s="0" t="s">
        <v>40</v>
      </c>
      <c r="B1728" s="0" t="s">
        <v>156</v>
      </c>
      <c r="C1728" s="0" t="n">
        <v>33762</v>
      </c>
    </row>
    <row r="1729" customFormat="false" ht="12.75" hidden="false" customHeight="false" outlineLevel="0" collapsed="false">
      <c r="A1729" s="0" t="s">
        <v>41</v>
      </c>
      <c r="B1729" s="0" t="n">
        <v>1</v>
      </c>
      <c r="C1729" s="0" t="n">
        <v>33813</v>
      </c>
    </row>
    <row r="1730" customFormat="false" ht="12.75" hidden="false" customHeight="false" outlineLevel="0" collapsed="false">
      <c r="A1730" s="0" t="s">
        <v>42</v>
      </c>
      <c r="B1730" s="0" t="n">
        <v>185</v>
      </c>
      <c r="C1730" s="0" t="n">
        <v>34409</v>
      </c>
    </row>
    <row r="1731" customFormat="false" ht="12.75" hidden="false" customHeight="false" outlineLevel="0" collapsed="false">
      <c r="A1731" s="0" t="s">
        <v>43</v>
      </c>
      <c r="B1731" s="0" t="n">
        <v>4</v>
      </c>
      <c r="C1731" s="0" t="n">
        <v>34409</v>
      </c>
    </row>
    <row r="1732" customFormat="false" ht="12.75" hidden="false" customHeight="false" outlineLevel="0" collapsed="false">
      <c r="A1732" s="0" t="s">
        <v>44</v>
      </c>
      <c r="B1732" s="0" t="n">
        <v>27</v>
      </c>
      <c r="C1732" s="0" t="n">
        <v>35407</v>
      </c>
    </row>
    <row r="1733" customFormat="false" ht="12.75" hidden="false" customHeight="false" outlineLevel="0" collapsed="false">
      <c r="A1733" s="0" t="s">
        <v>45</v>
      </c>
      <c r="B1733" s="0" t="n">
        <v>3</v>
      </c>
      <c r="C1733" s="0" t="n">
        <v>35708</v>
      </c>
    </row>
    <row r="1734" customFormat="false" ht="12.75" hidden="false" customHeight="false" outlineLevel="0" collapsed="false">
      <c r="A1734" s="0" t="s">
        <v>46</v>
      </c>
      <c r="B1734" s="0" t="s">
        <v>156</v>
      </c>
      <c r="C1734" s="0" t="n">
        <v>35794</v>
      </c>
    </row>
    <row r="1735" customFormat="false" ht="12.75" hidden="false" customHeight="false" outlineLevel="0" collapsed="false">
      <c r="A1735" s="0" t="s">
        <v>47</v>
      </c>
      <c r="B1735" s="0" t="n">
        <v>2</v>
      </c>
      <c r="C1735" s="0" t="n">
        <v>35823</v>
      </c>
    </row>
    <row r="1736" customFormat="false" ht="12.75" hidden="false" customHeight="false" outlineLevel="0" collapsed="false">
      <c r="A1736" s="0" t="s">
        <v>48</v>
      </c>
      <c r="B1736" s="0" t="n">
        <v>18</v>
      </c>
      <c r="C1736" s="0" t="n">
        <v>36268</v>
      </c>
    </row>
    <row r="1737" customFormat="false" ht="12.75" hidden="false" customHeight="false" outlineLevel="0" collapsed="false">
      <c r="A1737" s="0" t="s">
        <v>49</v>
      </c>
      <c r="B1737" s="0" t="n">
        <v>1</v>
      </c>
      <c r="C1737" s="0" t="n">
        <v>36378</v>
      </c>
    </row>
    <row r="1738" customFormat="false" ht="12.75" hidden="false" customHeight="false" outlineLevel="0" collapsed="false">
      <c r="A1738" s="0" t="s">
        <v>50</v>
      </c>
      <c r="B1738" s="0" t="n">
        <v>50</v>
      </c>
      <c r="C1738" s="0" t="n">
        <v>38015</v>
      </c>
    </row>
    <row r="1739" customFormat="false" ht="12.75" hidden="false" customHeight="false" outlineLevel="0" collapsed="false">
      <c r="A1739" s="0" t="s">
        <v>51</v>
      </c>
      <c r="B1739" s="0" t="n">
        <v>30</v>
      </c>
      <c r="C1739" s="0" t="n">
        <v>38248</v>
      </c>
    </row>
    <row r="1740" customFormat="false" ht="12.75" hidden="false" customHeight="false" outlineLevel="0" collapsed="false">
      <c r="A1740" s="0" t="s">
        <v>151</v>
      </c>
      <c r="B1740" s="3" t="n">
        <v>15997</v>
      </c>
      <c r="C1740" s="0" t="n">
        <v>22303</v>
      </c>
    </row>
    <row r="1741" customFormat="false" ht="12.75" hidden="false" customHeight="false" outlineLevel="0" collapsed="false">
      <c r="A1741" s="0" t="s">
        <v>1</v>
      </c>
      <c r="B1741" s="0" t="n">
        <v>258</v>
      </c>
      <c r="C1741" s="0" t="n">
        <v>29423</v>
      </c>
    </row>
    <row r="1742" customFormat="false" ht="12.75" hidden="false" customHeight="false" outlineLevel="0" collapsed="false">
      <c r="A1742" s="0" t="s">
        <v>2</v>
      </c>
      <c r="B1742" s="0" t="n">
        <v>33</v>
      </c>
      <c r="C1742" s="0" t="n">
        <v>29522</v>
      </c>
    </row>
    <row r="1743" customFormat="false" ht="12.75" hidden="false" customHeight="false" outlineLevel="0" collapsed="false">
      <c r="A1743" s="0" t="s">
        <v>3</v>
      </c>
      <c r="B1743" s="0" t="n">
        <v>137</v>
      </c>
      <c r="C1743" s="0" t="n">
        <v>29395</v>
      </c>
    </row>
    <row r="1744" customFormat="false" ht="12.75" hidden="false" customHeight="false" outlineLevel="0" collapsed="false">
      <c r="A1744" s="0" t="s">
        <v>4</v>
      </c>
      <c r="B1744" s="0" t="n">
        <v>11</v>
      </c>
      <c r="C1744" s="0" t="n">
        <v>29445</v>
      </c>
    </row>
    <row r="1745" customFormat="false" ht="12.75" hidden="false" customHeight="false" outlineLevel="0" collapsed="false">
      <c r="A1745" s="0" t="s">
        <v>5</v>
      </c>
      <c r="B1745" s="0" t="n">
        <v>538</v>
      </c>
      <c r="C1745" s="0" t="n">
        <v>29570</v>
      </c>
    </row>
    <row r="1746" customFormat="false" ht="12.75" hidden="false" customHeight="false" outlineLevel="0" collapsed="false">
      <c r="A1746" s="0" t="s">
        <v>6</v>
      </c>
      <c r="B1746" s="0" t="n">
        <v>233</v>
      </c>
      <c r="C1746" s="0" t="n">
        <v>29506</v>
      </c>
    </row>
    <row r="1747" customFormat="false" ht="12.75" hidden="false" customHeight="false" outlineLevel="0" collapsed="false">
      <c r="A1747" s="0" t="s">
        <v>7</v>
      </c>
      <c r="B1747" s="0" t="n">
        <v>244</v>
      </c>
      <c r="C1747" s="0" t="n">
        <v>29588</v>
      </c>
    </row>
    <row r="1748" customFormat="false" ht="12.75" hidden="false" customHeight="false" outlineLevel="0" collapsed="false">
      <c r="A1748" s="0" t="s">
        <v>8</v>
      </c>
      <c r="B1748" s="0" t="n">
        <v>61</v>
      </c>
      <c r="C1748" s="0" t="n">
        <v>29531</v>
      </c>
    </row>
    <row r="1749" customFormat="false" ht="12.75" hidden="false" customHeight="false" outlineLevel="0" collapsed="false">
      <c r="A1749" s="0" t="s">
        <v>9</v>
      </c>
      <c r="B1749" s="0" t="n">
        <v>289</v>
      </c>
      <c r="C1749" s="0" t="n">
        <v>29242</v>
      </c>
    </row>
    <row r="1750" customFormat="false" ht="12.75" hidden="false" customHeight="false" outlineLevel="0" collapsed="false">
      <c r="A1750" s="0" t="s">
        <v>10</v>
      </c>
      <c r="B1750" s="3" t="n">
        <v>1630</v>
      </c>
      <c r="C1750" s="0" t="n">
        <v>27676</v>
      </c>
    </row>
    <row r="1751" customFormat="false" ht="12.75" hidden="false" customHeight="false" outlineLevel="0" collapsed="false">
      <c r="A1751" s="0" t="s">
        <v>11</v>
      </c>
      <c r="B1751" s="0" t="n">
        <v>523</v>
      </c>
      <c r="C1751" s="0" t="n">
        <v>27274</v>
      </c>
    </row>
    <row r="1752" customFormat="false" ht="12.75" hidden="false" customHeight="false" outlineLevel="0" collapsed="false">
      <c r="A1752" s="0" t="s">
        <v>12</v>
      </c>
      <c r="B1752" s="0" t="n">
        <v>42</v>
      </c>
      <c r="C1752" s="0" t="n">
        <v>27295</v>
      </c>
    </row>
    <row r="1753" customFormat="false" ht="12.75" hidden="false" customHeight="false" outlineLevel="0" collapsed="false">
      <c r="A1753" s="0" t="s">
        <v>13</v>
      </c>
      <c r="B1753" s="0" t="n">
        <v>9</v>
      </c>
      <c r="C1753" s="0" t="n">
        <v>27295</v>
      </c>
    </row>
    <row r="1754" customFormat="false" ht="12.75" hidden="false" customHeight="false" outlineLevel="0" collapsed="false">
      <c r="A1754" s="0" t="s">
        <v>14</v>
      </c>
      <c r="B1754" s="3" t="n">
        <v>1033</v>
      </c>
      <c r="C1754" s="0" t="n">
        <v>26275</v>
      </c>
    </row>
    <row r="1755" customFormat="false" ht="12.75" hidden="false" customHeight="false" outlineLevel="0" collapsed="false">
      <c r="A1755" s="0" t="s">
        <v>15</v>
      </c>
      <c r="B1755" s="3" t="n">
        <v>2288</v>
      </c>
      <c r="C1755" s="0" t="n">
        <v>24151</v>
      </c>
    </row>
    <row r="1756" customFormat="false" ht="12.75" hidden="false" customHeight="false" outlineLevel="0" collapsed="false">
      <c r="A1756" s="0" t="s">
        <v>16</v>
      </c>
      <c r="B1756" s="0" t="n">
        <v>132</v>
      </c>
      <c r="C1756" s="0" t="n">
        <v>24087</v>
      </c>
    </row>
    <row r="1757" customFormat="false" ht="12.75" hidden="false" customHeight="false" outlineLevel="0" collapsed="false">
      <c r="A1757" s="0" t="s">
        <v>17</v>
      </c>
      <c r="B1757" s="0" t="n">
        <v>26</v>
      </c>
      <c r="C1757" s="0" t="n">
        <v>24101</v>
      </c>
    </row>
    <row r="1758" customFormat="false" ht="12.75" hidden="false" customHeight="false" outlineLevel="0" collapsed="false">
      <c r="A1758" s="0" t="s">
        <v>18</v>
      </c>
      <c r="B1758" s="3" t="n">
        <v>2114</v>
      </c>
      <c r="C1758" s="0" t="n">
        <v>23140</v>
      </c>
    </row>
    <row r="1759" customFormat="false" ht="12.75" hidden="false" customHeight="false" outlineLevel="0" collapsed="false">
      <c r="A1759" s="0" t="s">
        <v>19</v>
      </c>
      <c r="B1759" s="0" t="n">
        <v>233</v>
      </c>
      <c r="C1759" s="0" t="n">
        <v>22999</v>
      </c>
    </row>
    <row r="1760" customFormat="false" ht="12.75" hidden="false" customHeight="false" outlineLevel="0" collapsed="false">
      <c r="A1760" s="0" t="s">
        <v>20</v>
      </c>
      <c r="B1760" s="0" t="n">
        <v>50</v>
      </c>
      <c r="C1760" s="0" t="n">
        <v>23160</v>
      </c>
    </row>
    <row r="1761" customFormat="false" ht="12.75" hidden="false" customHeight="false" outlineLevel="0" collapsed="false">
      <c r="A1761" s="0" t="s">
        <v>21</v>
      </c>
      <c r="B1761" s="0" t="n">
        <v>185</v>
      </c>
      <c r="C1761" s="0" t="n">
        <v>22981</v>
      </c>
    </row>
    <row r="1762" customFormat="false" ht="12.75" hidden="false" customHeight="false" outlineLevel="0" collapsed="false">
      <c r="A1762" s="0" t="s">
        <v>22</v>
      </c>
      <c r="B1762" s="0" t="n">
        <v>191</v>
      </c>
      <c r="C1762" s="0" t="n">
        <v>22807</v>
      </c>
    </row>
    <row r="1763" customFormat="false" ht="12.75" hidden="false" customHeight="false" outlineLevel="0" collapsed="false">
      <c r="A1763" s="0" t="s">
        <v>23</v>
      </c>
      <c r="B1763" s="3" t="n">
        <v>1958</v>
      </c>
      <c r="C1763" s="0" t="n">
        <v>20890</v>
      </c>
    </row>
    <row r="1764" customFormat="false" ht="12.75" hidden="false" customHeight="false" outlineLevel="0" collapsed="false">
      <c r="A1764" s="0" t="s">
        <v>24</v>
      </c>
      <c r="B1764" s="0" t="n">
        <v>182</v>
      </c>
      <c r="C1764" s="0" t="n">
        <v>20763</v>
      </c>
    </row>
    <row r="1765" customFormat="false" ht="12.75" hidden="false" customHeight="false" outlineLevel="0" collapsed="false">
      <c r="A1765" s="0" t="s">
        <v>25</v>
      </c>
      <c r="B1765" s="0" t="n">
        <v>181</v>
      </c>
      <c r="C1765" s="0" t="n">
        <v>20644</v>
      </c>
    </row>
    <row r="1766" customFormat="false" ht="12.75" hidden="false" customHeight="false" outlineLevel="0" collapsed="false">
      <c r="A1766" s="0" t="s">
        <v>26</v>
      </c>
      <c r="B1766" s="0" t="n">
        <v>412</v>
      </c>
      <c r="C1766" s="0" t="n">
        <v>20299</v>
      </c>
    </row>
    <row r="1767" customFormat="false" ht="12.75" hidden="false" customHeight="false" outlineLevel="0" collapsed="false">
      <c r="A1767" s="0" t="s">
        <v>27</v>
      </c>
      <c r="B1767" s="0" t="n">
        <v>7</v>
      </c>
      <c r="C1767" s="0" t="n">
        <v>21338</v>
      </c>
    </row>
    <row r="1768" customFormat="false" ht="12.75" hidden="false" customHeight="false" outlineLevel="0" collapsed="false">
      <c r="A1768" s="0" t="s">
        <v>28</v>
      </c>
      <c r="B1768" s="0" t="n">
        <v>61</v>
      </c>
      <c r="C1768" s="0" t="n">
        <v>21290</v>
      </c>
    </row>
    <row r="1769" customFormat="false" ht="12.75" hidden="false" customHeight="false" outlineLevel="0" collapsed="false">
      <c r="A1769" s="0" t="s">
        <v>29</v>
      </c>
      <c r="B1769" s="0" t="n">
        <v>253</v>
      </c>
      <c r="C1769" s="0" t="n">
        <v>21129</v>
      </c>
    </row>
    <row r="1770" customFormat="false" ht="12.75" hidden="false" customHeight="false" outlineLevel="0" collapsed="false">
      <c r="A1770" s="0" t="s">
        <v>30</v>
      </c>
      <c r="B1770" s="0" t="n">
        <v>45</v>
      </c>
      <c r="C1770" s="0" t="n">
        <v>21241</v>
      </c>
    </row>
    <row r="1771" customFormat="false" ht="12.75" hidden="false" customHeight="false" outlineLevel="0" collapsed="false">
      <c r="A1771" s="0" t="s">
        <v>31</v>
      </c>
      <c r="B1771" s="0" t="n">
        <v>264</v>
      </c>
      <c r="C1771" s="0" t="n">
        <v>20981</v>
      </c>
    </row>
    <row r="1772" customFormat="false" ht="12.75" hidden="false" customHeight="false" outlineLevel="0" collapsed="false">
      <c r="A1772" s="0" t="s">
        <v>32</v>
      </c>
      <c r="B1772" s="0" t="n">
        <v>72</v>
      </c>
      <c r="C1772" s="0" t="n">
        <v>20917</v>
      </c>
    </row>
    <row r="1773" customFormat="false" ht="12.75" hidden="false" customHeight="false" outlineLevel="0" collapsed="false">
      <c r="A1773" s="0" t="s">
        <v>33</v>
      </c>
      <c r="B1773" s="3" t="n">
        <v>1055</v>
      </c>
      <c r="C1773" s="0" t="n">
        <v>19988</v>
      </c>
    </row>
    <row r="1774" customFormat="false" ht="12.75" hidden="false" customHeight="false" outlineLevel="0" collapsed="false">
      <c r="A1774" s="0" t="s">
        <v>34</v>
      </c>
      <c r="B1774" s="0" t="n">
        <v>600</v>
      </c>
      <c r="C1774" s="0" t="n">
        <v>19413</v>
      </c>
    </row>
    <row r="1775" customFormat="false" ht="12.75" hidden="false" customHeight="false" outlineLevel="0" collapsed="false">
      <c r="A1775" s="0" t="s">
        <v>35</v>
      </c>
      <c r="B1775" s="0" t="s">
        <v>156</v>
      </c>
      <c r="C1775" s="0" t="n">
        <v>19450</v>
      </c>
    </row>
    <row r="1776" customFormat="false" ht="12.75" hidden="false" customHeight="false" outlineLevel="0" collapsed="false">
      <c r="A1776" s="0" t="s">
        <v>37</v>
      </c>
      <c r="B1776" s="0" t="n">
        <v>64</v>
      </c>
      <c r="C1776" s="0" t="n">
        <v>19391</v>
      </c>
    </row>
    <row r="1777" customFormat="false" ht="12.75" hidden="false" customHeight="false" outlineLevel="0" collapsed="false">
      <c r="A1777" s="0" t="s">
        <v>38</v>
      </c>
      <c r="B1777" s="0" t="n">
        <v>27</v>
      </c>
      <c r="C1777" s="0" t="n">
        <v>19458</v>
      </c>
    </row>
    <row r="1778" customFormat="false" ht="12.75" hidden="false" customHeight="false" outlineLevel="0" collapsed="false">
      <c r="A1778" s="0" t="s">
        <v>39</v>
      </c>
      <c r="B1778" s="3" t="n">
        <v>2003</v>
      </c>
      <c r="C1778" s="0" t="n">
        <v>17484</v>
      </c>
    </row>
    <row r="1779" customFormat="false" ht="12.75" hidden="false" customHeight="false" outlineLevel="0" collapsed="false">
      <c r="A1779" s="0" t="s">
        <v>40</v>
      </c>
      <c r="B1779" s="0" t="n">
        <v>52</v>
      </c>
      <c r="C1779" s="0" t="n">
        <v>17508</v>
      </c>
    </row>
    <row r="1780" customFormat="false" ht="12.75" hidden="false" customHeight="false" outlineLevel="0" collapsed="false">
      <c r="A1780" s="0" t="s">
        <v>41</v>
      </c>
      <c r="B1780" s="0" t="n">
        <v>781</v>
      </c>
      <c r="C1780" s="0" t="n">
        <v>16730</v>
      </c>
    </row>
    <row r="1781" customFormat="false" ht="12.75" hidden="false" customHeight="false" outlineLevel="0" collapsed="false">
      <c r="A1781" s="0" t="s">
        <v>42</v>
      </c>
      <c r="B1781" s="0" t="n">
        <v>4</v>
      </c>
      <c r="C1781" s="0" t="n">
        <v>16751</v>
      </c>
    </row>
    <row r="1782" customFormat="false" ht="12.75" hidden="false" customHeight="false" outlineLevel="0" collapsed="false">
      <c r="A1782" s="0" t="s">
        <v>43</v>
      </c>
      <c r="B1782" s="3" t="n">
        <v>1025</v>
      </c>
      <c r="C1782" s="0" t="n">
        <v>15749</v>
      </c>
    </row>
    <row r="1783" customFormat="false" ht="12.75" hidden="false" customHeight="false" outlineLevel="0" collapsed="false">
      <c r="A1783" s="0" t="s">
        <v>44</v>
      </c>
      <c r="B1783" s="0" t="n">
        <v>304</v>
      </c>
      <c r="C1783" s="0" t="n">
        <v>15566</v>
      </c>
    </row>
    <row r="1784" customFormat="false" ht="12.75" hidden="false" customHeight="false" outlineLevel="0" collapsed="false">
      <c r="A1784" s="0" t="s">
        <v>45</v>
      </c>
      <c r="B1784" s="0" t="n">
        <v>86</v>
      </c>
      <c r="C1784" s="0" t="n">
        <v>18319</v>
      </c>
    </row>
    <row r="1785" customFormat="false" ht="12.75" hidden="false" customHeight="false" outlineLevel="0" collapsed="false">
      <c r="A1785" s="0" t="s">
        <v>46</v>
      </c>
      <c r="B1785" s="0" t="n">
        <v>31</v>
      </c>
      <c r="C1785" s="0" t="n">
        <v>18302</v>
      </c>
    </row>
    <row r="1786" customFormat="false" ht="12.75" hidden="false" customHeight="false" outlineLevel="0" collapsed="false">
      <c r="A1786" s="0" t="s">
        <v>47</v>
      </c>
      <c r="B1786" s="0" t="n">
        <v>463</v>
      </c>
      <c r="C1786" s="0" t="n">
        <v>17840</v>
      </c>
    </row>
    <row r="1787" customFormat="false" ht="12.75" hidden="false" customHeight="false" outlineLevel="0" collapsed="false">
      <c r="A1787" s="0" t="s">
        <v>48</v>
      </c>
      <c r="B1787" s="0" t="n">
        <v>111</v>
      </c>
      <c r="C1787" s="0" t="n">
        <v>17804</v>
      </c>
    </row>
    <row r="1788" customFormat="false" ht="12.75" hidden="false" customHeight="false" outlineLevel="0" collapsed="false">
      <c r="A1788" s="0" t="s">
        <v>49</v>
      </c>
      <c r="B1788" s="3" t="n">
        <v>1687</v>
      </c>
      <c r="C1788" s="0" t="n">
        <v>16210</v>
      </c>
    </row>
    <row r="1789" customFormat="false" ht="12.75" hidden="false" customHeight="false" outlineLevel="0" collapsed="false">
      <c r="A1789" s="0" t="s">
        <v>50</v>
      </c>
      <c r="B1789" s="0" t="n">
        <v>263</v>
      </c>
      <c r="C1789" s="0" t="n">
        <v>15961</v>
      </c>
    </row>
    <row r="1790" customFormat="false" ht="12.75" hidden="false" customHeight="false" outlineLevel="0" collapsed="false">
      <c r="A1790" s="0" t="s">
        <v>51</v>
      </c>
      <c r="B1790" s="0" t="n">
        <v>52</v>
      </c>
      <c r="C1790" s="0" t="n">
        <v>15998</v>
      </c>
    </row>
    <row r="1791" customFormat="false" ht="12.75" hidden="false" customHeight="false" outlineLevel="0" collapsed="false">
      <c r="A1791" s="0" t="s">
        <v>152</v>
      </c>
      <c r="B1791" s="3" t="n">
        <v>7378</v>
      </c>
      <c r="C1791" s="0" t="n">
        <v>8679</v>
      </c>
    </row>
    <row r="1792" customFormat="false" ht="12.75" hidden="false" customHeight="false" outlineLevel="0" collapsed="false">
      <c r="A1792" s="0" t="s">
        <v>1</v>
      </c>
      <c r="B1792" s="0" t="n">
        <v>132</v>
      </c>
      <c r="C1792" s="0" t="n">
        <v>15967</v>
      </c>
    </row>
    <row r="1793" customFormat="false" ht="12.75" hidden="false" customHeight="false" outlineLevel="0" collapsed="false">
      <c r="A1793" s="0" t="s">
        <v>2</v>
      </c>
      <c r="B1793" s="0" t="n">
        <v>10</v>
      </c>
      <c r="C1793" s="0" t="n">
        <v>15959</v>
      </c>
    </row>
    <row r="1794" customFormat="false" ht="12.75" hidden="false" customHeight="false" outlineLevel="0" collapsed="false">
      <c r="A1794" s="0" t="s">
        <v>3</v>
      </c>
      <c r="B1794" s="0" t="n">
        <v>61</v>
      </c>
      <c r="C1794" s="0" t="n">
        <v>15946</v>
      </c>
    </row>
    <row r="1795" customFormat="false" ht="12.75" hidden="false" customHeight="false" outlineLevel="0" collapsed="false">
      <c r="A1795" s="0" t="s">
        <v>4</v>
      </c>
      <c r="B1795" s="0" t="n">
        <v>663</v>
      </c>
      <c r="C1795" s="0" t="n">
        <v>15574</v>
      </c>
    </row>
    <row r="1796" customFormat="false" ht="12.75" hidden="false" customHeight="false" outlineLevel="0" collapsed="false">
      <c r="A1796" s="0" t="s">
        <v>5</v>
      </c>
      <c r="B1796" s="0" t="n">
        <v>169</v>
      </c>
      <c r="C1796" s="0" t="n">
        <v>15405</v>
      </c>
    </row>
    <row r="1797" customFormat="false" ht="12.75" hidden="false" customHeight="false" outlineLevel="0" collapsed="false">
      <c r="A1797" s="0" t="s">
        <v>6</v>
      </c>
      <c r="B1797" s="0" t="n">
        <v>326</v>
      </c>
      <c r="C1797" s="0" t="n">
        <v>16749</v>
      </c>
    </row>
    <row r="1798" customFormat="false" ht="12.75" hidden="false" customHeight="false" outlineLevel="0" collapsed="false">
      <c r="A1798" s="0" t="s">
        <v>7</v>
      </c>
      <c r="B1798" s="0" t="n">
        <v>4</v>
      </c>
      <c r="C1798" s="0" t="n">
        <v>16854</v>
      </c>
    </row>
    <row r="1799" customFormat="false" ht="12.75" hidden="false" customHeight="false" outlineLevel="0" collapsed="false">
      <c r="A1799" s="0" t="s">
        <v>8</v>
      </c>
      <c r="B1799" s="0" t="s">
        <v>156</v>
      </c>
      <c r="C1799" s="0" t="n">
        <v>16866</v>
      </c>
    </row>
    <row r="1800" customFormat="false" ht="12.75" hidden="false" customHeight="false" outlineLevel="0" collapsed="false">
      <c r="A1800" s="0" t="s">
        <v>9</v>
      </c>
      <c r="B1800" s="0" t="n">
        <v>64</v>
      </c>
      <c r="C1800" s="0" t="n">
        <v>16802</v>
      </c>
    </row>
    <row r="1801" customFormat="false" ht="12.75" hidden="false" customHeight="false" outlineLevel="0" collapsed="false">
      <c r="A1801" s="0" t="s">
        <v>10</v>
      </c>
      <c r="B1801" s="0" t="n">
        <v>121</v>
      </c>
      <c r="C1801" s="0" t="n">
        <v>16720</v>
      </c>
    </row>
    <row r="1802" customFormat="false" ht="12.75" hidden="false" customHeight="false" outlineLevel="0" collapsed="false">
      <c r="A1802" s="0" t="s">
        <v>11</v>
      </c>
      <c r="B1802" s="0" t="n">
        <v>63</v>
      </c>
      <c r="C1802" s="0" t="n">
        <v>16735</v>
      </c>
    </row>
    <row r="1803" customFormat="false" ht="12.75" hidden="false" customHeight="false" outlineLevel="0" collapsed="false">
      <c r="A1803" s="0" t="s">
        <v>12</v>
      </c>
      <c r="B1803" s="0" t="n">
        <v>9</v>
      </c>
      <c r="C1803" s="0" t="n">
        <v>16742</v>
      </c>
    </row>
    <row r="1804" customFormat="false" ht="12.75" hidden="false" customHeight="false" outlineLevel="0" collapsed="false">
      <c r="A1804" s="0" t="s">
        <v>13</v>
      </c>
      <c r="B1804" s="0" t="n">
        <v>13</v>
      </c>
      <c r="C1804" s="0" t="n">
        <v>16864</v>
      </c>
    </row>
    <row r="1805" customFormat="false" ht="12.75" hidden="false" customHeight="false" outlineLevel="0" collapsed="false">
      <c r="A1805" s="0" t="s">
        <v>14</v>
      </c>
      <c r="B1805" s="0" t="n">
        <v>164</v>
      </c>
      <c r="C1805" s="0" t="n">
        <v>17076</v>
      </c>
    </row>
    <row r="1806" customFormat="false" ht="12.75" hidden="false" customHeight="false" outlineLevel="0" collapsed="false">
      <c r="A1806" s="0" t="s">
        <v>15</v>
      </c>
      <c r="B1806" s="0" t="n">
        <v>68</v>
      </c>
      <c r="C1806" s="0" t="n">
        <v>17053</v>
      </c>
    </row>
    <row r="1807" customFormat="false" ht="12.75" hidden="false" customHeight="false" outlineLevel="0" collapsed="false">
      <c r="A1807" s="0" t="s">
        <v>16</v>
      </c>
      <c r="B1807" s="0" t="n">
        <v>40</v>
      </c>
      <c r="C1807" s="0" t="n">
        <v>17028</v>
      </c>
    </row>
    <row r="1808" customFormat="false" ht="12.75" hidden="false" customHeight="false" outlineLevel="0" collapsed="false">
      <c r="A1808" s="0" t="s">
        <v>17</v>
      </c>
      <c r="B1808" s="3" t="n">
        <v>1153</v>
      </c>
      <c r="C1808" s="0" t="n">
        <v>15889</v>
      </c>
    </row>
    <row r="1809" customFormat="false" ht="12.75" hidden="false" customHeight="false" outlineLevel="0" collapsed="false">
      <c r="A1809" s="0" t="s">
        <v>18</v>
      </c>
      <c r="B1809" s="0" t="n">
        <v>92</v>
      </c>
      <c r="C1809" s="0" t="n">
        <v>15806</v>
      </c>
    </row>
    <row r="1810" customFormat="false" ht="12.75" hidden="false" customHeight="false" outlineLevel="0" collapsed="false">
      <c r="A1810" s="0" t="s">
        <v>19</v>
      </c>
      <c r="B1810" s="0" t="n">
        <v>211</v>
      </c>
      <c r="C1810" s="0" t="n">
        <v>15598</v>
      </c>
    </row>
    <row r="1811" customFormat="false" ht="12.75" hidden="false" customHeight="false" outlineLevel="0" collapsed="false">
      <c r="A1811" s="0" t="s">
        <v>20</v>
      </c>
      <c r="B1811" s="0" t="n">
        <v>6</v>
      </c>
      <c r="C1811" s="0" t="n">
        <v>15606</v>
      </c>
    </row>
    <row r="1812" customFormat="false" ht="12.75" hidden="false" customHeight="false" outlineLevel="0" collapsed="false">
      <c r="A1812" s="0" t="s">
        <v>21</v>
      </c>
      <c r="B1812" s="0" t="n">
        <v>17</v>
      </c>
      <c r="C1812" s="0" t="n">
        <v>15601</v>
      </c>
    </row>
    <row r="1813" customFormat="false" ht="12.75" hidden="false" customHeight="false" outlineLevel="0" collapsed="false">
      <c r="A1813" s="0" t="s">
        <v>22</v>
      </c>
      <c r="B1813" s="0" t="n">
        <v>41</v>
      </c>
      <c r="C1813" s="0" t="n">
        <v>15566</v>
      </c>
    </row>
    <row r="1814" customFormat="false" ht="12.75" hidden="false" customHeight="false" outlineLevel="0" collapsed="false">
      <c r="A1814" s="0" t="s">
        <v>23</v>
      </c>
      <c r="B1814" s="0" t="n">
        <v>55</v>
      </c>
      <c r="C1814" s="0" t="n">
        <v>15561</v>
      </c>
    </row>
    <row r="1815" customFormat="false" ht="12.75" hidden="false" customHeight="false" outlineLevel="0" collapsed="false">
      <c r="A1815" s="0" t="s">
        <v>24</v>
      </c>
      <c r="B1815" s="0" t="n">
        <v>62</v>
      </c>
      <c r="C1815" s="0" t="n">
        <v>15552</v>
      </c>
    </row>
    <row r="1816" customFormat="false" ht="12.75" hidden="false" customHeight="false" outlineLevel="0" collapsed="false">
      <c r="A1816" s="0" t="s">
        <v>25</v>
      </c>
      <c r="B1816" s="0" t="n">
        <v>67</v>
      </c>
      <c r="C1816" s="0" t="n">
        <v>15527</v>
      </c>
    </row>
    <row r="1817" customFormat="false" ht="12.75" hidden="false" customHeight="false" outlineLevel="0" collapsed="false">
      <c r="A1817" s="0" t="s">
        <v>26</v>
      </c>
      <c r="B1817" s="3" t="n">
        <v>1046</v>
      </c>
      <c r="C1817" s="0" t="n">
        <v>14482</v>
      </c>
    </row>
    <row r="1818" customFormat="false" ht="12.75" hidden="false" customHeight="false" outlineLevel="0" collapsed="false">
      <c r="A1818" s="0" t="s">
        <v>27</v>
      </c>
      <c r="B1818" s="0" t="n">
        <v>13</v>
      </c>
      <c r="C1818" s="0" t="n">
        <v>14498</v>
      </c>
    </row>
    <row r="1819" customFormat="false" ht="12.75" hidden="false" customHeight="false" outlineLevel="0" collapsed="false">
      <c r="A1819" s="0" t="s">
        <v>28</v>
      </c>
      <c r="B1819" s="0" t="n">
        <v>92</v>
      </c>
      <c r="C1819" s="0" t="n">
        <v>14507</v>
      </c>
    </row>
    <row r="1820" customFormat="false" ht="12.75" hidden="false" customHeight="false" outlineLevel="0" collapsed="false">
      <c r="A1820" s="0" t="s">
        <v>29</v>
      </c>
      <c r="B1820" s="0" t="n">
        <v>157</v>
      </c>
      <c r="C1820" s="0" t="n">
        <v>14355</v>
      </c>
    </row>
    <row r="1821" customFormat="false" ht="12.75" hidden="false" customHeight="false" outlineLevel="0" collapsed="false">
      <c r="A1821" s="0" t="s">
        <v>30</v>
      </c>
      <c r="B1821" s="0" t="n">
        <v>4</v>
      </c>
      <c r="C1821" s="0" t="n">
        <v>14799</v>
      </c>
    </row>
    <row r="1822" customFormat="false" ht="12.75" hidden="false" customHeight="false" outlineLevel="0" collapsed="false">
      <c r="A1822" s="0" t="s">
        <v>31</v>
      </c>
      <c r="B1822" s="0" t="n">
        <v>8</v>
      </c>
      <c r="C1822" s="0" t="n">
        <v>14794</v>
      </c>
    </row>
    <row r="1823" customFormat="false" ht="12.75" hidden="false" customHeight="false" outlineLevel="0" collapsed="false">
      <c r="A1823" s="0" t="s">
        <v>32</v>
      </c>
      <c r="B1823" s="0" t="n">
        <v>126</v>
      </c>
      <c r="C1823" s="0" t="n">
        <v>14675</v>
      </c>
    </row>
    <row r="1824" customFormat="false" ht="12.75" hidden="false" customHeight="false" outlineLevel="0" collapsed="false">
      <c r="A1824" s="0" t="s">
        <v>33</v>
      </c>
      <c r="B1824" s="0" t="n">
        <v>25</v>
      </c>
      <c r="C1824" s="0" t="n">
        <v>14676</v>
      </c>
    </row>
    <row r="1825" customFormat="false" ht="12.75" hidden="false" customHeight="false" outlineLevel="0" collapsed="false">
      <c r="A1825" s="0" t="s">
        <v>34</v>
      </c>
      <c r="B1825" s="0" t="n">
        <v>37</v>
      </c>
      <c r="C1825" s="0" t="n">
        <v>14682</v>
      </c>
    </row>
    <row r="1826" customFormat="false" ht="12.75" hidden="false" customHeight="false" outlineLevel="0" collapsed="false">
      <c r="A1826" s="0" t="s">
        <v>35</v>
      </c>
      <c r="B1826" s="0" t="n">
        <v>5</v>
      </c>
      <c r="C1826" s="0" t="n">
        <v>14692</v>
      </c>
    </row>
    <row r="1827" customFormat="false" ht="12.75" hidden="false" customHeight="false" outlineLevel="0" collapsed="false">
      <c r="A1827" s="0" t="s">
        <v>36</v>
      </c>
      <c r="B1827" s="0" t="n">
        <v>94</v>
      </c>
      <c r="C1827" s="0" t="n">
        <v>14601</v>
      </c>
    </row>
    <row r="1828" customFormat="false" ht="12.75" hidden="false" customHeight="false" outlineLevel="0" collapsed="false">
      <c r="A1828" s="0" t="s">
        <v>38</v>
      </c>
      <c r="B1828" s="0" t="n">
        <v>29</v>
      </c>
      <c r="C1828" s="0" t="n">
        <v>14588</v>
      </c>
    </row>
    <row r="1829" customFormat="false" ht="12.75" hidden="false" customHeight="false" outlineLevel="0" collapsed="false">
      <c r="A1829" s="0" t="s">
        <v>39</v>
      </c>
      <c r="B1829" s="0" t="n">
        <v>76</v>
      </c>
      <c r="C1829" s="0" t="n">
        <v>14532</v>
      </c>
    </row>
    <row r="1830" customFormat="false" ht="12.75" hidden="false" customHeight="false" outlineLevel="0" collapsed="false">
      <c r="A1830" s="0" t="s">
        <v>40</v>
      </c>
      <c r="B1830" s="0" t="n">
        <v>3</v>
      </c>
      <c r="C1830" s="0" t="n">
        <v>14581</v>
      </c>
    </row>
    <row r="1831" customFormat="false" ht="12.75" hidden="false" customHeight="false" outlineLevel="0" collapsed="false">
      <c r="A1831" s="0" t="s">
        <v>41</v>
      </c>
      <c r="B1831" s="0" t="n">
        <v>25</v>
      </c>
      <c r="C1831" s="0" t="n">
        <v>14557</v>
      </c>
    </row>
    <row r="1832" customFormat="false" ht="12.75" hidden="false" customHeight="false" outlineLevel="0" collapsed="false">
      <c r="A1832" s="0" t="s">
        <v>42</v>
      </c>
      <c r="B1832" s="0" t="n">
        <v>23</v>
      </c>
      <c r="C1832" s="0" t="n">
        <v>14540</v>
      </c>
    </row>
    <row r="1833" customFormat="false" ht="12.75" hidden="false" customHeight="false" outlineLevel="0" collapsed="false">
      <c r="A1833" s="0" t="s">
        <v>43</v>
      </c>
      <c r="B1833" s="0" t="n">
        <v>121</v>
      </c>
      <c r="C1833" s="0" t="n">
        <v>14427</v>
      </c>
    </row>
    <row r="1834" customFormat="false" ht="12.75" hidden="false" customHeight="false" outlineLevel="0" collapsed="false">
      <c r="A1834" s="0" t="s">
        <v>44</v>
      </c>
      <c r="B1834" s="3" t="n">
        <v>2839</v>
      </c>
      <c r="C1834" s="0" t="n">
        <v>11612</v>
      </c>
    </row>
    <row r="1835" customFormat="false" ht="12.75" hidden="false" customHeight="false" outlineLevel="0" collapsed="false">
      <c r="A1835" s="0" t="s">
        <v>45</v>
      </c>
      <c r="B1835" s="0" t="n">
        <v>14</v>
      </c>
      <c r="C1835" s="0" t="n">
        <v>11730</v>
      </c>
    </row>
    <row r="1836" customFormat="false" ht="12.75" hidden="false" customHeight="false" outlineLevel="0" collapsed="false">
      <c r="A1836" s="0" t="s">
        <v>46</v>
      </c>
      <c r="B1836" s="0" t="n">
        <v>1</v>
      </c>
      <c r="C1836" s="0" t="n">
        <v>11805</v>
      </c>
    </row>
    <row r="1837" customFormat="false" ht="12.75" hidden="false" customHeight="false" outlineLevel="0" collapsed="false">
      <c r="A1837" s="0" t="s">
        <v>47</v>
      </c>
      <c r="B1837" s="0" t="n">
        <v>75</v>
      </c>
      <c r="C1837" s="0" t="n">
        <v>11736</v>
      </c>
    </row>
    <row r="1838" customFormat="false" ht="12.75" hidden="false" customHeight="false" outlineLevel="0" collapsed="false">
      <c r="A1838" s="0" t="s">
        <v>48</v>
      </c>
      <c r="B1838" s="0" t="n">
        <v>93</v>
      </c>
      <c r="C1838" s="0" t="n">
        <v>11648</v>
      </c>
    </row>
    <row r="1839" customFormat="false" ht="12.75" hidden="false" customHeight="false" outlineLevel="0" collapsed="false">
      <c r="A1839" s="0" t="s">
        <v>49</v>
      </c>
      <c r="B1839" s="0" t="n">
        <v>14</v>
      </c>
      <c r="C1839" s="0" t="n">
        <v>14630</v>
      </c>
    </row>
    <row r="1840" customFormat="false" ht="12.75" hidden="false" customHeight="false" outlineLevel="0" collapsed="false">
      <c r="A1840" s="0" t="s">
        <v>50</v>
      </c>
      <c r="B1840" s="0" t="n">
        <v>89</v>
      </c>
      <c r="C1840" s="0" t="n">
        <v>14546</v>
      </c>
    </row>
    <row r="1841" customFormat="false" ht="12.75" hidden="false" customHeight="false" outlineLevel="0" collapsed="false">
      <c r="A1841" s="0" t="s">
        <v>51</v>
      </c>
      <c r="B1841" s="0" t="n">
        <v>59</v>
      </c>
      <c r="C1841" s="0" t="n">
        <v>14507</v>
      </c>
    </row>
    <row r="1842" customFormat="false" ht="12.75" hidden="false" customHeight="false" outlineLevel="0" collapsed="false">
      <c r="A1842" s="0" t="s">
        <v>153</v>
      </c>
      <c r="B1842" s="3" t="n">
        <v>7420</v>
      </c>
      <c r="C1842" s="0" t="n">
        <v>7120</v>
      </c>
    </row>
    <row r="1843" customFormat="false" ht="12.75" hidden="false" customHeight="false" outlineLevel="0" collapsed="false">
      <c r="A1843" s="0" t="s">
        <v>1</v>
      </c>
      <c r="B1843" s="0" t="n">
        <v>2</v>
      </c>
      <c r="C1843" s="0" t="n">
        <v>14323</v>
      </c>
    </row>
    <row r="1844" customFormat="false" ht="12.75" hidden="false" customHeight="false" outlineLevel="0" collapsed="false">
      <c r="A1844" s="0" t="s">
        <v>2</v>
      </c>
      <c r="B1844" s="0" t="n">
        <v>48</v>
      </c>
      <c r="C1844" s="0" t="n">
        <v>14284</v>
      </c>
    </row>
    <row r="1845" customFormat="false" ht="12.75" hidden="false" customHeight="false" outlineLevel="0" collapsed="false">
      <c r="A1845" s="0" t="s">
        <v>3</v>
      </c>
      <c r="B1845" s="0" t="n">
        <v>291</v>
      </c>
      <c r="C1845" s="0" t="n">
        <v>14020</v>
      </c>
    </row>
    <row r="1846" customFormat="false" ht="12.75" hidden="false" customHeight="false" outlineLevel="0" collapsed="false">
      <c r="A1846" s="0" t="s">
        <v>4</v>
      </c>
      <c r="B1846" s="0" t="s">
        <v>156</v>
      </c>
      <c r="C1846" s="0" t="n">
        <v>14075</v>
      </c>
    </row>
    <row r="1847" customFormat="false" ht="12.75" hidden="false" customHeight="false" outlineLevel="0" collapsed="false">
      <c r="A1847" s="0" t="s">
        <v>5</v>
      </c>
      <c r="B1847" s="3" t="n">
        <v>1670</v>
      </c>
      <c r="C1847" s="0" t="n">
        <v>12557</v>
      </c>
    </row>
    <row r="1848" customFormat="false" ht="12.75" hidden="false" customHeight="false" outlineLevel="0" collapsed="false">
      <c r="A1848" s="0" t="s">
        <v>6</v>
      </c>
      <c r="B1848" s="0" t="n">
        <v>109</v>
      </c>
      <c r="C1848" s="0" t="n">
        <v>12498</v>
      </c>
    </row>
    <row r="1849" customFormat="false" ht="12.75" hidden="false" customHeight="false" outlineLevel="0" collapsed="false">
      <c r="A1849" s="0" t="s">
        <v>7</v>
      </c>
      <c r="B1849" s="0" t="n">
        <v>12</v>
      </c>
      <c r="C1849" s="0" t="n">
        <v>12486</v>
      </c>
    </row>
    <row r="1850" customFormat="false" ht="12.75" hidden="false" customHeight="false" outlineLevel="0" collapsed="false">
      <c r="A1850" s="0" t="s">
        <v>8</v>
      </c>
      <c r="B1850" s="0" t="s">
        <v>156</v>
      </c>
      <c r="C1850" s="0" t="n">
        <v>12492</v>
      </c>
    </row>
    <row r="1851" customFormat="false" ht="12.75" hidden="false" customHeight="false" outlineLevel="0" collapsed="false">
      <c r="A1851" s="0" t="s">
        <v>9</v>
      </c>
      <c r="B1851" s="0" t="n">
        <v>39</v>
      </c>
      <c r="C1851" s="0" t="n">
        <v>12550</v>
      </c>
    </row>
    <row r="1852" customFormat="false" ht="12.75" hidden="false" customHeight="false" outlineLevel="0" collapsed="false">
      <c r="A1852" s="0" t="s">
        <v>10</v>
      </c>
      <c r="B1852" s="0" t="n">
        <v>78</v>
      </c>
      <c r="C1852" s="0" t="n">
        <v>14406</v>
      </c>
    </row>
    <row r="1853" customFormat="false" ht="12.75" hidden="false" customHeight="false" outlineLevel="0" collapsed="false">
      <c r="A1853" s="0" t="s">
        <v>11</v>
      </c>
      <c r="B1853" s="0" t="n">
        <v>16</v>
      </c>
      <c r="C1853" s="0" t="n">
        <v>16929</v>
      </c>
    </row>
    <row r="1854" customFormat="false" ht="12.75" hidden="false" customHeight="false" outlineLevel="0" collapsed="false">
      <c r="A1854" s="0" t="s">
        <v>12</v>
      </c>
      <c r="B1854" s="0" t="n">
        <v>135</v>
      </c>
      <c r="C1854" s="0" t="n">
        <v>16797</v>
      </c>
    </row>
    <row r="1855" customFormat="false" ht="12.75" hidden="false" customHeight="false" outlineLevel="0" collapsed="false">
      <c r="A1855" s="0" t="s">
        <v>13</v>
      </c>
      <c r="B1855" s="0" t="n">
        <v>376</v>
      </c>
      <c r="C1855" s="0" t="n">
        <v>16423</v>
      </c>
    </row>
    <row r="1856" customFormat="false" ht="12.75" hidden="false" customHeight="false" outlineLevel="0" collapsed="false">
      <c r="A1856" s="0" t="s">
        <v>14</v>
      </c>
      <c r="B1856" s="0" t="n">
        <v>45</v>
      </c>
      <c r="C1856" s="0" t="n">
        <v>16506</v>
      </c>
    </row>
    <row r="1857" customFormat="false" ht="12.75" hidden="false" customHeight="false" outlineLevel="0" collapsed="false">
      <c r="A1857" s="0" t="s">
        <v>15</v>
      </c>
      <c r="B1857" s="0" t="n">
        <v>15</v>
      </c>
      <c r="C1857" s="0" t="n">
        <v>16567</v>
      </c>
    </row>
    <row r="1858" customFormat="false" ht="12.75" hidden="false" customHeight="false" outlineLevel="0" collapsed="false">
      <c r="A1858" s="0" t="s">
        <v>16</v>
      </c>
      <c r="B1858" s="0" t="n">
        <v>14</v>
      </c>
      <c r="C1858" s="0" t="n">
        <v>16588</v>
      </c>
    </row>
    <row r="1859" customFormat="false" ht="12.75" hidden="false" customHeight="false" outlineLevel="0" collapsed="false">
      <c r="A1859" s="0" t="s">
        <v>17</v>
      </c>
      <c r="B1859" s="0" t="n">
        <v>9</v>
      </c>
      <c r="C1859" s="0" t="n">
        <v>16596</v>
      </c>
    </row>
    <row r="1860" customFormat="false" ht="12.75" hidden="false" customHeight="false" outlineLevel="0" collapsed="false">
      <c r="A1860" s="0" t="s">
        <v>18</v>
      </c>
      <c r="B1860" s="0" t="n">
        <v>3</v>
      </c>
      <c r="C1860" s="0" t="n">
        <v>16700</v>
      </c>
    </row>
    <row r="1861" customFormat="false" ht="12.75" hidden="false" customHeight="false" outlineLevel="0" collapsed="false">
      <c r="A1861" s="0" t="s">
        <v>19</v>
      </c>
      <c r="B1861" s="0" t="n">
        <v>14</v>
      </c>
      <c r="C1861" s="0" t="n">
        <v>16736</v>
      </c>
    </row>
    <row r="1862" customFormat="false" ht="12.75" hidden="false" customHeight="false" outlineLevel="0" collapsed="false">
      <c r="A1862" s="0" t="s">
        <v>20</v>
      </c>
      <c r="B1862" s="0" t="n">
        <v>12</v>
      </c>
      <c r="C1862" s="0" t="n">
        <v>16727</v>
      </c>
    </row>
    <row r="1863" customFormat="false" ht="12.75" hidden="false" customHeight="false" outlineLevel="0" collapsed="false">
      <c r="A1863" s="0" t="s">
        <v>21</v>
      </c>
      <c r="B1863" s="0" t="n">
        <v>6</v>
      </c>
      <c r="C1863" s="0" t="n">
        <v>16753</v>
      </c>
    </row>
    <row r="1864" customFormat="false" ht="12.75" hidden="false" customHeight="false" outlineLevel="0" collapsed="false">
      <c r="A1864" s="0" t="s">
        <v>22</v>
      </c>
      <c r="B1864" s="0" t="n">
        <v>50</v>
      </c>
      <c r="C1864" s="0" t="n">
        <v>16772</v>
      </c>
    </row>
    <row r="1865" customFormat="false" ht="12.75" hidden="false" customHeight="false" outlineLevel="0" collapsed="false">
      <c r="A1865" s="0" t="s">
        <v>23</v>
      </c>
      <c r="B1865" s="0" t="n">
        <v>53</v>
      </c>
      <c r="C1865" s="0" t="n">
        <v>16775</v>
      </c>
    </row>
    <row r="1866" customFormat="false" ht="12.75" hidden="false" customHeight="false" outlineLevel="0" collapsed="false">
      <c r="A1866" s="0" t="s">
        <v>24</v>
      </c>
      <c r="B1866" s="0" t="n">
        <v>42</v>
      </c>
      <c r="C1866" s="0" t="n">
        <v>16751</v>
      </c>
    </row>
    <row r="1867" customFormat="false" ht="12.75" hidden="false" customHeight="false" outlineLevel="0" collapsed="false">
      <c r="A1867" s="0" t="s">
        <v>25</v>
      </c>
      <c r="B1867" s="0" t="n">
        <v>1</v>
      </c>
      <c r="C1867" s="0" t="n">
        <v>17735</v>
      </c>
    </row>
    <row r="1868" customFormat="false" ht="12.75" hidden="false" customHeight="false" outlineLevel="0" collapsed="false">
      <c r="A1868" s="0" t="s">
        <v>26</v>
      </c>
      <c r="B1868" s="0" t="n">
        <v>29</v>
      </c>
      <c r="C1868" s="0" t="n">
        <v>17903</v>
      </c>
    </row>
    <row r="1869" customFormat="false" ht="12.75" hidden="false" customHeight="false" outlineLevel="0" collapsed="false">
      <c r="A1869" s="0" t="s">
        <v>27</v>
      </c>
      <c r="B1869" s="0" t="n">
        <v>101</v>
      </c>
      <c r="C1869" s="0" t="n">
        <v>17812</v>
      </c>
    </row>
    <row r="1870" customFormat="false" ht="12.75" hidden="false" customHeight="false" outlineLevel="0" collapsed="false">
      <c r="A1870" s="0" t="s">
        <v>28</v>
      </c>
      <c r="B1870" s="0" t="n">
        <v>5</v>
      </c>
      <c r="C1870" s="0" t="n">
        <v>17810</v>
      </c>
    </row>
    <row r="1871" customFormat="false" ht="12.75" hidden="false" customHeight="false" outlineLevel="0" collapsed="false">
      <c r="A1871" s="0" t="s">
        <v>29</v>
      </c>
      <c r="B1871" s="0" t="n">
        <v>448</v>
      </c>
      <c r="C1871" s="0" t="n">
        <v>17387</v>
      </c>
    </row>
    <row r="1872" customFormat="false" ht="12.75" hidden="false" customHeight="false" outlineLevel="0" collapsed="false">
      <c r="A1872" s="0" t="s">
        <v>30</v>
      </c>
      <c r="B1872" s="0" t="n">
        <v>3</v>
      </c>
      <c r="C1872" s="0" t="n">
        <v>17386</v>
      </c>
    </row>
    <row r="1873" customFormat="false" ht="12.75" hidden="false" customHeight="false" outlineLevel="0" collapsed="false">
      <c r="A1873" s="0" t="s">
        <v>31</v>
      </c>
      <c r="B1873" s="0" t="n">
        <v>7</v>
      </c>
      <c r="C1873" s="0" t="n">
        <v>17419</v>
      </c>
    </row>
    <row r="1874" customFormat="false" ht="12.75" hidden="false" customHeight="false" outlineLevel="0" collapsed="false">
      <c r="A1874" s="0" t="s">
        <v>32</v>
      </c>
      <c r="B1874" s="0" t="n">
        <v>26</v>
      </c>
      <c r="C1874" s="0" t="n">
        <v>17393</v>
      </c>
    </row>
    <row r="1875" customFormat="false" ht="12.75" hidden="false" customHeight="false" outlineLevel="0" collapsed="false">
      <c r="A1875" s="0" t="s">
        <v>33</v>
      </c>
      <c r="B1875" s="0" t="n">
        <v>43</v>
      </c>
      <c r="C1875" s="0" t="n">
        <v>17387</v>
      </c>
    </row>
    <row r="1876" customFormat="false" ht="12.75" hidden="false" customHeight="false" outlineLevel="0" collapsed="false">
      <c r="A1876" s="0" t="s">
        <v>34</v>
      </c>
      <c r="B1876" s="0" t="n">
        <v>15</v>
      </c>
      <c r="C1876" s="0" t="n">
        <v>17656</v>
      </c>
    </row>
    <row r="1877" customFormat="false" ht="12.75" hidden="false" customHeight="false" outlineLevel="0" collapsed="false">
      <c r="A1877" s="0" t="s">
        <v>35</v>
      </c>
      <c r="B1877" s="0" t="n">
        <v>3</v>
      </c>
      <c r="C1877" s="0" t="n">
        <v>17655</v>
      </c>
    </row>
    <row r="1878" customFormat="false" ht="12.75" hidden="false" customHeight="false" outlineLevel="0" collapsed="false">
      <c r="A1878" s="0" t="s">
        <v>36</v>
      </c>
      <c r="B1878" s="0" t="n">
        <v>16</v>
      </c>
      <c r="C1878" s="0" t="n">
        <v>17735</v>
      </c>
    </row>
    <row r="1879" customFormat="false" ht="12.75" hidden="false" customHeight="false" outlineLevel="0" collapsed="false">
      <c r="A1879" s="0" t="s">
        <v>37</v>
      </c>
      <c r="B1879" s="0" t="n">
        <v>20</v>
      </c>
      <c r="C1879" s="0" t="n">
        <v>17735</v>
      </c>
    </row>
    <row r="1880" customFormat="false" ht="12.75" hidden="false" customHeight="false" outlineLevel="0" collapsed="false">
      <c r="A1880" s="0" t="s">
        <v>39</v>
      </c>
      <c r="B1880" s="0" t="n">
        <v>52</v>
      </c>
      <c r="C1880" s="0" t="n">
        <v>17684</v>
      </c>
    </row>
    <row r="1881" customFormat="false" ht="12.75" hidden="false" customHeight="false" outlineLevel="0" collapsed="false">
      <c r="A1881" s="0" t="s">
        <v>40</v>
      </c>
      <c r="B1881" s="0" t="n">
        <v>1</v>
      </c>
      <c r="C1881" s="0" t="n">
        <v>17733</v>
      </c>
    </row>
    <row r="1882" customFormat="false" ht="12.75" hidden="false" customHeight="false" outlineLevel="0" collapsed="false">
      <c r="A1882" s="0" t="s">
        <v>41</v>
      </c>
      <c r="B1882" s="0" t="n">
        <v>6</v>
      </c>
      <c r="C1882" s="0" t="n">
        <v>17729</v>
      </c>
    </row>
    <row r="1883" customFormat="false" ht="12.75" hidden="false" customHeight="false" outlineLevel="0" collapsed="false">
      <c r="A1883" s="0" t="s">
        <v>42</v>
      </c>
      <c r="B1883" s="0" t="n">
        <v>8</v>
      </c>
      <c r="C1883" s="0" t="n">
        <v>17924</v>
      </c>
    </row>
    <row r="1884" customFormat="false" ht="12.75" hidden="false" customHeight="false" outlineLevel="0" collapsed="false">
      <c r="A1884" s="0" t="s">
        <v>43</v>
      </c>
      <c r="B1884" s="0" t="n">
        <v>24</v>
      </c>
      <c r="C1884" s="0" t="n">
        <v>17904</v>
      </c>
    </row>
    <row r="1885" customFormat="false" ht="12.75" hidden="false" customHeight="false" outlineLevel="0" collapsed="false">
      <c r="A1885" s="0" t="s">
        <v>44</v>
      </c>
      <c r="B1885" s="0" t="n">
        <v>132</v>
      </c>
      <c r="C1885" s="0" t="n">
        <v>19603</v>
      </c>
    </row>
    <row r="1886" customFormat="false" ht="12.75" hidden="false" customHeight="false" outlineLevel="0" collapsed="false">
      <c r="A1886" s="0" t="s">
        <v>45</v>
      </c>
      <c r="B1886" s="0" t="n">
        <v>76</v>
      </c>
      <c r="C1886" s="0" t="n">
        <v>19758</v>
      </c>
    </row>
    <row r="1887" customFormat="false" ht="12.75" hidden="false" customHeight="false" outlineLevel="0" collapsed="false">
      <c r="A1887" s="0" t="s">
        <v>46</v>
      </c>
      <c r="B1887" s="0" t="n">
        <v>6</v>
      </c>
      <c r="C1887" s="0" t="n">
        <v>19778</v>
      </c>
    </row>
    <row r="1888" customFormat="false" ht="12.75" hidden="false" customHeight="false" outlineLevel="0" collapsed="false">
      <c r="A1888" s="0" t="s">
        <v>47</v>
      </c>
      <c r="B1888" s="0" t="n">
        <v>5</v>
      </c>
      <c r="C1888" s="0" t="n">
        <v>19773</v>
      </c>
    </row>
    <row r="1889" customFormat="false" ht="12.75" hidden="false" customHeight="false" outlineLevel="0" collapsed="false">
      <c r="A1889" s="0" t="s">
        <v>48</v>
      </c>
      <c r="B1889" s="3" t="n">
        <v>2996</v>
      </c>
      <c r="C1889" s="0" t="n">
        <v>16943</v>
      </c>
    </row>
    <row r="1890" customFormat="false" ht="12.75" hidden="false" customHeight="false" outlineLevel="0" collapsed="false">
      <c r="A1890" s="0" t="s">
        <v>49</v>
      </c>
      <c r="B1890" s="0" t="n">
        <v>5</v>
      </c>
      <c r="C1890" s="0" t="n">
        <v>16949</v>
      </c>
    </row>
    <row r="1891" customFormat="false" ht="12.75" hidden="false" customHeight="false" outlineLevel="0" collapsed="false">
      <c r="A1891" s="0" t="s">
        <v>50</v>
      </c>
      <c r="B1891" s="0" t="n">
        <v>20</v>
      </c>
      <c r="C1891" s="0" t="n">
        <v>16966</v>
      </c>
    </row>
    <row r="1892" customFormat="false" ht="12.75" hidden="false" customHeight="false" outlineLevel="0" collapsed="false">
      <c r="A1892" s="0" t="s">
        <v>51</v>
      </c>
      <c r="B1892" s="0" t="n">
        <v>33</v>
      </c>
      <c r="C1892" s="0" t="n">
        <v>16937</v>
      </c>
    </row>
    <row r="1893" customFormat="false" ht="12.75" hidden="false" customHeight="false" outlineLevel="0" collapsed="false">
      <c r="A1893" s="0" t="s">
        <v>154</v>
      </c>
      <c r="B1893" s="3" t="n">
        <v>7205</v>
      </c>
      <c r="C1893" s="0" t="n">
        <v>9734</v>
      </c>
    </row>
    <row r="1894" customFormat="false" ht="12.75" hidden="false" customHeight="false" outlineLevel="0" collapsed="false">
      <c r="A1894" s="0" t="s">
        <v>2</v>
      </c>
      <c r="B1894" s="0" t="n">
        <v>9</v>
      </c>
      <c r="C1894" s="0" t="n">
        <v>9725</v>
      </c>
    </row>
    <row r="1895" customFormat="false" ht="12.75" hidden="false" customHeight="false" outlineLevel="0" collapsed="false">
      <c r="A1895" s="0" t="s">
        <v>3</v>
      </c>
      <c r="B1895" s="0" t="n">
        <v>27</v>
      </c>
      <c r="C1895" s="0" t="n">
        <v>9704</v>
      </c>
    </row>
    <row r="1896" customFormat="false" ht="12.75" hidden="false" customHeight="false" outlineLevel="0" collapsed="false">
      <c r="A1896" s="0" t="s">
        <v>4</v>
      </c>
      <c r="B1896" s="0" t="n">
        <v>55</v>
      </c>
      <c r="C1896" s="0" t="n">
        <v>9650</v>
      </c>
    </row>
    <row r="1897" customFormat="false" ht="12.75" hidden="false" customHeight="false" outlineLevel="0" collapsed="false">
      <c r="A1897" s="0" t="s">
        <v>5</v>
      </c>
      <c r="B1897" s="0" t="n">
        <v>152</v>
      </c>
      <c r="C1897" s="0" t="n">
        <v>9511</v>
      </c>
    </row>
    <row r="1898" customFormat="false" ht="12.75" hidden="false" customHeight="false" outlineLevel="0" collapsed="false">
      <c r="A1898" s="0" t="s">
        <v>6</v>
      </c>
      <c r="B1898" s="0" t="n">
        <v>50</v>
      </c>
      <c r="C1898" s="0" t="n">
        <v>9463</v>
      </c>
    </row>
    <row r="1899" customFormat="false" ht="12.75" hidden="false" customHeight="false" outlineLevel="0" collapsed="false">
      <c r="A1899" s="0" t="s">
        <v>7</v>
      </c>
      <c r="B1899" s="0" t="s">
        <v>156</v>
      </c>
      <c r="C1899" s="0" t="n">
        <v>9516</v>
      </c>
    </row>
    <row r="1900" customFormat="false" ht="12.75" hidden="false" customHeight="false" outlineLevel="0" collapsed="false">
      <c r="A1900" s="0" t="s">
        <v>8</v>
      </c>
      <c r="B1900" s="0" t="n">
        <v>6</v>
      </c>
      <c r="C1900" s="0" t="n">
        <v>9522</v>
      </c>
    </row>
    <row r="1901" customFormat="false" ht="12.75" hidden="false" customHeight="false" outlineLevel="0" collapsed="false">
      <c r="A1901" s="0" t="s">
        <v>9</v>
      </c>
      <c r="B1901" s="0" t="n">
        <v>97</v>
      </c>
      <c r="C1901" s="0" t="n">
        <v>9560</v>
      </c>
    </row>
    <row r="1902" customFormat="false" ht="12.75" hidden="false" customHeight="false" outlineLevel="0" collapsed="false">
      <c r="A1902" s="0" t="s">
        <v>10</v>
      </c>
      <c r="B1902" s="3" t="n">
        <v>1934</v>
      </c>
      <c r="C1902" s="0" t="n">
        <v>7632</v>
      </c>
    </row>
    <row r="1903" customFormat="false" ht="12.75" hidden="false" customHeight="false" outlineLevel="0" collapsed="false">
      <c r="A1903" s="0" t="s">
        <v>11</v>
      </c>
      <c r="B1903" s="3" t="n">
        <v>2539</v>
      </c>
      <c r="C1903" s="0" t="n">
        <v>5133</v>
      </c>
    </row>
    <row r="1904" customFormat="false" ht="12.75" hidden="false" customHeight="false" outlineLevel="0" collapsed="false">
      <c r="A1904" s="0" t="s">
        <v>12</v>
      </c>
      <c r="B1904" s="0" t="n">
        <v>3</v>
      </c>
      <c r="C1904" s="0" t="n">
        <v>5295</v>
      </c>
    </row>
    <row r="1905" customFormat="false" ht="12.75" hidden="false" customHeight="false" outlineLevel="0" collapsed="false">
      <c r="A1905" s="0" t="s">
        <v>13</v>
      </c>
      <c r="B1905" s="0" t="n">
        <v>2</v>
      </c>
      <c r="C1905" s="0" t="n">
        <v>5304</v>
      </c>
    </row>
    <row r="1906" customFormat="false" ht="12.75" hidden="false" customHeight="false" outlineLevel="0" collapsed="false">
      <c r="A1906" s="0" t="s">
        <v>14</v>
      </c>
      <c r="B1906" s="0" t="n">
        <v>128</v>
      </c>
      <c r="C1906" s="0" t="n">
        <v>5184</v>
      </c>
    </row>
    <row r="1907" customFormat="false" ht="12.75" hidden="false" customHeight="false" outlineLevel="0" collapsed="false">
      <c r="A1907" s="0" t="s">
        <v>15</v>
      </c>
      <c r="B1907" s="0" t="n">
        <v>76</v>
      </c>
      <c r="C1907" s="0" t="n">
        <v>5109</v>
      </c>
    </row>
    <row r="1908" customFormat="false" ht="12.75" hidden="false" customHeight="false" outlineLevel="0" collapsed="false">
      <c r="A1908" s="0" t="s">
        <v>16</v>
      </c>
      <c r="B1908" s="0" t="n">
        <v>35</v>
      </c>
      <c r="C1908" s="0" t="n">
        <v>5099</v>
      </c>
    </row>
    <row r="1909" customFormat="false" ht="12.75" hidden="false" customHeight="false" outlineLevel="0" collapsed="false">
      <c r="A1909" s="0" t="s">
        <v>17</v>
      </c>
      <c r="B1909" s="0" t="n">
        <v>17</v>
      </c>
      <c r="C1909" s="0" t="n">
        <v>5085</v>
      </c>
    </row>
    <row r="1910" customFormat="false" ht="12.75" hidden="false" customHeight="false" outlineLevel="0" collapsed="false">
      <c r="A1910" s="0" t="s">
        <v>18</v>
      </c>
      <c r="B1910" s="0" t="n">
        <v>107</v>
      </c>
      <c r="C1910" s="0" t="n">
        <v>4980</v>
      </c>
    </row>
    <row r="1911" customFormat="false" ht="12.75" hidden="false" customHeight="false" outlineLevel="0" collapsed="false">
      <c r="A1911" s="0" t="s">
        <v>19</v>
      </c>
      <c r="B1911" s="0" t="n">
        <v>50</v>
      </c>
      <c r="C1911" s="0" t="n">
        <v>4934</v>
      </c>
    </row>
    <row r="1912" customFormat="false" ht="12.75" hidden="false" customHeight="false" outlineLevel="0" collapsed="false">
      <c r="A1912" s="0" t="s">
        <v>20</v>
      </c>
      <c r="B1912" s="0" t="n">
        <v>3</v>
      </c>
      <c r="C1912" s="0" t="n">
        <v>4937</v>
      </c>
    </row>
    <row r="1913" customFormat="false" ht="12.75" hidden="false" customHeight="false" outlineLevel="0" collapsed="false">
      <c r="A1913" s="0" t="s">
        <v>21</v>
      </c>
      <c r="B1913" s="0" t="n">
        <v>32</v>
      </c>
      <c r="C1913" s="0" t="n">
        <v>4913</v>
      </c>
    </row>
    <row r="1914" customFormat="false" ht="12.75" hidden="false" customHeight="false" outlineLevel="0" collapsed="false">
      <c r="A1914" s="0" t="s">
        <v>22</v>
      </c>
      <c r="B1914" s="0" t="n">
        <v>69</v>
      </c>
      <c r="C1914" s="0" t="n">
        <v>5079</v>
      </c>
    </row>
    <row r="1915" customFormat="false" ht="12.75" hidden="false" customHeight="false" outlineLevel="0" collapsed="false">
      <c r="A1915" s="0" t="s">
        <v>23</v>
      </c>
      <c r="B1915" s="0" t="n">
        <v>56</v>
      </c>
      <c r="C1915" s="0" t="n">
        <v>5045</v>
      </c>
    </row>
    <row r="1916" customFormat="false" ht="12.75" hidden="false" customHeight="false" outlineLevel="0" collapsed="false">
      <c r="A1916" s="0" t="s">
        <v>24</v>
      </c>
      <c r="B1916" s="0" t="n">
        <v>18</v>
      </c>
      <c r="C1916" s="0" t="n">
        <v>5156</v>
      </c>
    </row>
    <row r="1917" customFormat="false" ht="12.75" hidden="false" customHeight="false" outlineLevel="0" collapsed="false">
      <c r="A1917" s="0" t="s">
        <v>25</v>
      </c>
      <c r="B1917" s="0" t="n">
        <v>985</v>
      </c>
      <c r="C1917" s="0" t="n">
        <v>4184</v>
      </c>
    </row>
    <row r="1918" customFormat="false" ht="12.75" hidden="false" customHeight="false" outlineLevel="0" collapsed="false">
      <c r="A1918" s="0" t="s">
        <v>26</v>
      </c>
      <c r="B1918" s="0" t="n">
        <v>197</v>
      </c>
      <c r="C1918" s="0" t="n">
        <v>3996</v>
      </c>
    </row>
    <row r="1919" customFormat="false" ht="12.75" hidden="false" customHeight="false" outlineLevel="0" collapsed="false">
      <c r="A1919" s="0" t="s">
        <v>27</v>
      </c>
      <c r="B1919" s="0" t="n">
        <v>10</v>
      </c>
      <c r="C1919" s="0" t="n">
        <v>3988</v>
      </c>
    </row>
    <row r="1920" customFormat="false" ht="12.75" hidden="false" customHeight="false" outlineLevel="0" collapsed="false">
      <c r="A1920" s="0" t="s">
        <v>28</v>
      </c>
      <c r="B1920" s="0" t="n">
        <v>3</v>
      </c>
      <c r="C1920" s="0" t="n">
        <v>3997</v>
      </c>
    </row>
    <row r="1921" customFormat="false" ht="12.75" hidden="false" customHeight="false" outlineLevel="0" collapsed="false">
      <c r="A1921" s="0" t="s">
        <v>29</v>
      </c>
      <c r="B1921" s="0" t="n">
        <v>25</v>
      </c>
      <c r="C1921" s="0" t="n">
        <v>3975</v>
      </c>
    </row>
    <row r="1922" customFormat="false" ht="12.75" hidden="false" customHeight="false" outlineLevel="0" collapsed="false">
      <c r="A1922" s="0" t="s">
        <v>30</v>
      </c>
      <c r="B1922" s="0" t="n">
        <v>2</v>
      </c>
      <c r="C1922" s="0" t="n">
        <v>3975</v>
      </c>
    </row>
    <row r="1923" customFormat="false" ht="12.75" hidden="false" customHeight="false" outlineLevel="0" collapsed="false">
      <c r="A1923" s="0" t="s">
        <v>31</v>
      </c>
      <c r="B1923" s="0" t="n">
        <v>40</v>
      </c>
      <c r="C1923" s="0" t="n">
        <v>3948</v>
      </c>
    </row>
    <row r="1924" customFormat="false" ht="12.75" hidden="false" customHeight="false" outlineLevel="0" collapsed="false">
      <c r="A1924" s="0" t="s">
        <v>32</v>
      </c>
      <c r="B1924" s="0" t="s">
        <v>156</v>
      </c>
      <c r="C1924" s="0" t="n">
        <v>4293</v>
      </c>
    </row>
    <row r="1925" customFormat="false" ht="12.75" hidden="false" customHeight="false" outlineLevel="0" collapsed="false">
      <c r="A1925" s="0" t="s">
        <v>33</v>
      </c>
      <c r="B1925" s="0" t="n">
        <v>37</v>
      </c>
      <c r="C1925" s="0" t="n">
        <v>4389</v>
      </c>
    </row>
    <row r="1926" customFormat="false" ht="12.75" hidden="false" customHeight="false" outlineLevel="0" collapsed="false">
      <c r="A1926" s="0" t="s">
        <v>34</v>
      </c>
      <c r="B1926" s="0" t="n">
        <v>284</v>
      </c>
      <c r="C1926" s="0" t="n">
        <v>4107</v>
      </c>
    </row>
    <row r="1927" customFormat="false" ht="12.75" hidden="false" customHeight="false" outlineLevel="0" collapsed="false">
      <c r="A1927" s="0" t="s">
        <v>35</v>
      </c>
      <c r="B1927" s="0" t="n">
        <v>2</v>
      </c>
      <c r="C1927" s="0" t="n">
        <v>4482</v>
      </c>
    </row>
    <row r="1928" customFormat="false" ht="12.75" hidden="false" customHeight="false" outlineLevel="0" collapsed="false">
      <c r="A1928" s="0" t="s">
        <v>36</v>
      </c>
      <c r="B1928" s="0" t="n">
        <v>96</v>
      </c>
      <c r="C1928" s="0" t="n">
        <v>4411</v>
      </c>
    </row>
    <row r="1929" customFormat="false" ht="12.75" hidden="false" customHeight="false" outlineLevel="0" collapsed="false">
      <c r="A1929" s="0" t="s">
        <v>37</v>
      </c>
      <c r="B1929" s="0" t="n">
        <v>20</v>
      </c>
      <c r="C1929" s="0" t="n">
        <v>4391</v>
      </c>
    </row>
    <row r="1930" customFormat="false" ht="12.75" hidden="false" customHeight="false" outlineLevel="0" collapsed="false">
      <c r="A1930" s="0" t="s">
        <v>38</v>
      </c>
      <c r="B1930" s="0" t="n">
        <v>1</v>
      </c>
      <c r="C1930" s="0" t="n">
        <v>4426</v>
      </c>
    </row>
    <row r="1931" customFormat="false" ht="12.75" hidden="false" customHeight="false" outlineLevel="0" collapsed="false">
      <c r="A1931" s="0" t="s">
        <v>39</v>
      </c>
      <c r="B1931" s="0" t="n">
        <v>50</v>
      </c>
      <c r="C1931" s="0" t="n">
        <v>4377</v>
      </c>
    </row>
    <row r="1932" customFormat="false" ht="12.75" hidden="false" customHeight="false" outlineLevel="0" collapsed="false">
      <c r="A1932" s="0" t="s">
        <v>40</v>
      </c>
      <c r="B1932" s="0" t="n">
        <v>2</v>
      </c>
      <c r="C1932" s="0" t="n">
        <v>4377</v>
      </c>
    </row>
    <row r="1933" customFormat="false" ht="12.75" hidden="false" customHeight="false" outlineLevel="0" collapsed="false">
      <c r="A1933" s="0" t="s">
        <v>41</v>
      </c>
      <c r="B1933" s="0" t="n">
        <v>203</v>
      </c>
      <c r="C1933" s="0" t="n">
        <v>4283</v>
      </c>
    </row>
    <row r="1934" customFormat="false" ht="12.75" hidden="false" customHeight="false" outlineLevel="0" collapsed="false">
      <c r="A1934" s="0" t="s">
        <v>42</v>
      </c>
      <c r="B1934" s="0" t="n">
        <v>4</v>
      </c>
      <c r="C1934" s="0" t="n">
        <v>4293</v>
      </c>
    </row>
    <row r="1935" customFormat="false" ht="12.75" hidden="false" customHeight="false" outlineLevel="0" collapsed="false">
      <c r="A1935" s="0" t="s">
        <v>43</v>
      </c>
      <c r="B1935" s="3" t="n">
        <v>1831</v>
      </c>
      <c r="C1935" s="0" t="n">
        <v>2462</v>
      </c>
    </row>
    <row r="1936" customFormat="false" ht="12.75" hidden="false" customHeight="false" outlineLevel="0" collapsed="false">
      <c r="A1936" s="0" t="s">
        <v>44</v>
      </c>
      <c r="B1936" s="0" t="n">
        <v>231</v>
      </c>
      <c r="C1936" s="0" t="n">
        <v>2246</v>
      </c>
    </row>
    <row r="1937" customFormat="false" ht="12.75" hidden="false" customHeight="false" outlineLevel="0" collapsed="false">
      <c r="A1937" s="0" t="s">
        <v>45</v>
      </c>
      <c r="B1937" s="0" t="n">
        <v>26</v>
      </c>
      <c r="C1937" s="0" t="n">
        <v>2238</v>
      </c>
    </row>
    <row r="1938" customFormat="false" ht="12.75" hidden="false" customHeight="false" outlineLevel="0" collapsed="false">
      <c r="A1938" s="0" t="s">
        <v>46</v>
      </c>
      <c r="B1938" s="0" t="s">
        <v>156</v>
      </c>
      <c r="C1938" s="0" t="n">
        <v>2242</v>
      </c>
    </row>
    <row r="1939" customFormat="false" ht="12.75" hidden="false" customHeight="false" outlineLevel="0" collapsed="false">
      <c r="A1939" s="0" t="s">
        <v>47</v>
      </c>
      <c r="B1939" s="0" t="n">
        <v>166</v>
      </c>
      <c r="C1939" s="0" t="n">
        <v>2235</v>
      </c>
    </row>
    <row r="1940" customFormat="false" ht="12.75" hidden="false" customHeight="false" outlineLevel="0" collapsed="false">
      <c r="A1940" s="0" t="s">
        <v>48</v>
      </c>
      <c r="B1940" s="0" t="n">
        <v>11</v>
      </c>
      <c r="C1940" s="0" t="n">
        <v>2279</v>
      </c>
    </row>
    <row r="1941" customFormat="false" ht="12.75" hidden="false" customHeight="false" outlineLevel="0" collapsed="false">
      <c r="A1941" s="0" t="s">
        <v>49</v>
      </c>
      <c r="B1941" s="0" t="n">
        <v>37</v>
      </c>
      <c r="C1941" s="0" t="n">
        <v>2252</v>
      </c>
    </row>
    <row r="1942" customFormat="false" ht="12.75" hidden="false" customHeight="false" outlineLevel="0" collapsed="false">
      <c r="A1942" s="0" t="s">
        <v>50</v>
      </c>
      <c r="B1942" s="0" t="n">
        <v>4</v>
      </c>
      <c r="C1942" s="0" t="n">
        <v>2252</v>
      </c>
    </row>
    <row r="1943" customFormat="false" ht="12.75" hidden="false" customHeight="false" outlineLevel="0" collapsed="false">
      <c r="A1943" s="0" t="s">
        <v>51</v>
      </c>
      <c r="B1943" s="0" t="n">
        <v>2</v>
      </c>
      <c r="C1943" s="0" t="n">
        <v>2257</v>
      </c>
    </row>
    <row r="1944" customFormat="false" ht="12.75" hidden="false" customHeight="false" outlineLevel="0" collapsed="false">
      <c r="A1944" s="0" t="s">
        <v>155</v>
      </c>
      <c r="B1944" s="0" t="s">
        <v>156</v>
      </c>
      <c r="C1944" s="0" t="n">
        <v>2258</v>
      </c>
    </row>
    <row r="1945" customFormat="false" ht="12.75" hidden="false" customHeight="false" outlineLevel="0" collapsed="false">
      <c r="A1945" s="0" t="s">
        <v>1</v>
      </c>
      <c r="B1945" s="0" t="n">
        <v>6</v>
      </c>
      <c r="C1945" s="0" t="n">
        <v>8285</v>
      </c>
    </row>
    <row r="1946" customFormat="false" ht="12.75" hidden="false" customHeight="false" outlineLevel="0" collapsed="false">
      <c r="A1946" s="0" t="s">
        <v>2</v>
      </c>
      <c r="B1946" s="0" t="n">
        <v>1</v>
      </c>
      <c r="C1946" s="0" t="n">
        <v>8493</v>
      </c>
    </row>
    <row r="1947" customFormat="false" ht="12.75" hidden="false" customHeight="false" outlineLevel="0" collapsed="false">
      <c r="A1947" s="0" t="s">
        <v>3</v>
      </c>
      <c r="B1947" s="0" t="n">
        <v>13</v>
      </c>
      <c r="C1947" s="0" t="n">
        <v>8480</v>
      </c>
    </row>
    <row r="1948" customFormat="false" ht="12.75" hidden="false" customHeight="false" outlineLevel="0" collapsed="false">
      <c r="A1948" s="0" t="s">
        <v>4</v>
      </c>
      <c r="B1948" s="0" t="n">
        <v>2</v>
      </c>
      <c r="C1948" s="0" t="n">
        <v>8491</v>
      </c>
    </row>
    <row r="1949" customFormat="false" ht="12.75" hidden="false" customHeight="false" outlineLevel="0" collapsed="false">
      <c r="A1949" s="0" t="s">
        <v>5</v>
      </c>
      <c r="B1949" s="0" t="n">
        <v>53</v>
      </c>
      <c r="C1949" s="0" t="n">
        <v>8448</v>
      </c>
    </row>
    <row r="1950" customFormat="false" ht="12.75" hidden="false" customHeight="false" outlineLevel="0" collapsed="false">
      <c r="A1950" s="0" t="s">
        <v>6</v>
      </c>
      <c r="B1950" s="0" t="n">
        <v>12</v>
      </c>
      <c r="C1950" s="0" t="n">
        <v>8488</v>
      </c>
    </row>
    <row r="1951" customFormat="false" ht="12.75" hidden="false" customHeight="false" outlineLevel="0" collapsed="false">
      <c r="A1951" s="0" t="s">
        <v>7</v>
      </c>
      <c r="B1951" s="0" t="n">
        <v>135</v>
      </c>
      <c r="C1951" s="0" t="n">
        <v>8392</v>
      </c>
    </row>
    <row r="1952" customFormat="false" ht="12.75" hidden="false" customHeight="false" outlineLevel="0" collapsed="false">
      <c r="A1952" s="0" t="s">
        <v>8</v>
      </c>
      <c r="B1952" s="0" t="n">
        <v>6</v>
      </c>
      <c r="C1952" s="0" t="n">
        <v>8433</v>
      </c>
    </row>
    <row r="1953" customFormat="false" ht="12.75" hidden="false" customHeight="false" outlineLevel="0" collapsed="false">
      <c r="A1953" s="0" t="s">
        <v>9</v>
      </c>
      <c r="B1953" s="0" t="n">
        <v>40</v>
      </c>
      <c r="C1953" s="0" t="n">
        <v>8402</v>
      </c>
    </row>
    <row r="1954" customFormat="false" ht="12.75" hidden="false" customHeight="false" outlineLevel="0" collapsed="false">
      <c r="A1954" s="0" t="s">
        <v>10</v>
      </c>
      <c r="B1954" s="0" t="n">
        <v>165</v>
      </c>
      <c r="C1954" s="0" t="n">
        <v>8359</v>
      </c>
    </row>
    <row r="1955" customFormat="false" ht="12.75" hidden="false" customHeight="false" outlineLevel="0" collapsed="false">
      <c r="A1955" s="0" t="s">
        <v>11</v>
      </c>
      <c r="B1955" s="0" t="n">
        <v>11</v>
      </c>
      <c r="C1955" s="0" t="n">
        <v>9300</v>
      </c>
    </row>
    <row r="1956" customFormat="false" ht="12.75" hidden="false" customHeight="false" outlineLevel="0" collapsed="false">
      <c r="A1956" s="0" t="s">
        <v>12</v>
      </c>
      <c r="B1956" s="0" t="n">
        <v>8</v>
      </c>
      <c r="C1956" s="0" t="n">
        <v>11426</v>
      </c>
    </row>
    <row r="1957" customFormat="false" ht="12.75" hidden="false" customHeight="false" outlineLevel="0" collapsed="false">
      <c r="A1957" s="0" t="s">
        <v>13</v>
      </c>
      <c r="B1957" s="0" t="n">
        <v>1</v>
      </c>
      <c r="C1957" s="0" t="n">
        <v>11446</v>
      </c>
    </row>
    <row r="1958" customFormat="false" ht="12.75" hidden="false" customHeight="false" outlineLevel="0" collapsed="false">
      <c r="A1958" s="0" t="s">
        <v>14</v>
      </c>
      <c r="B1958" s="0" t="n">
        <v>25</v>
      </c>
      <c r="C1958" s="0" t="n">
        <v>11424</v>
      </c>
    </row>
    <row r="1959" customFormat="false" ht="12.75" hidden="false" customHeight="false" outlineLevel="0" collapsed="false">
      <c r="A1959" s="0" t="s">
        <v>15</v>
      </c>
      <c r="B1959" s="0" t="n">
        <v>3</v>
      </c>
      <c r="C1959" s="0" t="n">
        <v>11530</v>
      </c>
    </row>
    <row r="1960" customFormat="false" ht="12.75" hidden="false" customHeight="false" outlineLevel="0" collapsed="false">
      <c r="A1960" s="0" t="s">
        <v>16</v>
      </c>
      <c r="B1960" s="0" t="n">
        <v>2</v>
      </c>
      <c r="C1960" s="0" t="n">
        <v>11607</v>
      </c>
    </row>
    <row r="1961" customFormat="false" ht="12.75" hidden="false" customHeight="false" outlineLevel="0" collapsed="false">
      <c r="A1961" s="0" t="s">
        <v>17</v>
      </c>
      <c r="B1961" s="0" t="n">
        <v>4</v>
      </c>
      <c r="C1961" s="0" t="n">
        <v>11610</v>
      </c>
    </row>
    <row r="1962" customFormat="false" ht="12.75" hidden="false" customHeight="false" outlineLevel="0" collapsed="false">
      <c r="A1962" s="0" t="s">
        <v>18</v>
      </c>
      <c r="B1962" s="0" t="n">
        <v>6</v>
      </c>
      <c r="C1962" s="0" t="n">
        <v>11606</v>
      </c>
    </row>
    <row r="1963" customFormat="false" ht="12.75" hidden="false" customHeight="false" outlineLevel="0" collapsed="false">
      <c r="A1963" s="0" t="s">
        <v>19</v>
      </c>
      <c r="B1963" s="0" t="n">
        <v>8</v>
      </c>
      <c r="C1963" s="0" t="n">
        <v>11644</v>
      </c>
    </row>
    <row r="1964" customFormat="false" ht="12.75" hidden="false" customHeight="false" outlineLevel="0" collapsed="false">
      <c r="A1964" s="0" t="s">
        <v>20</v>
      </c>
      <c r="B1964" s="0" t="n">
        <v>235</v>
      </c>
      <c r="C1964" s="0" t="n">
        <v>11582</v>
      </c>
    </row>
    <row r="1965" customFormat="false" ht="12.75" hidden="false" customHeight="false" outlineLevel="0" collapsed="false">
      <c r="A1965" s="0" t="s">
        <v>21</v>
      </c>
      <c r="B1965" s="0" t="n">
        <v>22</v>
      </c>
      <c r="C1965" s="0" t="n">
        <v>11574</v>
      </c>
    </row>
    <row r="1966" customFormat="false" ht="12.75" hidden="false" customHeight="false" outlineLevel="0" collapsed="false">
      <c r="A1966" s="0" t="s">
        <v>22</v>
      </c>
      <c r="B1966" s="0" t="n">
        <v>129</v>
      </c>
      <c r="C1966" s="0" t="n">
        <v>11638</v>
      </c>
    </row>
    <row r="1967" customFormat="false" ht="12.75" hidden="false" customHeight="false" outlineLevel="0" collapsed="false">
      <c r="A1967" s="0" t="s">
        <v>23</v>
      </c>
      <c r="B1967" s="0" t="n">
        <v>13</v>
      </c>
      <c r="C1967" s="0" t="n">
        <v>11651</v>
      </c>
    </row>
    <row r="1968" customFormat="false" ht="12.75" hidden="false" customHeight="false" outlineLevel="0" collapsed="false">
      <c r="A1968" s="0" t="s">
        <v>24</v>
      </c>
      <c r="B1968" s="0" t="n">
        <v>9</v>
      </c>
      <c r="C1968" s="0" t="n">
        <v>11721</v>
      </c>
    </row>
    <row r="1969" customFormat="false" ht="12.75" hidden="false" customHeight="false" outlineLevel="0" collapsed="false">
      <c r="A1969" s="0" t="s">
        <v>25</v>
      </c>
      <c r="B1969" s="0" t="n">
        <v>2</v>
      </c>
      <c r="C1969" s="0" t="n">
        <v>11749</v>
      </c>
    </row>
    <row r="1970" customFormat="false" ht="12.75" hidden="false" customHeight="false" outlineLevel="0" collapsed="false">
      <c r="A1970" s="0" t="s">
        <v>26</v>
      </c>
      <c r="B1970" s="0" t="n">
        <v>12</v>
      </c>
      <c r="C1970" s="0" t="n">
        <v>11781</v>
      </c>
    </row>
    <row r="1971" customFormat="false" ht="12.75" hidden="false" customHeight="false" outlineLevel="0" collapsed="false">
      <c r="A1971" s="0" t="s">
        <v>27</v>
      </c>
      <c r="B1971" s="0" t="n">
        <v>3</v>
      </c>
      <c r="C1971" s="0" t="n">
        <v>11803</v>
      </c>
    </row>
    <row r="1972" customFormat="false" ht="12.75" hidden="false" customHeight="false" outlineLevel="0" collapsed="false">
      <c r="A1972" s="0" t="s">
        <v>28</v>
      </c>
      <c r="B1972" s="0" t="n">
        <v>2</v>
      </c>
      <c r="C1972" s="0" t="n">
        <v>11807</v>
      </c>
    </row>
    <row r="1973" customFormat="false" ht="12.75" hidden="false" customHeight="false" outlineLevel="0" collapsed="false">
      <c r="A1973" s="0" t="s">
        <v>29</v>
      </c>
      <c r="B1973" s="0" t="n">
        <v>13</v>
      </c>
      <c r="C1973" s="0" t="n">
        <v>11798</v>
      </c>
    </row>
    <row r="1974" customFormat="false" ht="12.75" hidden="false" customHeight="false" outlineLevel="0" collapsed="false">
      <c r="A1974" s="0" t="s">
        <v>30</v>
      </c>
      <c r="B1974" s="0" t="n">
        <v>345</v>
      </c>
      <c r="C1974" s="0" t="n">
        <v>11468</v>
      </c>
    </row>
    <row r="1975" customFormat="false" ht="12.75" hidden="false" customHeight="false" outlineLevel="0" collapsed="false">
      <c r="A1975" s="0" t="s">
        <v>31</v>
      </c>
      <c r="B1975" s="0" t="n">
        <v>133</v>
      </c>
      <c r="C1975" s="0" t="n">
        <v>11350</v>
      </c>
    </row>
    <row r="1976" customFormat="false" ht="12.75" hidden="false" customHeight="false" outlineLevel="0" collapsed="false">
      <c r="A1976" s="0" t="s">
        <v>32</v>
      </c>
      <c r="B1976" s="0" t="n">
        <v>2</v>
      </c>
      <c r="C1976" s="0" t="n">
        <v>11425</v>
      </c>
    </row>
    <row r="1977" customFormat="false" ht="12.75" hidden="false" customHeight="false" outlineLevel="0" collapsed="false">
      <c r="A1977" s="0" t="s">
        <v>33</v>
      </c>
      <c r="B1977" s="0" t="n">
        <v>377</v>
      </c>
      <c r="C1977" s="0" t="n">
        <v>11055</v>
      </c>
    </row>
    <row r="1978" customFormat="false" ht="12.75" hidden="false" customHeight="false" outlineLevel="0" collapsed="false">
      <c r="A1978" s="0" t="s">
        <v>34</v>
      </c>
      <c r="B1978" s="0" t="n">
        <v>25</v>
      </c>
      <c r="C1978" s="0" t="n">
        <v>11264</v>
      </c>
    </row>
    <row r="1979" customFormat="false" ht="12.75" hidden="false" customHeight="false" outlineLevel="0" collapsed="false">
      <c r="A1979" s="0" t="s">
        <v>35</v>
      </c>
      <c r="B1979" s="0" t="s">
        <v>156</v>
      </c>
      <c r="C1979" s="0" t="n">
        <v>14069</v>
      </c>
    </row>
    <row r="1980" customFormat="false" ht="12.75" hidden="false" customHeight="false" outlineLevel="0" collapsed="false">
      <c r="A1980" s="0" t="s">
        <v>36</v>
      </c>
      <c r="B1980" s="0" t="n">
        <v>36</v>
      </c>
      <c r="C1980" s="0" t="n">
        <v>14035</v>
      </c>
    </row>
    <row r="1981" customFormat="false" ht="12.75" hidden="false" customHeight="false" outlineLevel="0" collapsed="false">
      <c r="A1981" s="0" t="s">
        <v>37</v>
      </c>
      <c r="B1981" s="0" t="n">
        <v>1</v>
      </c>
      <c r="C1981" s="0" t="n">
        <v>14144</v>
      </c>
    </row>
    <row r="1982" customFormat="false" ht="12.75" hidden="false" customHeight="false" outlineLevel="0" collapsed="false">
      <c r="A1982" s="0" t="s">
        <v>38</v>
      </c>
      <c r="B1982" s="0" t="n">
        <v>2</v>
      </c>
      <c r="C1982" s="0" t="n">
        <v>14158</v>
      </c>
    </row>
    <row r="1983" customFormat="false" ht="12.75" hidden="false" customHeight="false" outlineLevel="0" collapsed="false">
      <c r="A1983" s="0" t="s">
        <v>39</v>
      </c>
      <c r="B1983" s="0" t="n">
        <v>109</v>
      </c>
      <c r="C1983" s="0" t="n">
        <v>14066</v>
      </c>
    </row>
    <row r="1984" customFormat="false" ht="12.75" hidden="false" customHeight="false" outlineLevel="0" collapsed="false">
      <c r="A1984" s="0" t="s">
        <v>41</v>
      </c>
      <c r="B1984" s="0" t="n">
        <v>14</v>
      </c>
      <c r="C1984" s="0" t="n">
        <v>14154</v>
      </c>
    </row>
    <row r="1985" customFormat="false" ht="12.75" hidden="false" customHeight="false" outlineLevel="0" collapsed="false">
      <c r="A1985" s="0" t="s">
        <v>42</v>
      </c>
      <c r="B1985" s="0" t="s">
        <v>156</v>
      </c>
      <c r="C1985" s="0" t="n">
        <v>14155</v>
      </c>
    </row>
    <row r="1986" customFormat="false" ht="12.75" hidden="false" customHeight="false" outlineLevel="0" collapsed="false">
      <c r="A1986" s="0" t="s">
        <v>43</v>
      </c>
      <c r="B1986" s="0" t="n">
        <v>15</v>
      </c>
      <c r="C1986" s="0" t="n">
        <v>14140</v>
      </c>
    </row>
    <row r="1987" customFormat="false" ht="12.75" hidden="false" customHeight="false" outlineLevel="0" collapsed="false">
      <c r="A1987" s="0" t="s">
        <v>44</v>
      </c>
      <c r="B1987" s="0" t="n">
        <v>18</v>
      </c>
      <c r="C1987" s="0" t="n">
        <v>14637</v>
      </c>
    </row>
    <row r="1988" customFormat="false" ht="12.75" hidden="false" customHeight="false" outlineLevel="0" collapsed="false">
      <c r="A1988" s="0" t="s">
        <v>45</v>
      </c>
      <c r="B1988" s="0" t="n">
        <v>4</v>
      </c>
      <c r="C1988" s="0" t="n">
        <v>14802</v>
      </c>
    </row>
    <row r="1989" customFormat="false" ht="12.75" hidden="false" customHeight="false" outlineLevel="0" collapsed="false">
      <c r="A1989" s="0" t="s">
        <v>46</v>
      </c>
      <c r="B1989" s="0" t="n">
        <v>159</v>
      </c>
      <c r="C1989" s="0" t="n">
        <v>14667</v>
      </c>
    </row>
    <row r="1990" customFormat="false" ht="12.75" hidden="false" customHeight="false" outlineLevel="0" collapsed="false">
      <c r="A1990" s="0" t="s">
        <v>47</v>
      </c>
      <c r="B1990" s="0" t="n">
        <v>55</v>
      </c>
      <c r="C1990" s="0" t="n">
        <v>14615</v>
      </c>
    </row>
    <row r="1991" customFormat="false" ht="12.75" hidden="false" customHeight="false" outlineLevel="0" collapsed="false">
      <c r="A1991" s="0" t="s">
        <v>48</v>
      </c>
      <c r="B1991" s="0" t="n">
        <v>10</v>
      </c>
      <c r="C1991" s="0" t="n">
        <v>14941</v>
      </c>
    </row>
    <row r="1992" customFormat="false" ht="12.75" hidden="false" customHeight="false" outlineLevel="0" collapsed="false">
      <c r="A1992" s="0" t="s">
        <v>49</v>
      </c>
      <c r="B1992" s="0" t="n">
        <v>4</v>
      </c>
      <c r="C1992" s="0" t="n">
        <v>14955</v>
      </c>
    </row>
    <row r="1993" customFormat="false" ht="12.75" hidden="false" customHeight="false" outlineLevel="0" collapsed="false">
      <c r="A1993" s="0" t="s">
        <v>50</v>
      </c>
      <c r="B1993" s="0" t="n">
        <v>7</v>
      </c>
      <c r="C1993" s="0" t="n">
        <v>15022</v>
      </c>
    </row>
    <row r="1994" customFormat="false" ht="12.75" hidden="false" customHeight="false" outlineLevel="0" collapsed="false">
      <c r="A1994" s="0" t="s">
        <v>51</v>
      </c>
      <c r="B1994" s="0" t="n">
        <v>1</v>
      </c>
      <c r="C1994" s="0" t="n">
        <v>15046</v>
      </c>
    </row>
    <row r="1995" customFormat="false" ht="12.75" hidden="false" customHeight="false" outlineLevel="0" collapsed="false">
      <c r="A1995" s="0" t="s">
        <v>157</v>
      </c>
      <c r="B1995" s="3" t="n">
        <v>6033</v>
      </c>
      <c r="C1995" s="0" t="n">
        <v>9024</v>
      </c>
    </row>
    <row r="1996" customFormat="false" ht="12.75" hidden="false" customHeight="false" outlineLevel="0" collapsed="false">
      <c r="A1996" s="0" t="s">
        <v>1</v>
      </c>
      <c r="B1996" s="0" t="n">
        <v>209</v>
      </c>
      <c r="C1996" s="0" t="n">
        <v>11548</v>
      </c>
    </row>
    <row r="1997" customFormat="false" ht="12.75" hidden="false" customHeight="false" outlineLevel="0" collapsed="false">
      <c r="A1997" s="0" t="s">
        <v>2</v>
      </c>
      <c r="B1997" s="0" t="s">
        <v>156</v>
      </c>
      <c r="C1997" s="0" t="n">
        <v>11556</v>
      </c>
    </row>
    <row r="1998" customFormat="false" ht="12.75" hidden="false" customHeight="false" outlineLevel="0" collapsed="false">
      <c r="A1998" s="0" t="s">
        <v>3</v>
      </c>
      <c r="B1998" s="0" t="n">
        <v>13</v>
      </c>
      <c r="C1998" s="0" t="n">
        <v>11545</v>
      </c>
    </row>
    <row r="1999" customFormat="false" ht="12.75" hidden="false" customHeight="false" outlineLevel="0" collapsed="false">
      <c r="A1999" s="0" t="s">
        <v>4</v>
      </c>
      <c r="B1999" s="0" t="n">
        <v>10</v>
      </c>
      <c r="C1999" s="0" t="n">
        <v>11571</v>
      </c>
    </row>
    <row r="2000" customFormat="false" ht="12.75" hidden="false" customHeight="false" outlineLevel="0" collapsed="false">
      <c r="A2000" s="0" t="s">
        <v>5</v>
      </c>
      <c r="B2000" s="0" t="n">
        <v>52</v>
      </c>
      <c r="C2000" s="0" t="n">
        <v>11522</v>
      </c>
    </row>
    <row r="2001" customFormat="false" ht="12.75" hidden="false" customHeight="false" outlineLevel="0" collapsed="false">
      <c r="A2001" s="0" t="s">
        <v>6</v>
      </c>
      <c r="B2001" s="0" t="n">
        <v>39</v>
      </c>
      <c r="C2001" s="0" t="n">
        <v>11519</v>
      </c>
    </row>
    <row r="2002" customFormat="false" ht="12.75" hidden="false" customHeight="false" outlineLevel="0" collapsed="false">
      <c r="A2002" s="0" t="s">
        <v>7</v>
      </c>
      <c r="B2002" s="0" t="n">
        <v>47</v>
      </c>
      <c r="C2002" s="0" t="n">
        <v>11587</v>
      </c>
    </row>
    <row r="2003" customFormat="false" ht="12.75" hidden="false" customHeight="false" outlineLevel="0" collapsed="false">
      <c r="A2003" s="0" t="s">
        <v>8</v>
      </c>
      <c r="B2003" s="0" t="n">
        <v>9</v>
      </c>
      <c r="C2003" s="0" t="n">
        <v>11579</v>
      </c>
    </row>
    <row r="2004" customFormat="false" ht="12.75" hidden="false" customHeight="false" outlineLevel="0" collapsed="false">
      <c r="A2004" s="0" t="s">
        <v>9</v>
      </c>
      <c r="B2004" s="0" t="n">
        <v>122</v>
      </c>
      <c r="C2004" s="0" t="n">
        <v>11457</v>
      </c>
    </row>
    <row r="2005" customFormat="false" ht="12.75" hidden="false" customHeight="false" outlineLevel="0" collapsed="false">
      <c r="A2005" s="0" t="s">
        <v>10</v>
      </c>
      <c r="B2005" s="0" t="n">
        <v>952</v>
      </c>
      <c r="C2005" s="0" t="n">
        <v>10517</v>
      </c>
    </row>
    <row r="2006" customFormat="false" ht="12.75" hidden="false" customHeight="false" outlineLevel="0" collapsed="false">
      <c r="A2006" s="0" t="s">
        <v>11</v>
      </c>
      <c r="B2006" s="3" t="n">
        <v>2134</v>
      </c>
      <c r="C2006" s="0" t="n">
        <v>8408</v>
      </c>
    </row>
    <row r="2007" customFormat="false" ht="12.75" hidden="false" customHeight="false" outlineLevel="0" collapsed="false">
      <c r="A2007" s="0" t="s">
        <v>12</v>
      </c>
      <c r="B2007" s="0" t="n">
        <v>21</v>
      </c>
      <c r="C2007" s="0" t="n">
        <v>8390</v>
      </c>
    </row>
    <row r="2008" customFormat="false" ht="12.75" hidden="false" customHeight="false" outlineLevel="0" collapsed="false">
      <c r="A2008" s="0" t="s">
        <v>13</v>
      </c>
      <c r="B2008" s="0" t="n">
        <v>3</v>
      </c>
      <c r="C2008" s="0" t="n">
        <v>8391</v>
      </c>
    </row>
    <row r="2009" customFormat="false" ht="12.75" hidden="false" customHeight="false" outlineLevel="0" collapsed="false">
      <c r="A2009" s="0" t="s">
        <v>14</v>
      </c>
      <c r="B2009" s="0" t="n">
        <v>109</v>
      </c>
      <c r="C2009" s="0" t="n">
        <v>8286</v>
      </c>
    </row>
    <row r="2010" customFormat="false" ht="12.75" hidden="false" customHeight="false" outlineLevel="0" collapsed="false">
      <c r="A2010" s="0" t="s">
        <v>15</v>
      </c>
      <c r="B2010" s="0" t="n">
        <v>79</v>
      </c>
      <c r="C2010" s="0" t="n">
        <v>8253</v>
      </c>
    </row>
    <row r="2011" customFormat="false" ht="12.75" hidden="false" customHeight="false" outlineLevel="0" collapsed="false">
      <c r="A2011" s="0" t="s">
        <v>16</v>
      </c>
      <c r="B2011" s="0" t="n">
        <v>7</v>
      </c>
      <c r="C2011" s="0" t="n">
        <v>8258</v>
      </c>
    </row>
    <row r="2012" customFormat="false" ht="12.75" hidden="false" customHeight="false" outlineLevel="0" collapsed="false">
      <c r="A2012" s="0" t="s">
        <v>17</v>
      </c>
      <c r="B2012" s="0" t="n">
        <v>2</v>
      </c>
      <c r="C2012" s="0" t="n">
        <v>8487</v>
      </c>
    </row>
    <row r="2013" customFormat="false" ht="12.75" hidden="false" customHeight="false" outlineLevel="0" collapsed="false">
      <c r="A2013" s="0" t="s">
        <v>18</v>
      </c>
      <c r="B2013" s="0" t="n">
        <v>46</v>
      </c>
      <c r="C2013" s="0" t="n">
        <v>8475</v>
      </c>
    </row>
    <row r="2014" customFormat="false" ht="12.75" hidden="false" customHeight="false" outlineLevel="0" collapsed="false">
      <c r="A2014" s="0" t="s">
        <v>19</v>
      </c>
      <c r="B2014" s="0" t="n">
        <v>173</v>
      </c>
      <c r="C2014" s="0" t="n">
        <v>8305</v>
      </c>
    </row>
    <row r="2015" customFormat="false" ht="12.75" hidden="false" customHeight="false" outlineLevel="0" collapsed="false">
      <c r="A2015" s="0" t="s">
        <v>20</v>
      </c>
      <c r="B2015" s="0" t="n">
        <v>14</v>
      </c>
      <c r="C2015" s="0" t="n">
        <v>8295</v>
      </c>
    </row>
    <row r="2016" customFormat="false" ht="12.75" hidden="false" customHeight="false" outlineLevel="0" collapsed="false">
      <c r="A2016" s="0" t="s">
        <v>21</v>
      </c>
      <c r="B2016" s="0" t="n">
        <v>193</v>
      </c>
      <c r="C2016" s="0" t="n">
        <v>8104</v>
      </c>
    </row>
    <row r="2017" customFormat="false" ht="12.75" hidden="false" customHeight="false" outlineLevel="0" collapsed="false">
      <c r="A2017" s="0" t="s">
        <v>22</v>
      </c>
      <c r="B2017" s="0" t="n">
        <v>26</v>
      </c>
      <c r="C2017" s="0" t="n">
        <v>8080</v>
      </c>
    </row>
    <row r="2018" customFormat="false" ht="12.75" hidden="false" customHeight="false" outlineLevel="0" collapsed="false">
      <c r="A2018" s="0" t="s">
        <v>23</v>
      </c>
      <c r="B2018" s="0" t="n">
        <v>79</v>
      </c>
      <c r="C2018" s="0" t="n">
        <v>8003</v>
      </c>
    </row>
    <row r="2019" customFormat="false" ht="12.75" hidden="false" customHeight="false" outlineLevel="0" collapsed="false">
      <c r="A2019" s="0" t="s">
        <v>24</v>
      </c>
      <c r="B2019" s="0" t="n">
        <v>30</v>
      </c>
      <c r="C2019" s="0" t="n">
        <v>7987</v>
      </c>
    </row>
    <row r="2020" customFormat="false" ht="12.75" hidden="false" customHeight="false" outlineLevel="0" collapsed="false">
      <c r="A2020" s="0" t="s">
        <v>25</v>
      </c>
      <c r="B2020" s="0" t="n">
        <v>44</v>
      </c>
      <c r="C2020" s="0" t="n">
        <v>8504</v>
      </c>
    </row>
    <row r="2021" customFormat="false" ht="12.75" hidden="false" customHeight="false" outlineLevel="0" collapsed="false">
      <c r="A2021" s="0" t="s">
        <v>26</v>
      </c>
      <c r="B2021" s="0" t="n">
        <v>25</v>
      </c>
      <c r="C2021" s="0" t="n">
        <v>8480</v>
      </c>
    </row>
    <row r="2022" customFormat="false" ht="12.75" hidden="false" customHeight="false" outlineLevel="0" collapsed="false">
      <c r="A2022" s="0" t="s">
        <v>27</v>
      </c>
      <c r="B2022" s="0" t="n">
        <v>6</v>
      </c>
      <c r="C2022" s="0" t="n">
        <v>8502</v>
      </c>
    </row>
    <row r="2023" customFormat="false" ht="12.75" hidden="false" customHeight="false" outlineLevel="0" collapsed="false">
      <c r="A2023" s="0" t="s">
        <v>28</v>
      </c>
      <c r="B2023" s="0" t="n">
        <v>4</v>
      </c>
      <c r="C2023" s="0" t="n">
        <v>8551</v>
      </c>
    </row>
    <row r="2024" customFormat="false" ht="12.75" hidden="false" customHeight="false" outlineLevel="0" collapsed="false">
      <c r="A2024" s="0" t="s">
        <v>29</v>
      </c>
      <c r="B2024" s="0" t="n">
        <v>15</v>
      </c>
      <c r="C2024" s="0" t="n">
        <v>8810</v>
      </c>
    </row>
    <row r="2025" customFormat="false" ht="12.75" hidden="false" customHeight="false" outlineLevel="0" collapsed="false">
      <c r="A2025" s="0" t="s">
        <v>30</v>
      </c>
      <c r="B2025" s="0" t="n">
        <v>15</v>
      </c>
      <c r="C2025" s="0" t="n">
        <v>8829</v>
      </c>
    </row>
    <row r="2026" customFormat="false" ht="12.75" hidden="false" customHeight="false" outlineLevel="0" collapsed="false">
      <c r="A2026" s="0" t="s">
        <v>31</v>
      </c>
      <c r="B2026" s="0" t="n">
        <v>77</v>
      </c>
      <c r="C2026" s="0" t="n">
        <v>8753</v>
      </c>
    </row>
    <row r="2027" customFormat="false" ht="12.75" hidden="false" customHeight="false" outlineLevel="0" collapsed="false">
      <c r="A2027" s="0" t="s">
        <v>32</v>
      </c>
      <c r="B2027" s="0" t="n">
        <v>7</v>
      </c>
      <c r="C2027" s="0" t="n">
        <v>8748</v>
      </c>
    </row>
    <row r="2028" customFormat="false" ht="12.75" hidden="false" customHeight="false" outlineLevel="0" collapsed="false">
      <c r="A2028" s="0" t="s">
        <v>33</v>
      </c>
      <c r="B2028" s="0" t="n">
        <v>234</v>
      </c>
      <c r="C2028" s="0" t="n">
        <v>8521</v>
      </c>
    </row>
    <row r="2029" customFormat="false" ht="12.75" hidden="false" customHeight="false" outlineLevel="0" collapsed="false">
      <c r="A2029" s="0" t="s">
        <v>34</v>
      </c>
      <c r="B2029" s="3" t="n">
        <v>2805</v>
      </c>
      <c r="C2029" s="0" t="n">
        <v>5723</v>
      </c>
    </row>
    <row r="2030" customFormat="false" ht="12.75" hidden="false" customHeight="false" outlineLevel="0" collapsed="false">
      <c r="A2030" s="0" t="s">
        <v>35</v>
      </c>
      <c r="B2030" s="0" t="n">
        <v>2</v>
      </c>
      <c r="C2030" s="0" t="n">
        <v>5726</v>
      </c>
    </row>
    <row r="2031" customFormat="false" ht="12.75" hidden="false" customHeight="false" outlineLevel="0" collapsed="false">
      <c r="A2031" s="0" t="s">
        <v>36</v>
      </c>
      <c r="B2031" s="0" t="n">
        <v>110</v>
      </c>
      <c r="C2031" s="0" t="n">
        <v>5906</v>
      </c>
    </row>
    <row r="2032" customFormat="false" ht="12.75" hidden="false" customHeight="false" outlineLevel="0" collapsed="false">
      <c r="A2032" s="0" t="s">
        <v>37</v>
      </c>
      <c r="B2032" s="0" t="n">
        <v>16</v>
      </c>
      <c r="C2032" s="0" t="n">
        <v>5897</v>
      </c>
    </row>
    <row r="2033" customFormat="false" ht="12.75" hidden="false" customHeight="false" outlineLevel="0" collapsed="false">
      <c r="A2033" s="0" t="s">
        <v>38</v>
      </c>
      <c r="B2033" s="0" t="n">
        <v>17</v>
      </c>
      <c r="C2033" s="0" t="n">
        <v>5884</v>
      </c>
    </row>
    <row r="2034" customFormat="false" ht="12.75" hidden="false" customHeight="false" outlineLevel="0" collapsed="false">
      <c r="A2034" s="0" t="s">
        <v>39</v>
      </c>
      <c r="B2034" s="0" t="n">
        <v>102</v>
      </c>
      <c r="C2034" s="0" t="n">
        <v>5790</v>
      </c>
    </row>
    <row r="2035" customFormat="false" ht="12.75" hidden="false" customHeight="false" outlineLevel="0" collapsed="false">
      <c r="A2035" s="0" t="s">
        <v>40</v>
      </c>
      <c r="B2035" s="0" t="n">
        <v>1</v>
      </c>
      <c r="C2035" s="0" t="n">
        <v>5794</v>
      </c>
    </row>
    <row r="2036" customFormat="false" ht="12.75" hidden="false" customHeight="false" outlineLevel="0" collapsed="false">
      <c r="A2036" s="0" t="s">
        <v>42</v>
      </c>
      <c r="B2036" s="0" t="s">
        <v>156</v>
      </c>
      <c r="C2036" s="0" t="n">
        <v>5794</v>
      </c>
    </row>
    <row r="2037" customFormat="false" ht="12.75" hidden="false" customHeight="false" outlineLevel="0" collapsed="false">
      <c r="A2037" s="0" t="s">
        <v>43</v>
      </c>
      <c r="B2037" s="0" t="n">
        <v>515</v>
      </c>
      <c r="C2037" s="0" t="n">
        <v>5282</v>
      </c>
    </row>
    <row r="2038" customFormat="false" ht="12.75" hidden="false" customHeight="false" outlineLevel="0" collapsed="false">
      <c r="A2038" s="0" t="s">
        <v>44</v>
      </c>
      <c r="B2038" s="0" t="n">
        <v>169</v>
      </c>
      <c r="C2038" s="0" t="n">
        <v>5123</v>
      </c>
    </row>
    <row r="2039" customFormat="false" ht="12.75" hidden="false" customHeight="false" outlineLevel="0" collapsed="false">
      <c r="A2039" s="0" t="s">
        <v>45</v>
      </c>
      <c r="B2039" s="0" t="n">
        <v>24</v>
      </c>
      <c r="C2039" s="0" t="n">
        <v>5117</v>
      </c>
    </row>
    <row r="2040" customFormat="false" ht="12.75" hidden="false" customHeight="false" outlineLevel="0" collapsed="false">
      <c r="A2040" s="0" t="s">
        <v>46</v>
      </c>
      <c r="B2040" s="0" t="n">
        <v>3</v>
      </c>
      <c r="C2040" s="0" t="n">
        <v>5121</v>
      </c>
    </row>
    <row r="2041" customFormat="false" ht="12.75" hidden="false" customHeight="false" outlineLevel="0" collapsed="false">
      <c r="A2041" s="0" t="s">
        <v>47</v>
      </c>
      <c r="B2041" s="0" t="n">
        <v>336</v>
      </c>
      <c r="C2041" s="0" t="n">
        <v>4785</v>
      </c>
    </row>
    <row r="2042" customFormat="false" ht="12.75" hidden="false" customHeight="false" outlineLevel="0" collapsed="false">
      <c r="A2042" s="0" t="s">
        <v>48</v>
      </c>
      <c r="B2042" s="0" t="n">
        <v>18</v>
      </c>
      <c r="C2042" s="0" t="n">
        <v>4772</v>
      </c>
    </row>
    <row r="2043" customFormat="false" ht="12.75" hidden="false" customHeight="false" outlineLevel="0" collapsed="false">
      <c r="A2043" s="0" t="s">
        <v>49</v>
      </c>
      <c r="B2043" s="0" t="n">
        <v>74</v>
      </c>
      <c r="C2043" s="0" t="n">
        <v>4717</v>
      </c>
    </row>
    <row r="2044" customFormat="false" ht="12.75" hidden="false" customHeight="false" outlineLevel="0" collapsed="false">
      <c r="A2044" s="0" t="s">
        <v>50</v>
      </c>
      <c r="B2044" s="0" t="n">
        <v>25</v>
      </c>
      <c r="C2044" s="0" t="n">
        <v>4693</v>
      </c>
    </row>
    <row r="2045" customFormat="false" ht="12.75" hidden="false" customHeight="false" outlineLevel="0" collapsed="false">
      <c r="A2045" s="0" t="s">
        <v>51</v>
      </c>
      <c r="B2045" s="0" t="n">
        <v>11</v>
      </c>
      <c r="C2045" s="0" t="n">
        <v>4717</v>
      </c>
    </row>
    <row r="2046" customFormat="false" ht="12.75" hidden="false" customHeight="false" outlineLevel="0" collapsed="false">
      <c r="A2046" s="0" t="s">
        <v>158</v>
      </c>
      <c r="B2046" s="3" t="n">
        <v>2733</v>
      </c>
      <c r="C2046" s="0" t="n">
        <v>2142</v>
      </c>
    </row>
    <row r="2047" customFormat="false" ht="12.75" hidden="false" customHeight="false" outlineLevel="0" collapsed="false">
      <c r="A2047" s="0" t="s">
        <v>1</v>
      </c>
      <c r="B2047" s="0" t="n">
        <v>8</v>
      </c>
      <c r="C2047" s="0" t="n">
        <v>7998</v>
      </c>
    </row>
    <row r="2048" customFormat="false" ht="12.75" hidden="false" customHeight="false" outlineLevel="0" collapsed="false">
      <c r="A2048" s="0" t="s">
        <v>2</v>
      </c>
      <c r="B2048" s="0" t="n">
        <v>2</v>
      </c>
      <c r="C2048" s="0" t="n">
        <v>9179</v>
      </c>
    </row>
    <row r="2049" customFormat="false" ht="12.75" hidden="false" customHeight="false" outlineLevel="0" collapsed="false">
      <c r="A2049" s="0" t="s">
        <v>3</v>
      </c>
      <c r="B2049" s="0" t="n">
        <v>36</v>
      </c>
      <c r="C2049" s="0" t="n">
        <v>9170</v>
      </c>
    </row>
    <row r="2050" customFormat="false" ht="12.75" hidden="false" customHeight="false" outlineLevel="0" collapsed="false">
      <c r="A2050" s="0" t="s">
        <v>4</v>
      </c>
      <c r="B2050" s="0" t="n">
        <v>3</v>
      </c>
      <c r="C2050" s="0" t="n">
        <v>9225</v>
      </c>
    </row>
    <row r="2051" customFormat="false" ht="12.75" hidden="false" customHeight="false" outlineLevel="0" collapsed="false">
      <c r="A2051" s="0" t="s">
        <v>5</v>
      </c>
      <c r="B2051" s="0" t="n">
        <v>36</v>
      </c>
      <c r="C2051" s="0" t="n">
        <v>9966</v>
      </c>
    </row>
    <row r="2052" customFormat="false" ht="12.75" hidden="false" customHeight="false" outlineLevel="0" collapsed="false">
      <c r="A2052" s="0" t="s">
        <v>6</v>
      </c>
      <c r="B2052" s="0" t="n">
        <v>115</v>
      </c>
      <c r="C2052" s="0" t="n">
        <v>10077</v>
      </c>
    </row>
    <row r="2053" customFormat="false" ht="12.75" hidden="false" customHeight="false" outlineLevel="0" collapsed="false">
      <c r="A2053" s="0" t="s">
        <v>7</v>
      </c>
      <c r="B2053" s="0" t="n">
        <v>1</v>
      </c>
      <c r="C2053" s="0" t="n">
        <v>10134</v>
      </c>
    </row>
    <row r="2054" customFormat="false" ht="12.75" hidden="false" customHeight="false" outlineLevel="0" collapsed="false">
      <c r="A2054" s="0" t="s">
        <v>8</v>
      </c>
      <c r="B2054" s="0" t="s">
        <v>156</v>
      </c>
      <c r="C2054" s="0" t="n">
        <v>10141</v>
      </c>
    </row>
    <row r="2055" customFormat="false" ht="12.75" hidden="false" customHeight="false" outlineLevel="0" collapsed="false">
      <c r="A2055" s="0" t="s">
        <v>9</v>
      </c>
      <c r="B2055" s="0" t="n">
        <v>12</v>
      </c>
      <c r="C2055" s="0" t="n">
        <v>10182</v>
      </c>
    </row>
    <row r="2056" customFormat="false" ht="12.75" hidden="false" customHeight="false" outlineLevel="0" collapsed="false">
      <c r="A2056" s="0" t="s">
        <v>10</v>
      </c>
      <c r="B2056" s="0" t="n">
        <v>25</v>
      </c>
      <c r="C2056" s="0" t="n">
        <v>10269</v>
      </c>
    </row>
    <row r="2057" customFormat="false" ht="12.75" hidden="false" customHeight="false" outlineLevel="0" collapsed="false">
      <c r="A2057" s="0" t="s">
        <v>11</v>
      </c>
      <c r="B2057" s="0" t="n">
        <v>3</v>
      </c>
      <c r="C2057" s="0" t="n">
        <v>11458</v>
      </c>
    </row>
    <row r="2058" customFormat="false" ht="12.75" hidden="false" customHeight="false" outlineLevel="0" collapsed="false">
      <c r="A2058" s="0" t="s">
        <v>12</v>
      </c>
      <c r="B2058" s="0" t="n">
        <v>4</v>
      </c>
      <c r="C2058" s="0" t="n">
        <v>14427</v>
      </c>
    </row>
    <row r="2059" customFormat="false" ht="12.75" hidden="false" customHeight="false" outlineLevel="0" collapsed="false">
      <c r="A2059" s="0" t="s">
        <v>13</v>
      </c>
      <c r="B2059" s="0" t="n">
        <v>4</v>
      </c>
      <c r="C2059" s="0" t="n">
        <v>14441</v>
      </c>
    </row>
    <row r="2060" customFormat="false" ht="12.75" hidden="false" customHeight="false" outlineLevel="0" collapsed="false">
      <c r="A2060" s="0" t="s">
        <v>14</v>
      </c>
      <c r="B2060" s="0" t="n">
        <v>46</v>
      </c>
      <c r="C2060" s="0" t="n">
        <v>14423</v>
      </c>
    </row>
    <row r="2061" customFormat="false" ht="12.75" hidden="false" customHeight="false" outlineLevel="0" collapsed="false">
      <c r="A2061" s="0" t="s">
        <v>15</v>
      </c>
      <c r="B2061" s="0" t="n">
        <v>12</v>
      </c>
      <c r="C2061" s="0" t="n">
        <v>14899</v>
      </c>
    </row>
    <row r="2062" customFormat="false" ht="12.75" hidden="false" customHeight="false" outlineLevel="0" collapsed="false">
      <c r="A2062" s="0" t="s">
        <v>16</v>
      </c>
      <c r="B2062" s="0" t="n">
        <v>231</v>
      </c>
      <c r="C2062" s="0" t="n">
        <v>14966</v>
      </c>
    </row>
    <row r="2063" customFormat="false" ht="12.75" hidden="false" customHeight="false" outlineLevel="0" collapsed="false">
      <c r="A2063" s="0" t="s">
        <v>17</v>
      </c>
      <c r="B2063" s="0" t="n">
        <v>34</v>
      </c>
      <c r="C2063" s="0" t="n">
        <v>14965</v>
      </c>
    </row>
    <row r="2064" customFormat="false" ht="12.75" hidden="false" customHeight="false" outlineLevel="0" collapsed="false">
      <c r="A2064" s="0" t="s">
        <v>18</v>
      </c>
      <c r="B2064" s="0" t="n">
        <v>3</v>
      </c>
      <c r="C2064" s="0" t="n">
        <v>14970</v>
      </c>
    </row>
    <row r="2065" customFormat="false" ht="12.75" hidden="false" customHeight="false" outlineLevel="0" collapsed="false">
      <c r="A2065" s="0" t="s">
        <v>19</v>
      </c>
      <c r="B2065" s="0" t="n">
        <v>4</v>
      </c>
      <c r="C2065" s="0" t="n">
        <v>15896</v>
      </c>
    </row>
    <row r="2066" customFormat="false" ht="12.75" hidden="false" customHeight="false" outlineLevel="0" collapsed="false">
      <c r="A2066" s="0" t="s">
        <v>20</v>
      </c>
      <c r="B2066" s="0" t="n">
        <v>2</v>
      </c>
      <c r="C2066" s="0" t="n">
        <v>16188</v>
      </c>
    </row>
    <row r="2067" customFormat="false" ht="12.75" hidden="false" customHeight="false" outlineLevel="0" collapsed="false">
      <c r="A2067" s="0" t="s">
        <v>21</v>
      </c>
      <c r="B2067" s="0" t="n">
        <v>2</v>
      </c>
      <c r="C2067" s="0" t="n">
        <v>16203</v>
      </c>
    </row>
    <row r="2068" customFormat="false" ht="12.75" hidden="false" customHeight="false" outlineLevel="0" collapsed="false">
      <c r="A2068" s="0" t="s">
        <v>22</v>
      </c>
      <c r="B2068" s="0" t="n">
        <v>2</v>
      </c>
      <c r="C2068" s="0" t="n">
        <v>16331</v>
      </c>
    </row>
    <row r="2069" customFormat="false" ht="12.75" hidden="false" customHeight="false" outlineLevel="0" collapsed="false">
      <c r="A2069" s="0" t="s">
        <v>23</v>
      </c>
      <c r="B2069" s="0" t="n">
        <v>14</v>
      </c>
      <c r="C2069" s="0" t="n">
        <v>16375</v>
      </c>
    </row>
    <row r="2070" customFormat="false" ht="12.75" hidden="false" customHeight="false" outlineLevel="0" collapsed="false">
      <c r="A2070" s="0" t="s">
        <v>24</v>
      </c>
      <c r="B2070" s="0" t="n">
        <v>561</v>
      </c>
      <c r="C2070" s="0" t="n">
        <v>16060</v>
      </c>
    </row>
    <row r="2071" customFormat="false" ht="12.75" hidden="false" customHeight="false" outlineLevel="0" collapsed="false">
      <c r="A2071" s="0" t="s">
        <v>25</v>
      </c>
      <c r="B2071" s="0" t="n">
        <v>1</v>
      </c>
      <c r="C2071" s="0" t="n">
        <v>16142</v>
      </c>
    </row>
    <row r="2072" customFormat="false" ht="12.75" hidden="false" customHeight="false" outlineLevel="0" collapsed="false">
      <c r="A2072" s="0" t="s">
        <v>26</v>
      </c>
      <c r="B2072" s="0" t="n">
        <v>28</v>
      </c>
      <c r="C2072" s="0" t="n">
        <v>17218</v>
      </c>
    </row>
    <row r="2073" customFormat="false" ht="12.75" hidden="false" customHeight="false" outlineLevel="0" collapsed="false">
      <c r="A2073" s="0" t="s">
        <v>27</v>
      </c>
      <c r="B2073" s="0" t="n">
        <v>53</v>
      </c>
      <c r="C2073" s="0" t="n">
        <v>17572</v>
      </c>
    </row>
    <row r="2074" customFormat="false" ht="12.75" hidden="false" customHeight="false" outlineLevel="0" collapsed="false">
      <c r="A2074" s="0" t="s">
        <v>28</v>
      </c>
      <c r="B2074" s="0" t="n">
        <v>274</v>
      </c>
      <c r="C2074" s="0" t="n">
        <v>17309</v>
      </c>
    </row>
    <row r="2075" customFormat="false" ht="12.75" hidden="false" customHeight="false" outlineLevel="0" collapsed="false">
      <c r="A2075" s="0" t="s">
        <v>29</v>
      </c>
      <c r="B2075" s="0" t="n">
        <v>34</v>
      </c>
      <c r="C2075" s="0" t="n">
        <v>17289</v>
      </c>
    </row>
    <row r="2076" customFormat="false" ht="12.75" hidden="false" customHeight="false" outlineLevel="0" collapsed="false">
      <c r="A2076" s="0" t="s">
        <v>30</v>
      </c>
      <c r="B2076" s="0" t="n">
        <v>1</v>
      </c>
      <c r="C2076" s="0" t="n">
        <v>17364</v>
      </c>
    </row>
    <row r="2077" customFormat="false" ht="12.75" hidden="false" customHeight="false" outlineLevel="0" collapsed="false">
      <c r="A2077" s="0" t="s">
        <v>31</v>
      </c>
      <c r="B2077" s="0" t="n">
        <v>2</v>
      </c>
      <c r="C2077" s="0" t="n">
        <v>17369</v>
      </c>
    </row>
    <row r="2078" customFormat="false" ht="12.75" hidden="false" customHeight="false" outlineLevel="0" collapsed="false">
      <c r="A2078" s="0" t="s">
        <v>32</v>
      </c>
      <c r="B2078" s="0" t="n">
        <v>7</v>
      </c>
      <c r="C2078" s="0" t="n">
        <v>17426</v>
      </c>
    </row>
    <row r="2079" customFormat="false" ht="12.75" hidden="false" customHeight="false" outlineLevel="0" collapsed="false">
      <c r="A2079" s="0" t="s">
        <v>33</v>
      </c>
      <c r="B2079" s="0" t="n">
        <v>7</v>
      </c>
      <c r="C2079" s="0" t="n">
        <v>17438</v>
      </c>
    </row>
    <row r="2080" customFormat="false" ht="12.75" hidden="false" customHeight="false" outlineLevel="0" collapsed="false">
      <c r="A2080" s="0" t="s">
        <v>34</v>
      </c>
      <c r="B2080" s="0" t="n">
        <v>5</v>
      </c>
      <c r="C2080" s="0" t="n">
        <v>17539</v>
      </c>
    </row>
    <row r="2081" customFormat="false" ht="12.75" hidden="false" customHeight="false" outlineLevel="0" collapsed="false">
      <c r="A2081" s="0" t="s">
        <v>35</v>
      </c>
      <c r="B2081" s="0" t="n">
        <v>290</v>
      </c>
      <c r="C2081" s="0" t="n">
        <v>17864</v>
      </c>
    </row>
    <row r="2082" customFormat="false" ht="12.75" hidden="false" customHeight="false" outlineLevel="0" collapsed="false">
      <c r="A2082" s="0" t="s">
        <v>36</v>
      </c>
      <c r="B2082" s="0" t="n">
        <v>7</v>
      </c>
      <c r="C2082" s="0" t="n">
        <v>17862</v>
      </c>
    </row>
    <row r="2083" customFormat="false" ht="12.75" hidden="false" customHeight="false" outlineLevel="0" collapsed="false">
      <c r="A2083" s="0" t="s">
        <v>37</v>
      </c>
      <c r="B2083" s="0" t="n">
        <v>4</v>
      </c>
      <c r="C2083" s="0" t="n">
        <v>18184</v>
      </c>
    </row>
    <row r="2084" customFormat="false" ht="12.75" hidden="false" customHeight="false" outlineLevel="0" collapsed="false">
      <c r="A2084" s="0" t="s">
        <v>38</v>
      </c>
      <c r="B2084" s="0" t="n">
        <v>8</v>
      </c>
      <c r="C2084" s="0" t="n">
        <v>18229</v>
      </c>
    </row>
    <row r="2085" customFormat="false" ht="12.75" hidden="false" customHeight="false" outlineLevel="0" collapsed="false">
      <c r="A2085" s="0" t="s">
        <v>39</v>
      </c>
      <c r="B2085" s="0" t="n">
        <v>5</v>
      </c>
      <c r="C2085" s="0" t="n">
        <v>18235</v>
      </c>
    </row>
    <row r="2086" customFormat="false" ht="12.75" hidden="false" customHeight="false" outlineLevel="0" collapsed="false">
      <c r="A2086" s="0" t="s">
        <v>40</v>
      </c>
      <c r="B2086" s="0" t="s">
        <v>156</v>
      </c>
      <c r="C2086" s="0" t="n">
        <v>18439</v>
      </c>
    </row>
    <row r="2087" customFormat="false" ht="12.75" hidden="false" customHeight="false" outlineLevel="0" collapsed="false">
      <c r="A2087" s="0" t="s">
        <v>41</v>
      </c>
      <c r="B2087" s="0" t="n">
        <v>3</v>
      </c>
      <c r="C2087" s="0" t="n">
        <v>18439</v>
      </c>
    </row>
    <row r="2088" customFormat="false" ht="12.75" hidden="false" customHeight="false" outlineLevel="0" collapsed="false">
      <c r="A2088" s="0" t="s">
        <v>43</v>
      </c>
      <c r="B2088" s="0" t="n">
        <v>10</v>
      </c>
      <c r="C2088" s="0" t="n">
        <v>19121</v>
      </c>
    </row>
    <row r="2089" customFormat="false" ht="12.75" hidden="false" customHeight="false" outlineLevel="0" collapsed="false">
      <c r="A2089" s="0" t="s">
        <v>44</v>
      </c>
      <c r="B2089" s="0" t="n">
        <v>18</v>
      </c>
      <c r="C2089" s="0" t="n">
        <v>19112</v>
      </c>
    </row>
    <row r="2090" customFormat="false" ht="12.75" hidden="false" customHeight="false" outlineLevel="0" collapsed="false">
      <c r="A2090" s="0" t="s">
        <v>45</v>
      </c>
      <c r="B2090" s="0" t="n">
        <v>7</v>
      </c>
      <c r="C2090" s="0" t="n">
        <v>19395</v>
      </c>
    </row>
    <row r="2091" customFormat="false" ht="12.75" hidden="false" customHeight="false" outlineLevel="0" collapsed="false">
      <c r="A2091" s="0" t="s">
        <v>46</v>
      </c>
      <c r="B2091" s="0" t="s">
        <v>156</v>
      </c>
      <c r="C2091" s="0" t="n">
        <v>19414</v>
      </c>
    </row>
    <row r="2092" customFormat="false" ht="12.75" hidden="false" customHeight="false" outlineLevel="0" collapsed="false">
      <c r="A2092" s="0" t="s">
        <v>47</v>
      </c>
      <c r="B2092" s="0" t="n">
        <v>5</v>
      </c>
      <c r="C2092" s="0" t="n">
        <v>19415</v>
      </c>
    </row>
    <row r="2093" customFormat="false" ht="12.75" hidden="false" customHeight="false" outlineLevel="0" collapsed="false">
      <c r="A2093" s="0" t="s">
        <v>48</v>
      </c>
      <c r="B2093" s="0" t="n">
        <v>19</v>
      </c>
      <c r="C2093" s="0" t="n">
        <v>19780</v>
      </c>
    </row>
    <row r="2094" customFormat="false" ht="12.75" hidden="false" customHeight="false" outlineLevel="0" collapsed="false">
      <c r="A2094" s="0" t="s">
        <v>49</v>
      </c>
      <c r="B2094" s="0" t="n">
        <v>1</v>
      </c>
      <c r="C2094" s="0" t="n">
        <v>19843</v>
      </c>
    </row>
    <row r="2095" customFormat="false" ht="12.75" hidden="false" customHeight="false" outlineLevel="0" collapsed="false">
      <c r="A2095" s="0" t="s">
        <v>50</v>
      </c>
      <c r="B2095" s="0" t="n">
        <v>35</v>
      </c>
      <c r="C2095" s="0" t="n">
        <v>19914</v>
      </c>
    </row>
    <row r="2096" customFormat="false" ht="12.75" hidden="false" customHeight="false" outlineLevel="0" collapsed="false">
      <c r="A2096" s="0" t="s">
        <v>51</v>
      </c>
      <c r="B2096" s="0" t="n">
        <v>158</v>
      </c>
      <c r="C2096" s="0" t="n">
        <v>19798</v>
      </c>
    </row>
    <row r="2097" customFormat="false" ht="12.75" hidden="false" customHeight="false" outlineLevel="0" collapsed="false">
      <c r="A2097" s="0" t="s">
        <v>159</v>
      </c>
      <c r="B2097" s="3" t="n">
        <v>5864</v>
      </c>
      <c r="C2097" s="0" t="n">
        <v>13941</v>
      </c>
    </row>
    <row r="2098" customFormat="false" ht="12.75" hidden="false" customHeight="false" outlineLevel="0" collapsed="false">
      <c r="A2098" s="0" t="s">
        <v>1</v>
      </c>
      <c r="B2098" s="3" t="n">
        <v>1183</v>
      </c>
      <c r="C2098" s="0" t="n">
        <v>69566</v>
      </c>
    </row>
    <row r="2099" customFormat="false" ht="12.75" hidden="false" customHeight="false" outlineLevel="0" collapsed="false">
      <c r="A2099" s="0" t="s">
        <v>2</v>
      </c>
      <c r="B2099" s="0" t="n">
        <v>27</v>
      </c>
      <c r="C2099" s="0" t="n">
        <v>69790</v>
      </c>
    </row>
    <row r="2100" customFormat="false" ht="12.75" hidden="false" customHeight="false" outlineLevel="0" collapsed="false">
      <c r="A2100" s="0" t="s">
        <v>3</v>
      </c>
      <c r="B2100" s="0" t="n">
        <v>58</v>
      </c>
      <c r="C2100" s="0" t="n">
        <v>69878</v>
      </c>
    </row>
    <row r="2101" customFormat="false" ht="12.75" hidden="false" customHeight="false" outlineLevel="0" collapsed="false">
      <c r="A2101" s="0" t="s">
        <v>4</v>
      </c>
      <c r="B2101" s="0" t="n">
        <v>777</v>
      </c>
      <c r="C2101" s="0" t="n">
        <v>69652</v>
      </c>
    </row>
    <row r="2102" customFormat="false" ht="12.75" hidden="false" customHeight="false" outlineLevel="0" collapsed="false">
      <c r="A2102" s="0" t="s">
        <v>5</v>
      </c>
      <c r="B2102" s="0" t="n">
        <v>226</v>
      </c>
      <c r="C2102" s="0" t="n">
        <v>70648</v>
      </c>
    </row>
    <row r="2103" customFormat="false" ht="12.75" hidden="false" customHeight="false" outlineLevel="0" collapsed="false">
      <c r="A2103" s="0" t="s">
        <v>6</v>
      </c>
      <c r="B2103" s="0" t="n">
        <v>58</v>
      </c>
      <c r="C2103" s="0" t="n">
        <v>72106</v>
      </c>
    </row>
    <row r="2104" customFormat="false" ht="12.75" hidden="false" customHeight="false" outlineLevel="0" collapsed="false">
      <c r="A2104" s="0" t="s">
        <v>7</v>
      </c>
      <c r="B2104" s="0" t="n">
        <v>7</v>
      </c>
      <c r="C2104" s="0" t="n">
        <v>73495</v>
      </c>
    </row>
    <row r="2105" customFormat="false" ht="12.75" hidden="false" customHeight="false" outlineLevel="0" collapsed="false">
      <c r="A2105" s="0" t="s">
        <v>8</v>
      </c>
      <c r="B2105" s="0" t="n">
        <v>53</v>
      </c>
      <c r="C2105" s="0" t="n">
        <v>73510</v>
      </c>
    </row>
    <row r="2106" customFormat="false" ht="12.75" hidden="false" customHeight="false" outlineLevel="0" collapsed="false">
      <c r="A2106" s="0" t="s">
        <v>9</v>
      </c>
      <c r="B2106" s="0" t="n">
        <v>112</v>
      </c>
      <c r="C2106" s="0" t="n">
        <v>73398</v>
      </c>
    </row>
    <row r="2107" customFormat="false" ht="12.75" hidden="false" customHeight="false" outlineLevel="0" collapsed="false">
      <c r="A2107" s="0" t="s">
        <v>10</v>
      </c>
      <c r="B2107" s="3" t="n">
        <v>1192</v>
      </c>
      <c r="C2107" s="0" t="n">
        <v>72533</v>
      </c>
    </row>
    <row r="2108" customFormat="false" ht="12.75" hidden="false" customHeight="false" outlineLevel="0" collapsed="false">
      <c r="A2108" s="0" t="s">
        <v>11</v>
      </c>
      <c r="B2108" s="3" t="n">
        <v>2973</v>
      </c>
      <c r="C2108" s="0" t="n">
        <v>71267</v>
      </c>
    </row>
    <row r="2109" customFormat="false" ht="12.75" hidden="false" customHeight="false" outlineLevel="0" collapsed="false">
      <c r="A2109" s="0" t="s">
        <v>12</v>
      </c>
      <c r="B2109" s="0" t="n">
        <v>18</v>
      </c>
      <c r="C2109" s="0" t="n">
        <v>71626</v>
      </c>
    </row>
    <row r="2110" customFormat="false" ht="12.75" hidden="false" customHeight="false" outlineLevel="0" collapsed="false">
      <c r="A2110" s="0" t="s">
        <v>13</v>
      </c>
      <c r="B2110" s="0" t="n">
        <v>28</v>
      </c>
      <c r="C2110" s="0" t="n">
        <v>71780</v>
      </c>
    </row>
    <row r="2111" customFormat="false" ht="12.75" hidden="false" customHeight="false" outlineLevel="0" collapsed="false">
      <c r="A2111" s="0" t="s">
        <v>14</v>
      </c>
      <c r="B2111" s="0" t="n">
        <v>488</v>
      </c>
      <c r="C2111" s="0" t="n">
        <v>71410</v>
      </c>
    </row>
    <row r="2112" customFormat="false" ht="12.75" hidden="false" customHeight="false" outlineLevel="0" collapsed="false">
      <c r="A2112" s="0" t="s">
        <v>15</v>
      </c>
      <c r="B2112" s="0" t="n">
        <v>298</v>
      </c>
      <c r="C2112" s="0" t="n">
        <v>71706</v>
      </c>
    </row>
    <row r="2113" customFormat="false" ht="12.75" hidden="false" customHeight="false" outlineLevel="0" collapsed="false">
      <c r="A2113" s="0" t="s">
        <v>16</v>
      </c>
      <c r="B2113" s="0" t="n">
        <v>33</v>
      </c>
      <c r="C2113" s="0" t="n">
        <v>71847</v>
      </c>
    </row>
    <row r="2114" customFormat="false" ht="12.75" hidden="false" customHeight="false" outlineLevel="0" collapsed="false">
      <c r="A2114" s="0" t="s">
        <v>17</v>
      </c>
      <c r="B2114" s="0" t="n">
        <v>8</v>
      </c>
      <c r="C2114" s="0" t="n">
        <v>71981</v>
      </c>
    </row>
    <row r="2115" customFormat="false" ht="12.75" hidden="false" customHeight="false" outlineLevel="0" collapsed="false">
      <c r="A2115" s="0" t="s">
        <v>18</v>
      </c>
      <c r="B2115" s="0" t="n">
        <v>930</v>
      </c>
      <c r="C2115" s="0" t="n">
        <v>71614</v>
      </c>
    </row>
    <row r="2116" customFormat="false" ht="12.75" hidden="false" customHeight="false" outlineLevel="0" collapsed="false">
      <c r="A2116" s="0" t="s">
        <v>19</v>
      </c>
      <c r="B2116" s="0" t="n">
        <v>294</v>
      </c>
      <c r="C2116" s="0" t="n">
        <v>71429</v>
      </c>
    </row>
    <row r="2117" customFormat="false" ht="12.75" hidden="false" customHeight="false" outlineLevel="0" collapsed="false">
      <c r="A2117" s="0" t="s">
        <v>20</v>
      </c>
      <c r="B2117" s="0" t="n">
        <v>17</v>
      </c>
      <c r="C2117" s="0" t="n">
        <v>75077</v>
      </c>
    </row>
    <row r="2118" customFormat="false" ht="12.75" hidden="false" customHeight="false" outlineLevel="0" collapsed="false">
      <c r="A2118" s="0" t="s">
        <v>21</v>
      </c>
      <c r="B2118" s="0" t="n">
        <v>130</v>
      </c>
      <c r="C2118" s="0" t="n">
        <v>74973</v>
      </c>
    </row>
    <row r="2119" customFormat="false" ht="12.75" hidden="false" customHeight="false" outlineLevel="0" collapsed="false">
      <c r="A2119" s="0" t="s">
        <v>22</v>
      </c>
      <c r="B2119" s="0" t="n">
        <v>58</v>
      </c>
      <c r="C2119" s="0" t="n">
        <v>75044</v>
      </c>
    </row>
    <row r="2120" customFormat="false" ht="12.75" hidden="false" customHeight="false" outlineLevel="0" collapsed="false">
      <c r="A2120" s="0" t="s">
        <v>23</v>
      </c>
      <c r="B2120" s="0" t="n">
        <v>246</v>
      </c>
      <c r="C2120" s="0" t="n">
        <v>74916</v>
      </c>
    </row>
    <row r="2121" customFormat="false" ht="12.75" hidden="false" customHeight="false" outlineLevel="0" collapsed="false">
      <c r="A2121" s="0" t="s">
        <v>24</v>
      </c>
      <c r="B2121" s="0" t="n">
        <v>83</v>
      </c>
      <c r="C2121" s="0" t="n">
        <v>75079</v>
      </c>
    </row>
    <row r="2122" customFormat="false" ht="12.75" hidden="false" customHeight="false" outlineLevel="0" collapsed="false">
      <c r="A2122" s="0" t="s">
        <v>25</v>
      </c>
      <c r="B2122" s="3" t="n">
        <v>1104</v>
      </c>
      <c r="C2122" s="0" t="n">
        <v>74112</v>
      </c>
    </row>
    <row r="2123" customFormat="false" ht="12.75" hidden="false" customHeight="false" outlineLevel="0" collapsed="false">
      <c r="A2123" s="0" t="s">
        <v>26</v>
      </c>
      <c r="B2123" s="0" t="n">
        <v>407</v>
      </c>
      <c r="C2123" s="0" t="n">
        <v>73828</v>
      </c>
    </row>
    <row r="2124" customFormat="false" ht="12.75" hidden="false" customHeight="false" outlineLevel="0" collapsed="false">
      <c r="A2124" s="0" t="s">
        <v>27</v>
      </c>
      <c r="B2124" s="0" t="n">
        <v>11</v>
      </c>
      <c r="C2124" s="0" t="n">
        <v>74903</v>
      </c>
    </row>
    <row r="2125" customFormat="false" ht="12.75" hidden="false" customHeight="false" outlineLevel="0" collapsed="false">
      <c r="A2125" s="0" t="s">
        <v>28</v>
      </c>
      <c r="B2125" s="0" t="n">
        <v>14</v>
      </c>
      <c r="C2125" s="0" t="n">
        <v>74904</v>
      </c>
    </row>
    <row r="2126" customFormat="false" ht="12.75" hidden="false" customHeight="false" outlineLevel="0" collapsed="false">
      <c r="A2126" s="0" t="s">
        <v>29</v>
      </c>
      <c r="B2126" s="0" t="n">
        <v>76</v>
      </c>
      <c r="C2126" s="0" t="n">
        <v>74896</v>
      </c>
    </row>
    <row r="2127" customFormat="false" ht="12.75" hidden="false" customHeight="false" outlineLevel="0" collapsed="false">
      <c r="A2127" s="0" t="s">
        <v>30</v>
      </c>
      <c r="B2127" s="0" t="n">
        <v>7</v>
      </c>
      <c r="C2127" s="0" t="n">
        <v>75684</v>
      </c>
    </row>
    <row r="2128" customFormat="false" ht="12.75" hidden="false" customHeight="false" outlineLevel="0" collapsed="false">
      <c r="A2128" s="0" t="s">
        <v>31</v>
      </c>
      <c r="B2128" s="0" t="n">
        <v>64</v>
      </c>
      <c r="C2128" s="0" t="n">
        <v>75627</v>
      </c>
    </row>
    <row r="2129" customFormat="false" ht="12.75" hidden="false" customHeight="false" outlineLevel="0" collapsed="false">
      <c r="A2129" s="0" t="s">
        <v>32</v>
      </c>
      <c r="B2129" s="0" t="n">
        <v>19</v>
      </c>
      <c r="C2129" s="0" t="n">
        <v>75681</v>
      </c>
    </row>
    <row r="2130" customFormat="false" ht="12.75" hidden="false" customHeight="false" outlineLevel="0" collapsed="false">
      <c r="A2130" s="0" t="s">
        <v>33</v>
      </c>
      <c r="B2130" s="0" t="n">
        <v>106</v>
      </c>
      <c r="C2130" s="0" t="n">
        <v>77218</v>
      </c>
    </row>
    <row r="2131" customFormat="false" ht="12.75" hidden="false" customHeight="false" outlineLevel="0" collapsed="false">
      <c r="A2131" s="0" t="s">
        <v>34</v>
      </c>
      <c r="B2131" s="0" t="n">
        <v>615</v>
      </c>
      <c r="C2131" s="0" t="n">
        <v>77137</v>
      </c>
    </row>
    <row r="2132" customFormat="false" ht="12.75" hidden="false" customHeight="false" outlineLevel="0" collapsed="false">
      <c r="A2132" s="0" t="s">
        <v>35</v>
      </c>
      <c r="B2132" s="0" t="n">
        <v>5</v>
      </c>
      <c r="C2132" s="0" t="n">
        <v>77369</v>
      </c>
    </row>
    <row r="2133" customFormat="false" ht="12.75" hidden="false" customHeight="false" outlineLevel="0" collapsed="false">
      <c r="A2133" s="0" t="s">
        <v>36</v>
      </c>
      <c r="B2133" s="0" t="n">
        <v>326</v>
      </c>
      <c r="C2133" s="0" t="n">
        <v>77098</v>
      </c>
    </row>
    <row r="2134" customFormat="false" ht="12.75" hidden="false" customHeight="false" outlineLevel="0" collapsed="false">
      <c r="A2134" s="0" t="s">
        <v>37</v>
      </c>
      <c r="B2134" s="0" t="n">
        <v>53</v>
      </c>
      <c r="C2134" s="0" t="n">
        <v>77520</v>
      </c>
    </row>
    <row r="2135" customFormat="false" ht="12.75" hidden="false" customHeight="false" outlineLevel="0" collapsed="false">
      <c r="A2135" s="0" t="s">
        <v>38</v>
      </c>
      <c r="B2135" s="0" t="n">
        <v>11</v>
      </c>
      <c r="C2135" s="0" t="n">
        <v>80271</v>
      </c>
    </row>
    <row r="2136" customFormat="false" ht="12.75" hidden="false" customHeight="false" outlineLevel="0" collapsed="false">
      <c r="A2136" s="0" t="s">
        <v>39</v>
      </c>
      <c r="B2136" s="0" t="n">
        <v>204</v>
      </c>
      <c r="C2136" s="0" t="n">
        <v>80112</v>
      </c>
    </row>
    <row r="2137" customFormat="false" ht="12.75" hidden="false" customHeight="false" outlineLevel="0" collapsed="false">
      <c r="A2137" s="0" t="s">
        <v>40</v>
      </c>
      <c r="B2137" s="0" t="n">
        <v>3</v>
      </c>
      <c r="C2137" s="0" t="n">
        <v>80364</v>
      </c>
    </row>
    <row r="2138" customFormat="false" ht="12.75" hidden="false" customHeight="false" outlineLevel="0" collapsed="false">
      <c r="A2138" s="0" t="s">
        <v>41</v>
      </c>
      <c r="B2138" s="0" t="n">
        <v>692</v>
      </c>
      <c r="C2138" s="0" t="n">
        <v>79690</v>
      </c>
    </row>
    <row r="2139" customFormat="false" ht="12.75" hidden="false" customHeight="false" outlineLevel="0" collapsed="false">
      <c r="A2139" s="0" t="s">
        <v>42</v>
      </c>
      <c r="B2139" s="0" t="n">
        <v>9</v>
      </c>
      <c r="C2139" s="0" t="n">
        <v>79800</v>
      </c>
    </row>
    <row r="2140" customFormat="false" ht="12.75" hidden="false" customHeight="false" outlineLevel="0" collapsed="false">
      <c r="A2140" s="0" t="s">
        <v>44</v>
      </c>
      <c r="B2140" s="0" t="n">
        <v>290</v>
      </c>
      <c r="C2140" s="0" t="n">
        <v>79647</v>
      </c>
    </row>
    <row r="2141" customFormat="false" ht="12.75" hidden="false" customHeight="false" outlineLevel="0" collapsed="false">
      <c r="A2141" s="0" t="s">
        <v>45</v>
      </c>
      <c r="B2141" s="0" t="n">
        <v>19</v>
      </c>
      <c r="C2141" s="0" t="n">
        <v>80241</v>
      </c>
    </row>
    <row r="2142" customFormat="false" ht="12.75" hidden="false" customHeight="false" outlineLevel="0" collapsed="false">
      <c r="A2142" s="0" t="s">
        <v>46</v>
      </c>
      <c r="B2142" s="0" t="n">
        <v>6</v>
      </c>
      <c r="C2142" s="0" t="n">
        <v>80344</v>
      </c>
    </row>
    <row r="2143" customFormat="false" ht="12.75" hidden="false" customHeight="false" outlineLevel="0" collapsed="false">
      <c r="A2143" s="0" t="s">
        <v>47</v>
      </c>
      <c r="B2143" s="0" t="n">
        <v>384</v>
      </c>
      <c r="C2143" s="0" t="n">
        <v>80022</v>
      </c>
    </row>
    <row r="2144" customFormat="false" ht="12.75" hidden="false" customHeight="false" outlineLevel="0" collapsed="false">
      <c r="A2144" s="0" t="s">
        <v>48</v>
      </c>
      <c r="B2144" s="0" t="n">
        <v>64</v>
      </c>
      <c r="C2144" s="0" t="n">
        <v>80151</v>
      </c>
    </row>
    <row r="2145" customFormat="false" ht="12.75" hidden="false" customHeight="false" outlineLevel="0" collapsed="false">
      <c r="A2145" s="0" t="s">
        <v>49</v>
      </c>
      <c r="B2145" s="0" t="n">
        <v>106</v>
      </c>
      <c r="C2145" s="0" t="n">
        <v>80193</v>
      </c>
    </row>
    <row r="2146" customFormat="false" ht="12.75" hidden="false" customHeight="false" outlineLevel="0" collapsed="false">
      <c r="A2146" s="0" t="s">
        <v>50</v>
      </c>
      <c r="B2146" s="0" t="n">
        <v>42</v>
      </c>
      <c r="C2146" s="0" t="n">
        <v>80151</v>
      </c>
    </row>
    <row r="2147" customFormat="false" ht="12.75" hidden="false" customHeight="false" outlineLevel="0" collapsed="false">
      <c r="A2147" s="0" t="s">
        <v>51</v>
      </c>
      <c r="B2147" s="0" t="n">
        <v>7</v>
      </c>
      <c r="C2147" s="0" t="n">
        <v>80227</v>
      </c>
    </row>
    <row r="2148" customFormat="false" ht="12.75" hidden="false" customHeight="false" outlineLevel="0" collapsed="false">
      <c r="A2148" s="0" t="s">
        <v>160</v>
      </c>
      <c r="B2148" s="3" t="n">
        <v>56808</v>
      </c>
      <c r="C2148" s="0" t="n">
        <v>23496</v>
      </c>
    </row>
    <row r="2149" customFormat="false" ht="12.75" hidden="false" customHeight="false" outlineLevel="0" collapsed="false">
      <c r="A2149" s="0" t="s">
        <v>1</v>
      </c>
      <c r="B2149" s="0" t="n">
        <v>251</v>
      </c>
      <c r="C2149" s="0" t="n">
        <v>27740</v>
      </c>
    </row>
    <row r="2150" customFormat="false" ht="12.75" hidden="false" customHeight="false" outlineLevel="0" collapsed="false">
      <c r="A2150" s="0" t="s">
        <v>2</v>
      </c>
      <c r="B2150" s="0" t="n">
        <v>146</v>
      </c>
      <c r="C2150" s="0" t="n">
        <v>27602</v>
      </c>
    </row>
    <row r="2151" customFormat="false" ht="12.75" hidden="false" customHeight="false" outlineLevel="0" collapsed="false">
      <c r="A2151" s="0" t="s">
        <v>3</v>
      </c>
      <c r="B2151" s="0" t="n">
        <v>551</v>
      </c>
      <c r="C2151" s="0" t="n">
        <v>27071</v>
      </c>
    </row>
    <row r="2152" customFormat="false" ht="12.75" hidden="false" customHeight="false" outlineLevel="0" collapsed="false">
      <c r="A2152" s="0" t="s">
        <v>4</v>
      </c>
      <c r="B2152" s="3" t="n">
        <v>1222</v>
      </c>
      <c r="C2152" s="0" t="n">
        <v>26296</v>
      </c>
    </row>
    <row r="2153" customFormat="false" ht="12.75" hidden="false" customHeight="false" outlineLevel="0" collapsed="false">
      <c r="A2153" s="0" t="s">
        <v>5</v>
      </c>
      <c r="B2153" s="3" t="n">
        <v>1516</v>
      </c>
      <c r="C2153" s="0" t="n">
        <v>24785</v>
      </c>
    </row>
    <row r="2154" customFormat="false" ht="12.75" hidden="false" customHeight="false" outlineLevel="0" collapsed="false">
      <c r="A2154" s="0" t="s">
        <v>6</v>
      </c>
      <c r="B2154" s="3" t="n">
        <v>1396</v>
      </c>
      <c r="C2154" s="0" t="n">
        <v>24385</v>
      </c>
    </row>
    <row r="2155" customFormat="false" ht="12.75" hidden="false" customHeight="false" outlineLevel="0" collapsed="false">
      <c r="A2155" s="0" t="s">
        <v>7</v>
      </c>
      <c r="B2155" s="0" t="n">
        <v>68</v>
      </c>
      <c r="C2155" s="0" t="n">
        <v>24598</v>
      </c>
    </row>
    <row r="2156" customFormat="false" ht="12.75" hidden="false" customHeight="false" outlineLevel="0" collapsed="false">
      <c r="A2156" s="0" t="s">
        <v>8</v>
      </c>
      <c r="B2156" s="0" t="s">
        <v>156</v>
      </c>
      <c r="C2156" s="0" t="n">
        <v>24600</v>
      </c>
    </row>
    <row r="2157" customFormat="false" ht="12.75" hidden="false" customHeight="false" outlineLevel="0" collapsed="false">
      <c r="A2157" s="0" t="s">
        <v>9</v>
      </c>
      <c r="B2157" s="0" t="n">
        <v>327</v>
      </c>
      <c r="C2157" s="0" t="n">
        <v>24273</v>
      </c>
    </row>
    <row r="2158" customFormat="false" ht="12.75" hidden="false" customHeight="false" outlineLevel="0" collapsed="false">
      <c r="A2158" s="0" t="s">
        <v>10</v>
      </c>
      <c r="B2158" s="3" t="n">
        <v>1707</v>
      </c>
      <c r="C2158" s="0" t="n">
        <v>22600</v>
      </c>
    </row>
    <row r="2159" customFormat="false" ht="12.75" hidden="false" customHeight="false" outlineLevel="0" collapsed="false">
      <c r="A2159" s="0" t="s">
        <v>11</v>
      </c>
      <c r="B2159" s="0" t="n">
        <v>377</v>
      </c>
      <c r="C2159" s="0" t="n">
        <v>22288</v>
      </c>
    </row>
    <row r="2160" customFormat="false" ht="12.75" hidden="false" customHeight="false" outlineLevel="0" collapsed="false">
      <c r="A2160" s="0" t="s">
        <v>12</v>
      </c>
      <c r="B2160" s="0" t="n">
        <v>182</v>
      </c>
      <c r="C2160" s="0" t="n">
        <v>22132</v>
      </c>
    </row>
    <row r="2161" customFormat="false" ht="12.75" hidden="false" customHeight="false" outlineLevel="0" collapsed="false">
      <c r="A2161" s="0" t="s">
        <v>13</v>
      </c>
      <c r="B2161" s="0" t="n">
        <v>118</v>
      </c>
      <c r="C2161" s="0" t="n">
        <v>22053</v>
      </c>
    </row>
    <row r="2162" customFormat="false" ht="12.75" hidden="false" customHeight="false" outlineLevel="0" collapsed="false">
      <c r="A2162" s="0" t="s">
        <v>14</v>
      </c>
      <c r="B2162" s="0" t="n">
        <v>594</v>
      </c>
      <c r="C2162" s="0" t="n">
        <v>22461</v>
      </c>
    </row>
    <row r="2163" customFormat="false" ht="12.75" hidden="false" customHeight="false" outlineLevel="0" collapsed="false">
      <c r="A2163" s="0" t="s">
        <v>15</v>
      </c>
      <c r="B2163" s="0" t="n">
        <v>174</v>
      </c>
      <c r="C2163" s="0" t="n">
        <v>22336</v>
      </c>
    </row>
    <row r="2164" customFormat="false" ht="12.75" hidden="false" customHeight="false" outlineLevel="0" collapsed="false">
      <c r="A2164" s="0" t="s">
        <v>16</v>
      </c>
      <c r="B2164" s="0" t="n">
        <v>142</v>
      </c>
      <c r="C2164" s="0" t="n">
        <v>22206</v>
      </c>
    </row>
    <row r="2165" customFormat="false" ht="12.75" hidden="false" customHeight="false" outlineLevel="0" collapsed="false">
      <c r="A2165" s="0" t="s">
        <v>17</v>
      </c>
      <c r="B2165" s="0" t="n">
        <v>563</v>
      </c>
      <c r="C2165" s="0" t="n">
        <v>21648</v>
      </c>
    </row>
    <row r="2166" customFormat="false" ht="12.75" hidden="false" customHeight="false" outlineLevel="0" collapsed="false">
      <c r="A2166" s="0" t="s">
        <v>18</v>
      </c>
      <c r="B2166" s="0" t="n">
        <v>109</v>
      </c>
      <c r="C2166" s="0" t="n">
        <v>21554</v>
      </c>
    </row>
    <row r="2167" customFormat="false" ht="12.75" hidden="false" customHeight="false" outlineLevel="0" collapsed="false">
      <c r="A2167" s="0" t="s">
        <v>19</v>
      </c>
      <c r="B2167" s="3" t="n">
        <v>3665</v>
      </c>
      <c r="C2167" s="0" t="n">
        <v>17901</v>
      </c>
    </row>
    <row r="2168" customFormat="false" ht="12.75" hidden="false" customHeight="false" outlineLevel="0" collapsed="false">
      <c r="A2168" s="0" t="s">
        <v>20</v>
      </c>
      <c r="B2168" s="0" t="n">
        <v>26</v>
      </c>
      <c r="C2168" s="0" t="n">
        <v>17889</v>
      </c>
    </row>
    <row r="2169" customFormat="false" ht="12.75" hidden="false" customHeight="false" outlineLevel="0" collapsed="false">
      <c r="A2169" s="0" t="s">
        <v>21</v>
      </c>
      <c r="B2169" s="0" t="n">
        <v>129</v>
      </c>
      <c r="C2169" s="0" t="n">
        <v>17763</v>
      </c>
    </row>
    <row r="2170" customFormat="false" ht="12.75" hidden="false" customHeight="false" outlineLevel="0" collapsed="false">
      <c r="A2170" s="0" t="s">
        <v>22</v>
      </c>
      <c r="B2170" s="0" t="n">
        <v>118</v>
      </c>
      <c r="C2170" s="0" t="n">
        <v>17656</v>
      </c>
    </row>
    <row r="2171" customFormat="false" ht="12.75" hidden="false" customHeight="false" outlineLevel="0" collapsed="false">
      <c r="A2171" s="0" t="s">
        <v>23</v>
      </c>
      <c r="B2171" s="0" t="n">
        <v>246</v>
      </c>
      <c r="C2171" s="0" t="n">
        <v>17429</v>
      </c>
    </row>
    <row r="2172" customFormat="false" ht="12.75" hidden="false" customHeight="false" outlineLevel="0" collapsed="false">
      <c r="A2172" s="0" t="s">
        <v>24</v>
      </c>
      <c r="B2172" s="0" t="n">
        <v>137</v>
      </c>
      <c r="C2172" s="0" t="n">
        <v>17305</v>
      </c>
    </row>
    <row r="2173" customFormat="false" ht="12.75" hidden="false" customHeight="false" outlineLevel="0" collapsed="false">
      <c r="A2173" s="0" t="s">
        <v>25</v>
      </c>
      <c r="B2173" s="0" t="n">
        <v>123</v>
      </c>
      <c r="C2173" s="0" t="n">
        <v>17206</v>
      </c>
    </row>
    <row r="2174" customFormat="false" ht="12.75" hidden="false" customHeight="false" outlineLevel="0" collapsed="false">
      <c r="A2174" s="0" t="s">
        <v>26</v>
      </c>
      <c r="B2174" s="3" t="n">
        <v>1086</v>
      </c>
      <c r="C2174" s="0" t="n">
        <v>16121</v>
      </c>
    </row>
    <row r="2175" customFormat="false" ht="12.75" hidden="false" customHeight="false" outlineLevel="0" collapsed="false">
      <c r="A2175" s="0" t="s">
        <v>27</v>
      </c>
      <c r="B2175" s="0" t="n">
        <v>15</v>
      </c>
      <c r="C2175" s="0" t="n">
        <v>16164</v>
      </c>
    </row>
    <row r="2176" customFormat="false" ht="12.75" hidden="false" customHeight="false" outlineLevel="0" collapsed="false">
      <c r="A2176" s="0" t="s">
        <v>28</v>
      </c>
      <c r="B2176" s="0" t="n">
        <v>68</v>
      </c>
      <c r="C2176" s="0" t="n">
        <v>16305</v>
      </c>
    </row>
    <row r="2177" customFormat="false" ht="12.75" hidden="false" customHeight="false" outlineLevel="0" collapsed="false">
      <c r="A2177" s="0" t="s">
        <v>29</v>
      </c>
      <c r="B2177" s="0" t="n">
        <v>795</v>
      </c>
      <c r="C2177" s="0" t="n">
        <v>15547</v>
      </c>
    </row>
    <row r="2178" customFormat="false" ht="12.75" hidden="false" customHeight="false" outlineLevel="0" collapsed="false">
      <c r="A2178" s="0" t="s">
        <v>30</v>
      </c>
      <c r="B2178" s="0" t="n">
        <v>7</v>
      </c>
      <c r="C2178" s="0" t="n">
        <v>17046</v>
      </c>
    </row>
    <row r="2179" customFormat="false" ht="12.75" hidden="false" customHeight="false" outlineLevel="0" collapsed="false">
      <c r="A2179" s="0" t="s">
        <v>31</v>
      </c>
      <c r="B2179" s="0" t="n">
        <v>73</v>
      </c>
      <c r="C2179" s="0" t="n">
        <v>16985</v>
      </c>
    </row>
    <row r="2180" customFormat="false" ht="12.75" hidden="false" customHeight="false" outlineLevel="0" collapsed="false">
      <c r="A2180" s="0" t="s">
        <v>32</v>
      </c>
      <c r="B2180" s="3" t="n">
        <v>1643</v>
      </c>
      <c r="C2180" s="0" t="n">
        <v>15352</v>
      </c>
    </row>
    <row r="2181" customFormat="false" ht="12.75" hidden="false" customHeight="false" outlineLevel="0" collapsed="false">
      <c r="A2181" s="0" t="s">
        <v>33</v>
      </c>
      <c r="B2181" s="0" t="n">
        <v>534</v>
      </c>
      <c r="C2181" s="0" t="n">
        <v>14889</v>
      </c>
    </row>
    <row r="2182" customFormat="false" ht="12.75" hidden="false" customHeight="false" outlineLevel="0" collapsed="false">
      <c r="A2182" s="0" t="s">
        <v>34</v>
      </c>
      <c r="B2182" s="0" t="n">
        <v>237</v>
      </c>
      <c r="C2182" s="0" t="n">
        <v>14699</v>
      </c>
    </row>
    <row r="2183" customFormat="false" ht="12.75" hidden="false" customHeight="false" outlineLevel="0" collapsed="false">
      <c r="A2183" s="0" t="s">
        <v>35</v>
      </c>
      <c r="B2183" s="0" t="n">
        <v>55</v>
      </c>
      <c r="C2183" s="0" t="n">
        <v>14655</v>
      </c>
    </row>
    <row r="2184" customFormat="false" ht="12.75" hidden="false" customHeight="false" outlineLevel="0" collapsed="false">
      <c r="A2184" s="0" t="s">
        <v>36</v>
      </c>
      <c r="B2184" s="0" t="n">
        <v>475</v>
      </c>
      <c r="C2184" s="0" t="n">
        <v>14182</v>
      </c>
    </row>
    <row r="2185" customFormat="false" ht="12.75" hidden="false" customHeight="false" outlineLevel="0" collapsed="false">
      <c r="A2185" s="0" t="s">
        <v>37</v>
      </c>
      <c r="B2185" s="3" t="n">
        <v>2762</v>
      </c>
      <c r="C2185" s="0" t="n">
        <v>11440</v>
      </c>
    </row>
    <row r="2186" customFormat="false" ht="12.75" hidden="false" customHeight="false" outlineLevel="0" collapsed="false">
      <c r="A2186" s="0" t="s">
        <v>38</v>
      </c>
      <c r="B2186" s="0" t="n">
        <v>45</v>
      </c>
      <c r="C2186" s="0" t="n">
        <v>11408</v>
      </c>
    </row>
    <row r="2187" customFormat="false" ht="12.75" hidden="false" customHeight="false" outlineLevel="0" collapsed="false">
      <c r="A2187" s="0" t="s">
        <v>39</v>
      </c>
      <c r="B2187" s="0" t="n">
        <v>255</v>
      </c>
      <c r="C2187" s="0" t="n">
        <v>11271</v>
      </c>
    </row>
    <row r="2188" customFormat="false" ht="12.75" hidden="false" customHeight="false" outlineLevel="0" collapsed="false">
      <c r="A2188" s="0" t="s">
        <v>40</v>
      </c>
      <c r="B2188" s="0" t="n">
        <v>18</v>
      </c>
      <c r="C2188" s="0" t="n">
        <v>11274</v>
      </c>
    </row>
    <row r="2189" customFormat="false" ht="12.75" hidden="false" customHeight="false" outlineLevel="0" collapsed="false">
      <c r="A2189" s="0" t="s">
        <v>41</v>
      </c>
      <c r="B2189" s="0" t="n">
        <v>119</v>
      </c>
      <c r="C2189" s="0" t="n">
        <v>11155</v>
      </c>
    </row>
    <row r="2190" customFormat="false" ht="12.75" hidden="false" customHeight="false" outlineLevel="0" collapsed="false">
      <c r="A2190" s="0" t="s">
        <v>42</v>
      </c>
      <c r="B2190" s="0" t="n">
        <v>137</v>
      </c>
      <c r="C2190" s="0" t="n">
        <v>11028</v>
      </c>
    </row>
    <row r="2191" customFormat="false" ht="12.75" hidden="false" customHeight="false" outlineLevel="0" collapsed="false">
      <c r="A2191" s="0" t="s">
        <v>43</v>
      </c>
      <c r="B2191" s="0" t="n">
        <v>613</v>
      </c>
      <c r="C2191" s="0" t="n">
        <v>10431</v>
      </c>
    </row>
    <row r="2192" customFormat="false" ht="12.75" hidden="false" customHeight="false" outlineLevel="0" collapsed="false">
      <c r="A2192" s="0" t="s">
        <v>45</v>
      </c>
      <c r="B2192" s="0" t="n">
        <v>109</v>
      </c>
      <c r="C2192" s="0" t="n">
        <v>10337</v>
      </c>
    </row>
    <row r="2193" customFormat="false" ht="12.75" hidden="false" customHeight="false" outlineLevel="0" collapsed="false">
      <c r="A2193" s="0" t="s">
        <v>46</v>
      </c>
      <c r="B2193" s="0" t="n">
        <v>62</v>
      </c>
      <c r="C2193" s="0" t="n">
        <v>10364</v>
      </c>
    </row>
    <row r="2194" customFormat="false" ht="12.75" hidden="false" customHeight="false" outlineLevel="0" collapsed="false">
      <c r="A2194" s="0" t="s">
        <v>47</v>
      </c>
      <c r="B2194" s="0" t="n">
        <v>193</v>
      </c>
      <c r="C2194" s="0" t="n">
        <v>10180</v>
      </c>
    </row>
    <row r="2195" customFormat="false" ht="12.75" hidden="false" customHeight="false" outlineLevel="0" collapsed="false">
      <c r="A2195" s="0" t="s">
        <v>48</v>
      </c>
      <c r="B2195" s="0" t="n">
        <v>148</v>
      </c>
      <c r="C2195" s="0" t="n">
        <v>10045</v>
      </c>
    </row>
    <row r="2196" customFormat="false" ht="12.75" hidden="false" customHeight="false" outlineLevel="0" collapsed="false">
      <c r="A2196" s="0" t="s">
        <v>49</v>
      </c>
      <c r="B2196" s="0" t="s">
        <v>156</v>
      </c>
      <c r="C2196" s="0" t="n">
        <v>10189</v>
      </c>
    </row>
    <row r="2197" customFormat="false" ht="12.75" hidden="false" customHeight="false" outlineLevel="0" collapsed="false">
      <c r="A2197" s="0" t="s">
        <v>50</v>
      </c>
      <c r="B2197" s="0" t="n">
        <v>83</v>
      </c>
      <c r="C2197" s="0" t="n">
        <v>10108</v>
      </c>
    </row>
    <row r="2198" customFormat="false" ht="12.75" hidden="false" customHeight="false" outlineLevel="0" collapsed="false">
      <c r="A2198" s="0" t="s">
        <v>51</v>
      </c>
      <c r="B2198" s="0" t="n">
        <v>77</v>
      </c>
      <c r="C2198" s="0" t="n">
        <v>10042</v>
      </c>
    </row>
    <row r="2199" customFormat="false" ht="12.75" hidden="false" customHeight="false" outlineLevel="0" collapsed="false">
      <c r="A2199" s="0" t="s">
        <v>161</v>
      </c>
      <c r="B2199" s="3" t="n">
        <v>4495</v>
      </c>
      <c r="C2199" s="0" t="n">
        <v>6206</v>
      </c>
    </row>
    <row r="2200" customFormat="false" ht="12.75" hidden="false" customHeight="false" outlineLevel="0" collapsed="false">
      <c r="A2200" s="0" t="s">
        <v>1</v>
      </c>
      <c r="B2200" s="0" t="n">
        <v>8</v>
      </c>
      <c r="C2200" s="0" t="n">
        <v>6515</v>
      </c>
    </row>
    <row r="2201" customFormat="false" ht="12.75" hidden="false" customHeight="false" outlineLevel="0" collapsed="false">
      <c r="A2201" s="0" t="s">
        <v>2</v>
      </c>
      <c r="B2201" s="0" t="n">
        <v>20</v>
      </c>
      <c r="C2201" s="0" t="n">
        <v>6497</v>
      </c>
    </row>
    <row r="2202" customFormat="false" ht="12.75" hidden="false" customHeight="false" outlineLevel="0" collapsed="false">
      <c r="A2202" s="0" t="s">
        <v>3</v>
      </c>
      <c r="B2202" s="0" t="n">
        <v>447</v>
      </c>
      <c r="C2202" s="0" t="n">
        <v>6053</v>
      </c>
    </row>
    <row r="2203" customFormat="false" ht="12.75" hidden="false" customHeight="false" outlineLevel="0" collapsed="false">
      <c r="A2203" s="0" t="s">
        <v>4</v>
      </c>
      <c r="B2203" s="0" t="n">
        <v>5</v>
      </c>
      <c r="C2203" s="0" t="n">
        <v>6055</v>
      </c>
    </row>
    <row r="2204" customFormat="false" ht="12.75" hidden="false" customHeight="false" outlineLevel="0" collapsed="false">
      <c r="A2204" s="0" t="s">
        <v>5</v>
      </c>
      <c r="B2204" s="0" t="n">
        <v>996</v>
      </c>
      <c r="C2204" s="0" t="n">
        <v>5061</v>
      </c>
    </row>
    <row r="2205" customFormat="false" ht="12.75" hidden="false" customHeight="false" outlineLevel="0" collapsed="false">
      <c r="A2205" s="0" t="s">
        <v>6</v>
      </c>
      <c r="B2205" s="0" t="n">
        <v>281</v>
      </c>
      <c r="C2205" s="0" t="n">
        <v>4812</v>
      </c>
    </row>
    <row r="2206" customFormat="false" ht="12.75" hidden="false" customHeight="false" outlineLevel="0" collapsed="false">
      <c r="A2206" s="0" t="s">
        <v>7</v>
      </c>
      <c r="B2206" s="0" t="n">
        <v>2</v>
      </c>
      <c r="C2206" s="0" t="n">
        <v>4823</v>
      </c>
    </row>
    <row r="2207" customFormat="false" ht="12.75" hidden="false" customHeight="false" outlineLevel="0" collapsed="false">
      <c r="A2207" s="0" t="s">
        <v>8</v>
      </c>
      <c r="B2207" s="0" t="s">
        <v>156</v>
      </c>
      <c r="C2207" s="0" t="n">
        <v>4969</v>
      </c>
    </row>
    <row r="2208" customFormat="false" ht="12.75" hidden="false" customHeight="false" outlineLevel="0" collapsed="false">
      <c r="A2208" s="0" t="s">
        <v>9</v>
      </c>
      <c r="B2208" s="0" t="n">
        <v>34</v>
      </c>
      <c r="C2208" s="0" t="n">
        <v>4940</v>
      </c>
    </row>
    <row r="2209" customFormat="false" ht="12.75" hidden="false" customHeight="false" outlineLevel="0" collapsed="false">
      <c r="A2209" s="0" t="s">
        <v>10</v>
      </c>
      <c r="B2209" s="0" t="n">
        <v>65</v>
      </c>
      <c r="C2209" s="0" t="n">
        <v>4901</v>
      </c>
    </row>
    <row r="2210" customFormat="false" ht="12.75" hidden="false" customHeight="false" outlineLevel="0" collapsed="false">
      <c r="A2210" s="0" t="s">
        <v>11</v>
      </c>
      <c r="B2210" s="0" t="n">
        <v>26</v>
      </c>
      <c r="C2210" s="0" t="n">
        <v>4972</v>
      </c>
    </row>
    <row r="2211" customFormat="false" ht="12.75" hidden="false" customHeight="false" outlineLevel="0" collapsed="false">
      <c r="A2211" s="0" t="s">
        <v>12</v>
      </c>
      <c r="B2211" s="0" t="n">
        <v>39</v>
      </c>
      <c r="C2211" s="0" t="n">
        <v>4939</v>
      </c>
    </row>
    <row r="2212" customFormat="false" ht="12.75" hidden="false" customHeight="false" outlineLevel="0" collapsed="false">
      <c r="A2212" s="0" t="s">
        <v>13</v>
      </c>
      <c r="B2212" s="3" t="n">
        <v>1002</v>
      </c>
      <c r="C2212" s="0" t="n">
        <v>3941</v>
      </c>
    </row>
    <row r="2213" customFormat="false" ht="12.75" hidden="false" customHeight="false" outlineLevel="0" collapsed="false">
      <c r="A2213" s="0" t="s">
        <v>14</v>
      </c>
      <c r="B2213" s="0" t="n">
        <v>49</v>
      </c>
      <c r="C2213" s="0" t="n">
        <v>3892</v>
      </c>
    </row>
    <row r="2214" customFormat="false" ht="12.75" hidden="false" customHeight="false" outlineLevel="0" collapsed="false">
      <c r="A2214" s="0" t="s">
        <v>15</v>
      </c>
      <c r="B2214" s="0" t="n">
        <v>12</v>
      </c>
      <c r="C2214" s="0" t="n">
        <v>3895</v>
      </c>
    </row>
    <row r="2215" customFormat="false" ht="12.75" hidden="false" customHeight="false" outlineLevel="0" collapsed="false">
      <c r="A2215" s="0" t="s">
        <v>16</v>
      </c>
      <c r="B2215" s="0" t="n">
        <v>5</v>
      </c>
      <c r="C2215" s="0" t="n">
        <v>3895</v>
      </c>
    </row>
    <row r="2216" customFormat="false" ht="12.75" hidden="false" customHeight="false" outlineLevel="0" collapsed="false">
      <c r="A2216" s="0" t="s">
        <v>17</v>
      </c>
      <c r="B2216" s="0" t="n">
        <v>15</v>
      </c>
      <c r="C2216" s="0" t="n">
        <v>3882</v>
      </c>
    </row>
    <row r="2217" customFormat="false" ht="12.75" hidden="false" customHeight="false" outlineLevel="0" collapsed="false">
      <c r="A2217" s="0" t="s">
        <v>18</v>
      </c>
      <c r="B2217" s="0" t="n">
        <v>12</v>
      </c>
      <c r="C2217" s="0" t="n">
        <v>3871</v>
      </c>
    </row>
    <row r="2218" customFormat="false" ht="12.75" hidden="false" customHeight="false" outlineLevel="0" collapsed="false">
      <c r="A2218" s="0" t="s">
        <v>19</v>
      </c>
      <c r="B2218" s="0" t="n">
        <v>14</v>
      </c>
      <c r="C2218" s="0" t="n">
        <v>3866</v>
      </c>
    </row>
    <row r="2219" customFormat="false" ht="12.75" hidden="false" customHeight="false" outlineLevel="0" collapsed="false">
      <c r="A2219" s="0" t="s">
        <v>20</v>
      </c>
      <c r="B2219" s="0" t="n">
        <v>3</v>
      </c>
      <c r="C2219" s="0" t="n">
        <v>3866</v>
      </c>
    </row>
    <row r="2220" customFormat="false" ht="12.75" hidden="false" customHeight="false" outlineLevel="0" collapsed="false">
      <c r="A2220" s="0" t="s">
        <v>21</v>
      </c>
      <c r="B2220" s="0" t="n">
        <v>11</v>
      </c>
      <c r="C2220" s="0" t="n">
        <v>4105</v>
      </c>
    </row>
    <row r="2221" customFormat="false" ht="12.75" hidden="false" customHeight="false" outlineLevel="0" collapsed="false">
      <c r="A2221" s="0" t="s">
        <v>22</v>
      </c>
      <c r="B2221" s="0" t="n">
        <v>19</v>
      </c>
      <c r="C2221" s="0" t="n">
        <v>4103</v>
      </c>
    </row>
    <row r="2222" customFormat="false" ht="12.75" hidden="false" customHeight="false" outlineLevel="0" collapsed="false">
      <c r="A2222" s="0" t="s">
        <v>23</v>
      </c>
      <c r="B2222" s="0" t="n">
        <v>13</v>
      </c>
      <c r="C2222" s="0" t="n">
        <v>4667</v>
      </c>
    </row>
    <row r="2223" customFormat="false" ht="12.75" hidden="false" customHeight="false" outlineLevel="0" collapsed="false">
      <c r="A2223" s="0" t="s">
        <v>24</v>
      </c>
      <c r="B2223" s="0" t="n">
        <v>24</v>
      </c>
      <c r="C2223" s="0" t="n">
        <v>4653</v>
      </c>
    </row>
    <row r="2224" customFormat="false" ht="12.75" hidden="false" customHeight="false" outlineLevel="0" collapsed="false">
      <c r="A2224" s="0" t="s">
        <v>25</v>
      </c>
      <c r="B2224" s="0" t="n">
        <v>1</v>
      </c>
      <c r="C2224" s="0" t="n">
        <v>4661</v>
      </c>
    </row>
    <row r="2225" customFormat="false" ht="12.75" hidden="false" customHeight="false" outlineLevel="0" collapsed="false">
      <c r="A2225" s="0" t="s">
        <v>26</v>
      </c>
      <c r="B2225" s="0" t="n">
        <v>58</v>
      </c>
      <c r="C2225" s="0" t="n">
        <v>4604</v>
      </c>
    </row>
    <row r="2226" customFormat="false" ht="12.75" hidden="false" customHeight="false" outlineLevel="0" collapsed="false">
      <c r="A2226" s="0" t="s">
        <v>27</v>
      </c>
      <c r="B2226" s="0" t="n">
        <v>209</v>
      </c>
      <c r="C2226" s="0" t="n">
        <v>4399</v>
      </c>
    </row>
    <row r="2227" customFormat="false" ht="12.75" hidden="false" customHeight="false" outlineLevel="0" collapsed="false">
      <c r="A2227" s="0" t="s">
        <v>28</v>
      </c>
      <c r="B2227" s="0" t="n">
        <v>37</v>
      </c>
      <c r="C2227" s="0" t="n">
        <v>4364</v>
      </c>
    </row>
    <row r="2228" customFormat="false" ht="12.75" hidden="false" customHeight="false" outlineLevel="0" collapsed="false">
      <c r="A2228" s="0" t="s">
        <v>29</v>
      </c>
      <c r="B2228" s="3" t="n">
        <v>1506</v>
      </c>
      <c r="C2228" s="0" t="n">
        <v>2858</v>
      </c>
    </row>
    <row r="2229" customFormat="false" ht="12.75" hidden="false" customHeight="false" outlineLevel="0" collapsed="false">
      <c r="A2229" s="0" t="s">
        <v>30</v>
      </c>
      <c r="B2229" s="0" t="n">
        <v>12</v>
      </c>
      <c r="C2229" s="0" t="n">
        <v>2850</v>
      </c>
    </row>
    <row r="2230" customFormat="false" ht="12.75" hidden="false" customHeight="false" outlineLevel="0" collapsed="false">
      <c r="A2230" s="0" t="s">
        <v>31</v>
      </c>
      <c r="B2230" s="0" t="n">
        <v>10</v>
      </c>
      <c r="C2230" s="0" t="n">
        <v>3174</v>
      </c>
    </row>
    <row r="2231" customFormat="false" ht="12.75" hidden="false" customHeight="false" outlineLevel="0" collapsed="false">
      <c r="A2231" s="0" t="s">
        <v>32</v>
      </c>
      <c r="B2231" s="0" t="n">
        <v>71</v>
      </c>
      <c r="C2231" s="0" t="n">
        <v>3247</v>
      </c>
    </row>
    <row r="2232" customFormat="false" ht="12.75" hidden="false" customHeight="false" outlineLevel="0" collapsed="false">
      <c r="A2232" s="0" t="s">
        <v>33</v>
      </c>
      <c r="B2232" s="0" t="n">
        <v>47</v>
      </c>
      <c r="C2232" s="0" t="n">
        <v>3202</v>
      </c>
    </row>
    <row r="2233" customFormat="false" ht="12.75" hidden="false" customHeight="false" outlineLevel="0" collapsed="false">
      <c r="A2233" s="0" t="s">
        <v>34</v>
      </c>
      <c r="B2233" s="0" t="n">
        <v>11</v>
      </c>
      <c r="C2233" s="0" t="n">
        <v>3738</v>
      </c>
    </row>
    <row r="2234" customFormat="false" ht="12.75" hidden="false" customHeight="false" outlineLevel="0" collapsed="false">
      <c r="A2234" s="0" t="s">
        <v>35</v>
      </c>
      <c r="B2234" s="0" t="n">
        <v>2</v>
      </c>
      <c r="C2234" s="0" t="n">
        <v>3757</v>
      </c>
    </row>
    <row r="2235" customFormat="false" ht="12.75" hidden="false" customHeight="false" outlineLevel="0" collapsed="false">
      <c r="A2235" s="0" t="s">
        <v>36</v>
      </c>
      <c r="B2235" s="0" t="n">
        <v>20</v>
      </c>
      <c r="C2235" s="0" t="n">
        <v>3738</v>
      </c>
    </row>
    <row r="2236" customFormat="false" ht="12.75" hidden="false" customHeight="false" outlineLevel="0" collapsed="false">
      <c r="A2236" s="0" t="s">
        <v>37</v>
      </c>
      <c r="B2236" s="0" t="n">
        <v>13</v>
      </c>
      <c r="C2236" s="0" t="n">
        <v>3747</v>
      </c>
    </row>
    <row r="2237" customFormat="false" ht="12.75" hidden="false" customHeight="false" outlineLevel="0" collapsed="false">
      <c r="A2237" s="0" t="s">
        <v>38</v>
      </c>
      <c r="B2237" s="0" t="n">
        <v>118</v>
      </c>
      <c r="C2237" s="0" t="n">
        <v>3632</v>
      </c>
    </row>
    <row r="2238" customFormat="false" ht="12.75" hidden="false" customHeight="false" outlineLevel="0" collapsed="false">
      <c r="A2238" s="0" t="s">
        <v>39</v>
      </c>
      <c r="B2238" s="0" t="n">
        <v>21</v>
      </c>
      <c r="C2238" s="0" t="n">
        <v>3615</v>
      </c>
    </row>
    <row r="2239" customFormat="false" ht="12.75" hidden="false" customHeight="false" outlineLevel="0" collapsed="false">
      <c r="A2239" s="0" t="s">
        <v>40</v>
      </c>
      <c r="B2239" s="0" t="s">
        <v>156</v>
      </c>
      <c r="C2239" s="0" t="n">
        <v>3689</v>
      </c>
    </row>
    <row r="2240" customFormat="false" ht="12.75" hidden="false" customHeight="false" outlineLevel="0" collapsed="false">
      <c r="A2240" s="0" t="s">
        <v>41</v>
      </c>
      <c r="B2240" s="0" t="n">
        <v>10</v>
      </c>
      <c r="C2240" s="0" t="n">
        <v>3730</v>
      </c>
    </row>
    <row r="2241" customFormat="false" ht="12.75" hidden="false" customHeight="false" outlineLevel="0" collapsed="false">
      <c r="A2241" s="0" t="s">
        <v>42</v>
      </c>
      <c r="B2241" s="0" t="n">
        <v>16</v>
      </c>
      <c r="C2241" s="0" t="n">
        <v>3724</v>
      </c>
    </row>
    <row r="2242" customFormat="false" ht="12.75" hidden="false" customHeight="false" outlineLevel="0" collapsed="false">
      <c r="A2242" s="0" t="s">
        <v>43</v>
      </c>
      <c r="B2242" s="0" t="n">
        <v>15</v>
      </c>
      <c r="C2242" s="0" t="n">
        <v>3709</v>
      </c>
    </row>
    <row r="2243" customFormat="false" ht="12.75" hidden="false" customHeight="false" outlineLevel="0" collapsed="false">
      <c r="A2243" s="0" t="s">
        <v>44</v>
      </c>
      <c r="B2243" s="0" t="n">
        <v>89</v>
      </c>
      <c r="C2243" s="0" t="n">
        <v>3629</v>
      </c>
    </row>
    <row r="2244" customFormat="false" ht="12.75" hidden="false" customHeight="false" outlineLevel="0" collapsed="false">
      <c r="A2244" s="0" t="s">
        <v>46</v>
      </c>
      <c r="B2244" s="0" t="n">
        <v>9</v>
      </c>
      <c r="C2244" s="0" t="n">
        <v>3630</v>
      </c>
    </row>
    <row r="2245" customFormat="false" ht="12.75" hidden="false" customHeight="false" outlineLevel="0" collapsed="false">
      <c r="A2245" s="0" t="s">
        <v>47</v>
      </c>
      <c r="B2245" s="0" t="n">
        <v>13</v>
      </c>
      <c r="C2245" s="0" t="n">
        <v>3621</v>
      </c>
    </row>
    <row r="2246" customFormat="false" ht="12.75" hidden="false" customHeight="false" outlineLevel="0" collapsed="false">
      <c r="A2246" s="0" t="s">
        <v>48</v>
      </c>
      <c r="B2246" s="0" t="n">
        <v>144</v>
      </c>
      <c r="C2246" s="0" t="n">
        <v>3522</v>
      </c>
    </row>
    <row r="2247" customFormat="false" ht="12.75" hidden="false" customHeight="false" outlineLevel="0" collapsed="false">
      <c r="A2247" s="0" t="s">
        <v>49</v>
      </c>
      <c r="B2247" s="0" t="n">
        <v>2</v>
      </c>
      <c r="C2247" s="0" t="n">
        <v>3526</v>
      </c>
    </row>
    <row r="2248" customFormat="false" ht="12.75" hidden="false" customHeight="false" outlineLevel="0" collapsed="false">
      <c r="A2248" s="0" t="s">
        <v>50</v>
      </c>
      <c r="B2248" s="0" t="n">
        <v>11</v>
      </c>
      <c r="C2248" s="0" t="n">
        <v>3516</v>
      </c>
    </row>
    <row r="2249" customFormat="false" ht="12.75" hidden="false" customHeight="false" outlineLevel="0" collapsed="false">
      <c r="A2249" s="0" t="s">
        <v>51</v>
      </c>
      <c r="B2249" s="0" t="n">
        <v>659</v>
      </c>
      <c r="C2249" s="0" t="n">
        <v>2860</v>
      </c>
    </row>
    <row r="2250" customFormat="false" ht="12.75" hidden="false" customHeight="false" outlineLevel="0" collapsed="false">
      <c r="A2250" s="0" t="s">
        <v>162</v>
      </c>
      <c r="B2250" s="0" t="n">
        <v>317</v>
      </c>
      <c r="C2250" s="0" t="n">
        <v>2547</v>
      </c>
    </row>
    <row r="2251" customFormat="false" ht="12.75" hidden="false" customHeight="false" outlineLevel="0" collapsed="false">
      <c r="A2251" s="0" t="s">
        <v>1</v>
      </c>
      <c r="B2251" s="0" t="n">
        <v>2</v>
      </c>
      <c r="C2251" s="0" t="n">
        <v>11557</v>
      </c>
    </row>
    <row r="2252" customFormat="false" ht="12.75" hidden="false" customHeight="false" outlineLevel="0" collapsed="false">
      <c r="A2252" s="0" t="s">
        <v>2</v>
      </c>
      <c r="B2252" s="0" t="n">
        <v>3</v>
      </c>
      <c r="C2252" s="0" t="n">
        <v>11684</v>
      </c>
    </row>
    <row r="2253" customFormat="false" ht="12.75" hidden="false" customHeight="false" outlineLevel="0" collapsed="false">
      <c r="A2253" s="0" t="s">
        <v>3</v>
      </c>
      <c r="B2253" s="0" t="n">
        <v>7</v>
      </c>
      <c r="C2253" s="0" t="n">
        <v>11681</v>
      </c>
    </row>
    <row r="2254" customFormat="false" ht="12.75" hidden="false" customHeight="false" outlineLevel="0" collapsed="false">
      <c r="A2254" s="0" t="s">
        <v>4</v>
      </c>
      <c r="B2254" s="0" t="n">
        <v>2</v>
      </c>
      <c r="C2254" s="0" t="n">
        <v>11800</v>
      </c>
    </row>
    <row r="2255" customFormat="false" ht="12.75" hidden="false" customHeight="false" outlineLevel="0" collapsed="false">
      <c r="A2255" s="0" t="s">
        <v>5</v>
      </c>
      <c r="B2255" s="0" t="n">
        <v>32</v>
      </c>
      <c r="C2255" s="0" t="n">
        <v>11780</v>
      </c>
    </row>
    <row r="2256" customFormat="false" ht="12.75" hidden="false" customHeight="false" outlineLevel="0" collapsed="false">
      <c r="A2256" s="0" t="s">
        <v>6</v>
      </c>
      <c r="B2256" s="0" t="n">
        <v>13</v>
      </c>
      <c r="C2256" s="0" t="n">
        <v>12126</v>
      </c>
    </row>
    <row r="2257" customFormat="false" ht="12.75" hidden="false" customHeight="false" outlineLevel="0" collapsed="false">
      <c r="A2257" s="0" t="s">
        <v>7</v>
      </c>
      <c r="B2257" s="0" t="n">
        <v>146</v>
      </c>
      <c r="C2257" s="0" t="n">
        <v>12080</v>
      </c>
    </row>
    <row r="2258" customFormat="false" ht="12.75" hidden="false" customHeight="false" outlineLevel="0" collapsed="false">
      <c r="A2258" s="0" t="s">
        <v>8</v>
      </c>
      <c r="B2258" s="0" t="n">
        <v>5</v>
      </c>
      <c r="C2258" s="0" t="n">
        <v>12242</v>
      </c>
    </row>
    <row r="2259" customFormat="false" ht="12.75" hidden="false" customHeight="false" outlineLevel="0" collapsed="false">
      <c r="A2259" s="0" t="s">
        <v>9</v>
      </c>
      <c r="B2259" s="0" t="n">
        <v>26</v>
      </c>
      <c r="C2259" s="0" t="n">
        <v>12573</v>
      </c>
    </row>
    <row r="2260" customFormat="false" ht="12.75" hidden="false" customHeight="false" outlineLevel="0" collapsed="false">
      <c r="A2260" s="0" t="s">
        <v>10</v>
      </c>
      <c r="B2260" s="0" t="n">
        <v>97</v>
      </c>
      <c r="C2260" s="0" t="n">
        <v>13565</v>
      </c>
    </row>
    <row r="2261" customFormat="false" ht="12.75" hidden="false" customHeight="false" outlineLevel="0" collapsed="false">
      <c r="A2261" s="0" t="s">
        <v>11</v>
      </c>
      <c r="B2261" s="0" t="n">
        <v>6</v>
      </c>
      <c r="C2261" s="0" t="n">
        <v>14747</v>
      </c>
    </row>
    <row r="2262" customFormat="false" ht="12.75" hidden="false" customHeight="false" outlineLevel="0" collapsed="false">
      <c r="A2262" s="0" t="s">
        <v>12</v>
      </c>
      <c r="B2262" s="0" t="n">
        <v>4</v>
      </c>
      <c r="C2262" s="0" t="n">
        <v>15351</v>
      </c>
    </row>
    <row r="2263" customFormat="false" ht="12.75" hidden="false" customHeight="false" outlineLevel="0" collapsed="false">
      <c r="A2263" s="0" t="s">
        <v>13</v>
      </c>
      <c r="B2263" s="0" t="s">
        <v>156</v>
      </c>
      <c r="C2263" s="0" t="n">
        <v>15402</v>
      </c>
    </row>
    <row r="2264" customFormat="false" ht="12.75" hidden="false" customHeight="false" outlineLevel="0" collapsed="false">
      <c r="A2264" s="0" t="s">
        <v>14</v>
      </c>
      <c r="B2264" s="0" t="n">
        <v>15</v>
      </c>
      <c r="C2264" s="0" t="n">
        <v>15407</v>
      </c>
    </row>
    <row r="2265" customFormat="false" ht="12.75" hidden="false" customHeight="false" outlineLevel="0" collapsed="false">
      <c r="A2265" s="0" t="s">
        <v>15</v>
      </c>
      <c r="B2265" s="0" t="n">
        <v>5</v>
      </c>
      <c r="C2265" s="0" t="n">
        <v>15654</v>
      </c>
    </row>
    <row r="2266" customFormat="false" ht="12.75" hidden="false" customHeight="false" outlineLevel="0" collapsed="false">
      <c r="A2266" s="0" t="s">
        <v>16</v>
      </c>
      <c r="B2266" s="0" t="n">
        <v>2</v>
      </c>
      <c r="C2266" s="0" t="n">
        <v>15748</v>
      </c>
    </row>
    <row r="2267" customFormat="false" ht="12.75" hidden="false" customHeight="false" outlineLevel="0" collapsed="false">
      <c r="A2267" s="0" t="s">
        <v>17</v>
      </c>
      <c r="B2267" s="0" t="n">
        <v>1</v>
      </c>
      <c r="C2267" s="0" t="n">
        <v>15802</v>
      </c>
    </row>
    <row r="2268" customFormat="false" ht="12.75" hidden="false" customHeight="false" outlineLevel="0" collapsed="false">
      <c r="A2268" s="0" t="s">
        <v>18</v>
      </c>
      <c r="B2268" s="0" t="n">
        <v>9</v>
      </c>
      <c r="C2268" s="0" t="n">
        <v>15828</v>
      </c>
    </row>
    <row r="2269" customFormat="false" ht="12.75" hidden="false" customHeight="false" outlineLevel="0" collapsed="false">
      <c r="A2269" s="0" t="s">
        <v>19</v>
      </c>
      <c r="B2269" s="0" t="n">
        <v>3</v>
      </c>
      <c r="C2269" s="0" t="n">
        <v>15984</v>
      </c>
    </row>
    <row r="2270" customFormat="false" ht="12.75" hidden="false" customHeight="false" outlineLevel="0" collapsed="false">
      <c r="A2270" s="0" t="s">
        <v>20</v>
      </c>
      <c r="B2270" s="0" t="n">
        <v>250</v>
      </c>
      <c r="C2270" s="0" t="n">
        <v>15876</v>
      </c>
    </row>
    <row r="2271" customFormat="false" ht="12.75" hidden="false" customHeight="false" outlineLevel="0" collapsed="false">
      <c r="A2271" s="0" t="s">
        <v>21</v>
      </c>
      <c r="B2271" s="0" t="n">
        <v>17</v>
      </c>
      <c r="C2271" s="0" t="n">
        <v>15948</v>
      </c>
    </row>
    <row r="2272" customFormat="false" ht="12.75" hidden="false" customHeight="false" outlineLevel="0" collapsed="false">
      <c r="A2272" s="0" t="s">
        <v>22</v>
      </c>
      <c r="B2272" s="0" t="n">
        <v>577</v>
      </c>
      <c r="C2272" s="0" t="n">
        <v>16471</v>
      </c>
    </row>
    <row r="2273" customFormat="false" ht="12.75" hidden="false" customHeight="false" outlineLevel="0" collapsed="false">
      <c r="A2273" s="0" t="s">
        <v>23</v>
      </c>
      <c r="B2273" s="0" t="n">
        <v>10</v>
      </c>
      <c r="C2273" s="0" t="n">
        <v>16818</v>
      </c>
    </row>
    <row r="2274" customFormat="false" ht="12.75" hidden="false" customHeight="false" outlineLevel="0" collapsed="false">
      <c r="A2274" s="0" t="s">
        <v>24</v>
      </c>
      <c r="B2274" s="0" t="n">
        <v>9</v>
      </c>
      <c r="C2274" s="0" t="n">
        <v>16967</v>
      </c>
    </row>
    <row r="2275" customFormat="false" ht="12.75" hidden="false" customHeight="false" outlineLevel="0" collapsed="false">
      <c r="A2275" s="0" t="s">
        <v>25</v>
      </c>
      <c r="B2275" s="0" t="n">
        <v>1</v>
      </c>
      <c r="C2275" s="0" t="n">
        <v>17022</v>
      </c>
    </row>
    <row r="2276" customFormat="false" ht="12.75" hidden="false" customHeight="false" outlineLevel="0" collapsed="false">
      <c r="A2276" s="0" t="s">
        <v>26</v>
      </c>
      <c r="B2276" s="0" t="n">
        <v>4</v>
      </c>
      <c r="C2276" s="0" t="n">
        <v>17138</v>
      </c>
    </row>
    <row r="2277" customFormat="false" ht="12.75" hidden="false" customHeight="false" outlineLevel="0" collapsed="false">
      <c r="A2277" s="0" t="s">
        <v>27</v>
      </c>
      <c r="B2277" s="0" t="n">
        <v>2</v>
      </c>
      <c r="C2277" s="0" t="n">
        <v>17358</v>
      </c>
    </row>
    <row r="2278" customFormat="false" ht="12.75" hidden="false" customHeight="false" outlineLevel="0" collapsed="false">
      <c r="A2278" s="0" t="s">
        <v>28</v>
      </c>
      <c r="B2278" s="0" t="s">
        <v>156</v>
      </c>
      <c r="C2278" s="0" t="n">
        <v>17385</v>
      </c>
    </row>
    <row r="2279" customFormat="false" ht="12.75" hidden="false" customHeight="false" outlineLevel="0" collapsed="false">
      <c r="A2279" s="0" t="s">
        <v>29</v>
      </c>
      <c r="B2279" s="0" t="n">
        <v>4</v>
      </c>
      <c r="C2279" s="0" t="n">
        <v>17394</v>
      </c>
    </row>
    <row r="2280" customFormat="false" ht="12.75" hidden="false" customHeight="false" outlineLevel="0" collapsed="false">
      <c r="A2280" s="0" t="s">
        <v>30</v>
      </c>
      <c r="B2280" s="0" t="n">
        <v>334</v>
      </c>
      <c r="C2280" s="0" t="n">
        <v>17099</v>
      </c>
    </row>
    <row r="2281" customFormat="false" ht="12.75" hidden="false" customHeight="false" outlineLevel="0" collapsed="false">
      <c r="A2281" s="0" t="s">
        <v>31</v>
      </c>
      <c r="B2281" s="0" t="n">
        <v>144</v>
      </c>
      <c r="C2281" s="0" t="n">
        <v>17020</v>
      </c>
    </row>
    <row r="2282" customFormat="false" ht="12.75" hidden="false" customHeight="false" outlineLevel="0" collapsed="false">
      <c r="A2282" s="0" t="s">
        <v>32</v>
      </c>
      <c r="B2282" s="0" t="n">
        <v>2</v>
      </c>
      <c r="C2282" s="0" t="n">
        <v>17578</v>
      </c>
    </row>
    <row r="2283" customFormat="false" ht="12.75" hidden="false" customHeight="false" outlineLevel="0" collapsed="false">
      <c r="A2283" s="0" t="s">
        <v>33</v>
      </c>
      <c r="B2283" s="0" t="n">
        <v>547</v>
      </c>
      <c r="C2283" s="0" t="n">
        <v>17092</v>
      </c>
    </row>
    <row r="2284" customFormat="false" ht="12.75" hidden="false" customHeight="false" outlineLevel="0" collapsed="false">
      <c r="A2284" s="0" t="s">
        <v>34</v>
      </c>
      <c r="B2284" s="0" t="n">
        <v>21</v>
      </c>
      <c r="C2284" s="0" t="n">
        <v>18083</v>
      </c>
    </row>
    <row r="2285" customFormat="false" ht="12.75" hidden="false" customHeight="false" outlineLevel="0" collapsed="false">
      <c r="A2285" s="0" t="s">
        <v>35</v>
      </c>
      <c r="B2285" s="0" t="n">
        <v>1</v>
      </c>
      <c r="C2285" s="0" t="n">
        <v>21843</v>
      </c>
    </row>
    <row r="2286" customFormat="false" ht="12.75" hidden="false" customHeight="false" outlineLevel="0" collapsed="false">
      <c r="A2286" s="0" t="s">
        <v>36</v>
      </c>
      <c r="B2286" s="0" t="n">
        <v>22</v>
      </c>
      <c r="C2286" s="0" t="n">
        <v>21821</v>
      </c>
    </row>
    <row r="2287" customFormat="false" ht="12.75" hidden="false" customHeight="false" outlineLevel="0" collapsed="false">
      <c r="A2287" s="0" t="s">
        <v>37</v>
      </c>
      <c r="B2287" s="0" t="n">
        <v>3</v>
      </c>
      <c r="C2287" s="0" t="n">
        <v>22350</v>
      </c>
    </row>
    <row r="2288" customFormat="false" ht="12.75" hidden="false" customHeight="false" outlineLevel="0" collapsed="false">
      <c r="A2288" s="0" t="s">
        <v>38</v>
      </c>
      <c r="B2288" s="0" t="n">
        <v>4</v>
      </c>
      <c r="C2288" s="0" t="n">
        <v>22382</v>
      </c>
    </row>
    <row r="2289" customFormat="false" ht="12.75" hidden="false" customHeight="false" outlineLevel="0" collapsed="false">
      <c r="A2289" s="0" t="s">
        <v>39</v>
      </c>
      <c r="B2289" s="0" t="n">
        <v>74</v>
      </c>
      <c r="C2289" s="0" t="n">
        <v>22308</v>
      </c>
    </row>
    <row r="2290" customFormat="false" ht="12.75" hidden="false" customHeight="false" outlineLevel="0" collapsed="false">
      <c r="A2290" s="0" t="s">
        <v>40</v>
      </c>
      <c r="B2290" s="0" t="n">
        <v>51</v>
      </c>
      <c r="C2290" s="0" t="n">
        <v>24664</v>
      </c>
    </row>
    <row r="2291" customFormat="false" ht="12.75" hidden="false" customHeight="false" outlineLevel="0" collapsed="false">
      <c r="A2291" s="0" t="s">
        <v>41</v>
      </c>
      <c r="B2291" s="0" t="n">
        <v>10</v>
      </c>
      <c r="C2291" s="0" t="n">
        <v>24722</v>
      </c>
    </row>
    <row r="2292" customFormat="false" ht="12.75" hidden="false" customHeight="false" outlineLevel="0" collapsed="false">
      <c r="A2292" s="0" t="s">
        <v>42</v>
      </c>
      <c r="B2292" s="0" t="s">
        <v>156</v>
      </c>
      <c r="C2292" s="0" t="n">
        <v>25500</v>
      </c>
    </row>
    <row r="2293" customFormat="false" ht="12.75" hidden="false" customHeight="false" outlineLevel="0" collapsed="false">
      <c r="A2293" s="0" t="s">
        <v>43</v>
      </c>
      <c r="B2293" s="0" t="n">
        <v>9</v>
      </c>
      <c r="C2293" s="0" t="n">
        <v>25503</v>
      </c>
    </row>
    <row r="2294" customFormat="false" ht="12.75" hidden="false" customHeight="false" outlineLevel="0" collapsed="false">
      <c r="A2294" s="0" t="s">
        <v>44</v>
      </c>
      <c r="B2294" s="0" t="n">
        <v>10</v>
      </c>
      <c r="C2294" s="0" t="n">
        <v>26385</v>
      </c>
    </row>
    <row r="2295" customFormat="false" ht="12.75" hidden="false" customHeight="false" outlineLevel="0" collapsed="false">
      <c r="A2295" s="0" t="s">
        <v>45</v>
      </c>
      <c r="B2295" s="0" t="n">
        <v>4</v>
      </c>
      <c r="C2295" s="0" t="n">
        <v>26689</v>
      </c>
    </row>
    <row r="2296" customFormat="false" ht="12.75" hidden="false" customHeight="false" outlineLevel="0" collapsed="false">
      <c r="A2296" s="0" t="s">
        <v>47</v>
      </c>
      <c r="B2296" s="0" t="n">
        <v>45</v>
      </c>
      <c r="C2296" s="0" t="n">
        <v>26678</v>
      </c>
    </row>
    <row r="2297" customFormat="false" ht="12.75" hidden="false" customHeight="false" outlineLevel="0" collapsed="false">
      <c r="A2297" s="0" t="s">
        <v>48</v>
      </c>
      <c r="B2297" s="0" t="n">
        <v>6</v>
      </c>
      <c r="C2297" s="0" t="n">
        <v>26769</v>
      </c>
    </row>
    <row r="2298" customFormat="false" ht="12.75" hidden="false" customHeight="false" outlineLevel="0" collapsed="false">
      <c r="A2298" s="0" t="s">
        <v>49</v>
      </c>
      <c r="B2298" s="0" t="n">
        <v>1</v>
      </c>
      <c r="C2298" s="0" t="n">
        <v>26803</v>
      </c>
    </row>
    <row r="2299" customFormat="false" ht="12.75" hidden="false" customHeight="false" outlineLevel="0" collapsed="false">
      <c r="A2299" s="0" t="s">
        <v>50</v>
      </c>
      <c r="B2299" s="0" t="n">
        <v>3</v>
      </c>
      <c r="C2299" s="0" t="n">
        <v>27902</v>
      </c>
    </row>
    <row r="2300" customFormat="false" ht="12.75" hidden="false" customHeight="false" outlineLevel="0" collapsed="false">
      <c r="A2300" s="0" t="s">
        <v>51</v>
      </c>
      <c r="B2300" s="0" t="n">
        <v>4</v>
      </c>
      <c r="C2300" s="0" t="n">
        <v>27951</v>
      </c>
    </row>
    <row r="2301" customFormat="false" ht="12.75" hidden="false" customHeight="false" outlineLevel="0" collapsed="false">
      <c r="A2301" s="0" t="s">
        <v>163</v>
      </c>
      <c r="B2301" s="3" t="n">
        <v>9012</v>
      </c>
      <c r="C2301" s="0" t="n">
        <v>18941</v>
      </c>
    </row>
    <row r="2302" customFormat="false" ht="12.75" hidden="false" customHeight="false" outlineLevel="0" collapsed="false">
      <c r="A2302" s="0" t="s">
        <v>1</v>
      </c>
      <c r="B2302" s="0" t="n">
        <v>130</v>
      </c>
      <c r="C2302" s="0" t="n">
        <v>32555</v>
      </c>
    </row>
    <row r="2303" customFormat="false" ht="12.75" hidden="false" customHeight="false" outlineLevel="0" collapsed="false">
      <c r="A2303" s="0" t="s">
        <v>2</v>
      </c>
      <c r="B2303" s="0" t="n">
        <v>4</v>
      </c>
      <c r="C2303" s="0" t="n">
        <v>32594</v>
      </c>
    </row>
    <row r="2304" customFormat="false" ht="12.75" hidden="false" customHeight="false" outlineLevel="0" collapsed="false">
      <c r="A2304" s="0" t="s">
        <v>3</v>
      </c>
      <c r="B2304" s="0" t="n">
        <v>121</v>
      </c>
      <c r="C2304" s="0" t="n">
        <v>32587</v>
      </c>
    </row>
    <row r="2305" customFormat="false" ht="12.75" hidden="false" customHeight="false" outlineLevel="0" collapsed="false">
      <c r="A2305" s="0" t="s">
        <v>4</v>
      </c>
      <c r="B2305" s="0" t="n">
        <v>12</v>
      </c>
      <c r="C2305" s="0" t="n">
        <v>32738</v>
      </c>
    </row>
    <row r="2306" customFormat="false" ht="12.75" hidden="false" customHeight="false" outlineLevel="0" collapsed="false">
      <c r="A2306" s="0" t="s">
        <v>5</v>
      </c>
      <c r="B2306" s="0" t="n">
        <v>359</v>
      </c>
      <c r="C2306" s="0" t="n">
        <v>32391</v>
      </c>
    </row>
    <row r="2307" customFormat="false" ht="12.75" hidden="false" customHeight="false" outlineLevel="0" collapsed="false">
      <c r="A2307" s="0" t="s">
        <v>6</v>
      </c>
      <c r="B2307" s="0" t="n">
        <v>100</v>
      </c>
      <c r="C2307" s="0" t="n">
        <v>34010</v>
      </c>
    </row>
    <row r="2308" customFormat="false" ht="12.75" hidden="false" customHeight="false" outlineLevel="0" collapsed="false">
      <c r="A2308" s="0" t="s">
        <v>7</v>
      </c>
      <c r="B2308" s="0" t="n">
        <v>167</v>
      </c>
      <c r="C2308" s="0" t="n">
        <v>34007</v>
      </c>
    </row>
    <row r="2309" customFormat="false" ht="12.75" hidden="false" customHeight="false" outlineLevel="0" collapsed="false">
      <c r="A2309" s="0" t="s">
        <v>8</v>
      </c>
      <c r="B2309" s="0" t="n">
        <v>357</v>
      </c>
      <c r="C2309" s="0" t="n">
        <v>33684</v>
      </c>
    </row>
    <row r="2310" customFormat="false" ht="12.75" hidden="false" customHeight="false" outlineLevel="0" collapsed="false">
      <c r="A2310" s="0" t="s">
        <v>9</v>
      </c>
      <c r="B2310" s="3" t="n">
        <v>1089</v>
      </c>
      <c r="C2310" s="0" t="n">
        <v>32596</v>
      </c>
    </row>
    <row r="2311" customFormat="false" ht="12.75" hidden="false" customHeight="false" outlineLevel="0" collapsed="false">
      <c r="A2311" s="0" t="s">
        <v>10</v>
      </c>
      <c r="B2311" s="3" t="n">
        <v>1188</v>
      </c>
      <c r="C2311" s="0" t="n">
        <v>31491</v>
      </c>
    </row>
    <row r="2312" customFormat="false" ht="12.75" hidden="false" customHeight="false" outlineLevel="0" collapsed="false">
      <c r="A2312" s="0" t="s">
        <v>11</v>
      </c>
      <c r="B2312" s="0" t="n">
        <v>608</v>
      </c>
      <c r="C2312" s="0" t="n">
        <v>31058</v>
      </c>
    </row>
    <row r="2313" customFormat="false" ht="12.75" hidden="false" customHeight="false" outlineLevel="0" collapsed="false">
      <c r="A2313" s="0" t="s">
        <v>12</v>
      </c>
      <c r="B2313" s="0" t="n">
        <v>51</v>
      </c>
      <c r="C2313" s="0" t="n">
        <v>31088</v>
      </c>
    </row>
    <row r="2314" customFormat="false" ht="12.75" hidden="false" customHeight="false" outlineLevel="0" collapsed="false">
      <c r="A2314" s="0" t="s">
        <v>13</v>
      </c>
      <c r="B2314" s="0" t="n">
        <v>20</v>
      </c>
      <c r="C2314" s="0" t="n">
        <v>31329</v>
      </c>
    </row>
    <row r="2315" customFormat="false" ht="12.75" hidden="false" customHeight="false" outlineLevel="0" collapsed="false">
      <c r="A2315" s="0" t="s">
        <v>14</v>
      </c>
      <c r="B2315" s="0" t="n">
        <v>252</v>
      </c>
      <c r="C2315" s="0" t="n">
        <v>31892</v>
      </c>
    </row>
    <row r="2316" customFormat="false" ht="12.75" hidden="false" customHeight="false" outlineLevel="0" collapsed="false">
      <c r="A2316" s="0" t="s">
        <v>15</v>
      </c>
      <c r="B2316" s="0" t="n">
        <v>96</v>
      </c>
      <c r="C2316" s="0" t="n">
        <v>31926</v>
      </c>
    </row>
    <row r="2317" customFormat="false" ht="12.75" hidden="false" customHeight="false" outlineLevel="0" collapsed="false">
      <c r="A2317" s="0" t="s">
        <v>16</v>
      </c>
      <c r="B2317" s="0" t="n">
        <v>55</v>
      </c>
      <c r="C2317" s="0" t="n">
        <v>31893</v>
      </c>
    </row>
    <row r="2318" customFormat="false" ht="12.75" hidden="false" customHeight="false" outlineLevel="0" collapsed="false">
      <c r="A2318" s="0" t="s">
        <v>17</v>
      </c>
      <c r="B2318" s="0" t="n">
        <v>35</v>
      </c>
      <c r="C2318" s="0" t="n">
        <v>31926</v>
      </c>
    </row>
    <row r="2319" customFormat="false" ht="12.75" hidden="false" customHeight="false" outlineLevel="0" collapsed="false">
      <c r="A2319" s="0" t="s">
        <v>18</v>
      </c>
      <c r="B2319" s="0" t="n">
        <v>159</v>
      </c>
      <c r="C2319" s="0" t="n">
        <v>31783</v>
      </c>
    </row>
    <row r="2320" customFormat="false" ht="12.75" hidden="false" customHeight="false" outlineLevel="0" collapsed="false">
      <c r="A2320" s="0" t="s">
        <v>19</v>
      </c>
      <c r="B2320" s="0" t="n">
        <v>142</v>
      </c>
      <c r="C2320" s="0" t="n">
        <v>31655</v>
      </c>
    </row>
    <row r="2321" customFormat="false" ht="12.75" hidden="false" customHeight="false" outlineLevel="0" collapsed="false">
      <c r="A2321" s="0" t="s">
        <v>20</v>
      </c>
      <c r="B2321" s="0" t="n">
        <v>89</v>
      </c>
      <c r="C2321" s="0" t="n">
        <v>31613</v>
      </c>
    </row>
    <row r="2322" customFormat="false" ht="12.75" hidden="false" customHeight="false" outlineLevel="0" collapsed="false">
      <c r="A2322" s="0" t="s">
        <v>21</v>
      </c>
      <c r="B2322" s="3" t="n">
        <v>1100</v>
      </c>
      <c r="C2322" s="0" t="n">
        <v>30520</v>
      </c>
    </row>
    <row r="2323" customFormat="false" ht="12.75" hidden="false" customHeight="false" outlineLevel="0" collapsed="false">
      <c r="A2323" s="0" t="s">
        <v>22</v>
      </c>
      <c r="B2323" s="0" t="n">
        <v>357</v>
      </c>
      <c r="C2323" s="0" t="n">
        <v>30203</v>
      </c>
    </row>
    <row r="2324" customFormat="false" ht="12.75" hidden="false" customHeight="false" outlineLevel="0" collapsed="false">
      <c r="A2324" s="0" t="s">
        <v>23</v>
      </c>
      <c r="B2324" s="0" t="n">
        <v>158</v>
      </c>
      <c r="C2324" s="0" t="n">
        <v>30169</v>
      </c>
    </row>
    <row r="2325" customFormat="false" ht="12.75" hidden="false" customHeight="false" outlineLevel="0" collapsed="false">
      <c r="A2325" s="0" t="s">
        <v>24</v>
      </c>
      <c r="B2325" s="0" t="n">
        <v>56</v>
      </c>
      <c r="C2325" s="0" t="n">
        <v>30176</v>
      </c>
    </row>
    <row r="2326" customFormat="false" ht="12.75" hidden="false" customHeight="false" outlineLevel="0" collapsed="false">
      <c r="A2326" s="0" t="s">
        <v>25</v>
      </c>
      <c r="B2326" s="0" t="n">
        <v>120</v>
      </c>
      <c r="C2326" s="0" t="n">
        <v>30132</v>
      </c>
    </row>
    <row r="2327" customFormat="false" ht="12.75" hidden="false" customHeight="false" outlineLevel="0" collapsed="false">
      <c r="A2327" s="0" t="s">
        <v>26</v>
      </c>
      <c r="B2327" s="0" t="n">
        <v>222</v>
      </c>
      <c r="C2327" s="0" t="n">
        <v>29932</v>
      </c>
    </row>
    <row r="2328" customFormat="false" ht="12.75" hidden="false" customHeight="false" outlineLevel="0" collapsed="false">
      <c r="A2328" s="0" t="s">
        <v>27</v>
      </c>
      <c r="B2328" s="0" t="n">
        <v>27</v>
      </c>
      <c r="C2328" s="0" t="n">
        <v>30012</v>
      </c>
    </row>
    <row r="2329" customFormat="false" ht="12.75" hidden="false" customHeight="false" outlineLevel="0" collapsed="false">
      <c r="A2329" s="0" t="s">
        <v>28</v>
      </c>
      <c r="B2329" s="0" t="n">
        <v>13</v>
      </c>
      <c r="C2329" s="0" t="n">
        <v>30401</v>
      </c>
    </row>
    <row r="2330" customFormat="false" ht="12.75" hidden="false" customHeight="false" outlineLevel="0" collapsed="false">
      <c r="A2330" s="0" t="s">
        <v>29</v>
      </c>
      <c r="B2330" s="0" t="n">
        <v>39</v>
      </c>
      <c r="C2330" s="0" t="n">
        <v>30382</v>
      </c>
    </row>
    <row r="2331" customFormat="false" ht="12.75" hidden="false" customHeight="false" outlineLevel="0" collapsed="false">
      <c r="A2331" s="0" t="s">
        <v>30</v>
      </c>
      <c r="B2331" s="0" t="n">
        <v>65</v>
      </c>
      <c r="C2331" s="0" t="n">
        <v>31059</v>
      </c>
    </row>
    <row r="2332" customFormat="false" ht="12.75" hidden="false" customHeight="false" outlineLevel="0" collapsed="false">
      <c r="A2332" s="0" t="s">
        <v>31</v>
      </c>
      <c r="B2332" s="0" t="n">
        <v>560</v>
      </c>
      <c r="C2332" s="0" t="n">
        <v>30504</v>
      </c>
    </row>
    <row r="2333" customFormat="false" ht="12.75" hidden="false" customHeight="false" outlineLevel="0" collapsed="false">
      <c r="A2333" s="0" t="s">
        <v>32</v>
      </c>
      <c r="B2333" s="0" t="n">
        <v>61</v>
      </c>
      <c r="C2333" s="0" t="n">
        <v>30511</v>
      </c>
    </row>
    <row r="2334" customFormat="false" ht="12.75" hidden="false" customHeight="false" outlineLevel="0" collapsed="false">
      <c r="A2334" s="0" t="s">
        <v>33</v>
      </c>
      <c r="B2334" s="3" t="n">
        <v>1012</v>
      </c>
      <c r="C2334" s="0" t="n">
        <v>29539</v>
      </c>
    </row>
    <row r="2335" customFormat="false" ht="12.75" hidden="false" customHeight="false" outlineLevel="0" collapsed="false">
      <c r="A2335" s="0" t="s">
        <v>34</v>
      </c>
      <c r="B2335" s="3" t="n">
        <v>3761</v>
      </c>
      <c r="C2335" s="0" t="n">
        <v>25910</v>
      </c>
    </row>
    <row r="2336" customFormat="false" ht="12.75" hidden="false" customHeight="false" outlineLevel="0" collapsed="false">
      <c r="A2336" s="0" t="s">
        <v>35</v>
      </c>
      <c r="B2336" s="0" t="s">
        <v>156</v>
      </c>
      <c r="C2336" s="0" t="n">
        <v>25951</v>
      </c>
    </row>
    <row r="2337" customFormat="false" ht="12.75" hidden="false" customHeight="false" outlineLevel="0" collapsed="false">
      <c r="A2337" s="0" t="s">
        <v>36</v>
      </c>
      <c r="B2337" s="0" t="n">
        <v>532</v>
      </c>
      <c r="C2337" s="0" t="n">
        <v>25461</v>
      </c>
    </row>
    <row r="2338" customFormat="false" ht="12.75" hidden="false" customHeight="false" outlineLevel="0" collapsed="false">
      <c r="A2338" s="0" t="s">
        <v>37</v>
      </c>
      <c r="B2338" s="0" t="n">
        <v>36</v>
      </c>
      <c r="C2338" s="0" t="n">
        <v>25460</v>
      </c>
    </row>
    <row r="2339" customFormat="false" ht="12.75" hidden="false" customHeight="false" outlineLevel="0" collapsed="false">
      <c r="A2339" s="0" t="s">
        <v>38</v>
      </c>
      <c r="B2339" s="0" t="s">
        <v>156</v>
      </c>
      <c r="C2339" s="0" t="n">
        <v>25500</v>
      </c>
    </row>
    <row r="2340" customFormat="false" ht="12.75" hidden="false" customHeight="false" outlineLevel="0" collapsed="false">
      <c r="A2340" s="0" t="s">
        <v>39</v>
      </c>
      <c r="B2340" s="3" t="n">
        <v>2407</v>
      </c>
      <c r="C2340" s="0" t="n">
        <v>27017</v>
      </c>
    </row>
    <row r="2341" customFormat="false" ht="12.75" hidden="false" customHeight="false" outlineLevel="0" collapsed="false">
      <c r="A2341" s="0" t="s">
        <v>40</v>
      </c>
      <c r="B2341" s="0" t="n">
        <v>68</v>
      </c>
      <c r="C2341" s="0" t="n">
        <v>27004</v>
      </c>
    </row>
    <row r="2342" customFormat="false" ht="12.75" hidden="false" customHeight="false" outlineLevel="0" collapsed="false">
      <c r="A2342" s="0" t="s">
        <v>41</v>
      </c>
      <c r="B2342" s="0" t="n">
        <v>778</v>
      </c>
      <c r="C2342" s="0" t="n">
        <v>26227</v>
      </c>
    </row>
    <row r="2343" customFormat="false" ht="12.75" hidden="false" customHeight="false" outlineLevel="0" collapsed="false">
      <c r="A2343" s="0" t="s">
        <v>42</v>
      </c>
      <c r="B2343" s="0" t="n">
        <v>12</v>
      </c>
      <c r="C2343" s="0" t="n">
        <v>26239</v>
      </c>
    </row>
    <row r="2344" customFormat="false" ht="12.75" hidden="false" customHeight="false" outlineLevel="0" collapsed="false">
      <c r="A2344" s="0" t="s">
        <v>43</v>
      </c>
      <c r="B2344" s="0" t="n">
        <v>892</v>
      </c>
      <c r="C2344" s="0" t="n">
        <v>25393</v>
      </c>
    </row>
    <row r="2345" customFormat="false" ht="12.75" hidden="false" customHeight="false" outlineLevel="0" collapsed="false">
      <c r="A2345" s="0" t="s">
        <v>44</v>
      </c>
      <c r="B2345" s="0" t="n">
        <v>308</v>
      </c>
      <c r="C2345" s="0" t="n">
        <v>25099</v>
      </c>
    </row>
    <row r="2346" customFormat="false" ht="12.75" hidden="false" customHeight="false" outlineLevel="0" collapsed="false">
      <c r="A2346" s="0" t="s">
        <v>45</v>
      </c>
      <c r="B2346" s="0" t="n">
        <v>34</v>
      </c>
      <c r="C2346" s="0" t="n">
        <v>25286</v>
      </c>
    </row>
    <row r="2347" customFormat="false" ht="12.75" hidden="false" customHeight="false" outlineLevel="0" collapsed="false">
      <c r="A2347" s="0" t="s">
        <v>46</v>
      </c>
      <c r="B2347" s="0" t="n">
        <v>97</v>
      </c>
      <c r="C2347" s="0" t="n">
        <v>25333</v>
      </c>
    </row>
    <row r="2348" customFormat="false" ht="12.75" hidden="false" customHeight="false" outlineLevel="0" collapsed="false">
      <c r="A2348" s="0" t="s">
        <v>48</v>
      </c>
      <c r="B2348" s="0" t="n">
        <v>35</v>
      </c>
      <c r="C2348" s="0" t="n">
        <v>25298</v>
      </c>
    </row>
    <row r="2349" customFormat="false" ht="12.75" hidden="false" customHeight="false" outlineLevel="0" collapsed="false">
      <c r="A2349" s="0" t="s">
        <v>49</v>
      </c>
      <c r="B2349" s="3" t="n">
        <v>1102</v>
      </c>
      <c r="C2349" s="0" t="n">
        <v>24228</v>
      </c>
    </row>
    <row r="2350" customFormat="false" ht="12.75" hidden="false" customHeight="false" outlineLevel="0" collapsed="false">
      <c r="A2350" s="0" t="s">
        <v>50</v>
      </c>
      <c r="B2350" s="0" t="n">
        <v>53</v>
      </c>
      <c r="C2350" s="0" t="n">
        <v>24180</v>
      </c>
    </row>
    <row r="2351" customFormat="false" ht="12.75" hidden="false" customHeight="false" outlineLevel="0" collapsed="false">
      <c r="A2351" s="0" t="s">
        <v>51</v>
      </c>
      <c r="B2351" s="0" t="n">
        <v>2</v>
      </c>
      <c r="C2351" s="0" t="n">
        <v>24226</v>
      </c>
    </row>
    <row r="2352" customFormat="false" ht="12.75" hidden="false" customHeight="false" outlineLevel="0" collapsed="false">
      <c r="A2352" s="0" t="s">
        <v>164</v>
      </c>
      <c r="B2352" s="3" t="n">
        <v>13744</v>
      </c>
      <c r="C2352" s="0" t="n">
        <v>10556</v>
      </c>
    </row>
    <row r="2353" customFormat="false" ht="12.75" hidden="false" customHeight="false" outlineLevel="0" collapsed="false">
      <c r="A2353" s="0" t="s">
        <v>1</v>
      </c>
      <c r="B2353" s="0" t="n">
        <v>43</v>
      </c>
      <c r="C2353" s="0" t="n">
        <v>12367</v>
      </c>
    </row>
    <row r="2354" customFormat="false" ht="12.75" hidden="false" customHeight="false" outlineLevel="0" collapsed="false">
      <c r="A2354" s="0" t="s">
        <v>2</v>
      </c>
      <c r="B2354" s="0" t="n">
        <v>114</v>
      </c>
      <c r="C2354" s="0" t="n">
        <v>12265</v>
      </c>
    </row>
    <row r="2355" customFormat="false" ht="12.75" hidden="false" customHeight="false" outlineLevel="0" collapsed="false">
      <c r="A2355" s="0" t="s">
        <v>3</v>
      </c>
      <c r="B2355" s="0" t="n">
        <v>163</v>
      </c>
      <c r="C2355" s="0" t="n">
        <v>12104</v>
      </c>
    </row>
    <row r="2356" customFormat="false" ht="12.75" hidden="false" customHeight="false" outlineLevel="0" collapsed="false">
      <c r="A2356" s="0" t="s">
        <v>4</v>
      </c>
      <c r="B2356" s="0" t="n">
        <v>12</v>
      </c>
      <c r="C2356" s="0" t="n">
        <v>12097</v>
      </c>
    </row>
    <row r="2357" customFormat="false" ht="12.75" hidden="false" customHeight="false" outlineLevel="0" collapsed="false">
      <c r="A2357" s="0" t="s">
        <v>5</v>
      </c>
      <c r="B2357" s="3" t="n">
        <v>1719</v>
      </c>
      <c r="C2357" s="0" t="n">
        <v>10385</v>
      </c>
    </row>
    <row r="2358" customFormat="false" ht="12.75" hidden="false" customHeight="false" outlineLevel="0" collapsed="false">
      <c r="A2358" s="0" t="s">
        <v>6</v>
      </c>
      <c r="B2358" s="0" t="n">
        <v>164</v>
      </c>
      <c r="C2358" s="0" t="n">
        <v>10246</v>
      </c>
    </row>
    <row r="2359" customFormat="false" ht="12.75" hidden="false" customHeight="false" outlineLevel="0" collapsed="false">
      <c r="A2359" s="0" t="s">
        <v>7</v>
      </c>
      <c r="B2359" s="0" t="n">
        <v>34</v>
      </c>
      <c r="C2359" s="0" t="n">
        <v>10222</v>
      </c>
    </row>
    <row r="2360" customFormat="false" ht="12.75" hidden="false" customHeight="false" outlineLevel="0" collapsed="false">
      <c r="A2360" s="0" t="s">
        <v>8</v>
      </c>
      <c r="B2360" s="0" t="n">
        <v>1</v>
      </c>
      <c r="C2360" s="0" t="n">
        <v>10228</v>
      </c>
    </row>
    <row r="2361" customFormat="false" ht="12.75" hidden="false" customHeight="false" outlineLevel="0" collapsed="false">
      <c r="A2361" s="0" t="s">
        <v>9</v>
      </c>
      <c r="B2361" s="0" t="n">
        <v>83</v>
      </c>
      <c r="C2361" s="0" t="n">
        <v>10167</v>
      </c>
    </row>
    <row r="2362" customFormat="false" ht="12.75" hidden="false" customHeight="false" outlineLevel="0" collapsed="false">
      <c r="A2362" s="0" t="s">
        <v>10</v>
      </c>
      <c r="B2362" s="0" t="n">
        <v>175</v>
      </c>
      <c r="C2362" s="0" t="n">
        <v>10056</v>
      </c>
    </row>
    <row r="2363" customFormat="false" ht="12.75" hidden="false" customHeight="false" outlineLevel="0" collapsed="false">
      <c r="A2363" s="0" t="s">
        <v>11</v>
      </c>
      <c r="B2363" s="0" t="n">
        <v>81</v>
      </c>
      <c r="C2363" s="0" t="n">
        <v>10140</v>
      </c>
    </row>
    <row r="2364" customFormat="false" ht="12.75" hidden="false" customHeight="false" outlineLevel="0" collapsed="false">
      <c r="A2364" s="0" t="s">
        <v>12</v>
      </c>
      <c r="B2364" s="0" t="n">
        <v>261</v>
      </c>
      <c r="C2364" s="0" t="n">
        <v>9941</v>
      </c>
    </row>
    <row r="2365" customFormat="false" ht="12.75" hidden="false" customHeight="false" outlineLevel="0" collapsed="false">
      <c r="A2365" s="0" t="s">
        <v>13</v>
      </c>
      <c r="B2365" s="0" t="n">
        <v>815</v>
      </c>
      <c r="C2365" s="0" t="n">
        <v>9130</v>
      </c>
    </row>
    <row r="2366" customFormat="false" ht="12.75" hidden="false" customHeight="false" outlineLevel="0" collapsed="false">
      <c r="A2366" s="0" t="s">
        <v>14</v>
      </c>
      <c r="B2366" s="0" t="n">
        <v>130</v>
      </c>
      <c r="C2366" s="0" t="n">
        <v>9004</v>
      </c>
    </row>
    <row r="2367" customFormat="false" ht="12.75" hidden="false" customHeight="false" outlineLevel="0" collapsed="false">
      <c r="A2367" s="0" t="s">
        <v>15</v>
      </c>
      <c r="B2367" s="0" t="n">
        <v>22</v>
      </c>
      <c r="C2367" s="0" t="n">
        <v>9010</v>
      </c>
    </row>
    <row r="2368" customFormat="false" ht="12.75" hidden="false" customHeight="false" outlineLevel="0" collapsed="false">
      <c r="A2368" s="0" t="s">
        <v>16</v>
      </c>
      <c r="B2368" s="0" t="n">
        <v>68</v>
      </c>
      <c r="C2368" s="0" t="n">
        <v>9027</v>
      </c>
    </row>
    <row r="2369" customFormat="false" ht="12.75" hidden="false" customHeight="false" outlineLevel="0" collapsed="false">
      <c r="A2369" s="0" t="s">
        <v>17</v>
      </c>
      <c r="B2369" s="0" t="n">
        <v>16</v>
      </c>
      <c r="C2369" s="0" t="n">
        <v>9016</v>
      </c>
    </row>
    <row r="2370" customFormat="false" ht="12.75" hidden="false" customHeight="false" outlineLevel="0" collapsed="false">
      <c r="A2370" s="0" t="s">
        <v>18</v>
      </c>
      <c r="B2370" s="0" t="n">
        <v>14</v>
      </c>
      <c r="C2370" s="0" t="n">
        <v>9004</v>
      </c>
    </row>
    <row r="2371" customFormat="false" ht="12.75" hidden="false" customHeight="false" outlineLevel="0" collapsed="false">
      <c r="A2371" s="0" t="s">
        <v>19</v>
      </c>
      <c r="B2371" s="0" t="n">
        <v>47</v>
      </c>
      <c r="C2371" s="0" t="n">
        <v>9110</v>
      </c>
    </row>
    <row r="2372" customFormat="false" ht="12.75" hidden="false" customHeight="false" outlineLevel="0" collapsed="false">
      <c r="A2372" s="0" t="s">
        <v>20</v>
      </c>
      <c r="B2372" s="0" t="n">
        <v>7</v>
      </c>
      <c r="C2372" s="0" t="n">
        <v>9117</v>
      </c>
    </row>
    <row r="2373" customFormat="false" ht="12.75" hidden="false" customHeight="false" outlineLevel="0" collapsed="false">
      <c r="A2373" s="0" t="s">
        <v>21</v>
      </c>
      <c r="B2373" s="0" t="n">
        <v>40</v>
      </c>
      <c r="C2373" s="0" t="n">
        <v>9085</v>
      </c>
    </row>
    <row r="2374" customFormat="false" ht="12.75" hidden="false" customHeight="false" outlineLevel="0" collapsed="false">
      <c r="A2374" s="0" t="s">
        <v>22</v>
      </c>
      <c r="B2374" s="0" t="n">
        <v>124</v>
      </c>
      <c r="C2374" s="0" t="n">
        <v>9158</v>
      </c>
    </row>
    <row r="2375" customFormat="false" ht="12.75" hidden="false" customHeight="false" outlineLevel="0" collapsed="false">
      <c r="A2375" s="0" t="s">
        <v>23</v>
      </c>
      <c r="B2375" s="0" t="n">
        <v>63</v>
      </c>
      <c r="C2375" s="0" t="n">
        <v>9120</v>
      </c>
    </row>
    <row r="2376" customFormat="false" ht="12.75" hidden="false" customHeight="false" outlineLevel="0" collapsed="false">
      <c r="A2376" s="0" t="s">
        <v>24</v>
      </c>
      <c r="B2376" s="0" t="n">
        <v>76</v>
      </c>
      <c r="C2376" s="0" t="n">
        <v>9078</v>
      </c>
    </row>
    <row r="2377" customFormat="false" ht="12.75" hidden="false" customHeight="false" outlineLevel="0" collapsed="false">
      <c r="A2377" s="0" t="s">
        <v>25</v>
      </c>
      <c r="B2377" s="0" t="n">
        <v>22</v>
      </c>
      <c r="C2377" s="0" t="n">
        <v>9057</v>
      </c>
    </row>
    <row r="2378" customFormat="false" ht="12.75" hidden="false" customHeight="false" outlineLevel="0" collapsed="false">
      <c r="A2378" s="0" t="s">
        <v>26</v>
      </c>
      <c r="B2378" s="0" t="n">
        <v>107</v>
      </c>
      <c r="C2378" s="0" t="n">
        <v>8956</v>
      </c>
    </row>
    <row r="2379" customFormat="false" ht="12.75" hidden="false" customHeight="false" outlineLevel="0" collapsed="false">
      <c r="A2379" s="0" t="s">
        <v>27</v>
      </c>
      <c r="B2379" s="0" t="n">
        <v>402</v>
      </c>
      <c r="C2379" s="0" t="n">
        <v>8580</v>
      </c>
    </row>
    <row r="2380" customFormat="false" ht="12.75" hidden="false" customHeight="false" outlineLevel="0" collapsed="false">
      <c r="A2380" s="0" t="s">
        <v>28</v>
      </c>
      <c r="B2380" s="0" t="n">
        <v>20</v>
      </c>
      <c r="C2380" s="0" t="n">
        <v>8562</v>
      </c>
    </row>
    <row r="2381" customFormat="false" ht="12.75" hidden="false" customHeight="false" outlineLevel="0" collapsed="false">
      <c r="A2381" s="0" t="s">
        <v>29</v>
      </c>
      <c r="B2381" s="0" t="n">
        <v>742</v>
      </c>
      <c r="C2381" s="0" t="n">
        <v>7821</v>
      </c>
    </row>
    <row r="2382" customFormat="false" ht="12.75" hidden="false" customHeight="false" outlineLevel="0" collapsed="false">
      <c r="A2382" s="0" t="s">
        <v>30</v>
      </c>
      <c r="B2382" s="0" t="n">
        <v>5</v>
      </c>
      <c r="C2382" s="0" t="n">
        <v>7829</v>
      </c>
    </row>
    <row r="2383" customFormat="false" ht="12.75" hidden="false" customHeight="false" outlineLevel="0" collapsed="false">
      <c r="A2383" s="0" t="s">
        <v>31</v>
      </c>
      <c r="B2383" s="0" t="n">
        <v>68</v>
      </c>
      <c r="C2383" s="0" t="n">
        <v>7763</v>
      </c>
    </row>
    <row r="2384" customFormat="false" ht="12.75" hidden="false" customHeight="false" outlineLevel="0" collapsed="false">
      <c r="A2384" s="0" t="s">
        <v>32</v>
      </c>
      <c r="B2384" s="0" t="n">
        <v>40</v>
      </c>
      <c r="C2384" s="0" t="n">
        <v>7784</v>
      </c>
    </row>
    <row r="2385" customFormat="false" ht="12.75" hidden="false" customHeight="false" outlineLevel="0" collapsed="false">
      <c r="A2385" s="0" t="s">
        <v>33</v>
      </c>
      <c r="B2385" s="0" t="n">
        <v>132</v>
      </c>
      <c r="C2385" s="0" t="n">
        <v>7653</v>
      </c>
    </row>
    <row r="2386" customFormat="false" ht="12.75" hidden="false" customHeight="false" outlineLevel="0" collapsed="false">
      <c r="A2386" s="0" t="s">
        <v>34</v>
      </c>
      <c r="B2386" s="0" t="n">
        <v>41</v>
      </c>
      <c r="C2386" s="0" t="n">
        <v>7729</v>
      </c>
    </row>
    <row r="2387" customFormat="false" ht="12.75" hidden="false" customHeight="false" outlineLevel="0" collapsed="false">
      <c r="A2387" s="0" t="s">
        <v>35</v>
      </c>
      <c r="B2387" s="0" t="n">
        <v>42</v>
      </c>
      <c r="C2387" s="0" t="n">
        <v>8036</v>
      </c>
    </row>
    <row r="2388" customFormat="false" ht="12.75" hidden="false" customHeight="false" outlineLevel="0" collapsed="false">
      <c r="A2388" s="0" t="s">
        <v>36</v>
      </c>
      <c r="B2388" s="0" t="n">
        <v>35</v>
      </c>
      <c r="C2388" s="0" t="n">
        <v>8001</v>
      </c>
    </row>
    <row r="2389" customFormat="false" ht="12.75" hidden="false" customHeight="false" outlineLevel="0" collapsed="false">
      <c r="A2389" s="0" t="s">
        <v>37</v>
      </c>
      <c r="B2389" s="0" t="n">
        <v>40</v>
      </c>
      <c r="C2389" s="0" t="n">
        <v>9136</v>
      </c>
    </row>
    <row r="2390" customFormat="false" ht="12.75" hidden="false" customHeight="false" outlineLevel="0" collapsed="false">
      <c r="A2390" s="0" t="s">
        <v>38</v>
      </c>
      <c r="B2390" s="3" t="n">
        <v>3924</v>
      </c>
      <c r="C2390" s="0" t="n">
        <v>5214</v>
      </c>
    </row>
    <row r="2391" customFormat="false" ht="12.75" hidden="false" customHeight="false" outlineLevel="0" collapsed="false">
      <c r="A2391" s="0" t="s">
        <v>39</v>
      </c>
      <c r="B2391" s="0" t="n">
        <v>55</v>
      </c>
      <c r="C2391" s="0" t="n">
        <v>5159</v>
      </c>
    </row>
    <row r="2392" customFormat="false" ht="12.75" hidden="false" customHeight="false" outlineLevel="0" collapsed="false">
      <c r="A2392" s="0" t="s">
        <v>40</v>
      </c>
      <c r="B2392" s="0" t="n">
        <v>1</v>
      </c>
      <c r="C2392" s="0" t="n">
        <v>5619</v>
      </c>
    </row>
    <row r="2393" customFormat="false" ht="12.75" hidden="false" customHeight="false" outlineLevel="0" collapsed="false">
      <c r="A2393" s="0" t="s">
        <v>41</v>
      </c>
      <c r="B2393" s="0" t="n">
        <v>24</v>
      </c>
      <c r="C2393" s="0" t="n">
        <v>5597</v>
      </c>
    </row>
    <row r="2394" customFormat="false" ht="12.75" hidden="false" customHeight="false" outlineLevel="0" collapsed="false">
      <c r="A2394" s="0" t="s">
        <v>42</v>
      </c>
      <c r="B2394" s="0" t="n">
        <v>46</v>
      </c>
      <c r="C2394" s="0" t="n">
        <v>5776</v>
      </c>
    </row>
    <row r="2395" customFormat="false" ht="12.75" hidden="false" customHeight="false" outlineLevel="0" collapsed="false">
      <c r="A2395" s="0" t="s">
        <v>43</v>
      </c>
      <c r="B2395" s="0" t="n">
        <v>14</v>
      </c>
      <c r="C2395" s="0" t="n">
        <v>5763</v>
      </c>
    </row>
    <row r="2396" customFormat="false" ht="12.75" hidden="false" customHeight="false" outlineLevel="0" collapsed="false">
      <c r="A2396" s="0" t="s">
        <v>44</v>
      </c>
      <c r="B2396" s="0" t="n">
        <v>221</v>
      </c>
      <c r="C2396" s="0" t="n">
        <v>5692</v>
      </c>
    </row>
    <row r="2397" customFormat="false" ht="12.75" hidden="false" customHeight="false" outlineLevel="0" collapsed="false">
      <c r="A2397" s="0" t="s">
        <v>45</v>
      </c>
      <c r="B2397" s="0" t="n">
        <v>144</v>
      </c>
      <c r="C2397" s="0" t="n">
        <v>5576</v>
      </c>
    </row>
    <row r="2398" customFormat="false" ht="12.75" hidden="false" customHeight="false" outlineLevel="0" collapsed="false">
      <c r="A2398" s="0" t="s">
        <v>46</v>
      </c>
      <c r="B2398" s="0" t="s">
        <v>156</v>
      </c>
      <c r="C2398" s="0" t="n">
        <v>5577</v>
      </c>
    </row>
    <row r="2399" customFormat="false" ht="12.75" hidden="false" customHeight="false" outlineLevel="0" collapsed="false">
      <c r="A2399" s="0" t="s">
        <v>47</v>
      </c>
      <c r="B2399" s="0" t="n">
        <v>32</v>
      </c>
      <c r="C2399" s="0" t="n">
        <v>5548</v>
      </c>
    </row>
    <row r="2400" customFormat="false" ht="12.75" hidden="false" customHeight="false" outlineLevel="0" collapsed="false">
      <c r="A2400" s="0" t="s">
        <v>49</v>
      </c>
      <c r="B2400" s="0" t="n">
        <v>5</v>
      </c>
      <c r="C2400" s="0" t="n">
        <v>6116</v>
      </c>
    </row>
    <row r="2401" customFormat="false" ht="12.75" hidden="false" customHeight="false" outlineLevel="0" collapsed="false">
      <c r="A2401" s="0" t="s">
        <v>50</v>
      </c>
      <c r="B2401" s="0" t="n">
        <v>48</v>
      </c>
      <c r="C2401" s="0" t="n">
        <v>6070</v>
      </c>
    </row>
    <row r="2402" customFormat="false" ht="12.75" hidden="false" customHeight="false" outlineLevel="0" collapsed="false">
      <c r="A2402" s="0" t="s">
        <v>51</v>
      </c>
      <c r="B2402" s="0" t="n">
        <v>74</v>
      </c>
      <c r="C2402" s="0" t="n">
        <v>6026</v>
      </c>
    </row>
    <row r="2403" customFormat="false" ht="12.75" hidden="false" customHeight="false" outlineLevel="0" collapsed="false">
      <c r="A2403" s="0" t="s">
        <v>165</v>
      </c>
      <c r="B2403" s="3" t="n">
        <v>1854</v>
      </c>
      <c r="C2403" s="0" t="n">
        <v>4176</v>
      </c>
    </row>
    <row r="2404" customFormat="false" ht="12.75" hidden="false" customHeight="false" outlineLevel="0" collapsed="false">
      <c r="A2404" s="0" t="s">
        <v>1</v>
      </c>
      <c r="B2404" s="0" t="n">
        <v>12</v>
      </c>
      <c r="C2404" s="0" t="n">
        <v>18187</v>
      </c>
    </row>
    <row r="2405" customFormat="false" ht="12.75" hidden="false" customHeight="false" outlineLevel="0" collapsed="false">
      <c r="A2405" s="0" t="s">
        <v>2</v>
      </c>
      <c r="B2405" s="0" t="n">
        <v>2</v>
      </c>
      <c r="C2405" s="0" t="n">
        <v>18225</v>
      </c>
    </row>
    <row r="2406" customFormat="false" ht="12.75" hidden="false" customHeight="false" outlineLevel="0" collapsed="false">
      <c r="A2406" s="0" t="s">
        <v>3</v>
      </c>
      <c r="B2406" s="0" t="n">
        <v>5</v>
      </c>
      <c r="C2406" s="0" t="n">
        <v>18241</v>
      </c>
    </row>
    <row r="2407" customFormat="false" ht="12.75" hidden="false" customHeight="false" outlineLevel="0" collapsed="false">
      <c r="A2407" s="0" t="s">
        <v>4</v>
      </c>
      <c r="B2407" s="0" t="n">
        <v>7</v>
      </c>
      <c r="C2407" s="0" t="n">
        <v>18410</v>
      </c>
    </row>
    <row r="2408" customFormat="false" ht="12.75" hidden="false" customHeight="false" outlineLevel="0" collapsed="false">
      <c r="A2408" s="0" t="s">
        <v>5</v>
      </c>
      <c r="B2408" s="0" t="n">
        <v>25</v>
      </c>
      <c r="C2408" s="0" t="n">
        <v>18422</v>
      </c>
    </row>
    <row r="2409" customFormat="false" ht="12.75" hidden="false" customHeight="false" outlineLevel="0" collapsed="false">
      <c r="A2409" s="0" t="s">
        <v>6</v>
      </c>
      <c r="B2409" s="0" t="n">
        <v>10</v>
      </c>
      <c r="C2409" s="0" t="n">
        <v>18638</v>
      </c>
    </row>
    <row r="2410" customFormat="false" ht="12.75" hidden="false" customHeight="false" outlineLevel="0" collapsed="false">
      <c r="A2410" s="0" t="s">
        <v>7</v>
      </c>
      <c r="B2410" s="0" t="n">
        <v>7</v>
      </c>
      <c r="C2410" s="0" t="n">
        <v>18780</v>
      </c>
    </row>
    <row r="2411" customFormat="false" ht="12.75" hidden="false" customHeight="false" outlineLevel="0" collapsed="false">
      <c r="A2411" s="0" t="s">
        <v>8</v>
      </c>
      <c r="B2411" s="0" t="n">
        <v>22</v>
      </c>
      <c r="C2411" s="0" t="n">
        <v>18789</v>
      </c>
    </row>
    <row r="2412" customFormat="false" ht="12.75" hidden="false" customHeight="false" outlineLevel="0" collapsed="false">
      <c r="A2412" s="0" t="s">
        <v>230</v>
      </c>
      <c r="B2412" s="0" t="n">
        <v>64</v>
      </c>
      <c r="C2412" s="0" t="n">
        <v>18734</v>
      </c>
    </row>
    <row r="2413" customFormat="false" ht="12.75" hidden="false" customHeight="false" outlineLevel="0" collapsed="false">
      <c r="A2413" s="0" t="s">
        <v>10</v>
      </c>
      <c r="B2413" s="0" t="n">
        <v>165</v>
      </c>
      <c r="C2413" s="0" t="n">
        <v>18644</v>
      </c>
    </row>
    <row r="2414" customFormat="false" ht="12.75" hidden="false" customHeight="false" outlineLevel="0" collapsed="false">
      <c r="A2414" s="0" t="s">
        <v>11</v>
      </c>
      <c r="B2414" s="0" t="n">
        <v>62</v>
      </c>
      <c r="C2414" s="0" t="n">
        <v>19092</v>
      </c>
    </row>
    <row r="2415" customFormat="false" ht="12.75" hidden="false" customHeight="false" outlineLevel="0" collapsed="false">
      <c r="A2415" s="0" t="s">
        <v>12</v>
      </c>
      <c r="B2415" s="0" t="n">
        <v>4</v>
      </c>
      <c r="C2415" s="0" t="n">
        <v>19180</v>
      </c>
    </row>
    <row r="2416" customFormat="false" ht="12.75" hidden="false" customHeight="false" outlineLevel="0" collapsed="false">
      <c r="A2416" s="0" t="s">
        <v>13</v>
      </c>
      <c r="B2416" s="0" t="n">
        <v>4</v>
      </c>
      <c r="C2416" s="0" t="n">
        <v>19191</v>
      </c>
    </row>
    <row r="2417" customFormat="false" ht="12.75" hidden="false" customHeight="false" outlineLevel="0" collapsed="false">
      <c r="A2417" s="0" t="s">
        <v>14</v>
      </c>
      <c r="B2417" s="0" t="n">
        <v>28</v>
      </c>
      <c r="C2417" s="0" t="n">
        <v>19177</v>
      </c>
    </row>
    <row r="2418" customFormat="false" ht="12.75" hidden="false" customHeight="false" outlineLevel="0" collapsed="false">
      <c r="A2418" s="0" t="s">
        <v>15</v>
      </c>
      <c r="B2418" s="0" t="n">
        <v>85</v>
      </c>
      <c r="C2418" s="0" t="n">
        <v>22209</v>
      </c>
    </row>
    <row r="2419" customFormat="false" ht="12.75" hidden="false" customHeight="false" outlineLevel="0" collapsed="false">
      <c r="A2419" s="0" t="s">
        <v>16</v>
      </c>
      <c r="B2419" s="0" t="n">
        <v>5</v>
      </c>
      <c r="C2419" s="0" t="n">
        <v>22662</v>
      </c>
    </row>
    <row r="2420" customFormat="false" ht="12.75" hidden="false" customHeight="false" outlineLevel="0" collapsed="false">
      <c r="A2420" s="0" t="s">
        <v>17</v>
      </c>
      <c r="B2420" s="0" t="n">
        <v>2</v>
      </c>
      <c r="C2420" s="0" t="n">
        <v>23302</v>
      </c>
    </row>
    <row r="2421" customFormat="false" ht="12.75" hidden="false" customHeight="false" outlineLevel="0" collapsed="false">
      <c r="A2421" s="0" t="s">
        <v>18</v>
      </c>
      <c r="B2421" s="0" t="n">
        <v>153</v>
      </c>
      <c r="C2421" s="0" t="n">
        <v>23216</v>
      </c>
    </row>
    <row r="2422" customFormat="false" ht="12.75" hidden="false" customHeight="false" outlineLevel="0" collapsed="false">
      <c r="A2422" s="0" t="s">
        <v>19</v>
      </c>
      <c r="B2422" s="0" t="n">
        <v>14</v>
      </c>
      <c r="C2422" s="0" t="n">
        <v>23252</v>
      </c>
    </row>
    <row r="2423" customFormat="false" ht="12.75" hidden="false" customHeight="false" outlineLevel="0" collapsed="false">
      <c r="A2423" s="0" t="s">
        <v>20</v>
      </c>
      <c r="B2423" s="0" t="n">
        <v>8</v>
      </c>
      <c r="C2423" s="0" t="n">
        <v>23308</v>
      </c>
    </row>
    <row r="2424" customFormat="false" ht="12.75" hidden="false" customHeight="false" outlineLevel="0" collapsed="false">
      <c r="A2424" s="0" t="s">
        <v>21</v>
      </c>
      <c r="B2424" s="0" t="n">
        <v>197</v>
      </c>
      <c r="C2424" s="0" t="n">
        <v>23138</v>
      </c>
    </row>
    <row r="2425" customFormat="false" ht="12.75" hidden="false" customHeight="false" outlineLevel="0" collapsed="false">
      <c r="A2425" s="0" t="s">
        <v>22</v>
      </c>
      <c r="B2425" s="0" t="n">
        <v>25</v>
      </c>
      <c r="C2425" s="0" t="n">
        <v>23139</v>
      </c>
    </row>
    <row r="2426" customFormat="false" ht="12.75" hidden="false" customHeight="false" outlineLevel="0" collapsed="false">
      <c r="A2426" s="0" t="s">
        <v>23</v>
      </c>
      <c r="B2426" s="0" t="n">
        <v>34</v>
      </c>
      <c r="C2426" s="0" t="n">
        <v>23209</v>
      </c>
    </row>
    <row r="2427" customFormat="false" ht="12.75" hidden="false" customHeight="false" outlineLevel="0" collapsed="false">
      <c r="A2427" s="0" t="s">
        <v>24</v>
      </c>
      <c r="B2427" s="0" t="n">
        <v>1</v>
      </c>
      <c r="C2427" s="0" t="n">
        <v>24485</v>
      </c>
    </row>
    <row r="2428" customFormat="false" ht="12.75" hidden="false" customHeight="false" outlineLevel="0" collapsed="false">
      <c r="A2428" s="0" t="s">
        <v>25</v>
      </c>
      <c r="B2428" s="0" t="n">
        <v>6</v>
      </c>
      <c r="C2428" s="0" t="n">
        <v>27111</v>
      </c>
    </row>
    <row r="2429" customFormat="false" ht="12.75" hidden="false" customHeight="false" outlineLevel="0" collapsed="false">
      <c r="A2429" s="0" t="s">
        <v>26</v>
      </c>
      <c r="B2429" s="0" t="n">
        <v>26</v>
      </c>
      <c r="C2429" s="0" t="n">
        <v>27116</v>
      </c>
    </row>
    <row r="2430" customFormat="false" ht="12.75" hidden="false" customHeight="false" outlineLevel="0" collapsed="false">
      <c r="A2430" s="0" t="s">
        <v>27</v>
      </c>
      <c r="B2430" s="0" t="n">
        <v>2</v>
      </c>
      <c r="C2430" s="0" t="n">
        <v>27363</v>
      </c>
    </row>
    <row r="2431" customFormat="false" ht="12.75" hidden="false" customHeight="false" outlineLevel="0" collapsed="false">
      <c r="A2431" s="0" t="s">
        <v>28</v>
      </c>
      <c r="B2431" s="0" t="n">
        <v>1</v>
      </c>
      <c r="C2431" s="0" t="n">
        <v>27410</v>
      </c>
    </row>
    <row r="2432" customFormat="false" ht="12.75" hidden="false" customHeight="false" outlineLevel="0" collapsed="false">
      <c r="A2432" s="0" t="s">
        <v>29</v>
      </c>
      <c r="B2432" s="0" t="n">
        <v>13</v>
      </c>
      <c r="C2432" s="0" t="n">
        <v>27478</v>
      </c>
    </row>
    <row r="2433" customFormat="false" ht="12.75" hidden="false" customHeight="false" outlineLevel="0" collapsed="false">
      <c r="A2433" s="0" t="s">
        <v>30</v>
      </c>
      <c r="B2433" s="0" t="n">
        <v>2</v>
      </c>
      <c r="C2433" s="0" t="n">
        <v>27705</v>
      </c>
    </row>
    <row r="2434" customFormat="false" ht="12.75" hidden="false" customHeight="false" outlineLevel="0" collapsed="false">
      <c r="A2434" s="0" t="s">
        <v>31</v>
      </c>
      <c r="B2434" s="0" t="n">
        <v>61</v>
      </c>
      <c r="C2434" s="0" t="n">
        <v>27650</v>
      </c>
    </row>
    <row r="2435" customFormat="false" ht="12.75" hidden="false" customHeight="false" outlineLevel="0" collapsed="false">
      <c r="A2435" s="0" t="s">
        <v>32</v>
      </c>
      <c r="B2435" s="0" t="n">
        <v>1</v>
      </c>
      <c r="C2435" s="0" t="n">
        <v>27672</v>
      </c>
    </row>
    <row r="2436" customFormat="false" ht="12.75" hidden="false" customHeight="false" outlineLevel="0" collapsed="false">
      <c r="A2436" s="0" t="s">
        <v>33</v>
      </c>
      <c r="B2436" s="0" t="n">
        <v>117</v>
      </c>
      <c r="C2436" s="0" t="n">
        <v>27577</v>
      </c>
    </row>
    <row r="2437" customFormat="false" ht="12.75" hidden="false" customHeight="false" outlineLevel="0" collapsed="false">
      <c r="A2437" s="0" t="s">
        <v>34</v>
      </c>
      <c r="B2437" s="0" t="n">
        <v>349</v>
      </c>
      <c r="C2437" s="0" t="n">
        <v>27329</v>
      </c>
    </row>
    <row r="2438" customFormat="false" ht="12.75" hidden="false" customHeight="false" outlineLevel="0" collapsed="false">
      <c r="A2438" s="0" t="s">
        <v>35</v>
      </c>
      <c r="B2438" s="0" t="s">
        <v>156</v>
      </c>
      <c r="C2438" s="0" t="n">
        <v>27411</v>
      </c>
    </row>
    <row r="2439" customFormat="false" ht="12.75" hidden="false" customHeight="false" outlineLevel="0" collapsed="false">
      <c r="A2439" s="0" t="s">
        <v>36</v>
      </c>
      <c r="B2439" s="3" t="n">
        <v>1175</v>
      </c>
      <c r="C2439" s="0" t="n">
        <v>26278</v>
      </c>
    </row>
    <row r="2440" customFormat="false" ht="12.75" hidden="false" customHeight="false" outlineLevel="0" collapsed="false">
      <c r="A2440" s="0" t="s">
        <v>37</v>
      </c>
      <c r="B2440" s="0" t="n">
        <v>2</v>
      </c>
      <c r="C2440" s="0" t="n">
        <v>26497</v>
      </c>
    </row>
    <row r="2441" customFormat="false" ht="12.75" hidden="false" customHeight="false" outlineLevel="0" collapsed="false">
      <c r="A2441" s="0" t="s">
        <v>38</v>
      </c>
      <c r="B2441" s="0" t="s">
        <v>156</v>
      </c>
      <c r="C2441" s="0" t="n">
        <v>26523</v>
      </c>
    </row>
    <row r="2442" customFormat="false" ht="12.75" hidden="false" customHeight="false" outlineLevel="0" collapsed="false">
      <c r="A2442" s="0" t="s">
        <v>39</v>
      </c>
      <c r="B2442" s="0" t="n">
        <v>461</v>
      </c>
      <c r="C2442" s="0" t="n">
        <v>26090</v>
      </c>
    </row>
    <row r="2443" customFormat="false" ht="12.75" hidden="false" customHeight="false" outlineLevel="0" collapsed="false">
      <c r="A2443" s="0" t="s">
        <v>40</v>
      </c>
      <c r="B2443" s="0" t="n">
        <v>2</v>
      </c>
      <c r="C2443" s="0" t="n">
        <v>26256</v>
      </c>
    </row>
    <row r="2444" customFormat="false" ht="12.75" hidden="false" customHeight="false" outlineLevel="0" collapsed="false">
      <c r="A2444" s="0" t="s">
        <v>41</v>
      </c>
      <c r="B2444" s="0" t="n">
        <v>225</v>
      </c>
      <c r="C2444" s="0" t="n">
        <v>26034</v>
      </c>
    </row>
    <row r="2445" customFormat="false" ht="12.75" hidden="false" customHeight="false" outlineLevel="0" collapsed="false">
      <c r="A2445" s="0" t="s">
        <v>42</v>
      </c>
      <c r="B2445" s="0" t="n">
        <v>1</v>
      </c>
      <c r="C2445" s="0" t="n">
        <v>26067</v>
      </c>
    </row>
    <row r="2446" customFormat="false" ht="12.75" hidden="false" customHeight="false" outlineLevel="0" collapsed="false">
      <c r="A2446" s="0" t="s">
        <v>43</v>
      </c>
      <c r="B2446" s="0" t="n">
        <v>150</v>
      </c>
      <c r="C2446" s="0" t="n">
        <v>26009</v>
      </c>
    </row>
    <row r="2447" customFormat="false" ht="12.75" hidden="false" customHeight="false" outlineLevel="0" collapsed="false">
      <c r="A2447" s="0" t="s">
        <v>44</v>
      </c>
      <c r="B2447" s="0" t="n">
        <v>28</v>
      </c>
      <c r="C2447" s="0" t="n">
        <v>26075</v>
      </c>
    </row>
    <row r="2448" customFormat="false" ht="12.75" hidden="false" customHeight="false" outlineLevel="0" collapsed="false">
      <c r="A2448" s="0" t="s">
        <v>45</v>
      </c>
      <c r="B2448" s="0" t="n">
        <v>1</v>
      </c>
      <c r="C2448" s="0" t="n">
        <v>26253</v>
      </c>
    </row>
    <row r="2449" customFormat="false" ht="12.75" hidden="false" customHeight="false" outlineLevel="0" collapsed="false">
      <c r="A2449" s="0" t="s">
        <v>46</v>
      </c>
      <c r="B2449" s="0" t="n">
        <v>3</v>
      </c>
      <c r="C2449" s="0" t="n">
        <v>26276</v>
      </c>
    </row>
    <row r="2450" customFormat="false" ht="12.75" hidden="false" customHeight="false" outlineLevel="0" collapsed="false">
      <c r="A2450" s="0" t="s">
        <v>47</v>
      </c>
      <c r="B2450" s="0" t="n">
        <v>573</v>
      </c>
      <c r="C2450" s="0" t="n">
        <v>25706</v>
      </c>
    </row>
    <row r="2451" customFormat="false" ht="12.75" hidden="false" customHeight="false" outlineLevel="0" collapsed="false">
      <c r="A2451" s="0" t="s">
        <v>48</v>
      </c>
      <c r="B2451" s="0" t="n">
        <v>2</v>
      </c>
      <c r="C2451" s="0" t="n">
        <v>25767</v>
      </c>
    </row>
    <row r="2452" customFormat="false" ht="12.75" hidden="false" customHeight="false" outlineLevel="0" collapsed="false">
      <c r="A2452" s="0" t="s">
        <v>50</v>
      </c>
      <c r="B2452" s="0" t="n">
        <v>30</v>
      </c>
      <c r="C2452" s="0" t="n">
        <v>25767</v>
      </c>
    </row>
    <row r="2453" customFormat="false" ht="12.75" hidden="false" customHeight="false" outlineLevel="0" collapsed="false">
      <c r="A2453" s="0" t="s">
        <v>51</v>
      </c>
      <c r="B2453" s="0" t="n">
        <v>4</v>
      </c>
      <c r="C2453" s="0" t="n">
        <v>25771</v>
      </c>
    </row>
    <row r="2454" customFormat="false" ht="12.75" hidden="false" customHeight="false" outlineLevel="0" collapsed="false">
      <c r="A2454" s="0" t="s">
        <v>166</v>
      </c>
      <c r="B2454" s="3" t="n">
        <v>14023</v>
      </c>
      <c r="C2454" s="0" t="n">
        <v>11784</v>
      </c>
    </row>
    <row r="2455" customFormat="false" ht="12.75" hidden="false" customHeight="false" outlineLevel="0" collapsed="false">
      <c r="A2455" s="0" t="s">
        <v>1</v>
      </c>
      <c r="B2455" s="0" t="n">
        <v>40</v>
      </c>
      <c r="C2455" s="0" t="n">
        <v>13467</v>
      </c>
    </row>
    <row r="2456" customFormat="false" ht="12.75" hidden="false" customHeight="false" outlineLevel="0" collapsed="false">
      <c r="A2456" s="0" t="s">
        <v>2</v>
      </c>
      <c r="B2456" s="0" t="n">
        <v>21</v>
      </c>
      <c r="C2456" s="0" t="n">
        <v>13448</v>
      </c>
    </row>
    <row r="2457" customFormat="false" ht="12.75" hidden="false" customHeight="false" outlineLevel="0" collapsed="false">
      <c r="A2457" s="0" t="s">
        <v>3</v>
      </c>
      <c r="B2457" s="0" t="n">
        <v>176</v>
      </c>
      <c r="C2457" s="0" t="n">
        <v>13277</v>
      </c>
    </row>
    <row r="2458" customFormat="false" ht="12.75" hidden="false" customHeight="false" outlineLevel="0" collapsed="false">
      <c r="A2458" s="0" t="s">
        <v>4</v>
      </c>
      <c r="B2458" s="0" t="n">
        <v>37</v>
      </c>
      <c r="C2458" s="0" t="n">
        <v>13268</v>
      </c>
    </row>
    <row r="2459" customFormat="false" ht="12.75" hidden="false" customHeight="false" outlineLevel="0" collapsed="false">
      <c r="A2459" s="0" t="s">
        <v>5</v>
      </c>
      <c r="B2459" s="0" t="n">
        <v>226</v>
      </c>
      <c r="C2459" s="0" t="n">
        <v>13045</v>
      </c>
    </row>
    <row r="2460" customFormat="false" ht="12.75" hidden="false" customHeight="false" outlineLevel="0" collapsed="false">
      <c r="A2460" s="0" t="s">
        <v>6</v>
      </c>
      <c r="B2460" s="0" t="n">
        <v>149</v>
      </c>
      <c r="C2460" s="0" t="n">
        <v>12937</v>
      </c>
    </row>
    <row r="2461" customFormat="false" ht="12.75" hidden="false" customHeight="false" outlineLevel="0" collapsed="false">
      <c r="A2461" s="0" t="s">
        <v>7</v>
      </c>
      <c r="B2461" s="0" t="n">
        <v>31</v>
      </c>
      <c r="C2461" s="0" t="n">
        <v>13598</v>
      </c>
    </row>
    <row r="2462" customFormat="false" ht="12.75" hidden="false" customHeight="false" outlineLevel="0" collapsed="false">
      <c r="A2462" s="0" t="s">
        <v>8</v>
      </c>
      <c r="B2462" s="0" t="n">
        <v>9</v>
      </c>
      <c r="C2462" s="0" t="n">
        <v>13590</v>
      </c>
    </row>
    <row r="2463" customFormat="false" ht="12.75" hidden="false" customHeight="false" outlineLevel="0" collapsed="false">
      <c r="A2463" s="0" t="s">
        <v>9</v>
      </c>
      <c r="B2463" s="0" t="n">
        <v>75</v>
      </c>
      <c r="C2463" s="0" t="n">
        <v>13515</v>
      </c>
    </row>
    <row r="2464" customFormat="false" ht="12.75" hidden="false" customHeight="false" outlineLevel="0" collapsed="false">
      <c r="A2464" s="0" t="s">
        <v>10</v>
      </c>
      <c r="B2464" s="0" t="n">
        <v>510</v>
      </c>
      <c r="C2464" s="0" t="n">
        <v>13009</v>
      </c>
    </row>
    <row r="2465" customFormat="false" ht="12.75" hidden="false" customHeight="false" outlineLevel="0" collapsed="false">
      <c r="A2465" s="0" t="s">
        <v>11</v>
      </c>
      <c r="B2465" s="0" t="n">
        <v>92</v>
      </c>
      <c r="C2465" s="0" t="n">
        <v>12930</v>
      </c>
    </row>
    <row r="2466" customFormat="false" ht="12.75" hidden="false" customHeight="false" outlineLevel="0" collapsed="false">
      <c r="A2466" s="0" t="s">
        <v>12</v>
      </c>
      <c r="B2466" s="0" t="n">
        <v>15</v>
      </c>
      <c r="C2466" s="0" t="n">
        <v>12919</v>
      </c>
    </row>
    <row r="2467" customFormat="false" ht="12.75" hidden="false" customHeight="false" outlineLevel="0" collapsed="false">
      <c r="A2467" s="0" t="s">
        <v>13</v>
      </c>
      <c r="B2467" s="0" t="n">
        <v>14</v>
      </c>
      <c r="C2467" s="0" t="n">
        <v>12910</v>
      </c>
    </row>
    <row r="2468" customFormat="false" ht="12.75" hidden="false" customHeight="false" outlineLevel="0" collapsed="false">
      <c r="A2468" s="0" t="s">
        <v>14</v>
      </c>
      <c r="B2468" s="3" t="n">
        <v>3117</v>
      </c>
      <c r="C2468" s="0" t="n">
        <v>9824</v>
      </c>
    </row>
    <row r="2469" customFormat="false" ht="12.75" hidden="false" customHeight="false" outlineLevel="0" collapsed="false">
      <c r="A2469" s="0" t="s">
        <v>15</v>
      </c>
      <c r="B2469" s="0" t="n">
        <v>458</v>
      </c>
      <c r="C2469" s="0" t="n">
        <v>9376</v>
      </c>
    </row>
    <row r="2470" customFormat="false" ht="12.75" hidden="false" customHeight="false" outlineLevel="0" collapsed="false">
      <c r="A2470" s="0" t="s">
        <v>16</v>
      </c>
      <c r="B2470" s="0" t="n">
        <v>642</v>
      </c>
      <c r="C2470" s="0" t="n">
        <v>8741</v>
      </c>
    </row>
    <row r="2471" customFormat="false" ht="12.75" hidden="false" customHeight="false" outlineLevel="0" collapsed="false">
      <c r="A2471" s="0" t="s">
        <v>17</v>
      </c>
      <c r="B2471" s="0" t="n">
        <v>67</v>
      </c>
      <c r="C2471" s="0" t="n">
        <v>8691</v>
      </c>
    </row>
    <row r="2472" customFormat="false" ht="12.75" hidden="false" customHeight="false" outlineLevel="0" collapsed="false">
      <c r="A2472" s="0" t="s">
        <v>18</v>
      </c>
      <c r="B2472" s="0" t="n">
        <v>50</v>
      </c>
      <c r="C2472" s="0" t="n">
        <v>8669</v>
      </c>
    </row>
    <row r="2473" customFormat="false" ht="12.75" hidden="false" customHeight="false" outlineLevel="0" collapsed="false">
      <c r="A2473" s="0" t="s">
        <v>19</v>
      </c>
      <c r="B2473" s="0" t="n">
        <v>64</v>
      </c>
      <c r="C2473" s="0" t="n">
        <v>8606</v>
      </c>
    </row>
    <row r="2474" customFormat="false" ht="12.75" hidden="false" customHeight="false" outlineLevel="0" collapsed="false">
      <c r="A2474" s="0" t="s">
        <v>20</v>
      </c>
      <c r="B2474" s="0" t="n">
        <v>27</v>
      </c>
      <c r="C2474" s="0" t="n">
        <v>8586</v>
      </c>
    </row>
    <row r="2475" customFormat="false" ht="12.75" hidden="false" customHeight="false" outlineLevel="0" collapsed="false">
      <c r="A2475" s="0" t="s">
        <v>21</v>
      </c>
      <c r="B2475" s="0" t="n">
        <v>26</v>
      </c>
      <c r="C2475" s="0" t="n">
        <v>8561</v>
      </c>
    </row>
    <row r="2476" customFormat="false" ht="12.75" hidden="false" customHeight="false" outlineLevel="0" collapsed="false">
      <c r="A2476" s="0" t="s">
        <v>22</v>
      </c>
      <c r="B2476" s="0" t="n">
        <v>104</v>
      </c>
      <c r="C2476" s="0" t="n">
        <v>8458</v>
      </c>
    </row>
    <row r="2477" customFormat="false" ht="12.75" hidden="false" customHeight="false" outlineLevel="0" collapsed="false">
      <c r="A2477" s="0" t="s">
        <v>23</v>
      </c>
      <c r="B2477" s="3" t="n">
        <v>1277</v>
      </c>
      <c r="C2477" s="0" t="n">
        <v>7183</v>
      </c>
    </row>
    <row r="2478" customFormat="false" ht="12.75" hidden="false" customHeight="false" outlineLevel="0" collapsed="false">
      <c r="A2478" s="0" t="s">
        <v>24</v>
      </c>
      <c r="B2478" s="3" t="n">
        <v>2632</v>
      </c>
      <c r="C2478" s="0" t="n">
        <v>4556</v>
      </c>
    </row>
    <row r="2479" customFormat="false" ht="12.75" hidden="false" customHeight="false" outlineLevel="0" collapsed="false">
      <c r="A2479" s="0" t="s">
        <v>25</v>
      </c>
      <c r="B2479" s="0" t="n">
        <v>31</v>
      </c>
      <c r="C2479" s="0" t="n">
        <v>4550</v>
      </c>
    </row>
    <row r="2480" customFormat="false" ht="12.75" hidden="false" customHeight="false" outlineLevel="0" collapsed="false">
      <c r="A2480" s="0" t="s">
        <v>26</v>
      </c>
      <c r="B2480" s="0" t="n">
        <v>249</v>
      </c>
      <c r="C2480" s="0" t="n">
        <v>4302</v>
      </c>
    </row>
    <row r="2481" customFormat="false" ht="12.75" hidden="false" customHeight="false" outlineLevel="0" collapsed="false">
      <c r="A2481" s="0" t="s">
        <v>27</v>
      </c>
      <c r="B2481" s="0" t="n">
        <v>48</v>
      </c>
      <c r="C2481" s="0" t="n">
        <v>4290</v>
      </c>
    </row>
    <row r="2482" customFormat="false" ht="12.75" hidden="false" customHeight="false" outlineLevel="0" collapsed="false">
      <c r="A2482" s="0" t="s">
        <v>28</v>
      </c>
      <c r="B2482" s="0" t="n">
        <v>81</v>
      </c>
      <c r="C2482" s="0" t="n">
        <v>4866</v>
      </c>
    </row>
    <row r="2483" customFormat="false" ht="12.75" hidden="false" customHeight="false" outlineLevel="0" collapsed="false">
      <c r="A2483" s="0" t="s">
        <v>29</v>
      </c>
      <c r="B2483" s="0" t="n">
        <v>229</v>
      </c>
      <c r="C2483" s="0" t="n">
        <v>4728</v>
      </c>
    </row>
    <row r="2484" customFormat="false" ht="12.75" hidden="false" customHeight="false" outlineLevel="0" collapsed="false">
      <c r="A2484" s="0" t="s">
        <v>30</v>
      </c>
      <c r="B2484" s="0" t="n">
        <v>6</v>
      </c>
      <c r="C2484" s="0" t="n">
        <v>4768</v>
      </c>
    </row>
    <row r="2485" customFormat="false" ht="12.75" hidden="false" customHeight="false" outlineLevel="0" collapsed="false">
      <c r="A2485" s="0" t="s">
        <v>31</v>
      </c>
      <c r="B2485" s="0" t="n">
        <v>23</v>
      </c>
      <c r="C2485" s="0" t="n">
        <v>4745</v>
      </c>
    </row>
    <row r="2486" customFormat="false" ht="12.75" hidden="false" customHeight="false" outlineLevel="0" collapsed="false">
      <c r="A2486" s="0" t="s">
        <v>32</v>
      </c>
      <c r="B2486" s="0" t="n">
        <v>22</v>
      </c>
      <c r="C2486" s="0" t="n">
        <v>4728</v>
      </c>
    </row>
    <row r="2487" customFormat="false" ht="12.75" hidden="false" customHeight="false" outlineLevel="0" collapsed="false">
      <c r="A2487" s="0" t="s">
        <v>33</v>
      </c>
      <c r="B2487" s="0" t="n">
        <v>101</v>
      </c>
      <c r="C2487" s="0" t="n">
        <v>4648</v>
      </c>
    </row>
    <row r="2488" customFormat="false" ht="12.75" hidden="false" customHeight="false" outlineLevel="0" collapsed="false">
      <c r="A2488" s="0" t="s">
        <v>34</v>
      </c>
      <c r="B2488" s="0" t="n">
        <v>82</v>
      </c>
      <c r="C2488" s="0" t="n">
        <v>4575</v>
      </c>
    </row>
    <row r="2489" customFormat="false" ht="12.75" hidden="false" customHeight="false" outlineLevel="0" collapsed="false">
      <c r="A2489" s="0" t="s">
        <v>35</v>
      </c>
      <c r="B2489" s="0" t="n">
        <v>42</v>
      </c>
      <c r="C2489" s="0" t="n">
        <v>4535</v>
      </c>
    </row>
    <row r="2490" customFormat="false" ht="12.75" hidden="false" customHeight="false" outlineLevel="0" collapsed="false">
      <c r="A2490" s="0" t="s">
        <v>36</v>
      </c>
      <c r="B2490" s="0" t="n">
        <v>221</v>
      </c>
      <c r="C2490" s="0" t="n">
        <v>4335</v>
      </c>
    </row>
    <row r="2491" customFormat="false" ht="12.75" hidden="false" customHeight="false" outlineLevel="0" collapsed="false">
      <c r="A2491" s="0" t="s">
        <v>37</v>
      </c>
      <c r="B2491" s="0" t="n">
        <v>26</v>
      </c>
      <c r="C2491" s="0" t="n">
        <v>4316</v>
      </c>
    </row>
    <row r="2492" customFormat="false" ht="12.75" hidden="false" customHeight="false" outlineLevel="0" collapsed="false">
      <c r="A2492" s="0" t="s">
        <v>38</v>
      </c>
      <c r="B2492" s="0" t="n">
        <v>28</v>
      </c>
      <c r="C2492" s="0" t="n">
        <v>4295</v>
      </c>
    </row>
    <row r="2493" customFormat="false" ht="12.75" hidden="false" customHeight="false" outlineLevel="0" collapsed="false">
      <c r="A2493" s="0" t="s">
        <v>39</v>
      </c>
      <c r="B2493" s="0" t="n">
        <v>168</v>
      </c>
      <c r="C2493" s="0" t="n">
        <v>4139</v>
      </c>
    </row>
    <row r="2494" customFormat="false" ht="12.75" hidden="false" customHeight="false" outlineLevel="0" collapsed="false">
      <c r="A2494" s="0" t="s">
        <v>40</v>
      </c>
      <c r="B2494" s="0" t="n">
        <v>3</v>
      </c>
      <c r="C2494" s="0" t="n">
        <v>4143</v>
      </c>
    </row>
    <row r="2495" customFormat="false" ht="12.75" hidden="false" customHeight="false" outlineLevel="0" collapsed="false">
      <c r="A2495" s="0" t="s">
        <v>41</v>
      </c>
      <c r="B2495" s="0" t="n">
        <v>34</v>
      </c>
      <c r="C2495" s="0" t="n">
        <v>4109</v>
      </c>
    </row>
    <row r="2496" customFormat="false" ht="12.75" hidden="false" customHeight="false" outlineLevel="0" collapsed="false">
      <c r="A2496" s="0" t="s">
        <v>42</v>
      </c>
      <c r="B2496" s="0" t="n">
        <v>92</v>
      </c>
      <c r="C2496" s="0" t="n">
        <v>4018</v>
      </c>
    </row>
    <row r="2497" customFormat="false" ht="12.75" hidden="false" customHeight="false" outlineLevel="0" collapsed="false">
      <c r="A2497" s="0" t="s">
        <v>43</v>
      </c>
      <c r="B2497" s="0" t="n">
        <v>94</v>
      </c>
      <c r="C2497" s="0" t="n">
        <v>4147</v>
      </c>
    </row>
    <row r="2498" customFormat="false" ht="12.75" hidden="false" customHeight="false" outlineLevel="0" collapsed="false">
      <c r="A2498" s="0" t="s">
        <v>44</v>
      </c>
      <c r="B2498" s="0" t="n">
        <v>179</v>
      </c>
      <c r="C2498" s="0" t="n">
        <v>3973</v>
      </c>
    </row>
    <row r="2499" customFormat="false" ht="12.75" hidden="false" customHeight="false" outlineLevel="0" collapsed="false">
      <c r="A2499" s="0" t="s">
        <v>45</v>
      </c>
      <c r="B2499" s="0" t="n">
        <v>26</v>
      </c>
      <c r="C2499" s="0" t="n">
        <v>3984</v>
      </c>
    </row>
    <row r="2500" customFormat="false" ht="12.75" hidden="false" customHeight="false" outlineLevel="0" collapsed="false">
      <c r="A2500" s="0" t="s">
        <v>46</v>
      </c>
      <c r="B2500" s="0" t="n">
        <v>3</v>
      </c>
      <c r="C2500" s="0" t="n">
        <v>4186</v>
      </c>
    </row>
    <row r="2501" customFormat="false" ht="12.75" hidden="false" customHeight="false" outlineLevel="0" collapsed="false">
      <c r="A2501" s="0" t="s">
        <v>47</v>
      </c>
      <c r="B2501" s="0" t="n">
        <v>63</v>
      </c>
      <c r="C2501" s="0" t="n">
        <v>4125</v>
      </c>
    </row>
    <row r="2502" customFormat="false" ht="12.75" hidden="false" customHeight="false" outlineLevel="0" collapsed="false">
      <c r="A2502" s="0" t="s">
        <v>48</v>
      </c>
      <c r="B2502" s="0" t="n">
        <v>30</v>
      </c>
      <c r="C2502" s="0" t="n">
        <v>4097</v>
      </c>
    </row>
    <row r="2503" customFormat="false" ht="12.75" hidden="false" customHeight="false" outlineLevel="0" collapsed="false">
      <c r="A2503" s="0" t="s">
        <v>49</v>
      </c>
      <c r="B2503" s="0" t="n">
        <v>8</v>
      </c>
      <c r="C2503" s="0" t="n">
        <v>4115</v>
      </c>
    </row>
    <row r="2504" customFormat="false" ht="12.75" hidden="false" customHeight="false" outlineLevel="0" collapsed="false">
      <c r="A2504" s="0" t="s">
        <v>51</v>
      </c>
      <c r="B2504" s="0" t="n">
        <v>36</v>
      </c>
      <c r="C2504" s="0" t="n">
        <v>4081</v>
      </c>
    </row>
    <row r="2505" customFormat="false" ht="12.75" hidden="false" customHeight="false" outlineLevel="0" collapsed="false">
      <c r="A2505" s="0" t="s">
        <v>167</v>
      </c>
      <c r="B2505" s="3" t="n">
        <v>1723</v>
      </c>
      <c r="C2505" s="0" t="n">
        <v>2368</v>
      </c>
    </row>
    <row r="2506" customFormat="false" ht="12.75" hidden="false" customHeight="false" outlineLevel="0" collapsed="false">
      <c r="A2506" s="0" t="s">
        <v>1</v>
      </c>
      <c r="B2506" s="0" t="n">
        <v>2</v>
      </c>
      <c r="C2506" s="0" t="n">
        <v>2366</v>
      </c>
    </row>
    <row r="2507" customFormat="false" ht="12.75" hidden="false" customHeight="false" outlineLevel="0" collapsed="false">
      <c r="A2507" s="0" t="s">
        <v>2</v>
      </c>
      <c r="B2507" s="0" t="n">
        <v>5</v>
      </c>
      <c r="C2507" s="0" t="n">
        <v>2361</v>
      </c>
    </row>
    <row r="2508" customFormat="false" ht="12.75" hidden="false" customHeight="false" outlineLevel="0" collapsed="false">
      <c r="A2508" s="0" t="s">
        <v>3</v>
      </c>
      <c r="B2508" s="0" t="n">
        <v>28</v>
      </c>
      <c r="C2508" s="0" t="n">
        <v>2333</v>
      </c>
    </row>
    <row r="2509" customFormat="false" ht="12.75" hidden="false" customHeight="false" outlineLevel="0" collapsed="false">
      <c r="A2509" s="0" t="s">
        <v>4</v>
      </c>
      <c r="B2509" s="0" t="n">
        <v>3</v>
      </c>
      <c r="C2509" s="0" t="n">
        <v>2330</v>
      </c>
    </row>
    <row r="2510" customFormat="false" ht="12.75" hidden="false" customHeight="false" outlineLevel="0" collapsed="false">
      <c r="A2510" s="0" t="s">
        <v>5</v>
      </c>
      <c r="B2510" s="0" t="n">
        <v>41</v>
      </c>
      <c r="C2510" s="0" t="n">
        <v>2289</v>
      </c>
    </row>
    <row r="2511" customFormat="false" ht="12.75" hidden="false" customHeight="false" outlineLevel="0" collapsed="false">
      <c r="A2511" s="0" t="s">
        <v>6</v>
      </c>
      <c r="B2511" s="0" t="n">
        <v>692</v>
      </c>
      <c r="C2511" s="0" t="n">
        <v>1597</v>
      </c>
    </row>
    <row r="2512" customFormat="false" ht="12.75" hidden="false" customHeight="false" outlineLevel="0" collapsed="false">
      <c r="A2512" s="0" t="s">
        <v>7</v>
      </c>
      <c r="B2512" s="0" t="n">
        <v>1</v>
      </c>
      <c r="C2512" s="0" t="n">
        <v>1596</v>
      </c>
    </row>
    <row r="2513" customFormat="false" ht="12.75" hidden="false" customHeight="false" outlineLevel="0" collapsed="false">
      <c r="A2513" s="0" t="s">
        <v>8</v>
      </c>
      <c r="B2513" s="0" t="s">
        <v>156</v>
      </c>
      <c r="C2513" s="0" t="n">
        <v>1596</v>
      </c>
    </row>
    <row r="2514" customFormat="false" ht="12.75" hidden="false" customHeight="false" outlineLevel="0" collapsed="false">
      <c r="A2514" s="0" t="s">
        <v>9</v>
      </c>
      <c r="B2514" s="0" t="n">
        <v>4</v>
      </c>
      <c r="C2514" s="0" t="n">
        <v>1592</v>
      </c>
    </row>
    <row r="2515" customFormat="false" ht="12.75" hidden="false" customHeight="false" outlineLevel="0" collapsed="false">
      <c r="A2515" s="0" t="s">
        <v>10</v>
      </c>
      <c r="B2515" s="0" t="n">
        <v>13</v>
      </c>
      <c r="C2515" s="0" t="n">
        <v>1579</v>
      </c>
    </row>
    <row r="2516" customFormat="false" ht="12.75" hidden="false" customHeight="false" outlineLevel="0" collapsed="false">
      <c r="A2516" s="0" t="s">
        <v>11</v>
      </c>
      <c r="B2516" s="0" t="n">
        <v>4</v>
      </c>
      <c r="C2516" s="0" t="n">
        <v>1575</v>
      </c>
    </row>
    <row r="2517" customFormat="false" ht="12.75" hidden="false" customHeight="false" outlineLevel="0" collapsed="false">
      <c r="A2517" s="0" t="s">
        <v>12</v>
      </c>
      <c r="B2517" s="0" t="n">
        <v>5</v>
      </c>
      <c r="C2517" s="0" t="n">
        <v>1570</v>
      </c>
    </row>
    <row r="2518" customFormat="false" ht="12.75" hidden="false" customHeight="false" outlineLevel="0" collapsed="false">
      <c r="A2518" s="0" t="s">
        <v>13</v>
      </c>
      <c r="B2518" s="0" t="n">
        <v>31</v>
      </c>
      <c r="C2518" s="0" t="n">
        <v>1539</v>
      </c>
    </row>
    <row r="2519" customFormat="false" ht="12.75" hidden="false" customHeight="false" outlineLevel="0" collapsed="false">
      <c r="A2519" s="0" t="s">
        <v>14</v>
      </c>
      <c r="B2519" s="0" t="n">
        <v>10</v>
      </c>
      <c r="C2519" s="0" t="n">
        <v>1529</v>
      </c>
    </row>
    <row r="2520" customFormat="false" ht="12.75" hidden="false" customHeight="false" outlineLevel="0" collapsed="false">
      <c r="A2520" s="0" t="s">
        <v>15</v>
      </c>
      <c r="B2520" s="0" t="n">
        <v>7</v>
      </c>
      <c r="C2520" s="0" t="n">
        <v>1522</v>
      </c>
    </row>
    <row r="2521" customFormat="false" ht="12.75" hidden="false" customHeight="false" outlineLevel="0" collapsed="false">
      <c r="A2521" s="0" t="s">
        <v>16</v>
      </c>
      <c r="B2521" s="0" t="n">
        <v>17</v>
      </c>
      <c r="C2521" s="0" t="n">
        <v>1505</v>
      </c>
    </row>
    <row r="2522" customFormat="false" ht="12.75" hidden="false" customHeight="false" outlineLevel="0" collapsed="false">
      <c r="A2522" s="0" t="s">
        <v>17</v>
      </c>
      <c r="B2522" s="0" t="n">
        <v>28</v>
      </c>
      <c r="C2522" s="0" t="n">
        <v>1477</v>
      </c>
    </row>
    <row r="2523" customFormat="false" ht="12.75" hidden="false" customHeight="false" outlineLevel="0" collapsed="false">
      <c r="A2523" s="0" t="s">
        <v>18</v>
      </c>
      <c r="B2523" s="0" t="n">
        <v>1</v>
      </c>
      <c r="C2523" s="0" t="n">
        <v>1476</v>
      </c>
    </row>
    <row r="2524" customFormat="false" ht="12.75" hidden="false" customHeight="false" outlineLevel="0" collapsed="false">
      <c r="A2524" s="0" t="s">
        <v>19</v>
      </c>
      <c r="B2524" s="0" t="n">
        <v>7</v>
      </c>
      <c r="C2524" s="0" t="n">
        <v>1469</v>
      </c>
    </row>
    <row r="2525" customFormat="false" ht="12.75" hidden="false" customHeight="false" outlineLevel="0" collapsed="false">
      <c r="A2525" s="0" t="s">
        <v>20</v>
      </c>
      <c r="B2525" s="0" t="n">
        <v>1</v>
      </c>
      <c r="C2525" s="0" t="n">
        <v>1468</v>
      </c>
    </row>
    <row r="2526" customFormat="false" ht="12.75" hidden="false" customHeight="false" outlineLevel="0" collapsed="false">
      <c r="A2526" s="0" t="s">
        <v>21</v>
      </c>
      <c r="B2526" s="0" t="n">
        <v>1</v>
      </c>
      <c r="C2526" s="0" t="n">
        <v>1467</v>
      </c>
    </row>
    <row r="2527" customFormat="false" ht="12.75" hidden="false" customHeight="false" outlineLevel="0" collapsed="false">
      <c r="A2527" s="0" t="s">
        <v>22</v>
      </c>
      <c r="B2527" s="0" t="n">
        <v>2</v>
      </c>
      <c r="C2527" s="0" t="n">
        <v>1465</v>
      </c>
    </row>
    <row r="2528" customFormat="false" ht="12.75" hidden="false" customHeight="false" outlineLevel="0" collapsed="false">
      <c r="A2528" s="0" t="s">
        <v>23</v>
      </c>
      <c r="B2528" s="0" t="n">
        <v>5</v>
      </c>
      <c r="C2528" s="0" t="n">
        <v>1460</v>
      </c>
    </row>
    <row r="2529" customFormat="false" ht="12.75" hidden="false" customHeight="false" outlineLevel="0" collapsed="false">
      <c r="A2529" s="0" t="s">
        <v>24</v>
      </c>
      <c r="B2529" s="0" t="n">
        <v>25</v>
      </c>
      <c r="C2529" s="0" t="n">
        <v>1435</v>
      </c>
    </row>
    <row r="2530" customFormat="false" ht="12.75" hidden="false" customHeight="false" outlineLevel="0" collapsed="false">
      <c r="A2530" s="0" t="s">
        <v>25</v>
      </c>
      <c r="B2530" s="0" t="n">
        <v>1</v>
      </c>
      <c r="C2530" s="0" t="n">
        <v>1434</v>
      </c>
    </row>
    <row r="2531" customFormat="false" ht="12.75" hidden="false" customHeight="false" outlineLevel="0" collapsed="false">
      <c r="A2531" s="0" t="s">
        <v>26</v>
      </c>
      <c r="B2531" s="0" t="n">
        <v>36</v>
      </c>
      <c r="C2531" s="0" t="n">
        <v>1398</v>
      </c>
    </row>
    <row r="2532" customFormat="false" ht="12.75" hidden="false" customHeight="false" outlineLevel="0" collapsed="false">
      <c r="A2532" s="0" t="s">
        <v>27</v>
      </c>
      <c r="B2532" s="0" t="n">
        <v>657</v>
      </c>
      <c r="C2532" s="0" t="n">
        <v>741</v>
      </c>
    </row>
    <row r="2533" customFormat="false" ht="12.75" hidden="false" customHeight="false" outlineLevel="0" collapsed="false">
      <c r="A2533" s="0" t="s">
        <v>28</v>
      </c>
      <c r="B2533" s="0" t="n">
        <v>91</v>
      </c>
      <c r="C2533" s="0" t="n">
        <v>650</v>
      </c>
    </row>
    <row r="2534" customFormat="false" ht="12.75" hidden="false" customHeight="false" outlineLevel="0" collapsed="false">
      <c r="A2534" s="0" t="s">
        <v>29</v>
      </c>
      <c r="B2534" s="0" t="n">
        <v>46</v>
      </c>
      <c r="C2534" s="0" t="n">
        <v>604</v>
      </c>
    </row>
    <row r="2535" customFormat="false" ht="12.75" hidden="false" customHeight="false" outlineLevel="0" collapsed="false">
      <c r="A2535" s="0" t="s">
        <v>30</v>
      </c>
      <c r="B2535" s="0" t="s">
        <v>156</v>
      </c>
      <c r="C2535" s="0" t="n">
        <v>604</v>
      </c>
    </row>
    <row r="2536" customFormat="false" ht="12.75" hidden="false" customHeight="false" outlineLevel="0" collapsed="false">
      <c r="A2536" s="0" t="s">
        <v>31</v>
      </c>
      <c r="B2536" s="0" t="n">
        <v>5</v>
      </c>
      <c r="C2536" s="0" t="n">
        <v>599</v>
      </c>
    </row>
    <row r="2537" customFormat="false" ht="12.75" hidden="false" customHeight="false" outlineLevel="0" collapsed="false">
      <c r="A2537" s="0" t="s">
        <v>32</v>
      </c>
      <c r="B2537" s="0" t="n">
        <v>21</v>
      </c>
      <c r="C2537" s="0" t="n">
        <v>578</v>
      </c>
    </row>
    <row r="2538" customFormat="false" ht="12.75" hidden="false" customHeight="false" outlineLevel="0" collapsed="false">
      <c r="A2538" s="0" t="s">
        <v>33</v>
      </c>
      <c r="B2538" s="0" t="n">
        <v>9</v>
      </c>
      <c r="C2538" s="0" t="n">
        <v>569</v>
      </c>
    </row>
    <row r="2539" customFormat="false" ht="12.75" hidden="false" customHeight="false" outlineLevel="0" collapsed="false">
      <c r="A2539" s="0" t="s">
        <v>34</v>
      </c>
      <c r="B2539" s="0" t="n">
        <v>2</v>
      </c>
      <c r="C2539" s="0" t="n">
        <v>567</v>
      </c>
    </row>
    <row r="2540" customFormat="false" ht="12.75" hidden="false" customHeight="false" outlineLevel="0" collapsed="false">
      <c r="A2540" s="0" t="s">
        <v>35</v>
      </c>
      <c r="B2540" s="0" t="n">
        <v>21</v>
      </c>
      <c r="C2540" s="0" t="n">
        <v>546</v>
      </c>
    </row>
    <row r="2541" customFormat="false" ht="12.75" hidden="false" customHeight="false" outlineLevel="0" collapsed="false">
      <c r="A2541" s="0" t="s">
        <v>36</v>
      </c>
      <c r="B2541" s="0" t="n">
        <v>7</v>
      </c>
      <c r="C2541" s="0" t="n">
        <v>539</v>
      </c>
    </row>
    <row r="2542" customFormat="false" ht="12.75" hidden="false" customHeight="false" outlineLevel="0" collapsed="false">
      <c r="A2542" s="0" t="s">
        <v>37</v>
      </c>
      <c r="B2542" s="0" t="n">
        <v>7</v>
      </c>
      <c r="C2542" s="0" t="n">
        <v>532</v>
      </c>
    </row>
    <row r="2543" customFormat="false" ht="12.75" hidden="false" customHeight="false" outlineLevel="0" collapsed="false">
      <c r="A2543" s="0" t="s">
        <v>38</v>
      </c>
      <c r="B2543" s="0" t="n">
        <v>12</v>
      </c>
      <c r="C2543" s="0" t="n">
        <v>520</v>
      </c>
    </row>
    <row r="2544" customFormat="false" ht="12.75" hidden="false" customHeight="false" outlineLevel="0" collapsed="false">
      <c r="A2544" s="0" t="s">
        <v>39</v>
      </c>
      <c r="B2544" s="0" t="n">
        <v>7</v>
      </c>
      <c r="C2544" s="0" t="n">
        <v>513</v>
      </c>
    </row>
    <row r="2545" customFormat="false" ht="12.75" hidden="false" customHeight="false" outlineLevel="0" collapsed="false">
      <c r="A2545" s="0" t="s">
        <v>40</v>
      </c>
      <c r="B2545" s="0" t="s">
        <v>156</v>
      </c>
      <c r="C2545" s="0" t="n">
        <v>513</v>
      </c>
    </row>
    <row r="2546" customFormat="false" ht="12.75" hidden="false" customHeight="false" outlineLevel="0" collapsed="false">
      <c r="A2546" s="0" t="s">
        <v>41</v>
      </c>
      <c r="B2546" s="0" t="n">
        <v>1</v>
      </c>
      <c r="C2546" s="0" t="n">
        <v>512</v>
      </c>
    </row>
    <row r="2547" customFormat="false" ht="12.75" hidden="false" customHeight="false" outlineLevel="0" collapsed="false">
      <c r="A2547" s="0" t="s">
        <v>42</v>
      </c>
      <c r="B2547" s="0" t="n">
        <v>223</v>
      </c>
      <c r="C2547" s="0" t="n">
        <v>289</v>
      </c>
    </row>
    <row r="2548" customFormat="false" ht="12.75" hidden="false" customHeight="false" outlineLevel="0" collapsed="false">
      <c r="A2548" s="0" t="s">
        <v>43</v>
      </c>
      <c r="B2548" s="0" t="n">
        <v>5</v>
      </c>
      <c r="C2548" s="0" t="n">
        <v>284</v>
      </c>
    </row>
    <row r="2549" customFormat="false" ht="12.75" hidden="false" customHeight="false" outlineLevel="0" collapsed="false">
      <c r="A2549" s="0" t="s">
        <v>44</v>
      </c>
      <c r="B2549" s="0" t="n">
        <v>37</v>
      </c>
      <c r="C2549" s="0" t="n">
        <v>247</v>
      </c>
    </row>
    <row r="2550" customFormat="false" ht="12.75" hidden="false" customHeight="false" outlineLevel="0" collapsed="false">
      <c r="A2550" s="0" t="s">
        <v>45</v>
      </c>
      <c r="B2550" s="0" t="n">
        <v>205</v>
      </c>
      <c r="C2550" s="0" t="n">
        <v>42</v>
      </c>
    </row>
    <row r="2551" customFormat="false" ht="12.75" hidden="false" customHeight="false" outlineLevel="0" collapsed="false">
      <c r="A2551" s="0" t="s">
        <v>46</v>
      </c>
      <c r="B2551" s="0" t="n">
        <v>2</v>
      </c>
      <c r="C2551" s="0" t="n">
        <v>40</v>
      </c>
    </row>
    <row r="2552" customFormat="false" ht="12.75" hidden="false" customHeight="false" outlineLevel="0" collapsed="false">
      <c r="A2552" s="0" t="s">
        <v>47</v>
      </c>
      <c r="B2552" s="0" t="n">
        <v>2</v>
      </c>
      <c r="C2552" s="0" t="n">
        <v>38</v>
      </c>
    </row>
    <row r="2553" customFormat="false" ht="12.75" hidden="false" customHeight="false" outlineLevel="0" collapsed="false">
      <c r="A2553" s="0" t="s">
        <v>48</v>
      </c>
      <c r="B2553" s="0" t="n">
        <v>26</v>
      </c>
      <c r="C2553" s="0" t="n">
        <v>12</v>
      </c>
    </row>
    <row r="2554" customFormat="false" ht="12.75" hidden="false" customHeight="false" outlineLevel="0" collapsed="false">
      <c r="A2554" s="0" t="s">
        <v>49</v>
      </c>
      <c r="B2554" s="0" t="n">
        <v>2</v>
      </c>
      <c r="C2554" s="0" t="n">
        <v>10</v>
      </c>
    </row>
    <row r="2555" customFormat="false" ht="12.75" hidden="false" customHeight="false" outlineLevel="0" collapsed="false">
      <c r="A2555" s="0" t="s">
        <v>50</v>
      </c>
      <c r="B2555" s="0" t="n">
        <v>10</v>
      </c>
      <c r="C2555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1998-10-31T09:52:24Z</dcterms:created>
  <dc:creator>David Levinson</dc:creator>
  <dc:description/>
  <dc:language>en-AU</dc:language>
  <cp:lastModifiedBy>David Levinson</cp:lastModifiedBy>
  <cp:revision>0</cp:revision>
  <dc:subject/>
  <dc:title/>
</cp:coreProperties>
</file>